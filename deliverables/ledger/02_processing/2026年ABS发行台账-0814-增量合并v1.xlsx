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36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2" t="n"/>
      <c r="X2165" s="172" t="n"/>
      <c r="Y2165" s="172" t="n"/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2" t="n"/>
      <c r="X2166" s="172" t="n"/>
      <c r="Y2166" s="172" t="n"/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2" t="n"/>
      <c r="X2167" s="172" t="n"/>
      <c r="Y2167" s="172" t="n"/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2" t="n"/>
      <c r="X2168" s="172" t="n"/>
      <c r="Y2168" s="172" t="n"/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2" t="n"/>
      <c r="X2169" s="172" t="n"/>
      <c r="Y2169" s="172" t="n"/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2" t="n"/>
      <c r="X2170" s="172" t="n"/>
      <c r="Y2170" s="172" t="n"/>
    </row>
    <row r="2171">
      <c r="A2171" s="172" t="n">
        <v>122</v>
      </c>
      <c r="B2171" s="173" t="inlineStr">
        <is>
          <t>7月</t>
        </is>
      </c>
      <c r="C2171" s="173" t="inlineStr">
        <is>
          <t>消金</t>
        </is>
      </c>
      <c r="D2171" s="173" t="inlineStr">
        <is>
          <t>赊销白条</t>
        </is>
      </c>
      <c r="E2171" s="173" t="inlineStr">
        <is>
          <t>东裕11号夏裕（可续发）</t>
        </is>
      </c>
      <c r="F2171" s="173" t="inlineStr">
        <is>
          <t>银行间</t>
        </is>
      </c>
      <c r="G2171" s="173" t="inlineStr">
        <is>
          <t>兴业证券</t>
        </is>
      </c>
      <c r="H2171" s="173" t="inlineStr">
        <is>
          <t>江苏银行/建设银行/东方证券/中信证券</t>
        </is>
      </c>
      <c r="I2171" s="173" t="inlineStr">
        <is>
          <t>兴业北分</t>
        </is>
      </c>
      <c r="J2171" s="172" t="n">
        <v>10</v>
      </c>
      <c r="K2171" s="173" t="inlineStr">
        <is>
          <t>10+10+9+3</t>
        </is>
      </c>
      <c r="L2171" s="202" t="n">
        <v>46231</v>
      </c>
      <c r="M2171" s="175" t="n">
        <v>0.0148</v>
      </c>
      <c r="N2171" s="176" t="n">
        <v>0.0182</v>
      </c>
      <c r="O2171" s="191" t="n">
        <v>1.69</v>
      </c>
      <c r="P2171" s="177" t="inlineStr">
        <is>
          <t>优先B</t>
        </is>
      </c>
      <c r="Q2171" s="178" t="n">
        <v>0.03</v>
      </c>
      <c r="R2171" s="179" t="n">
        <v>0.3</v>
      </c>
      <c r="S2171" s="177" t="inlineStr">
        <is>
          <t>AA+</t>
        </is>
      </c>
      <c r="T2171" s="178" t="n">
        <v>0.0175</v>
      </c>
      <c r="U2171" s="177" t="inlineStr">
        <is>
          <t>交银理财</t>
        </is>
      </c>
      <c r="V2171" s="192" t="n">
        <v>0.09</v>
      </c>
      <c r="W2171" s="172" t="n"/>
      <c r="X2171" s="172" t="n"/>
      <c r="Y2171" s="172" t="n"/>
    </row>
    <row r="2172">
      <c r="A2172" s="172" t="n">
        <v>122</v>
      </c>
      <c r="B2172" s="173" t="inlineStr">
        <is>
          <t>7月</t>
        </is>
      </c>
      <c r="C2172" s="173" t="inlineStr">
        <is>
          <t>消金</t>
        </is>
      </c>
      <c r="D2172" s="173" t="inlineStr">
        <is>
          <t>赊销白条</t>
        </is>
      </c>
      <c r="E2172" s="173" t="inlineStr">
        <is>
          <t>东裕11号夏裕（可续发）</t>
        </is>
      </c>
      <c r="F2172" s="173" t="inlineStr">
        <is>
          <t>银行间</t>
        </is>
      </c>
      <c r="G2172" s="173" t="inlineStr">
        <is>
          <t>兴业证券</t>
        </is>
      </c>
      <c r="H2172" s="173" t="inlineStr">
        <is>
          <t>江苏银行/建设银行/东方证券/中信证券</t>
        </is>
      </c>
      <c r="I2172" s="173" t="inlineStr">
        <is>
          <t>兴业北分</t>
        </is>
      </c>
      <c r="J2172" s="172" t="n">
        <v>10</v>
      </c>
      <c r="K2172" s="173" t="inlineStr">
        <is>
          <t>10+10+9+3</t>
        </is>
      </c>
      <c r="L2172" s="202" t="n">
        <v>46231</v>
      </c>
      <c r="M2172" s="175" t="n">
        <v>0.0148</v>
      </c>
      <c r="N2172" s="176" t="n">
        <v>0.0182</v>
      </c>
      <c r="O2172" s="191" t="n">
        <v>1.69</v>
      </c>
      <c r="P2172" s="172" t="inlineStr">
        <is>
          <t>优先B</t>
        </is>
      </c>
      <c r="Q2172" s="178" t="n">
        <v>0.03</v>
      </c>
      <c r="R2172" s="179" t="n">
        <v>0.3</v>
      </c>
      <c r="S2172" s="177" t="inlineStr">
        <is>
          <t>AA+</t>
        </is>
      </c>
      <c r="T2172" s="178" t="n">
        <v>0.0175</v>
      </c>
      <c r="U2172" s="177" t="inlineStr">
        <is>
          <t>杭州联合银行</t>
        </is>
      </c>
      <c r="V2172" s="192" t="n">
        <v>0.09</v>
      </c>
      <c r="W2172" s="172" t="n"/>
      <c r="X2172" s="172" t="n"/>
      <c r="Y2172" s="172" t="n"/>
    </row>
    <row r="2173">
      <c r="A2173" s="172" t="n">
        <v>122</v>
      </c>
      <c r="B2173" s="173" t="inlineStr">
        <is>
          <t>7月</t>
        </is>
      </c>
      <c r="C2173" s="173" t="inlineStr">
        <is>
          <t>消金</t>
        </is>
      </c>
      <c r="D2173" s="173" t="inlineStr">
        <is>
          <t>赊销白条</t>
        </is>
      </c>
      <c r="E2173" s="173" t="inlineStr">
        <is>
          <t>东裕11号夏裕（可续发）</t>
        </is>
      </c>
      <c r="F2173" s="173" t="inlineStr">
        <is>
          <t>银行间</t>
        </is>
      </c>
      <c r="G2173" s="173" t="inlineStr">
        <is>
          <t>兴业证券</t>
        </is>
      </c>
      <c r="H2173" s="173" t="inlineStr">
        <is>
          <t>江苏银行/建设银行/东方证券/中信证券</t>
        </is>
      </c>
      <c r="I2173" s="173" t="inlineStr">
        <is>
          <t>兴业北分</t>
        </is>
      </c>
      <c r="J2173" s="172" t="n">
        <v>10</v>
      </c>
      <c r="K2173" s="173" t="inlineStr">
        <is>
          <t>10+10+9+3</t>
        </is>
      </c>
      <c r="L2173" s="202" t="n">
        <v>46231</v>
      </c>
      <c r="M2173" s="175" t="n">
        <v>0.0148</v>
      </c>
      <c r="N2173" s="176" t="n">
        <v>0.0182</v>
      </c>
      <c r="O2173" s="191" t="n">
        <v>1.69</v>
      </c>
      <c r="P2173" s="172" t="inlineStr">
        <is>
          <t>优先B</t>
        </is>
      </c>
      <c r="Q2173" s="178" t="n">
        <v>0.03</v>
      </c>
      <c r="R2173" s="179" t="n">
        <v>0.3</v>
      </c>
      <c r="S2173" s="177" t="inlineStr">
        <is>
          <t>AA+</t>
        </is>
      </c>
      <c r="T2173" s="178" t="n">
        <v>0.0175</v>
      </c>
      <c r="U2173" s="177" t="inlineStr">
        <is>
          <t>兴业证券投行</t>
        </is>
      </c>
      <c r="V2173" s="192" t="n">
        <v>0.12</v>
      </c>
      <c r="W2173" s="172" t="n"/>
      <c r="X2173" s="172" t="n"/>
      <c r="Y2173" s="172" t="n"/>
    </row>
    <row r="2174">
      <c r="A2174" s="172" t="n">
        <v>122</v>
      </c>
      <c r="B2174" s="173" t="inlineStr">
        <is>
          <t>7月</t>
        </is>
      </c>
      <c r="C2174" s="173" t="inlineStr">
        <is>
          <t>消金</t>
        </is>
      </c>
      <c r="D2174" s="173" t="inlineStr">
        <is>
          <t>赊销白条</t>
        </is>
      </c>
      <c r="E2174" s="173" t="inlineStr">
        <is>
          <t>东裕11号夏裕（可续发）</t>
        </is>
      </c>
      <c r="F2174" s="173" t="inlineStr">
        <is>
          <t>银行间</t>
        </is>
      </c>
      <c r="G2174" s="173" t="inlineStr">
        <is>
          <t>兴业证券</t>
        </is>
      </c>
      <c r="H2174" s="173" t="inlineStr">
        <is>
          <t>江苏银行/建设银行/东方证券/中信证券</t>
        </is>
      </c>
      <c r="I2174" s="173" t="inlineStr">
        <is>
          <t>兴业北分</t>
        </is>
      </c>
      <c r="J2174" s="172" t="n">
        <v>10</v>
      </c>
      <c r="K2174" s="173" t="inlineStr">
        <is>
          <t>10+10+9+3</t>
        </is>
      </c>
      <c r="L2174" s="202" t="n">
        <v>46231</v>
      </c>
      <c r="M2174" s="175" t="n">
        <v>0.0148</v>
      </c>
      <c r="N2174" s="176" t="n">
        <v>0.0182</v>
      </c>
      <c r="O2174" s="191" t="n">
        <v>1.69</v>
      </c>
      <c r="P2174" s="177" t="inlineStr">
        <is>
          <t>中间级</t>
        </is>
      </c>
      <c r="Q2174" s="178" t="n">
        <v>0.02</v>
      </c>
      <c r="R2174" s="179" t="n">
        <v>0.2</v>
      </c>
      <c r="S2174" s="177" t="inlineStr">
        <is>
          <t>A+</t>
        </is>
      </c>
      <c r="T2174" s="178" t="n">
        <v>0.031</v>
      </c>
      <c r="U2174" s="177" t="inlineStr">
        <is>
          <t>杭州联合银行</t>
        </is>
      </c>
      <c r="V2174" s="192" t="n">
        <v>0.06</v>
      </c>
      <c r="W2174" s="172" t="n"/>
      <c r="X2174" s="172" t="n"/>
      <c r="Y2174" s="172" t="n"/>
    </row>
    <row r="2175">
      <c r="A2175" s="172" t="n">
        <v>122</v>
      </c>
      <c r="B2175" s="173" t="inlineStr">
        <is>
          <t>7月</t>
        </is>
      </c>
      <c r="C2175" s="173" t="inlineStr">
        <is>
          <t>消金</t>
        </is>
      </c>
      <c r="D2175" s="173" t="inlineStr">
        <is>
          <t>赊销白条</t>
        </is>
      </c>
      <c r="E2175" s="173" t="inlineStr">
        <is>
          <t>东裕11号夏裕（可续发）</t>
        </is>
      </c>
      <c r="F2175" s="173" t="inlineStr">
        <is>
          <t>银行间</t>
        </is>
      </c>
      <c r="G2175" s="173" t="inlineStr">
        <is>
          <t>兴业证券</t>
        </is>
      </c>
      <c r="H2175" s="173" t="inlineStr">
        <is>
          <t>江苏银行/建设银行/东方证券/中信证券</t>
        </is>
      </c>
      <c r="I2175" s="173" t="inlineStr">
        <is>
          <t>兴业北分</t>
        </is>
      </c>
      <c r="J2175" s="172" t="n">
        <v>10</v>
      </c>
      <c r="K2175" s="173" t="inlineStr">
        <is>
          <t>10+10+9+3</t>
        </is>
      </c>
      <c r="L2175" s="202" t="n">
        <v>46231</v>
      </c>
      <c r="M2175" s="175" t="n">
        <v>0.0148</v>
      </c>
      <c r="N2175" s="176" t="n">
        <v>0.0182</v>
      </c>
      <c r="O2175" s="191" t="n">
        <v>1.69</v>
      </c>
      <c r="P2175" s="172" t="inlineStr">
        <is>
          <t>中间级</t>
        </is>
      </c>
      <c r="Q2175" s="178" t="n">
        <v>0.02</v>
      </c>
      <c r="R2175" s="179" t="n">
        <v>0.2</v>
      </c>
      <c r="S2175" s="177" t="inlineStr">
        <is>
          <t>A+</t>
        </is>
      </c>
      <c r="T2175" s="178" t="n">
        <v>0.031</v>
      </c>
      <c r="U2175" s="177" t="inlineStr">
        <is>
          <t>平安理财</t>
        </is>
      </c>
      <c r="V2175" s="192" t="n">
        <v>0.06</v>
      </c>
      <c r="W2175" s="172" t="n"/>
      <c r="X2175" s="172" t="n"/>
      <c r="Y2175" s="172" t="n"/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2" t="inlineStr">
        <is>
          <t>中间级</t>
        </is>
      </c>
      <c r="Q2176" s="178" t="n">
        <v>0.02</v>
      </c>
      <c r="R2176" s="179" t="n">
        <v>0.2</v>
      </c>
      <c r="S2176" s="177" t="inlineStr">
        <is>
          <t>A+</t>
        </is>
      </c>
      <c r="T2176" s="178" t="n">
        <v>0.031</v>
      </c>
      <c r="U2176" s="177" t="inlineStr">
        <is>
          <t>招银理财</t>
        </is>
      </c>
      <c r="V2176" s="192" t="n">
        <v>0.06</v>
      </c>
      <c r="W2176" s="172" t="n"/>
      <c r="X2176" s="172" t="n"/>
      <c r="Y2176" s="172" t="n"/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中间级</t>
        </is>
      </c>
      <c r="Q2177" s="178" t="n">
        <v>0.02</v>
      </c>
      <c r="R2177" s="179" t="n">
        <v>0.2</v>
      </c>
      <c r="S2177" s="177" t="inlineStr">
        <is>
          <t>A+</t>
        </is>
      </c>
      <c r="T2177" s="178" t="n">
        <v>0.031</v>
      </c>
      <c r="U2177" s="177" t="inlineStr">
        <is>
          <t>中信建投衍生品</t>
        </is>
      </c>
      <c r="V2177" s="192" t="n">
        <v>0.02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7" t="inlineStr">
        <is>
          <t>次级</t>
        </is>
      </c>
      <c r="Q2178" s="178" t="n">
        <v>0.05</v>
      </c>
      <c r="R2178" s="179" t="n">
        <v>0.5</v>
      </c>
      <c r="S2178" s="177" t="inlineStr">
        <is>
          <t>无</t>
        </is>
      </c>
      <c r="T2178" s="178" t="n">
        <v>0.045</v>
      </c>
      <c r="U2178" s="177" t="inlineStr">
        <is>
          <t>中信证券财富</t>
        </is>
      </c>
      <c r="V2178" s="195" t="n">
        <v>0.225</v>
      </c>
      <c r="W2178" s="172" t="n"/>
      <c r="X2178" s="172" t="n"/>
      <c r="Y2178" s="172" t="n"/>
    </row>
    <row r="2179">
      <c r="A2179" s="172" t="n">
        <v>122</v>
      </c>
      <c r="B2179" s="173" t="inlineStr">
        <is>
          <t>7月</t>
        </is>
      </c>
      <c r="C2179" s="173" t="inlineStr">
        <is>
          <t>消金</t>
        </is>
      </c>
      <c r="D2179" s="173" t="inlineStr">
        <is>
          <t>赊销白条</t>
        </is>
      </c>
      <c r="E2179" s="173" t="inlineStr">
        <is>
          <t>东裕11号夏裕（可续发）</t>
        </is>
      </c>
      <c r="F2179" s="173" t="inlineStr">
        <is>
          <t>银行间</t>
        </is>
      </c>
      <c r="G2179" s="173" t="inlineStr">
        <is>
          <t>兴业证券</t>
        </is>
      </c>
      <c r="H2179" s="173" t="inlineStr">
        <is>
          <t>江苏银行/建设银行/东方证券/中信证券</t>
        </is>
      </c>
      <c r="I2179" s="173" t="inlineStr">
        <is>
          <t>兴业北分</t>
        </is>
      </c>
      <c r="J2179" s="172" t="n">
        <v>10</v>
      </c>
      <c r="K2179" s="173" t="inlineStr">
        <is>
          <t>10+10+9+3</t>
        </is>
      </c>
      <c r="L2179" s="202" t="n">
        <v>46231</v>
      </c>
      <c r="M2179" s="175" t="n">
        <v>0.0148</v>
      </c>
      <c r="N2179" s="176" t="n">
        <v>0.0182</v>
      </c>
      <c r="O2179" s="191" t="n">
        <v>1.69</v>
      </c>
      <c r="P2179" s="172" t="inlineStr">
        <is>
          <t>次级</t>
        </is>
      </c>
      <c r="Q2179" s="178" t="n">
        <v>0.05</v>
      </c>
      <c r="R2179" s="179" t="n">
        <v>0.5</v>
      </c>
      <c r="S2179" s="177" t="inlineStr">
        <is>
          <t>无</t>
        </is>
      </c>
      <c r="T2179" s="178" t="n">
        <v>0.045</v>
      </c>
      <c r="U2179" s="177" t="inlineStr">
        <is>
          <t>华兴证券自营</t>
        </is>
      </c>
      <c r="V2179" s="195" t="n">
        <v>0.075</v>
      </c>
      <c r="W2179" s="172" t="n"/>
      <c r="X2179" s="172" t="n"/>
      <c r="Y2179" s="172" t="n"/>
    </row>
    <row r="2180">
      <c r="A2180" s="172" t="n">
        <v>122</v>
      </c>
      <c r="B2180" s="173" t="inlineStr">
        <is>
          <t>7月</t>
        </is>
      </c>
      <c r="C2180" s="173" t="inlineStr">
        <is>
          <t>消金</t>
        </is>
      </c>
      <c r="D2180" s="173" t="inlineStr">
        <is>
          <t>赊销白条</t>
        </is>
      </c>
      <c r="E2180" s="173" t="inlineStr">
        <is>
          <t>东裕11号夏裕（可续发）</t>
        </is>
      </c>
      <c r="F2180" s="173" t="inlineStr">
        <is>
          <t>银行间</t>
        </is>
      </c>
      <c r="G2180" s="173" t="inlineStr">
        <is>
          <t>兴业证券</t>
        </is>
      </c>
      <c r="H2180" s="173" t="inlineStr">
        <is>
          <t>江苏银行/建设银行/东方证券/中信证券</t>
        </is>
      </c>
      <c r="I2180" s="173" t="inlineStr">
        <is>
          <t>兴业北分</t>
        </is>
      </c>
      <c r="J2180" s="172" t="n">
        <v>10</v>
      </c>
      <c r="K2180" s="173" t="inlineStr">
        <is>
          <t>10+10+9+3</t>
        </is>
      </c>
      <c r="L2180" s="202" t="n">
        <v>46231</v>
      </c>
      <c r="M2180" s="175" t="n">
        <v>0.0148</v>
      </c>
      <c r="N2180" s="176" t="n">
        <v>0.0182</v>
      </c>
      <c r="O2180" s="191" t="n">
        <v>1.69</v>
      </c>
      <c r="P2180" s="172" t="inlineStr">
        <is>
          <t>次级</t>
        </is>
      </c>
      <c r="Q2180" s="178" t="n">
        <v>0.05</v>
      </c>
      <c r="R2180" s="179" t="n">
        <v>0.5</v>
      </c>
      <c r="S2180" s="177" t="inlineStr">
        <is>
          <t>无</t>
        </is>
      </c>
      <c r="T2180" s="178" t="n">
        <v>0.045</v>
      </c>
      <c r="U2180" s="177" t="inlineStr">
        <is>
          <t>中信建投机构部</t>
        </is>
      </c>
      <c r="V2180" s="192" t="n">
        <v>0.2</v>
      </c>
      <c r="W2180" s="172" t="n"/>
      <c r="X2180" s="172" t="n"/>
      <c r="Y2180" s="172" t="n"/>
    </row>
    <row r="2181">
      <c r="A2181" s="172" t="n">
        <v>123</v>
      </c>
      <c r="B2181" s="172" t="inlineStr">
        <is>
          <t>7月</t>
        </is>
      </c>
      <c r="C2181" s="172" t="inlineStr">
        <is>
          <t>企金</t>
        </is>
      </c>
      <c r="D2181" s="172" t="inlineStr">
        <is>
          <t>金采</t>
        </is>
      </c>
      <c r="E2181" s="172" t="inlineStr">
        <is>
          <t>金采8-11</t>
        </is>
      </c>
      <c r="F2181" s="172" t="inlineStr">
        <is>
          <t>上交所</t>
        </is>
      </c>
      <c r="G2181" s="172" t="inlineStr">
        <is>
          <t>华泰资管</t>
        </is>
      </c>
      <c r="H2181" s="172" t="inlineStr">
        <is>
          <t>国开证券</t>
        </is>
      </c>
      <c r="I2181" s="172" t="inlineStr">
        <is>
          <t>青岛银行</t>
        </is>
      </c>
      <c r="J2181" s="172" t="n">
        <v>9</v>
      </c>
      <c r="K2181" s="172" t="inlineStr">
        <is>
          <t>7+12</t>
        </is>
      </c>
      <c r="L2181" s="202" t="n">
        <v>46231</v>
      </c>
      <c r="M2181" s="175" t="n">
        <v>0.0148</v>
      </c>
      <c r="N2181" s="176" t="n">
        <v>0.0187</v>
      </c>
      <c r="O2181" s="191" t="n">
        <v>1.58</v>
      </c>
      <c r="P2181" s="172" t="inlineStr">
        <is>
          <t>优先级</t>
        </is>
      </c>
      <c r="Q2181" s="175" t="n">
        <v>0.9</v>
      </c>
      <c r="R2181" s="192">
        <f>8.1</f>
        <v/>
      </c>
      <c r="S2181" s="172" t="inlineStr">
        <is>
          <t>AAA</t>
        </is>
      </c>
      <c r="T2181" s="175" t="n">
        <v>0.016</v>
      </c>
      <c r="U2181" s="172" t="inlineStr">
        <is>
          <t xml:space="preserve"> 厦门汇正</t>
        </is>
      </c>
      <c r="V2181" s="191" t="n">
        <v>0.41</v>
      </c>
      <c r="W2181" s="175" t="n">
        <v>0.014</v>
      </c>
      <c r="X2181" s="172" t="inlineStr">
        <is>
          <t>厦门汇正</t>
        </is>
      </c>
      <c r="Y2181" s="191" t="n">
        <v>0.41</v>
      </c>
    </row>
    <row r="2182">
      <c r="A2182" s="172" t="n">
        <v>123</v>
      </c>
      <c r="B2182" s="172" t="inlineStr">
        <is>
          <t>7月</t>
        </is>
      </c>
      <c r="C2182" s="172" t="inlineStr">
        <is>
          <t>企金</t>
        </is>
      </c>
      <c r="D2182" s="172" t="inlineStr">
        <is>
          <t>金采</t>
        </is>
      </c>
      <c r="E2182" s="172" t="inlineStr">
        <is>
          <t>金采8-11</t>
        </is>
      </c>
      <c r="F2182" s="172" t="inlineStr">
        <is>
          <t>上交所</t>
        </is>
      </c>
      <c r="G2182" s="172" t="inlineStr">
        <is>
          <t>华泰资管</t>
        </is>
      </c>
      <c r="H2182" s="172" t="inlineStr">
        <is>
          <t>国开证券</t>
        </is>
      </c>
      <c r="I2182" s="172" t="inlineStr">
        <is>
          <t>青岛银行</t>
        </is>
      </c>
      <c r="J2182" s="172" t="n">
        <v>9</v>
      </c>
      <c r="K2182" s="172" t="inlineStr">
        <is>
          <t>7+12</t>
        </is>
      </c>
      <c r="L2182" s="202" t="n">
        <v>46231</v>
      </c>
      <c r="M2182" s="175" t="n">
        <v>0.0148</v>
      </c>
      <c r="N2182" s="176" t="n">
        <v>0.0187</v>
      </c>
      <c r="O2182" s="191" t="n">
        <v>1.58</v>
      </c>
      <c r="P2182" s="172" t="inlineStr">
        <is>
          <t>优先级</t>
        </is>
      </c>
      <c r="Q2182" s="175" t="n">
        <v>0.9</v>
      </c>
      <c r="R2182" s="192">
        <f>8.1</f>
        <v/>
      </c>
      <c r="S2182" s="172" t="inlineStr">
        <is>
          <t>AAA</t>
        </is>
      </c>
      <c r="T2182" s="175" t="n">
        <v>0.016</v>
      </c>
      <c r="U2182" s="172" t="inlineStr">
        <is>
          <t>招银理财</t>
        </is>
      </c>
      <c r="V2182" s="191" t="n">
        <v>2.43</v>
      </c>
      <c r="W2182" s="175" t="n">
        <v>0.0156</v>
      </c>
      <c r="X2182" s="172" t="inlineStr">
        <is>
          <t>招银理财</t>
        </is>
      </c>
      <c r="Y2182" s="191" t="n">
        <v>2.43</v>
      </c>
    </row>
    <row r="2183">
      <c r="A2183" s="172" t="n">
        <v>123</v>
      </c>
      <c r="B2183" s="172" t="inlineStr">
        <is>
          <t>7月</t>
        </is>
      </c>
      <c r="C2183" s="172" t="inlineStr">
        <is>
          <t>企金</t>
        </is>
      </c>
      <c r="D2183" s="172" t="inlineStr">
        <is>
          <t>金采</t>
        </is>
      </c>
      <c r="E2183" s="172" t="inlineStr">
        <is>
          <t>金采8-11</t>
        </is>
      </c>
      <c r="F2183" s="172" t="inlineStr">
        <is>
          <t>上交所</t>
        </is>
      </c>
      <c r="G2183" s="172" t="inlineStr">
        <is>
          <t>华泰资管</t>
        </is>
      </c>
      <c r="H2183" s="172" t="inlineStr">
        <is>
          <t>国开证券</t>
        </is>
      </c>
      <c r="I2183" s="172" t="inlineStr">
        <is>
          <t>青岛银行</t>
        </is>
      </c>
      <c r="J2183" s="172" t="n">
        <v>9</v>
      </c>
      <c r="K2183" s="172" t="inlineStr">
        <is>
          <t>7+12</t>
        </is>
      </c>
      <c r="L2183" s="202" t="n">
        <v>46231</v>
      </c>
      <c r="M2183" s="175" t="n">
        <v>0.0148</v>
      </c>
      <c r="N2183" s="176" t="n">
        <v>0.0187</v>
      </c>
      <c r="O2183" s="191" t="n">
        <v>1.58</v>
      </c>
      <c r="P2183" s="172" t="inlineStr">
        <is>
          <t>优先级</t>
        </is>
      </c>
      <c r="Q2183" s="175" t="n">
        <v>0.9</v>
      </c>
      <c r="R2183" s="192">
        <f>8.1</f>
        <v/>
      </c>
      <c r="S2183" s="172" t="inlineStr">
        <is>
          <t>AAA</t>
        </is>
      </c>
      <c r="T2183" s="175" t="n">
        <v>0.016</v>
      </c>
      <c r="U2183" s="172" t="inlineStr">
        <is>
          <t>华夏基金</t>
        </is>
      </c>
      <c r="V2183" s="191" t="n">
        <v>1.28</v>
      </c>
      <c r="W2183" s="175" t="n">
        <v>0.0158</v>
      </c>
      <c r="X2183" s="172" t="inlineStr">
        <is>
          <t>华夏基金</t>
        </is>
      </c>
      <c r="Y2183" s="191" t="n">
        <v>1.2</v>
      </c>
    </row>
    <row r="2184">
      <c r="A2184" s="172" t="n">
        <v>123</v>
      </c>
      <c r="B2184" s="172" t="inlineStr">
        <is>
          <t>7月</t>
        </is>
      </c>
      <c r="C2184" s="172" t="inlineStr">
        <is>
          <t>企金</t>
        </is>
      </c>
      <c r="D2184" s="172" t="inlineStr">
        <is>
          <t>金采</t>
        </is>
      </c>
      <c r="E2184" s="172" t="inlineStr">
        <is>
          <t>金采8-11</t>
        </is>
      </c>
      <c r="F2184" s="172" t="inlineStr">
        <is>
          <t>上交所</t>
        </is>
      </c>
      <c r="G2184" s="172" t="inlineStr">
        <is>
          <t>华泰资管</t>
        </is>
      </c>
      <c r="H2184" s="172" t="inlineStr">
        <is>
          <t>国开证券</t>
        </is>
      </c>
      <c r="I2184" s="172" t="inlineStr">
        <is>
          <t>青岛银行</t>
        </is>
      </c>
      <c r="J2184" s="172" t="n">
        <v>9</v>
      </c>
      <c r="K2184" s="172" t="inlineStr">
        <is>
          <t>7+12</t>
        </is>
      </c>
      <c r="L2184" s="208" t="n">
        <v>46231</v>
      </c>
      <c r="M2184" s="175" t="n">
        <v>0.0148</v>
      </c>
      <c r="N2184" s="176" t="n">
        <v>0.0187</v>
      </c>
      <c r="O2184" s="172" t="n">
        <v>1.58</v>
      </c>
      <c r="P2184" s="172" t="inlineStr">
        <is>
          <t>优先级</t>
        </is>
      </c>
      <c r="Q2184" s="175" t="n">
        <v>0.9</v>
      </c>
      <c r="R2184" s="172">
        <f>8.1</f>
        <v/>
      </c>
      <c r="S2184" s="172" t="inlineStr">
        <is>
          <t>AAA</t>
        </is>
      </c>
      <c r="T2184" s="175" t="n">
        <v>0.016</v>
      </c>
      <c r="U2184" s="172" t="n"/>
      <c r="V2184" s="172" t="n"/>
      <c r="W2184" s="175" t="n">
        <v>0.016</v>
      </c>
      <c r="X2184" s="172" t="inlineStr">
        <is>
          <t>华夏基金</t>
        </is>
      </c>
      <c r="Y2184" s="191" t="n">
        <v>0.1</v>
      </c>
    </row>
    <row r="2185">
      <c r="A2185" s="172" t="n">
        <v>123</v>
      </c>
      <c r="B2185" s="172" t="inlineStr">
        <is>
          <t>7月</t>
        </is>
      </c>
      <c r="C2185" s="172" t="inlineStr">
        <is>
          <t>企金</t>
        </is>
      </c>
      <c r="D2185" s="172" t="inlineStr">
        <is>
          <t>金采</t>
        </is>
      </c>
      <c r="E2185" s="172" t="inlineStr">
        <is>
          <t>金采8-11</t>
        </is>
      </c>
      <c r="F2185" s="172" t="inlineStr">
        <is>
          <t>上交所</t>
        </is>
      </c>
      <c r="G2185" s="172" t="inlineStr">
        <is>
          <t>华泰资管</t>
        </is>
      </c>
      <c r="H2185" s="172" t="inlineStr">
        <is>
          <t>国开证券</t>
        </is>
      </c>
      <c r="I2185" s="172" t="inlineStr">
        <is>
          <t>青岛银行</t>
        </is>
      </c>
      <c r="J2185" s="172" t="n">
        <v>9</v>
      </c>
      <c r="K2185" s="172" t="inlineStr">
        <is>
          <t>7+12</t>
        </is>
      </c>
      <c r="L2185" s="202" t="n">
        <v>46231</v>
      </c>
      <c r="M2185" s="175" t="n">
        <v>0.0148</v>
      </c>
      <c r="N2185" s="176" t="n">
        <v>0.0187</v>
      </c>
      <c r="O2185" s="191" t="n">
        <v>1.58</v>
      </c>
      <c r="P2185" s="172" t="inlineStr">
        <is>
          <t>优先级</t>
        </is>
      </c>
      <c r="Q2185" s="175" t="n">
        <v>0.9</v>
      </c>
      <c r="R2185" s="192">
        <f>8.1</f>
        <v/>
      </c>
      <c r="S2185" s="172" t="inlineStr">
        <is>
          <t>AAA</t>
        </is>
      </c>
      <c r="T2185" s="175" t="n">
        <v>0.016</v>
      </c>
      <c r="U2185" s="172" t="inlineStr">
        <is>
          <t>民生理财</t>
        </is>
      </c>
      <c r="V2185" s="191" t="n">
        <v>1.62</v>
      </c>
      <c r="W2185" s="175" t="n">
        <v>0.016</v>
      </c>
      <c r="X2185" s="172" t="inlineStr">
        <is>
          <t>民生理财</t>
        </is>
      </c>
      <c r="Y2185" s="191" t="n">
        <v>2.01</v>
      </c>
    </row>
    <row r="2186">
      <c r="A2186" s="172" t="n">
        <v>123</v>
      </c>
      <c r="B2186" s="172" t="inlineStr">
        <is>
          <t>7月</t>
        </is>
      </c>
      <c r="C2186" s="172" t="inlineStr">
        <is>
          <t>企金</t>
        </is>
      </c>
      <c r="D2186" s="172" t="inlineStr">
        <is>
          <t>金采</t>
        </is>
      </c>
      <c r="E2186" s="172" t="inlineStr">
        <is>
          <t>金采8-11</t>
        </is>
      </c>
      <c r="F2186" s="172" t="inlineStr">
        <is>
          <t>上交所</t>
        </is>
      </c>
      <c r="G2186" s="172" t="inlineStr">
        <is>
          <t>华泰资管</t>
        </is>
      </c>
      <c r="H2186" s="172" t="inlineStr">
        <is>
          <t>国开证券</t>
        </is>
      </c>
      <c r="I2186" s="172" t="inlineStr">
        <is>
          <t>青岛银行</t>
        </is>
      </c>
      <c r="J2186" s="172" t="n">
        <v>9</v>
      </c>
      <c r="K2186" s="172" t="inlineStr">
        <is>
          <t>7+12</t>
        </is>
      </c>
      <c r="L2186" s="202" t="n">
        <v>46231</v>
      </c>
      <c r="M2186" s="175" t="n">
        <v>0.0148</v>
      </c>
      <c r="N2186" s="176" t="n">
        <v>0.0187</v>
      </c>
      <c r="O2186" s="191" t="n">
        <v>1.58</v>
      </c>
      <c r="P2186" s="172" t="inlineStr">
        <is>
          <t>优先级</t>
        </is>
      </c>
      <c r="Q2186" s="175" t="n">
        <v>0.9</v>
      </c>
      <c r="R2186" s="192">
        <f>8.1</f>
        <v/>
      </c>
      <c r="S2186" s="172" t="inlineStr">
        <is>
          <t>AAA</t>
        </is>
      </c>
      <c r="T2186" s="175" t="n">
        <v>0.016</v>
      </c>
      <c r="U2186" s="172" t="inlineStr">
        <is>
          <t>交银理财</t>
        </is>
      </c>
      <c r="V2186" s="191" t="n">
        <v>0.4</v>
      </c>
      <c r="W2186" s="175" t="n">
        <v>0.016</v>
      </c>
      <c r="X2186" s="172" t="inlineStr">
        <is>
          <t>交银理财</t>
        </is>
      </c>
      <c r="Y2186" s="191" t="n">
        <v>0.5</v>
      </c>
    </row>
    <row r="2187">
      <c r="A2187" s="172" t="n">
        <v>123</v>
      </c>
      <c r="B2187" s="172" t="inlineStr">
        <is>
          <t>7月</t>
        </is>
      </c>
      <c r="C2187" s="172" t="inlineStr">
        <is>
          <t>企金</t>
        </is>
      </c>
      <c r="D2187" s="172" t="inlineStr">
        <is>
          <t>金采</t>
        </is>
      </c>
      <c r="E2187" s="172" t="inlineStr">
        <is>
          <t>金采8-11</t>
        </is>
      </c>
      <c r="F2187" s="172" t="inlineStr">
        <is>
          <t>上交所</t>
        </is>
      </c>
      <c r="G2187" s="172" t="inlineStr">
        <is>
          <t>华泰资管</t>
        </is>
      </c>
      <c r="H2187" s="172" t="inlineStr">
        <is>
          <t>国开证券</t>
        </is>
      </c>
      <c r="I2187" s="172" t="inlineStr">
        <is>
          <t>青岛银行</t>
        </is>
      </c>
      <c r="J2187" s="172" t="n">
        <v>9</v>
      </c>
      <c r="K2187" s="172" t="inlineStr">
        <is>
          <t>7+12</t>
        </is>
      </c>
      <c r="L2187" s="208" t="n">
        <v>46231</v>
      </c>
      <c r="M2187" s="175" t="n">
        <v>0.0148</v>
      </c>
      <c r="N2187" s="176" t="n">
        <v>0.0187</v>
      </c>
      <c r="O2187" s="172" t="n">
        <v>1.58</v>
      </c>
      <c r="P2187" s="172" t="inlineStr">
        <is>
          <t>优先级</t>
        </is>
      </c>
      <c r="Q2187" s="175" t="n">
        <v>0.9</v>
      </c>
      <c r="R2187" s="172">
        <f>8.1</f>
        <v/>
      </c>
      <c r="S2187" s="172" t="inlineStr">
        <is>
          <t>AAA</t>
        </is>
      </c>
      <c r="T2187" s="175" t="n">
        <v>0.016</v>
      </c>
      <c r="U2187" s="172" t="n"/>
      <c r="V2187" s="172" t="n"/>
      <c r="W2187" s="175" t="n">
        <v>0.0165</v>
      </c>
      <c r="X2187" s="172" t="inlineStr">
        <is>
          <t>交银理财</t>
        </is>
      </c>
      <c r="Y2187" s="191" t="n">
        <v>1.93</v>
      </c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>中邮理财</t>
        </is>
      </c>
      <c r="V2188" s="191" t="n">
        <v>1.96</v>
      </c>
      <c r="W2188" s="175" t="n">
        <v>0.016</v>
      </c>
      <c r="X2188" s="172" t="inlineStr">
        <is>
          <t>中邮理财</t>
        </is>
      </c>
      <c r="Y2188" s="191" t="n">
        <v>2.42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8" t="n">
        <v>46231</v>
      </c>
      <c r="M2189" s="175" t="n">
        <v>0.0148</v>
      </c>
      <c r="N2189" s="176" t="n">
        <v>0.0187</v>
      </c>
      <c r="O2189" s="172" t="n">
        <v>1.58</v>
      </c>
      <c r="P2189" s="172" t="inlineStr">
        <is>
          <t>优先级</t>
        </is>
      </c>
      <c r="Q2189" s="175" t="n">
        <v>0.9</v>
      </c>
      <c r="R2189" s="172">
        <f>8.1</f>
        <v/>
      </c>
      <c r="S2189" s="172" t="inlineStr">
        <is>
          <t>AAA</t>
        </is>
      </c>
      <c r="T2189" s="175" t="n">
        <v>0.016</v>
      </c>
      <c r="U2189" s="172" t="n"/>
      <c r="V2189" s="172" t="n"/>
      <c r="W2189" s="175" t="n">
        <v>0.0163</v>
      </c>
      <c r="X2189" s="172" t="inlineStr">
        <is>
          <t>建信理财</t>
        </is>
      </c>
      <c r="Y2189" s="191" t="n">
        <v>0.8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8" t="n">
        <v>46231</v>
      </c>
      <c r="M2190" s="175" t="n">
        <v>0.0148</v>
      </c>
      <c r="N2190" s="176" t="n">
        <v>0.0187</v>
      </c>
      <c r="O2190" s="172" t="n">
        <v>1.58</v>
      </c>
      <c r="P2190" s="172" t="inlineStr">
        <is>
          <t>优先级</t>
        </is>
      </c>
      <c r="Q2190" s="175" t="n">
        <v>0.9</v>
      </c>
      <c r="R2190" s="172">
        <f>8.1</f>
        <v/>
      </c>
      <c r="S2190" s="172" t="inlineStr">
        <is>
          <t>AAA</t>
        </is>
      </c>
      <c r="T2190" s="175" t="n">
        <v>0.016</v>
      </c>
      <c r="U2190" s="172" t="n"/>
      <c r="V2190" s="172" t="n"/>
      <c r="W2190" s="175" t="n">
        <v>0.0165</v>
      </c>
      <c r="X2190" s="172" t="inlineStr">
        <is>
          <t>利曦基金</t>
        </is>
      </c>
      <c r="Y2190" s="191" t="n">
        <v>0.5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0.0168</v>
      </c>
      <c r="X2191" s="172" t="inlineStr">
        <is>
          <t>建信信托</t>
        </is>
      </c>
      <c r="Y2191" s="191" t="n">
        <v>0.5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中间级</t>
        </is>
      </c>
      <c r="Q2192" s="175" t="n">
        <v>0.05</v>
      </c>
      <c r="R2192" s="192" t="n">
        <v>0.45</v>
      </c>
      <c r="S2192" s="175" t="inlineStr">
        <is>
          <t>AA</t>
        </is>
      </c>
      <c r="T2192" s="175" t="n">
        <v>0.031</v>
      </c>
      <c r="U2192" s="172" t="inlineStr">
        <is>
          <t>招银理财</t>
        </is>
      </c>
      <c r="V2192" s="193" t="n">
        <v>0.135</v>
      </c>
      <c r="W2192" s="172" t="n"/>
      <c r="X2192" s="172" t="n"/>
      <c r="Y2192" s="172" t="n"/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中间级</t>
        </is>
      </c>
      <c r="Q2193" s="175" t="n">
        <v>0.05</v>
      </c>
      <c r="R2193" s="192" t="n">
        <v>0.45</v>
      </c>
      <c r="S2193" s="175" t="inlineStr">
        <is>
          <t>AA</t>
        </is>
      </c>
      <c r="T2193" s="175" t="n">
        <v>0.031</v>
      </c>
      <c r="U2193" s="172" t="inlineStr">
        <is>
          <t>国泰海通自营</t>
        </is>
      </c>
      <c r="V2193" s="193" t="n">
        <v>0.135</v>
      </c>
      <c r="W2193" s="172" t="n"/>
      <c r="X2193" s="172" t="n"/>
      <c r="Y2193" s="172" t="n"/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2" t="n">
        <v>46231</v>
      </c>
      <c r="M2194" s="175" t="n">
        <v>0.0148</v>
      </c>
      <c r="N2194" s="176" t="n">
        <v>0.0187</v>
      </c>
      <c r="O2194" s="191" t="n">
        <v>1.58</v>
      </c>
      <c r="P2194" s="172" t="inlineStr">
        <is>
          <t>中间级</t>
        </is>
      </c>
      <c r="Q2194" s="175" t="n">
        <v>0.05</v>
      </c>
      <c r="R2194" s="192" t="n">
        <v>0.45</v>
      </c>
      <c r="S2194" s="175" t="inlineStr">
        <is>
          <t>AA</t>
        </is>
      </c>
      <c r="T2194" s="175" t="n">
        <v>0.031</v>
      </c>
      <c r="U2194" s="172" t="inlineStr">
        <is>
          <t>建信信托</t>
        </is>
      </c>
      <c r="V2194" s="191" t="n">
        <v>0.1</v>
      </c>
      <c r="W2194" s="172" t="n"/>
      <c r="X2194" s="172" t="n"/>
      <c r="Y2194" s="172" t="n"/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中间级</t>
        </is>
      </c>
      <c r="Q2195" s="175" t="n">
        <v>0.05</v>
      </c>
      <c r="R2195" s="192" t="n">
        <v>0.45</v>
      </c>
      <c r="S2195" s="175" t="inlineStr">
        <is>
          <t>AA</t>
        </is>
      </c>
      <c r="T2195" s="175" t="n">
        <v>0.031</v>
      </c>
      <c r="U2195" s="172" t="inlineStr">
        <is>
          <t>东方财富自营</t>
        </is>
      </c>
      <c r="V2195" s="201" t="n">
        <v>0.0575</v>
      </c>
      <c r="W2195" s="172" t="n"/>
      <c r="X2195" s="172" t="n"/>
      <c r="Y2195" s="172" t="n"/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2" t="n">
        <v>46231</v>
      </c>
      <c r="M2196" s="175" t="n">
        <v>0.0148</v>
      </c>
      <c r="N2196" s="176" t="n">
        <v>0.0187</v>
      </c>
      <c r="O2196" s="191" t="n">
        <v>1.58</v>
      </c>
      <c r="P2196" s="172" t="inlineStr">
        <is>
          <t>中间级</t>
        </is>
      </c>
      <c r="Q2196" s="175" t="n">
        <v>0.05</v>
      </c>
      <c r="R2196" s="192" t="n">
        <v>0.45</v>
      </c>
      <c r="S2196" s="175" t="inlineStr">
        <is>
          <t>AA</t>
        </is>
      </c>
      <c r="T2196" s="175" t="n">
        <v>0.031</v>
      </c>
      <c r="U2196" s="172" t="inlineStr">
        <is>
          <t xml:space="preserve"> 厦门汇正</t>
        </is>
      </c>
      <c r="V2196" s="201" t="n">
        <v>0.0225</v>
      </c>
      <c r="W2196" s="172" t="n"/>
      <c r="X2196" s="172" t="n"/>
      <c r="Y2196" s="172" t="n"/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2" t="n">
        <v>46231</v>
      </c>
      <c r="M2197" s="175" t="n">
        <v>0.0148</v>
      </c>
      <c r="N2197" s="176" t="n">
        <v>0.0187</v>
      </c>
      <c r="O2197" s="191" t="n">
        <v>1.58</v>
      </c>
      <c r="P2197" s="172" t="inlineStr">
        <is>
          <t>次级</t>
        </is>
      </c>
      <c r="Q2197" s="175" t="n">
        <v>0.05</v>
      </c>
      <c r="R2197" s="192" t="n">
        <v>0.45</v>
      </c>
      <c r="S2197" s="175" t="inlineStr">
        <is>
          <t>无</t>
        </is>
      </c>
      <c r="T2197" s="175" t="n">
        <v>0.0455</v>
      </c>
      <c r="U2197" s="172" t="inlineStr">
        <is>
          <t>厦门汇正</t>
        </is>
      </c>
      <c r="V2197" s="201">
        <f>R1449*0.05</f>
        <v/>
      </c>
      <c r="W2197" s="172" t="n"/>
      <c r="X2197" s="172" t="n"/>
      <c r="Y2197" s="172" t="n"/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2" t="n">
        <v>46231</v>
      </c>
      <c r="M2198" s="175" t="n">
        <v>0.0148</v>
      </c>
      <c r="N2198" s="176" t="n">
        <v>0.0187</v>
      </c>
      <c r="O2198" s="191" t="n">
        <v>1.58</v>
      </c>
      <c r="P2198" s="172" t="inlineStr">
        <is>
          <t>次级</t>
        </is>
      </c>
      <c r="Q2198" s="175" t="n">
        <v>0.05</v>
      </c>
      <c r="R2198" s="192" t="n">
        <v>0.45</v>
      </c>
      <c r="S2198" s="175" t="inlineStr">
        <is>
          <t>无</t>
        </is>
      </c>
      <c r="T2198" s="175" t="n">
        <v>0.0455</v>
      </c>
      <c r="U2198" s="172" t="inlineStr">
        <is>
          <t>德邦证券自营</t>
        </is>
      </c>
      <c r="V2198" s="201" t="n">
        <v>0.1875</v>
      </c>
      <c r="W2198" s="172" t="n"/>
      <c r="X2198" s="172" t="n"/>
      <c r="Y2198" s="172" t="n"/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次级</t>
        </is>
      </c>
      <c r="Q2199" s="175" t="n">
        <v>0.05</v>
      </c>
      <c r="R2199" s="192" t="n">
        <v>0.45</v>
      </c>
      <c r="S2199" s="175" t="inlineStr">
        <is>
          <t>无</t>
        </is>
      </c>
      <c r="T2199" s="175" t="n">
        <v>0.0455</v>
      </c>
      <c r="U2199" s="172" t="inlineStr">
        <is>
          <t>中泰证券自营</t>
        </is>
      </c>
      <c r="V2199" s="193" t="n">
        <v>0.17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次级</t>
        </is>
      </c>
      <c r="Q2200" s="175" t="n">
        <v>0.05</v>
      </c>
      <c r="R2200" s="192" t="n">
        <v>0.45</v>
      </c>
      <c r="S2200" s="175" t="inlineStr">
        <is>
          <t>无</t>
        </is>
      </c>
      <c r="T2200" s="175" t="n">
        <v>0.0455</v>
      </c>
      <c r="U2200" s="172" t="inlineStr">
        <is>
          <t>申万宏源自营</t>
        </is>
      </c>
      <c r="V2200" s="191" t="n">
        <v>0.07000000000000001</v>
      </c>
      <c r="W2200" s="172" t="n"/>
      <c r="X2200" s="172" t="n"/>
      <c r="Y2200" s="172" t="n"/>
    </row>
    <row r="2201">
      <c r="A2201" s="172" t="n">
        <v>124</v>
      </c>
      <c r="B2201" s="173" t="inlineStr">
        <is>
          <t>7月</t>
        </is>
      </c>
      <c r="C2201" s="173" t="inlineStr">
        <is>
          <t>消金</t>
        </is>
      </c>
      <c r="D2201" s="173" t="inlineStr">
        <is>
          <t>金条&amp;白取混发</t>
        </is>
      </c>
      <c r="E2201" s="173" t="inlineStr">
        <is>
          <t>2026东樾4号1期（东樾4-3）</t>
        </is>
      </c>
      <c r="F2201" s="173" t="inlineStr">
        <is>
          <t>银行间</t>
        </is>
      </c>
      <c r="G2201" s="173" t="inlineStr">
        <is>
          <t>中信证券</t>
        </is>
      </c>
      <c r="H2201" s="173" t="inlineStr">
        <is>
          <t>国信证券/光大证券/国泰海通</t>
        </is>
      </c>
      <c r="I2201" s="173" t="inlineStr">
        <is>
          <t>中邮北分</t>
        </is>
      </c>
      <c r="J2201" s="172" t="n">
        <v>10</v>
      </c>
      <c r="K2201" s="173" t="inlineStr">
        <is>
          <t>22+24</t>
        </is>
      </c>
      <c r="L2201" s="202" t="n">
        <v>46233</v>
      </c>
      <c r="M2201" s="175" t="n">
        <v>0.0148</v>
      </c>
      <c r="N2201" s="176" t="n">
        <v>0.02271</v>
      </c>
      <c r="O2201" s="172" t="n">
        <v>2.24</v>
      </c>
      <c r="P2201" s="177" t="inlineStr">
        <is>
          <t>优先A</t>
        </is>
      </c>
      <c r="Q2201" s="178" t="n">
        <v>0.87</v>
      </c>
      <c r="R2201" s="179" t="n">
        <v>8.699999999999999</v>
      </c>
      <c r="S2201" s="177" t="inlineStr">
        <is>
          <t>AAA</t>
        </is>
      </c>
      <c r="T2201" s="178" t="n">
        <v>0.018</v>
      </c>
      <c r="U2201" s="172" t="inlineStr">
        <is>
          <t>中邮理财</t>
        </is>
      </c>
      <c r="V2201" s="192" t="n">
        <v>2.6</v>
      </c>
      <c r="W2201" s="175" t="n">
        <v>0.0178</v>
      </c>
      <c r="X2201" s="172" t="inlineStr">
        <is>
          <t>中邮理财</t>
        </is>
      </c>
      <c r="Y2201" s="191" t="n">
        <v>2.6</v>
      </c>
    </row>
    <row r="2202">
      <c r="A2202" s="172" t="n">
        <v>124</v>
      </c>
      <c r="B2202" s="172" t="inlineStr">
        <is>
          <t>7月</t>
        </is>
      </c>
      <c r="C2202" s="172" t="inlineStr">
        <is>
          <t>消金</t>
        </is>
      </c>
      <c r="D2202" s="172" t="inlineStr">
        <is>
          <t>金条&amp;白取混发</t>
        </is>
      </c>
      <c r="E2202" s="172" t="inlineStr">
        <is>
          <t>2026东樾4号1期（东樾4-3）</t>
        </is>
      </c>
      <c r="F2202" s="172" t="inlineStr">
        <is>
          <t>银行间</t>
        </is>
      </c>
      <c r="G2202" s="172" t="inlineStr">
        <is>
          <t>中信证券</t>
        </is>
      </c>
      <c r="H2202" s="172" t="inlineStr">
        <is>
          <t>国信证券/光大证券/国泰海通</t>
        </is>
      </c>
      <c r="I2202" s="172" t="inlineStr">
        <is>
          <t>中邮北分</t>
        </is>
      </c>
      <c r="J2202" s="172" t="n">
        <v>10</v>
      </c>
      <c r="K2202" s="172" t="inlineStr">
        <is>
          <t>22+24</t>
        </is>
      </c>
      <c r="L2202" s="208" t="n">
        <v>46233</v>
      </c>
      <c r="M2202" s="175" t="n">
        <v>0.0148</v>
      </c>
      <c r="N2202" s="176" t="n">
        <v>0.02271</v>
      </c>
      <c r="O2202" s="172" t="n">
        <v>2.24</v>
      </c>
      <c r="P2202" s="172" t="inlineStr">
        <is>
          <t>优先A</t>
        </is>
      </c>
      <c r="Q2202" s="175" t="n">
        <v>0.87</v>
      </c>
      <c r="R2202" s="192" t="n">
        <v>8.699999999999999</v>
      </c>
      <c r="S2202" s="172" t="inlineStr">
        <is>
          <t>AAA</t>
        </is>
      </c>
      <c r="T2202" s="175" t="n">
        <v>0.018</v>
      </c>
      <c r="U2202" s="172" t="n"/>
      <c r="V2202" s="172" t="n"/>
      <c r="W2202" s="175" t="n">
        <v>0.0197</v>
      </c>
      <c r="X2202" s="172" t="inlineStr">
        <is>
          <t>中邮理财</t>
        </is>
      </c>
      <c r="Y2202" s="191" t="n">
        <v>0.01</v>
      </c>
    </row>
    <row r="2203">
      <c r="A2203" s="172" t="n">
        <v>124</v>
      </c>
      <c r="B2203" s="173" t="inlineStr">
        <is>
          <t>7月</t>
        </is>
      </c>
      <c r="C2203" s="173" t="inlineStr">
        <is>
          <t>消金</t>
        </is>
      </c>
      <c r="D2203" s="173" t="inlineStr">
        <is>
          <t>金条&amp;白取混发</t>
        </is>
      </c>
      <c r="E2203" s="173" t="inlineStr">
        <is>
          <t>2026东樾4号1期（东樾4-3）</t>
        </is>
      </c>
      <c r="F2203" s="173" t="inlineStr">
        <is>
          <t>银行间</t>
        </is>
      </c>
      <c r="G2203" s="173" t="inlineStr">
        <is>
          <t>中信证券</t>
        </is>
      </c>
      <c r="H2203" s="173" t="inlineStr">
        <is>
          <t>国信证券/光大证券/国泰海通</t>
        </is>
      </c>
      <c r="I2203" s="173" t="inlineStr">
        <is>
          <t>中邮北分</t>
        </is>
      </c>
      <c r="J2203" s="172" t="n">
        <v>10</v>
      </c>
      <c r="K2203" s="173" t="inlineStr">
        <is>
          <t>22+24</t>
        </is>
      </c>
      <c r="L2203" s="202" t="n">
        <v>46233</v>
      </c>
      <c r="M2203" s="175" t="n">
        <v>0.0148</v>
      </c>
      <c r="N2203" s="176" t="n">
        <v>0.02271</v>
      </c>
      <c r="O2203" s="172" t="n">
        <v>2.24</v>
      </c>
      <c r="P2203" s="172" t="inlineStr">
        <is>
          <t>优先A</t>
        </is>
      </c>
      <c r="Q2203" s="178" t="n">
        <v>0.87</v>
      </c>
      <c r="R2203" s="179" t="n">
        <v>8.699999999999999</v>
      </c>
      <c r="S2203" s="177" t="inlineStr">
        <is>
          <t>AAA</t>
        </is>
      </c>
      <c r="T2203" s="178" t="n">
        <v>0.018</v>
      </c>
      <c r="U2203" s="172" t="inlineStr">
        <is>
          <t>易方达基金</t>
        </is>
      </c>
      <c r="V2203" s="192" t="n">
        <v>2.4</v>
      </c>
      <c r="W2203" s="175" t="n">
        <v>0.018</v>
      </c>
      <c r="X2203" s="172" t="inlineStr">
        <is>
          <t>易方达基金</t>
        </is>
      </c>
      <c r="Y2203" s="191" t="n">
        <v>4.3</v>
      </c>
    </row>
    <row r="2204">
      <c r="A2204" s="172" t="n">
        <v>124</v>
      </c>
      <c r="B2204" s="173" t="inlineStr">
        <is>
          <t>7月</t>
        </is>
      </c>
      <c r="C2204" s="173" t="inlineStr">
        <is>
          <t>消金</t>
        </is>
      </c>
      <c r="D2204" s="173" t="inlineStr">
        <is>
          <t>金条&amp;白取混发</t>
        </is>
      </c>
      <c r="E2204" s="173" t="inlineStr">
        <is>
          <t>2026东樾4号1期（东樾4-3）</t>
        </is>
      </c>
      <c r="F2204" s="173" t="inlineStr">
        <is>
          <t>银行间</t>
        </is>
      </c>
      <c r="G2204" s="173" t="inlineStr">
        <is>
          <t>中信证券</t>
        </is>
      </c>
      <c r="H2204" s="173" t="inlineStr">
        <is>
          <t>国信证券/光大证券/国泰海通</t>
        </is>
      </c>
      <c r="I2204" s="173" t="inlineStr">
        <is>
          <t>中邮北分</t>
        </is>
      </c>
      <c r="J2204" s="172" t="n">
        <v>10</v>
      </c>
      <c r="K2204" s="173" t="inlineStr">
        <is>
          <t>22+24</t>
        </is>
      </c>
      <c r="L2204" s="202" t="n">
        <v>46233</v>
      </c>
      <c r="M2204" s="175" t="n">
        <v>0.0148</v>
      </c>
      <c r="N2204" s="176" t="n">
        <v>0.02271</v>
      </c>
      <c r="O2204" s="172" t="n">
        <v>2.24</v>
      </c>
      <c r="P2204" s="172" t="inlineStr">
        <is>
          <t>优先A</t>
        </is>
      </c>
      <c r="Q2204" s="178" t="n">
        <v>0.87</v>
      </c>
      <c r="R2204" s="179" t="n">
        <v>8.699999999999999</v>
      </c>
      <c r="S2204" s="177" t="inlineStr">
        <is>
          <t>AAA</t>
        </is>
      </c>
      <c r="T2204" s="178" t="n">
        <v>0.018</v>
      </c>
      <c r="U2204" s="172" t="inlineStr">
        <is>
          <t>交银理财</t>
        </is>
      </c>
      <c r="V2204" s="192" t="n">
        <v>1.5</v>
      </c>
      <c r="W2204" s="175" t="n">
        <v>0.018</v>
      </c>
      <c r="X2204" s="172" t="inlineStr">
        <is>
          <t>交银理财</t>
        </is>
      </c>
      <c r="Y2204" s="191" t="n">
        <v>2.61</v>
      </c>
    </row>
    <row r="2205">
      <c r="A2205" s="172" t="n">
        <v>124</v>
      </c>
      <c r="B2205" s="173" t="inlineStr">
        <is>
          <t>7月</t>
        </is>
      </c>
      <c r="C2205" s="173" t="inlineStr">
        <is>
          <t>消金</t>
        </is>
      </c>
      <c r="D2205" s="173" t="inlineStr">
        <is>
          <t>金条&amp;白取混发</t>
        </is>
      </c>
      <c r="E2205" s="173" t="inlineStr">
        <is>
          <t>2026东樾4号1期（东樾4-3）</t>
        </is>
      </c>
      <c r="F2205" s="173" t="inlineStr">
        <is>
          <t>银行间</t>
        </is>
      </c>
      <c r="G2205" s="173" t="inlineStr">
        <is>
          <t>中信证券</t>
        </is>
      </c>
      <c r="H2205" s="173" t="inlineStr">
        <is>
          <t>国信证券/光大证券/国泰海通</t>
        </is>
      </c>
      <c r="I2205" s="173" t="inlineStr">
        <is>
          <t>中邮北分</t>
        </is>
      </c>
      <c r="J2205" s="172" t="n">
        <v>10</v>
      </c>
      <c r="K2205" s="173" t="inlineStr">
        <is>
          <t>22+24</t>
        </is>
      </c>
      <c r="L2205" s="202" t="n">
        <v>46233</v>
      </c>
      <c r="M2205" s="175" t="n">
        <v>0.0148</v>
      </c>
      <c r="N2205" s="176" t="n">
        <v>0.02271</v>
      </c>
      <c r="O2205" s="172" t="n">
        <v>2.24</v>
      </c>
      <c r="P2205" s="172" t="inlineStr">
        <is>
          <t>优先A</t>
        </is>
      </c>
      <c r="Q2205" s="178" t="n">
        <v>0.87</v>
      </c>
      <c r="R2205" s="179" t="n">
        <v>8.699999999999999</v>
      </c>
      <c r="S2205" s="177" t="inlineStr">
        <is>
          <t>AAA</t>
        </is>
      </c>
      <c r="T2205" s="178" t="n">
        <v>0.018</v>
      </c>
      <c r="U2205" s="172" t="inlineStr">
        <is>
          <t>兴银理财</t>
        </is>
      </c>
      <c r="V2205" s="192" t="n">
        <v>1</v>
      </c>
      <c r="W2205" s="175" t="n">
        <v>0.0179</v>
      </c>
      <c r="X2205" s="172" t="inlineStr">
        <is>
          <t>兴银理财</t>
        </is>
      </c>
      <c r="Y2205" s="191" t="n">
        <v>0.7</v>
      </c>
    </row>
    <row r="2206">
      <c r="A2206" s="172" t="n">
        <v>124</v>
      </c>
      <c r="B2206" s="172" t="inlineStr">
        <is>
          <t>7月</t>
        </is>
      </c>
      <c r="C2206" s="172" t="inlineStr">
        <is>
          <t>消金</t>
        </is>
      </c>
      <c r="D2206" s="172" t="inlineStr">
        <is>
          <t>金条&amp;白取混发</t>
        </is>
      </c>
      <c r="E2206" s="172" t="inlineStr">
        <is>
          <t>2026东樾4号1期（东樾4-3）</t>
        </is>
      </c>
      <c r="F2206" s="172" t="inlineStr">
        <is>
          <t>银行间</t>
        </is>
      </c>
      <c r="G2206" s="172" t="inlineStr">
        <is>
          <t>中信证券</t>
        </is>
      </c>
      <c r="H2206" s="172" t="inlineStr">
        <is>
          <t>国信证券/光大证券/国泰海通</t>
        </is>
      </c>
      <c r="I2206" s="172" t="inlineStr">
        <is>
          <t>中邮北分</t>
        </is>
      </c>
      <c r="J2206" s="172" t="n">
        <v>10</v>
      </c>
      <c r="K2206" s="172" t="inlineStr">
        <is>
          <t>22+24</t>
        </is>
      </c>
      <c r="L2206" s="208" t="n">
        <v>46233</v>
      </c>
      <c r="M2206" s="175" t="n">
        <v>0.0148</v>
      </c>
      <c r="N2206" s="176" t="n">
        <v>0.02271</v>
      </c>
      <c r="O2206" s="172" t="n">
        <v>2.24</v>
      </c>
      <c r="P2206" s="172" t="inlineStr">
        <is>
          <t>优先A</t>
        </is>
      </c>
      <c r="Q2206" s="175" t="n">
        <v>0.87</v>
      </c>
      <c r="R2206" s="192" t="n">
        <v>8.699999999999999</v>
      </c>
      <c r="S2206" s="172" t="inlineStr">
        <is>
          <t>AAA</t>
        </is>
      </c>
      <c r="T2206" s="175" t="n">
        <v>0.018</v>
      </c>
      <c r="U2206" s="172" t="n"/>
      <c r="V2206" s="172" t="n"/>
      <c r="W2206" s="175" t="n">
        <v>0.018</v>
      </c>
      <c r="X2206" s="172" t="inlineStr">
        <is>
          <t>兴银理财</t>
        </is>
      </c>
      <c r="Y2206" s="191" t="n">
        <v>0.5</v>
      </c>
    </row>
    <row r="2207">
      <c r="A2207" s="172" t="n">
        <v>124</v>
      </c>
      <c r="B2207" s="172" t="inlineStr">
        <is>
          <t>7月</t>
        </is>
      </c>
      <c r="C2207" s="172" t="inlineStr">
        <is>
          <t>消金</t>
        </is>
      </c>
      <c r="D2207" s="172" t="inlineStr">
        <is>
          <t>金条&amp;白取混发</t>
        </is>
      </c>
      <c r="E2207" s="172" t="inlineStr">
        <is>
          <t>2026东樾4号1期（东樾4-3）</t>
        </is>
      </c>
      <c r="F2207" s="172" t="inlineStr">
        <is>
          <t>银行间</t>
        </is>
      </c>
      <c r="G2207" s="172" t="inlineStr">
        <is>
          <t>中信证券</t>
        </is>
      </c>
      <c r="H2207" s="172" t="inlineStr">
        <is>
          <t>国信证券/光大证券/国泰海通</t>
        </is>
      </c>
      <c r="I2207" s="172" t="inlineStr">
        <is>
          <t>中邮北分</t>
        </is>
      </c>
      <c r="J2207" s="172" t="n">
        <v>10</v>
      </c>
      <c r="K2207" s="172" t="inlineStr">
        <is>
          <t>22+24</t>
        </is>
      </c>
      <c r="L2207" s="208" t="n">
        <v>46233</v>
      </c>
      <c r="M2207" s="175" t="n">
        <v>0.0148</v>
      </c>
      <c r="N2207" s="176" t="n">
        <v>0.02271</v>
      </c>
      <c r="O2207" s="172" t="n">
        <v>2.24</v>
      </c>
      <c r="P2207" s="172" t="inlineStr">
        <is>
          <t>优先A</t>
        </is>
      </c>
      <c r="Q2207" s="175" t="n">
        <v>0.87</v>
      </c>
      <c r="R2207" s="192" t="n">
        <v>8.699999999999999</v>
      </c>
      <c r="S2207" s="172" t="inlineStr">
        <is>
          <t>AAA</t>
        </is>
      </c>
      <c r="T2207" s="175" t="n">
        <v>0.018</v>
      </c>
      <c r="U2207" s="172" t="n"/>
      <c r="V2207" s="172" t="n"/>
      <c r="W2207" s="175" t="n">
        <v>0.0183</v>
      </c>
      <c r="X2207" s="172" t="inlineStr">
        <is>
          <t>兴银理财</t>
        </is>
      </c>
      <c r="Y2207" s="191" t="n">
        <v>0.54</v>
      </c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2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建信信托</t>
        </is>
      </c>
      <c r="V2208" s="192" t="n">
        <v>0.85</v>
      </c>
      <c r="W2208" s="175" t="n">
        <v>0.018</v>
      </c>
      <c r="X2208" s="172" t="inlineStr">
        <is>
          <t>建信信托</t>
        </is>
      </c>
      <c r="Y2208" s="191" t="n">
        <v>1.5</v>
      </c>
    </row>
    <row r="2209">
      <c r="A2209" s="172" t="n">
        <v>124</v>
      </c>
      <c r="B2209" s="173" t="inlineStr">
        <is>
          <t>7月</t>
        </is>
      </c>
      <c r="C2209" s="173" t="inlineStr">
        <is>
          <t>消金</t>
        </is>
      </c>
      <c r="D2209" s="173" t="inlineStr">
        <is>
          <t>金条&amp;白取混发</t>
        </is>
      </c>
      <c r="E2209" s="173" t="inlineStr">
        <is>
          <t>2026东樾4号1期（东樾4-3）</t>
        </is>
      </c>
      <c r="F2209" s="173" t="inlineStr">
        <is>
          <t>银行间</t>
        </is>
      </c>
      <c r="G2209" s="173" t="inlineStr">
        <is>
          <t>中信证券</t>
        </is>
      </c>
      <c r="H2209" s="173" t="inlineStr">
        <is>
          <t>国信证券/光大证券/国泰海通</t>
        </is>
      </c>
      <c r="I2209" s="173" t="inlineStr">
        <is>
          <t>中邮北分</t>
        </is>
      </c>
      <c r="J2209" s="172" t="n">
        <v>10</v>
      </c>
      <c r="K2209" s="173" t="inlineStr">
        <is>
          <t>22+24</t>
        </is>
      </c>
      <c r="L2209" s="202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8" t="n">
        <v>0.87</v>
      </c>
      <c r="R2209" s="179" t="n">
        <v>8.699999999999999</v>
      </c>
      <c r="S2209" s="177" t="inlineStr">
        <is>
          <t>AAA</t>
        </is>
      </c>
      <c r="T2209" s="178" t="n">
        <v>0.018</v>
      </c>
      <c r="U2209" s="172" t="inlineStr">
        <is>
          <t>宝物财务</t>
        </is>
      </c>
      <c r="V2209" s="192" t="n">
        <v>0.35</v>
      </c>
      <c r="W2209" s="172" t="n"/>
      <c r="X2209" s="172" t="n"/>
      <c r="Y2209" s="172" t="n"/>
    </row>
    <row r="2210">
      <c r="A2210" s="172" t="n">
        <v>124</v>
      </c>
      <c r="B2210" s="172" t="inlineStr">
        <is>
          <t>7月</t>
        </is>
      </c>
      <c r="C2210" s="172" t="inlineStr">
        <is>
          <t>消金</t>
        </is>
      </c>
      <c r="D2210" s="172" t="inlineStr">
        <is>
          <t>金条&amp;白取混发</t>
        </is>
      </c>
      <c r="E2210" s="172" t="inlineStr">
        <is>
          <t>2026东樾4号1期（东樾4-3）</t>
        </is>
      </c>
      <c r="F2210" s="172" t="inlineStr">
        <is>
          <t>银行间</t>
        </is>
      </c>
      <c r="G2210" s="172" t="inlineStr">
        <is>
          <t>中信证券</t>
        </is>
      </c>
      <c r="H2210" s="172" t="inlineStr">
        <is>
          <t>国信证券/光大证券/国泰海通</t>
        </is>
      </c>
      <c r="I2210" s="172" t="inlineStr">
        <is>
          <t>中邮北分</t>
        </is>
      </c>
      <c r="J2210" s="172" t="n">
        <v>10</v>
      </c>
      <c r="K2210" s="172" t="inlineStr">
        <is>
          <t>22+24</t>
        </is>
      </c>
      <c r="L2210" s="208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5" t="n">
        <v>0.87</v>
      </c>
      <c r="R2210" s="192" t="n">
        <v>8.699999999999999</v>
      </c>
      <c r="S2210" s="172" t="inlineStr">
        <is>
          <t>AAA</t>
        </is>
      </c>
      <c r="T2210" s="175" t="n">
        <v>0.018</v>
      </c>
      <c r="U2210" s="172" t="n"/>
      <c r="V2210" s="172" t="n"/>
      <c r="W2210" s="175" t="n">
        <v>0.018</v>
      </c>
      <c r="X2210" s="172" t="inlineStr">
        <is>
          <t>宝武集团财务公司</t>
        </is>
      </c>
      <c r="Y2210" s="191" t="n">
        <v>0.65</v>
      </c>
    </row>
    <row r="2211">
      <c r="A2211" s="172" t="n">
        <v>124</v>
      </c>
      <c r="B2211" s="172" t="inlineStr">
        <is>
          <t>7月</t>
        </is>
      </c>
      <c r="C2211" s="172" t="inlineStr">
        <is>
          <t>消金</t>
        </is>
      </c>
      <c r="D2211" s="172" t="inlineStr">
        <is>
          <t>金条&amp;白取混发</t>
        </is>
      </c>
      <c r="E2211" s="172" t="inlineStr">
        <is>
          <t>2026东樾4号1期（东樾4-3）</t>
        </is>
      </c>
      <c r="F2211" s="172" t="inlineStr">
        <is>
          <t>银行间</t>
        </is>
      </c>
      <c r="G2211" s="172" t="inlineStr">
        <is>
          <t>中信证券</t>
        </is>
      </c>
      <c r="H2211" s="172" t="inlineStr">
        <is>
          <t>国信证券/光大证券/国泰海通</t>
        </is>
      </c>
      <c r="I2211" s="172" t="inlineStr">
        <is>
          <t>中邮北分</t>
        </is>
      </c>
      <c r="J2211" s="172" t="n">
        <v>10</v>
      </c>
      <c r="K2211" s="172" t="inlineStr">
        <is>
          <t>22+24</t>
        </is>
      </c>
      <c r="L2211" s="208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5" t="n">
        <v>0.87</v>
      </c>
      <c r="R2211" s="192" t="n">
        <v>8.699999999999999</v>
      </c>
      <c r="S2211" s="172" t="inlineStr">
        <is>
          <t>AAA</t>
        </is>
      </c>
      <c r="T2211" s="175" t="n">
        <v>0.018</v>
      </c>
      <c r="U2211" s="172" t="n"/>
      <c r="V2211" s="172" t="n"/>
      <c r="W2211" s="175" t="n">
        <v>0.0184</v>
      </c>
      <c r="X2211" s="172" t="inlineStr">
        <is>
          <t>银河证券</t>
        </is>
      </c>
      <c r="Y2211" s="191" t="n">
        <v>0.5</v>
      </c>
    </row>
    <row r="2212">
      <c r="A2212" s="172" t="n">
        <v>124</v>
      </c>
      <c r="B2212" s="172" t="inlineStr">
        <is>
          <t>7月</t>
        </is>
      </c>
      <c r="C2212" s="172" t="inlineStr">
        <is>
          <t>消金</t>
        </is>
      </c>
      <c r="D2212" s="172" t="inlineStr">
        <is>
          <t>金条&amp;白取混发</t>
        </is>
      </c>
      <c r="E2212" s="172" t="inlineStr">
        <is>
          <t>2026东樾4号1期（东樾4-3）</t>
        </is>
      </c>
      <c r="F2212" s="172" t="inlineStr">
        <is>
          <t>银行间</t>
        </is>
      </c>
      <c r="G2212" s="172" t="inlineStr">
        <is>
          <t>中信证券</t>
        </is>
      </c>
      <c r="H2212" s="172" t="inlineStr">
        <is>
          <t>国信证券/光大证券/国泰海通</t>
        </is>
      </c>
      <c r="I2212" s="172" t="inlineStr">
        <is>
          <t>中邮北分</t>
        </is>
      </c>
      <c r="J2212" s="172" t="n">
        <v>10</v>
      </c>
      <c r="K2212" s="172" t="inlineStr">
        <is>
          <t>22+24</t>
        </is>
      </c>
      <c r="L2212" s="208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5" t="n">
        <v>0.87</v>
      </c>
      <c r="R2212" s="192" t="n">
        <v>8.699999999999999</v>
      </c>
      <c r="S2212" s="172" t="inlineStr">
        <is>
          <t>AAA</t>
        </is>
      </c>
      <c r="T2212" s="175" t="n">
        <v>0.018</v>
      </c>
      <c r="U2212" s="172" t="n"/>
      <c r="V2212" s="172" t="n"/>
      <c r="W2212" s="175" t="n">
        <v>0.0185</v>
      </c>
      <c r="X2212" s="172" t="inlineStr">
        <is>
          <t>中信证券（投行上报）</t>
        </is>
      </c>
      <c r="Y2212" s="191" t="n">
        <v>1.3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0.0185</v>
      </c>
      <c r="X2213" s="172" t="inlineStr">
        <is>
          <t>国信证券（投行上报）</t>
        </is>
      </c>
      <c r="Y2213" s="191" t="n">
        <v>1.3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0.0185</v>
      </c>
      <c r="X2214" s="172" t="inlineStr">
        <is>
          <t>光大证券（投行上报）</t>
        </is>
      </c>
      <c r="Y2214" s="191" t="n">
        <v>1</v>
      </c>
    </row>
    <row r="2215">
      <c r="A2215" s="172" t="n">
        <v>124</v>
      </c>
      <c r="B2215" s="172" t="inlineStr">
        <is>
          <t>7月</t>
        </is>
      </c>
      <c r="C2215" s="172" t="inlineStr">
        <is>
          <t>消金</t>
        </is>
      </c>
      <c r="D2215" s="172" t="inlineStr">
        <is>
          <t>金条&amp;白取混发</t>
        </is>
      </c>
      <c r="E2215" s="172" t="inlineStr">
        <is>
          <t>2026东樾4号1期（东樾4-3）</t>
        </is>
      </c>
      <c r="F2215" s="172" t="inlineStr">
        <is>
          <t>银行间</t>
        </is>
      </c>
      <c r="G2215" s="172" t="inlineStr">
        <is>
          <t>中信证券</t>
        </is>
      </c>
      <c r="H2215" s="172" t="inlineStr">
        <is>
          <t>国信证券/光大证券/国泰海通</t>
        </is>
      </c>
      <c r="I2215" s="172" t="inlineStr">
        <is>
          <t>中邮北分</t>
        </is>
      </c>
      <c r="J2215" s="172" t="n">
        <v>10</v>
      </c>
      <c r="K2215" s="172" t="inlineStr">
        <is>
          <t>22+24</t>
        </is>
      </c>
      <c r="L2215" s="208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5" t="n">
        <v>0.87</v>
      </c>
      <c r="R2215" s="192" t="n">
        <v>8.699999999999999</v>
      </c>
      <c r="S2215" s="172" t="inlineStr">
        <is>
          <t>AAA</t>
        </is>
      </c>
      <c r="T2215" s="175" t="n">
        <v>0.018</v>
      </c>
      <c r="U2215" s="172" t="n"/>
      <c r="V2215" s="172" t="n"/>
      <c r="W2215" s="175" t="n">
        <v>0.024</v>
      </c>
      <c r="X2215" s="172" t="inlineStr">
        <is>
          <t>上海利曦私募</t>
        </is>
      </c>
      <c r="Y2215" s="191" t="n">
        <v>2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7" t="inlineStr">
        <is>
          <t>优先B</t>
        </is>
      </c>
      <c r="Q2216" s="178" t="n">
        <v>0.04</v>
      </c>
      <c r="R2216" s="179" t="n">
        <v>0.4</v>
      </c>
      <c r="S2216" s="177" t="inlineStr">
        <is>
          <t>AA+</t>
        </is>
      </c>
      <c r="T2216" s="178" t="n">
        <v>0.0185</v>
      </c>
      <c r="U2216" s="172" t="inlineStr">
        <is>
          <t>建信信托</t>
        </is>
      </c>
      <c r="V2216" s="192" t="n">
        <v>0.28</v>
      </c>
      <c r="W2216" s="175" t="n">
        <v>0.0185</v>
      </c>
      <c r="X2216" s="172" t="inlineStr">
        <is>
          <t>建信信托</t>
        </is>
      </c>
      <c r="Y2216" s="191" t="n">
        <v>0.28</v>
      </c>
    </row>
    <row r="2217">
      <c r="A2217" s="172" t="n">
        <v>124</v>
      </c>
      <c r="B2217" s="173" t="inlineStr">
        <is>
          <t>7月</t>
        </is>
      </c>
      <c r="C2217" s="173" t="inlineStr">
        <is>
          <t>消金</t>
        </is>
      </c>
      <c r="D2217" s="173" t="inlineStr">
        <is>
          <t>金条&amp;白取混发</t>
        </is>
      </c>
      <c r="E2217" s="173" t="inlineStr">
        <is>
          <t>2026东樾4号1期（东樾4-3）</t>
        </is>
      </c>
      <c r="F2217" s="173" t="inlineStr">
        <is>
          <t>银行间</t>
        </is>
      </c>
      <c r="G2217" s="173" t="inlineStr">
        <is>
          <t>中信证券</t>
        </is>
      </c>
      <c r="H2217" s="173" t="inlineStr">
        <is>
          <t>国信证券/光大证券/国泰海通</t>
        </is>
      </c>
      <c r="I2217" s="173" t="inlineStr">
        <is>
          <t>中邮北分</t>
        </is>
      </c>
      <c r="J2217" s="172" t="n">
        <v>10</v>
      </c>
      <c r="K2217" s="173" t="inlineStr">
        <is>
          <t>22+24</t>
        </is>
      </c>
      <c r="L2217" s="202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优先B</t>
        </is>
      </c>
      <c r="Q2217" s="178" t="n">
        <v>0.04</v>
      </c>
      <c r="R2217" s="179" t="n">
        <v>0.4</v>
      </c>
      <c r="S2217" s="177" t="inlineStr">
        <is>
          <t>AA+</t>
        </is>
      </c>
      <c r="T2217" s="178" t="n">
        <v>0.0185</v>
      </c>
      <c r="U2217" s="172" t="inlineStr">
        <is>
          <t>交银理财</t>
        </is>
      </c>
      <c r="V2217" s="192" t="n">
        <v>0.12</v>
      </c>
      <c r="W2217" s="175" t="n">
        <v>0.018</v>
      </c>
      <c r="X2217" s="172" t="inlineStr">
        <is>
          <t>交银理财</t>
        </is>
      </c>
      <c r="Y2217" s="191" t="n">
        <v>0.12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优先B</t>
        </is>
      </c>
      <c r="Q2218" s="175" t="n">
        <v>0.04</v>
      </c>
      <c r="R2218" s="192" t="n">
        <v>0.4</v>
      </c>
      <c r="S2218" s="172" t="inlineStr">
        <is>
          <t>AA+</t>
        </is>
      </c>
      <c r="T2218" s="175" t="n">
        <v>0.0185</v>
      </c>
      <c r="U2218" s="172" t="n"/>
      <c r="V2218" s="172" t="n"/>
      <c r="W2218" s="175" t="n">
        <v>0.0195</v>
      </c>
      <c r="X2218" s="172" t="inlineStr">
        <is>
          <t>国信证券（投行上报）</t>
        </is>
      </c>
      <c r="Y2218" s="191" t="n">
        <v>0.06</v>
      </c>
    </row>
    <row r="2219">
      <c r="A2219" s="172" t="n">
        <v>124</v>
      </c>
      <c r="B2219" s="173" t="inlineStr">
        <is>
          <t>7月</t>
        </is>
      </c>
      <c r="C2219" s="173" t="inlineStr">
        <is>
          <t>消金</t>
        </is>
      </c>
      <c r="D2219" s="173" t="inlineStr">
        <is>
          <t>金条&amp;白取混发</t>
        </is>
      </c>
      <c r="E2219" s="173" t="inlineStr">
        <is>
          <t>2026东樾4号1期（东樾4-3）</t>
        </is>
      </c>
      <c r="F2219" s="173" t="inlineStr">
        <is>
          <t>银行间</t>
        </is>
      </c>
      <c r="G2219" s="173" t="inlineStr">
        <is>
          <t>中信证券</t>
        </is>
      </c>
      <c r="H2219" s="173" t="inlineStr">
        <is>
          <t>国信证券/光大证券/国泰海通</t>
        </is>
      </c>
      <c r="I2219" s="173" t="inlineStr">
        <is>
          <t>中邮北分</t>
        </is>
      </c>
      <c r="J2219" s="172" t="n">
        <v>10</v>
      </c>
      <c r="K2219" s="173" t="inlineStr">
        <is>
          <t>22+24</t>
        </is>
      </c>
      <c r="L2219" s="202" t="n">
        <v>46233</v>
      </c>
      <c r="M2219" s="175" t="n">
        <v>0.0148</v>
      </c>
      <c r="N2219" s="176" t="n">
        <v>0.02271</v>
      </c>
      <c r="O2219" s="172" t="n">
        <v>2.24</v>
      </c>
      <c r="P2219" s="177" t="inlineStr">
        <is>
          <t>中间级</t>
        </is>
      </c>
      <c r="Q2219" s="178" t="n">
        <v>0.04</v>
      </c>
      <c r="R2219" s="179" t="n">
        <v>0.4</v>
      </c>
      <c r="S2219" s="177" t="inlineStr">
        <is>
          <t>A+</t>
        </is>
      </c>
      <c r="T2219" s="178" t="n">
        <v>0.032</v>
      </c>
      <c r="U2219" s="172" t="inlineStr">
        <is>
          <t>上汽财务</t>
        </is>
      </c>
      <c r="V2219" s="192" t="n">
        <v>0.3</v>
      </c>
      <c r="W2219" s="172" t="n"/>
      <c r="X2219" s="172" t="n"/>
      <c r="Y2219" s="172" t="n"/>
    </row>
    <row r="2220">
      <c r="A2220" s="172" t="n">
        <v>124</v>
      </c>
      <c r="B2220" s="173" t="inlineStr">
        <is>
          <t>7月</t>
        </is>
      </c>
      <c r="C2220" s="173" t="inlineStr">
        <is>
          <t>消金</t>
        </is>
      </c>
      <c r="D2220" s="173" t="inlineStr">
        <is>
          <t>金条&amp;白取混发</t>
        </is>
      </c>
      <c r="E2220" s="173" t="inlineStr">
        <is>
          <t>2026东樾4号1期（东樾4-3）</t>
        </is>
      </c>
      <c r="F2220" s="173" t="inlineStr">
        <is>
          <t>银行间</t>
        </is>
      </c>
      <c r="G2220" s="173" t="inlineStr">
        <is>
          <t>中信证券</t>
        </is>
      </c>
      <c r="H2220" s="173" t="inlineStr">
        <is>
          <t>国信证券/光大证券/国泰海通</t>
        </is>
      </c>
      <c r="I2220" s="173" t="inlineStr">
        <is>
          <t>中邮北分</t>
        </is>
      </c>
      <c r="J2220" s="172" t="n">
        <v>10</v>
      </c>
      <c r="K2220" s="173" t="inlineStr">
        <is>
          <t>22+24</t>
        </is>
      </c>
      <c r="L2220" s="202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中间级</t>
        </is>
      </c>
      <c r="Q2220" s="178" t="n">
        <v>0.04</v>
      </c>
      <c r="R2220" s="179" t="n">
        <v>0.4</v>
      </c>
      <c r="S2220" s="177" t="inlineStr">
        <is>
          <t>A+</t>
        </is>
      </c>
      <c r="T2220" s="178" t="n">
        <v>0.032</v>
      </c>
      <c r="U2220" s="172" t="inlineStr">
        <is>
          <t>中信建投机构部</t>
        </is>
      </c>
      <c r="V2220" s="192" t="n">
        <v>0.1</v>
      </c>
      <c r="W2220" s="172" t="n"/>
      <c r="X2220" s="172" t="n"/>
      <c r="Y2220" s="172" t="n"/>
    </row>
    <row r="2221">
      <c r="A2221" s="172" t="n">
        <v>124</v>
      </c>
      <c r="B2221" s="173" t="inlineStr">
        <is>
          <t>7月</t>
        </is>
      </c>
      <c r="C2221" s="173" t="inlineStr">
        <is>
          <t>消金</t>
        </is>
      </c>
      <c r="D2221" s="173" t="inlineStr">
        <is>
          <t>金条&amp;白取混发</t>
        </is>
      </c>
      <c r="E2221" s="173" t="inlineStr">
        <is>
          <t>2026东樾4号1期（东樾4-3）</t>
        </is>
      </c>
      <c r="F2221" s="173" t="inlineStr">
        <is>
          <t>银行间</t>
        </is>
      </c>
      <c r="G2221" s="173" t="inlineStr">
        <is>
          <t>中信证券</t>
        </is>
      </c>
      <c r="H2221" s="173" t="inlineStr">
        <is>
          <t>国信证券/光大证券/国泰海通</t>
        </is>
      </c>
      <c r="I2221" s="173" t="inlineStr">
        <is>
          <t>中邮北分</t>
        </is>
      </c>
      <c r="J2221" s="172" t="n">
        <v>10</v>
      </c>
      <c r="K2221" s="173" t="inlineStr">
        <is>
          <t>22+24</t>
        </is>
      </c>
      <c r="L2221" s="202" t="n">
        <v>46233</v>
      </c>
      <c r="M2221" s="175" t="n">
        <v>0.0148</v>
      </c>
      <c r="N2221" s="176" t="n">
        <v>0.02271</v>
      </c>
      <c r="O2221" s="172" t="n">
        <v>2.24</v>
      </c>
      <c r="P2221" s="177" t="inlineStr">
        <is>
          <t>受益权</t>
        </is>
      </c>
      <c r="Q2221" s="178" t="n">
        <v>0.05</v>
      </c>
      <c r="R2221" s="179" t="n">
        <v>0.5</v>
      </c>
      <c r="S2221" s="177" t="inlineStr">
        <is>
          <t>无</t>
        </is>
      </c>
      <c r="T2221" s="178" t="n">
        <v>0.0495</v>
      </c>
      <c r="U2221" s="172" t="inlineStr">
        <is>
          <t>上汽财务</t>
        </is>
      </c>
      <c r="V2221" s="192" t="n">
        <v>0.3</v>
      </c>
      <c r="W2221" s="172" t="n"/>
      <c r="X2221" s="172" t="n"/>
      <c r="Y2221" s="172" t="n"/>
    </row>
    <row r="2222">
      <c r="A2222" s="172" t="n">
        <v>124</v>
      </c>
      <c r="B2222" s="173" t="inlineStr">
        <is>
          <t>7月</t>
        </is>
      </c>
      <c r="C2222" s="173" t="inlineStr">
        <is>
          <t>消金</t>
        </is>
      </c>
      <c r="D2222" s="173" t="inlineStr">
        <is>
          <t>金条&amp;白取混发</t>
        </is>
      </c>
      <c r="E2222" s="173" t="inlineStr">
        <is>
          <t>2026东樾4号1期（东樾4-3）</t>
        </is>
      </c>
      <c r="F2222" s="173" t="inlineStr">
        <is>
          <t>银行间</t>
        </is>
      </c>
      <c r="G2222" s="173" t="inlineStr">
        <is>
          <t>中信证券</t>
        </is>
      </c>
      <c r="H2222" s="173" t="inlineStr">
        <is>
          <t>国信证券/光大证券/国泰海通</t>
        </is>
      </c>
      <c r="I2222" s="173" t="inlineStr">
        <is>
          <t>中邮北分</t>
        </is>
      </c>
      <c r="J2222" s="172" t="n">
        <v>10</v>
      </c>
      <c r="K2222" s="173" t="inlineStr">
        <is>
          <t>22+24</t>
        </is>
      </c>
      <c r="L2222" s="202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受益权</t>
        </is>
      </c>
      <c r="Q2222" s="178" t="n">
        <v>0.05</v>
      </c>
      <c r="R2222" s="179" t="n">
        <v>0.5</v>
      </c>
      <c r="S2222" s="177" t="inlineStr">
        <is>
          <t>无</t>
        </is>
      </c>
      <c r="T2222" s="178" t="n">
        <v>0.0495</v>
      </c>
      <c r="U2222" s="172" t="inlineStr">
        <is>
          <t>中信建投衍生品</t>
        </is>
      </c>
      <c r="V2222" s="192" t="n">
        <v>0.1</v>
      </c>
      <c r="W2222" s="172" t="n"/>
      <c r="X2222" s="172" t="n"/>
      <c r="Y2222" s="172" t="n"/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2" t="inlineStr">
        <is>
          <t>受益权</t>
        </is>
      </c>
      <c r="Q2223" s="178" t="n">
        <v>0.05</v>
      </c>
      <c r="R2223" s="179" t="n">
        <v>0.5</v>
      </c>
      <c r="S2223" s="177" t="inlineStr">
        <is>
          <t>无</t>
        </is>
      </c>
      <c r="T2223" s="178" t="n">
        <v>0.0495</v>
      </c>
      <c r="U2223" s="172" t="inlineStr">
        <is>
          <t>中信建投投顾</t>
        </is>
      </c>
      <c r="V2223" s="192" t="n">
        <v>0.1</v>
      </c>
      <c r="W2223" s="172" t="n"/>
      <c r="X2223" s="172" t="n"/>
      <c r="Y2223" s="172" t="n"/>
    </row>
    <row r="2224">
      <c r="A2224" s="172" t="n">
        <v>125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汽车融资租赁</t>
        </is>
      </c>
      <c r="E2224" s="173" t="inlineStr">
        <is>
          <t>尚乘1-3</t>
        </is>
      </c>
      <c r="F2224" s="173" t="inlineStr">
        <is>
          <t>上交所</t>
        </is>
      </c>
      <c r="G2224" s="173" t="inlineStr">
        <is>
          <t>华泰资管</t>
        </is>
      </c>
      <c r="H2224" s="173" t="inlineStr">
        <is>
          <t>国信证券/兴业证券</t>
        </is>
      </c>
      <c r="I2224" s="173" t="inlineStr">
        <is>
          <t>青岛银行</t>
        </is>
      </c>
      <c r="J2224" s="172" t="n">
        <v>8</v>
      </c>
      <c r="K2224" s="173" t="inlineStr">
        <is>
          <t>0+47</t>
        </is>
      </c>
      <c r="L2224" s="202" t="n">
        <v>46234</v>
      </c>
      <c r="M2224" s="175" t="n">
        <v>0.0148</v>
      </c>
      <c r="N2224" s="176" t="n">
        <v>0.02865</v>
      </c>
      <c r="O2224" s="172" t="n">
        <v>3.25</v>
      </c>
      <c r="P2224" s="177" t="inlineStr">
        <is>
          <t>优先A1</t>
        </is>
      </c>
      <c r="Q2224" s="178" t="n">
        <v>0.2813</v>
      </c>
      <c r="R2224" s="179" t="n">
        <v>2.25</v>
      </c>
      <c r="S2224" s="177" t="inlineStr">
        <is>
          <t>AAA</t>
        </is>
      </c>
      <c r="T2224" s="178" t="n">
        <v>0.0176</v>
      </c>
      <c r="U2224" s="177" t="inlineStr">
        <is>
          <t>厦门汇正</t>
        </is>
      </c>
      <c r="V2224" s="192" t="n">
        <v>0.12</v>
      </c>
      <c r="W2224" s="175" t="n">
        <v>0.017</v>
      </c>
      <c r="X2224" s="172" t="inlineStr">
        <is>
          <t>厦门汇正</t>
        </is>
      </c>
      <c r="Y2224" s="191" t="n">
        <v>0.12</v>
      </c>
    </row>
    <row r="2225">
      <c r="A2225" s="172" t="n">
        <v>125</v>
      </c>
      <c r="B2225" s="173" t="inlineStr">
        <is>
          <t>7月</t>
        </is>
      </c>
      <c r="C2225" s="173" t="inlineStr">
        <is>
          <t>消金</t>
        </is>
      </c>
      <c r="D2225" s="173" t="inlineStr">
        <is>
          <t>汽车融资租赁</t>
        </is>
      </c>
      <c r="E2225" s="173" t="inlineStr">
        <is>
          <t>尚乘1-3</t>
        </is>
      </c>
      <c r="F2225" s="173" t="inlineStr">
        <is>
          <t>上交所</t>
        </is>
      </c>
      <c r="G2225" s="173" t="inlineStr">
        <is>
          <t>华泰资管</t>
        </is>
      </c>
      <c r="H2225" s="173" t="inlineStr">
        <is>
          <t>国信证券/兴业证券</t>
        </is>
      </c>
      <c r="I2225" s="173" t="inlineStr">
        <is>
          <t>青岛银行</t>
        </is>
      </c>
      <c r="J2225" s="172" t="n">
        <v>8</v>
      </c>
      <c r="K2225" s="173" t="inlineStr">
        <is>
          <t>0+47</t>
        </is>
      </c>
      <c r="L2225" s="202" t="n">
        <v>46234</v>
      </c>
      <c r="M2225" s="175" t="n">
        <v>0.0148</v>
      </c>
      <c r="N2225" s="176" t="n">
        <v>0.02865</v>
      </c>
      <c r="O2225" s="172" t="n">
        <v>3.25</v>
      </c>
      <c r="P2225" s="172" t="inlineStr">
        <is>
          <t>优先A1</t>
        </is>
      </c>
      <c r="Q2225" s="178" t="n">
        <v>0.2813</v>
      </c>
      <c r="R2225" s="179" t="n">
        <v>2.25</v>
      </c>
      <c r="S2225" s="177" t="inlineStr">
        <is>
          <t>AAA</t>
        </is>
      </c>
      <c r="T2225" s="178" t="n">
        <v>0.0176</v>
      </c>
      <c r="U2225" s="172" t="inlineStr">
        <is>
          <t>广发证券资管</t>
        </is>
      </c>
      <c r="V2225" s="192" t="n">
        <v>0.2</v>
      </c>
      <c r="W2225" s="172" t="n"/>
      <c r="X2225" s="172" t="n"/>
      <c r="Y2225" s="172" t="n"/>
    </row>
    <row r="2226">
      <c r="A2226" s="172" t="n">
        <v>125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汽车融资租赁</t>
        </is>
      </c>
      <c r="E2226" s="173" t="inlineStr">
        <is>
          <t>尚乘1-3</t>
        </is>
      </c>
      <c r="F2226" s="173" t="inlineStr">
        <is>
          <t>上交所</t>
        </is>
      </c>
      <c r="G2226" s="173" t="inlineStr">
        <is>
          <t>华泰资管</t>
        </is>
      </c>
      <c r="H2226" s="173" t="inlineStr">
        <is>
          <t>国信证券/兴业证券</t>
        </is>
      </c>
      <c r="I2226" s="173" t="inlineStr">
        <is>
          <t>青岛银行</t>
        </is>
      </c>
      <c r="J2226" s="172" t="n">
        <v>8</v>
      </c>
      <c r="K2226" s="173" t="inlineStr">
        <is>
          <t>0+47</t>
        </is>
      </c>
      <c r="L2226" s="202" t="n">
        <v>46234</v>
      </c>
      <c r="M2226" s="175" t="n">
        <v>0.0148</v>
      </c>
      <c r="N2226" s="176" t="n">
        <v>0.02865</v>
      </c>
      <c r="O2226" s="172" t="n">
        <v>3.25</v>
      </c>
      <c r="P2226" s="172" t="inlineStr">
        <is>
          <t>优先A1</t>
        </is>
      </c>
      <c r="Q2226" s="178" t="n">
        <v>0.2813</v>
      </c>
      <c r="R2226" s="179" t="n">
        <v>2.25</v>
      </c>
      <c r="S2226" s="177" t="inlineStr">
        <is>
          <t>AAA</t>
        </is>
      </c>
      <c r="T2226" s="178" t="n">
        <v>0.0176</v>
      </c>
      <c r="U2226" s="177" t="inlineStr">
        <is>
          <t>国新证券资管</t>
        </is>
      </c>
      <c r="V2226" s="192" t="n">
        <v>0.06</v>
      </c>
      <c r="W2226" s="175" t="n">
        <v>0.0176</v>
      </c>
      <c r="X2226" s="172" t="inlineStr">
        <is>
          <t>国新证券资管</t>
        </is>
      </c>
      <c r="Y2226" s="191" t="n">
        <v>0.1</v>
      </c>
    </row>
    <row r="2227">
      <c r="A2227" s="172" t="n">
        <v>125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汽车融资租赁</t>
        </is>
      </c>
      <c r="E2227" s="173" t="inlineStr">
        <is>
          <t>尚乘1-3</t>
        </is>
      </c>
      <c r="F2227" s="173" t="inlineStr">
        <is>
          <t>上交所</t>
        </is>
      </c>
      <c r="G2227" s="173" t="inlineStr">
        <is>
          <t>华泰资管</t>
        </is>
      </c>
      <c r="H2227" s="173" t="inlineStr">
        <is>
          <t>国信证券/兴业证券</t>
        </is>
      </c>
      <c r="I2227" s="173" t="inlineStr">
        <is>
          <t>青岛银行</t>
        </is>
      </c>
      <c r="J2227" s="172" t="n">
        <v>8</v>
      </c>
      <c r="K2227" s="173" t="inlineStr">
        <is>
          <t>0+47</t>
        </is>
      </c>
      <c r="L2227" s="202" t="n">
        <v>46234</v>
      </c>
      <c r="M2227" s="175" t="n">
        <v>0.0148</v>
      </c>
      <c r="N2227" s="176" t="n">
        <v>0.02865</v>
      </c>
      <c r="O2227" s="172" t="n">
        <v>3.25</v>
      </c>
      <c r="P2227" s="172" t="inlineStr">
        <is>
          <t>优先A1</t>
        </is>
      </c>
      <c r="Q2227" s="178" t="n">
        <v>0.2813</v>
      </c>
      <c r="R2227" s="179" t="n">
        <v>2.25</v>
      </c>
      <c r="S2227" s="177" t="inlineStr">
        <is>
          <t>AAA</t>
        </is>
      </c>
      <c r="T2227" s="178" t="n">
        <v>0.0176</v>
      </c>
      <c r="U2227" s="177" t="inlineStr">
        <is>
          <t>华兴银行</t>
        </is>
      </c>
      <c r="V2227" s="192" t="n">
        <v>0.2</v>
      </c>
      <c r="W2227" s="175" t="n">
        <v>0.017</v>
      </c>
      <c r="X2227" s="172" t="inlineStr">
        <is>
          <t>华兴银行</t>
        </is>
      </c>
      <c r="Y2227" s="191" t="n">
        <v>0.2</v>
      </c>
    </row>
    <row r="2228">
      <c r="A2228" s="172" t="n">
        <v>125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汽车融资租赁</t>
        </is>
      </c>
      <c r="E2228" s="173" t="inlineStr">
        <is>
          <t>尚乘1-3</t>
        </is>
      </c>
      <c r="F2228" s="173" t="inlineStr">
        <is>
          <t>上交所</t>
        </is>
      </c>
      <c r="G2228" s="173" t="inlineStr">
        <is>
          <t>华泰资管</t>
        </is>
      </c>
      <c r="H2228" s="173" t="inlineStr">
        <is>
          <t>国信证券/兴业证券</t>
        </is>
      </c>
      <c r="I2228" s="173" t="inlineStr">
        <is>
          <t>青岛银行</t>
        </is>
      </c>
      <c r="J2228" s="172" t="n">
        <v>8</v>
      </c>
      <c r="K2228" s="173" t="inlineStr">
        <is>
          <t>0+47</t>
        </is>
      </c>
      <c r="L2228" s="202" t="n">
        <v>46234</v>
      </c>
      <c r="M2228" s="175" t="n">
        <v>0.0148</v>
      </c>
      <c r="N2228" s="176" t="n">
        <v>0.02865</v>
      </c>
      <c r="O2228" s="172" t="n">
        <v>3.25</v>
      </c>
      <c r="P2228" s="172" t="inlineStr">
        <is>
          <t>优先A1</t>
        </is>
      </c>
      <c r="Q2228" s="178" t="n">
        <v>0.2813</v>
      </c>
      <c r="R2228" s="179" t="n">
        <v>2.25</v>
      </c>
      <c r="S2228" s="177" t="inlineStr">
        <is>
          <t>AAA</t>
        </is>
      </c>
      <c r="T2228" s="178" t="n">
        <v>0.0176</v>
      </c>
      <c r="U2228" s="177" t="inlineStr">
        <is>
          <t>汇华理财</t>
        </is>
      </c>
      <c r="V2228" s="192" t="n">
        <v>0.13</v>
      </c>
      <c r="W2228" s="175" t="n">
        <v>0.0176</v>
      </c>
      <c r="X2228" s="172" t="inlineStr">
        <is>
          <t>汇华理财</t>
        </is>
      </c>
      <c r="Y2228" s="191" t="n">
        <v>0.2</v>
      </c>
    </row>
    <row r="2229">
      <c r="A2229" s="172" t="n">
        <v>125</v>
      </c>
      <c r="B2229" s="172" t="inlineStr">
        <is>
          <t>7月</t>
        </is>
      </c>
      <c r="C2229" s="172" t="inlineStr">
        <is>
          <t>消金</t>
        </is>
      </c>
      <c r="D2229" s="172" t="inlineStr">
        <is>
          <t>汽车融资租赁</t>
        </is>
      </c>
      <c r="E2229" s="172" t="inlineStr">
        <is>
          <t>尚乘1-3</t>
        </is>
      </c>
      <c r="F2229" s="172" t="inlineStr">
        <is>
          <t>上交所</t>
        </is>
      </c>
      <c r="G2229" s="172" t="inlineStr">
        <is>
          <t>华泰资管</t>
        </is>
      </c>
      <c r="H2229" s="172" t="inlineStr">
        <is>
          <t>国信证券/兴业证券</t>
        </is>
      </c>
      <c r="I2229" s="172" t="inlineStr">
        <is>
          <t>青岛银行</t>
        </is>
      </c>
      <c r="J2229" s="172" t="n">
        <v>8</v>
      </c>
      <c r="K2229" s="172" t="inlineStr">
        <is>
          <t>0+47</t>
        </is>
      </c>
      <c r="L2229" s="208" t="n">
        <v>46234</v>
      </c>
      <c r="M2229" s="175" t="n">
        <v>0.0148</v>
      </c>
      <c r="N2229" s="176" t="n">
        <v>0.02865</v>
      </c>
      <c r="O2229" s="172" t="n">
        <v>3.25</v>
      </c>
      <c r="P2229" s="172" t="inlineStr">
        <is>
          <t>优先A1</t>
        </is>
      </c>
      <c r="Q2229" s="175" t="n">
        <v>0.2813</v>
      </c>
      <c r="R2229" s="192" t="n">
        <v>2.25</v>
      </c>
      <c r="S2229" s="172" t="inlineStr">
        <is>
          <t>AAA</t>
        </is>
      </c>
      <c r="T2229" s="175" t="n">
        <v>0.0176</v>
      </c>
      <c r="U2229" s="172" t="n"/>
      <c r="V2229" s="172" t="n"/>
      <c r="W2229" s="175" t="n">
        <v>0.0177</v>
      </c>
      <c r="X2229" s="172" t="inlineStr">
        <is>
          <t>汇华理财</t>
        </is>
      </c>
      <c r="Y2229" s="191" t="n">
        <v>0.2</v>
      </c>
    </row>
    <row r="2230">
      <c r="A2230" s="172" t="n">
        <v>125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汽车融资租赁</t>
        </is>
      </c>
      <c r="E2230" s="173" t="inlineStr">
        <is>
          <t>尚乘1-3</t>
        </is>
      </c>
      <c r="F2230" s="173" t="inlineStr">
        <is>
          <t>上交所</t>
        </is>
      </c>
      <c r="G2230" s="173" t="inlineStr">
        <is>
          <t>华泰资管</t>
        </is>
      </c>
      <c r="H2230" s="173" t="inlineStr">
        <is>
          <t>国信证券/兴业证券</t>
        </is>
      </c>
      <c r="I2230" s="173" t="inlineStr">
        <is>
          <t>青岛银行</t>
        </is>
      </c>
      <c r="J2230" s="172" t="n">
        <v>8</v>
      </c>
      <c r="K2230" s="173" t="inlineStr">
        <is>
          <t>0+47</t>
        </is>
      </c>
      <c r="L2230" s="202" t="n">
        <v>46234</v>
      </c>
      <c r="M2230" s="175" t="n">
        <v>0.0148</v>
      </c>
      <c r="N2230" s="176" t="n">
        <v>0.02865</v>
      </c>
      <c r="O2230" s="172" t="n">
        <v>3.25</v>
      </c>
      <c r="P2230" s="172" t="inlineStr">
        <is>
          <t>优先A1</t>
        </is>
      </c>
      <c r="Q2230" s="178" t="n">
        <v>0.2813</v>
      </c>
      <c r="R2230" s="179" t="n">
        <v>2.25</v>
      </c>
      <c r="S2230" s="177" t="inlineStr">
        <is>
          <t>AAA</t>
        </is>
      </c>
      <c r="T2230" s="178" t="n">
        <v>0.0176</v>
      </c>
      <c r="U2230" s="177" t="inlineStr">
        <is>
          <t>民生理财</t>
        </is>
      </c>
      <c r="V2230" s="192" t="n">
        <v>0.67</v>
      </c>
      <c r="W2230" s="175" t="n">
        <v>0.017</v>
      </c>
      <c r="X2230" s="172" t="inlineStr">
        <is>
          <t>民生理财</t>
        </is>
      </c>
      <c r="Y2230" s="191" t="n">
        <v>0.67</v>
      </c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2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申万宏源投顾</t>
        </is>
      </c>
      <c r="V2231" s="192" t="n">
        <v>0.3</v>
      </c>
      <c r="W2231" s="172" t="n"/>
      <c r="X2231" s="172" t="n"/>
      <c r="Y2231" s="172" t="n"/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7" t="inlineStr">
        <is>
          <t>中信证券投顾</t>
        </is>
      </c>
      <c r="V2232" s="192" t="n">
        <v>0.17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中信证券财富</t>
        </is>
      </c>
      <c r="V2233" s="192" t="n">
        <v>0.4</v>
      </c>
      <c r="W2233" s="175" t="n">
        <v>0.017</v>
      </c>
      <c r="X2233" s="172" t="inlineStr">
        <is>
          <t>中信证券财富</t>
        </is>
      </c>
      <c r="Y2233" s="191" t="n">
        <v>0.2</v>
      </c>
    </row>
    <row r="2234">
      <c r="A2234" s="172" t="n">
        <v>125</v>
      </c>
      <c r="B2234" s="172" t="inlineStr">
        <is>
          <t>7月</t>
        </is>
      </c>
      <c r="C2234" s="172" t="inlineStr">
        <is>
          <t>消金</t>
        </is>
      </c>
      <c r="D2234" s="172" t="inlineStr">
        <is>
          <t>汽车融资租赁</t>
        </is>
      </c>
      <c r="E2234" s="172" t="inlineStr">
        <is>
          <t>尚乘1-3</t>
        </is>
      </c>
      <c r="F2234" s="172" t="inlineStr">
        <is>
          <t>上交所</t>
        </is>
      </c>
      <c r="G2234" s="172" t="inlineStr">
        <is>
          <t>华泰资管</t>
        </is>
      </c>
      <c r="H2234" s="172" t="inlineStr">
        <is>
          <t>国信证券/兴业证券</t>
        </is>
      </c>
      <c r="I2234" s="172" t="inlineStr">
        <is>
          <t>青岛银行</t>
        </is>
      </c>
      <c r="J2234" s="172" t="n">
        <v>8</v>
      </c>
      <c r="K2234" s="172" t="inlineStr">
        <is>
          <t>0+47</t>
        </is>
      </c>
      <c r="L2234" s="208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5" t="n">
        <v>0.2813</v>
      </c>
      <c r="R2234" s="192" t="n">
        <v>2.25</v>
      </c>
      <c r="S2234" s="172" t="inlineStr">
        <is>
          <t>AAA</t>
        </is>
      </c>
      <c r="T2234" s="175" t="n">
        <v>0.0176</v>
      </c>
      <c r="U2234" s="172" t="n"/>
      <c r="V2234" s="172" t="n"/>
      <c r="W2234" s="175" t="n">
        <v>0.017</v>
      </c>
      <c r="X2234" s="172" t="inlineStr">
        <is>
          <t>广发资管</t>
        </is>
      </c>
      <c r="Y2234" s="191" t="n">
        <v>0.2</v>
      </c>
    </row>
    <row r="2235">
      <c r="A2235" s="172" t="n">
        <v>125</v>
      </c>
      <c r="B2235" s="172" t="inlineStr">
        <is>
          <t>7月</t>
        </is>
      </c>
      <c r="C2235" s="172" t="inlineStr">
        <is>
          <t>消金</t>
        </is>
      </c>
      <c r="D2235" s="172" t="inlineStr">
        <is>
          <t>汽车融资租赁</t>
        </is>
      </c>
      <c r="E2235" s="172" t="inlineStr">
        <is>
          <t>尚乘1-3</t>
        </is>
      </c>
      <c r="F2235" s="172" t="inlineStr">
        <is>
          <t>上交所</t>
        </is>
      </c>
      <c r="G2235" s="172" t="inlineStr">
        <is>
          <t>华泰资管</t>
        </is>
      </c>
      <c r="H2235" s="172" t="inlineStr">
        <is>
          <t>国信证券/兴业证券</t>
        </is>
      </c>
      <c r="I2235" s="172" t="inlineStr">
        <is>
          <t>青岛银行</t>
        </is>
      </c>
      <c r="J2235" s="172" t="n">
        <v>8</v>
      </c>
      <c r="K2235" s="172" t="inlineStr">
        <is>
          <t>0+47</t>
        </is>
      </c>
      <c r="L2235" s="208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5" t="n">
        <v>0.2813</v>
      </c>
      <c r="R2235" s="192" t="n">
        <v>2.25</v>
      </c>
      <c r="S2235" s="172" t="inlineStr">
        <is>
          <t>AAA</t>
        </is>
      </c>
      <c r="T2235" s="175" t="n">
        <v>0.0176</v>
      </c>
      <c r="U2235" s="172" t="n"/>
      <c r="V2235" s="172" t="n"/>
      <c r="W2235" s="175" t="n">
        <v>0.0174</v>
      </c>
      <c r="X2235" s="172" t="inlineStr">
        <is>
          <t>中信证券财富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0.0174</v>
      </c>
      <c r="X2236" s="172" t="inlineStr">
        <is>
          <t>中信投顾2</t>
        </is>
      </c>
      <c r="Y2236" s="191" t="n">
        <v>0.17</v>
      </c>
    </row>
    <row r="2237">
      <c r="A2237" s="172" t="n">
        <v>125</v>
      </c>
      <c r="B2237" s="172" t="inlineStr">
        <is>
          <t>7月</t>
        </is>
      </c>
      <c r="C2237" s="172" t="inlineStr">
        <is>
          <t>消金</t>
        </is>
      </c>
      <c r="D2237" s="172" t="inlineStr">
        <is>
          <t>汽车融资租赁</t>
        </is>
      </c>
      <c r="E2237" s="172" t="inlineStr">
        <is>
          <t>尚乘1-3</t>
        </is>
      </c>
      <c r="F2237" s="172" t="inlineStr">
        <is>
          <t>上交所</t>
        </is>
      </c>
      <c r="G2237" s="172" t="inlineStr">
        <is>
          <t>华泰资管</t>
        </is>
      </c>
      <c r="H2237" s="172" t="inlineStr">
        <is>
          <t>国信证券/兴业证券</t>
        </is>
      </c>
      <c r="I2237" s="172" t="inlineStr">
        <is>
          <t>青岛银行</t>
        </is>
      </c>
      <c r="J2237" s="172" t="n">
        <v>8</v>
      </c>
      <c r="K2237" s="172" t="inlineStr">
        <is>
          <t>0+47</t>
        </is>
      </c>
      <c r="L2237" s="208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5" t="n">
        <v>0.2813</v>
      </c>
      <c r="R2237" s="192" t="n">
        <v>2.25</v>
      </c>
      <c r="S2237" s="172" t="inlineStr">
        <is>
          <t>AAA</t>
        </is>
      </c>
      <c r="T2237" s="175" t="n">
        <v>0.0176</v>
      </c>
      <c r="U2237" s="172" t="n"/>
      <c r="V2237" s="172" t="n"/>
      <c r="W2237" s="175" t="n">
        <v>0.0175</v>
      </c>
      <c r="X2237" s="172" t="inlineStr">
        <is>
          <t>申万投顾</t>
        </is>
      </c>
      <c r="Y2237" s="191" t="n">
        <v>0.3</v>
      </c>
    </row>
    <row r="2238">
      <c r="A2238" s="172" t="n">
        <v>125</v>
      </c>
      <c r="B2238" s="172" t="inlineStr">
        <is>
          <t>7月</t>
        </is>
      </c>
      <c r="C2238" s="172" t="inlineStr">
        <is>
          <t>消金</t>
        </is>
      </c>
      <c r="D2238" s="172" t="inlineStr">
        <is>
          <t>汽车融资租赁</t>
        </is>
      </c>
      <c r="E2238" s="172" t="inlineStr">
        <is>
          <t>尚乘1-3</t>
        </is>
      </c>
      <c r="F2238" s="172" t="inlineStr">
        <is>
          <t>上交所</t>
        </is>
      </c>
      <c r="G2238" s="172" t="inlineStr">
        <is>
          <t>华泰资管</t>
        </is>
      </c>
      <c r="H2238" s="172" t="inlineStr">
        <is>
          <t>国信证券/兴业证券</t>
        </is>
      </c>
      <c r="I2238" s="172" t="inlineStr">
        <is>
          <t>青岛银行</t>
        </is>
      </c>
      <c r="J2238" s="172" t="n">
        <v>8</v>
      </c>
      <c r="K2238" s="172" t="inlineStr">
        <is>
          <t>0+47</t>
        </is>
      </c>
      <c r="L2238" s="208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5" t="n">
        <v>0.2813</v>
      </c>
      <c r="R2238" s="192" t="n">
        <v>2.25</v>
      </c>
      <c r="S2238" s="172" t="inlineStr">
        <is>
          <t>AAA</t>
        </is>
      </c>
      <c r="T2238" s="175" t="n">
        <v>0.0176</v>
      </c>
      <c r="U2238" s="172" t="n"/>
      <c r="V2238" s="172" t="n"/>
      <c r="W2238" s="175" t="n">
        <v>0.0177</v>
      </c>
      <c r="X2238" s="172" t="inlineStr">
        <is>
          <t>易方达基金</t>
        </is>
      </c>
      <c r="Y2238" s="191" t="n">
        <v>0.6</v>
      </c>
    </row>
    <row r="2239">
      <c r="A2239" s="172" t="n">
        <v>125</v>
      </c>
      <c r="B2239" s="172" t="inlineStr">
        <is>
          <t>7月</t>
        </is>
      </c>
      <c r="C2239" s="172" t="inlineStr">
        <is>
          <t>消金</t>
        </is>
      </c>
      <c r="D2239" s="172" t="inlineStr">
        <is>
          <t>汽车融资租赁</t>
        </is>
      </c>
      <c r="E2239" s="172" t="inlineStr">
        <is>
          <t>尚乘1-3</t>
        </is>
      </c>
      <c r="F2239" s="172" t="inlineStr">
        <is>
          <t>上交所</t>
        </is>
      </c>
      <c r="G2239" s="172" t="inlineStr">
        <is>
          <t>华泰资管</t>
        </is>
      </c>
      <c r="H2239" s="172" t="inlineStr">
        <is>
          <t>国信证券/兴业证券</t>
        </is>
      </c>
      <c r="I2239" s="172" t="inlineStr">
        <is>
          <t>青岛银行</t>
        </is>
      </c>
      <c r="J2239" s="172" t="n">
        <v>8</v>
      </c>
      <c r="K2239" s="172" t="inlineStr">
        <is>
          <t>0+47</t>
        </is>
      </c>
      <c r="L2239" s="208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5" t="n">
        <v>0.2813</v>
      </c>
      <c r="R2239" s="192" t="n">
        <v>2.25</v>
      </c>
      <c r="S2239" s="172" t="inlineStr">
        <is>
          <t>AAA</t>
        </is>
      </c>
      <c r="T2239" s="175" t="n">
        <v>0.0176</v>
      </c>
      <c r="U2239" s="172" t="n"/>
      <c r="V2239" s="172" t="n"/>
      <c r="W2239" s="175" t="n">
        <v>0.0177</v>
      </c>
      <c r="X2239" s="172" t="inlineStr">
        <is>
          <t>中信投顾3</t>
        </is>
      </c>
      <c r="Y2239" s="191" t="n">
        <v>0.2</v>
      </c>
    </row>
    <row r="2240">
      <c r="A2240" s="172" t="n">
        <v>125</v>
      </c>
      <c r="B2240" s="172" t="inlineStr">
        <is>
          <t>7月</t>
        </is>
      </c>
      <c r="C2240" s="172" t="inlineStr">
        <is>
          <t>消金</t>
        </is>
      </c>
      <c r="D2240" s="172" t="inlineStr">
        <is>
          <t>汽车融资租赁</t>
        </is>
      </c>
      <c r="E2240" s="172" t="inlineStr">
        <is>
          <t>尚乘1-3</t>
        </is>
      </c>
      <c r="F2240" s="172" t="inlineStr">
        <is>
          <t>上交所</t>
        </is>
      </c>
      <c r="G2240" s="172" t="inlineStr">
        <is>
          <t>华泰资管</t>
        </is>
      </c>
      <c r="H2240" s="172" t="inlineStr">
        <is>
          <t>国信证券/兴业证券</t>
        </is>
      </c>
      <c r="I2240" s="172" t="inlineStr">
        <is>
          <t>青岛银行</t>
        </is>
      </c>
      <c r="J2240" s="172" t="n">
        <v>8</v>
      </c>
      <c r="K2240" s="172" t="inlineStr">
        <is>
          <t>0+47</t>
        </is>
      </c>
      <c r="L2240" s="208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5" t="n">
        <v>0.2813</v>
      </c>
      <c r="R2240" s="192" t="n">
        <v>2.25</v>
      </c>
      <c r="S2240" s="172" t="inlineStr">
        <is>
          <t>AAA</t>
        </is>
      </c>
      <c r="T2240" s="175" t="n">
        <v>0.0176</v>
      </c>
      <c r="U2240" s="172" t="n"/>
      <c r="V2240" s="172" t="n"/>
      <c r="W2240" s="175" t="n">
        <v>0.018</v>
      </c>
      <c r="X2240" s="172" t="inlineStr">
        <is>
          <t>财通资管</t>
        </is>
      </c>
      <c r="Y2240" s="191" t="n">
        <v>0.36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0.018</v>
      </c>
      <c r="X2241" s="172" t="inlineStr">
        <is>
          <t>中信投顾1</t>
        </is>
      </c>
      <c r="Y2241" s="191" t="n">
        <v>0.6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0.018</v>
      </c>
      <c r="X2242" s="172" t="inlineStr">
        <is>
          <t>中金资管</t>
        </is>
      </c>
      <c r="Y2242" s="191" t="n">
        <v>0.47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0.0185</v>
      </c>
      <c r="X2243" s="172" t="inlineStr">
        <is>
          <t>华泰资管</t>
        </is>
      </c>
      <c r="Y2243" s="191" t="n">
        <v>0.22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0.0195</v>
      </c>
      <c r="X2244" s="172" t="inlineStr">
        <is>
          <t>首创证券</t>
        </is>
      </c>
      <c r="Y2244" s="191" t="n">
        <v>0.2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0.025</v>
      </c>
      <c r="X2245" s="172" t="inlineStr">
        <is>
          <t>华宝资管</t>
        </is>
      </c>
      <c r="Y2245" s="191" t="n">
        <v>0.5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0.0265</v>
      </c>
      <c r="X2246" s="172" t="inlineStr">
        <is>
          <t>华福证券</t>
        </is>
      </c>
      <c r="Y2246" s="191" t="n">
        <v>0.3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0.027</v>
      </c>
      <c r="X2247" s="172" t="inlineStr">
        <is>
          <t>国信证券</t>
        </is>
      </c>
      <c r="Y2247" s="191" t="n">
        <v>0.3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0.027</v>
      </c>
      <c r="X2248" s="172" t="inlineStr">
        <is>
          <t>利曦基金</t>
        </is>
      </c>
      <c r="Y2248" s="191" t="n">
        <v>1</v>
      </c>
    </row>
    <row r="2249">
      <c r="A2249" s="172" t="n">
        <v>125</v>
      </c>
      <c r="B2249" s="173" t="inlineStr">
        <is>
          <t>7月</t>
        </is>
      </c>
      <c r="C2249" s="173" t="inlineStr">
        <is>
          <t>消金</t>
        </is>
      </c>
      <c r="D2249" s="173" t="inlineStr">
        <is>
          <t>汽车融资租赁</t>
        </is>
      </c>
      <c r="E2249" s="173" t="inlineStr">
        <is>
          <t>尚乘1-3</t>
        </is>
      </c>
      <c r="F2249" s="173" t="inlineStr">
        <is>
          <t>上交所</t>
        </is>
      </c>
      <c r="G2249" s="173" t="inlineStr">
        <is>
          <t>华泰资管</t>
        </is>
      </c>
      <c r="H2249" s="173" t="inlineStr">
        <is>
          <t>国信证券/兴业证券</t>
        </is>
      </c>
      <c r="I2249" s="173" t="inlineStr">
        <is>
          <t>青岛银行</t>
        </is>
      </c>
      <c r="J2249" s="172" t="n">
        <v>8</v>
      </c>
      <c r="K2249" s="173" t="inlineStr">
        <is>
          <t>0+47</t>
        </is>
      </c>
      <c r="L2249" s="202" t="n">
        <v>46234</v>
      </c>
      <c r="M2249" s="175" t="n">
        <v>0.0148</v>
      </c>
      <c r="N2249" s="176" t="n">
        <v>0.02865</v>
      </c>
      <c r="O2249" s="172" t="n">
        <v>3.25</v>
      </c>
      <c r="P2249" s="177" t="inlineStr">
        <is>
          <t>优先A2</t>
        </is>
      </c>
      <c r="Q2249" s="178" t="n">
        <v>0.4625</v>
      </c>
      <c r="R2249" s="179" t="n">
        <v>3.7</v>
      </c>
      <c r="S2249" s="177" t="inlineStr">
        <is>
          <t>AAA</t>
        </is>
      </c>
      <c r="T2249" s="178" t="n">
        <v>0.0198</v>
      </c>
      <c r="U2249" s="177" t="inlineStr">
        <is>
          <t>厦门汇正</t>
        </is>
      </c>
      <c r="V2249" s="192" t="n">
        <v>0.19</v>
      </c>
      <c r="W2249" s="175" t="n">
        <v>0.019</v>
      </c>
      <c r="X2249" s="172" t="inlineStr">
        <is>
          <t>厦门汇正</t>
        </is>
      </c>
      <c r="Y2249" s="191" t="n">
        <v>0.19</v>
      </c>
    </row>
    <row r="2250">
      <c r="A2250" s="172" t="n">
        <v>125</v>
      </c>
      <c r="B2250" s="173" t="inlineStr">
        <is>
          <t>7月</t>
        </is>
      </c>
      <c r="C2250" s="173" t="inlineStr">
        <is>
          <t>消金</t>
        </is>
      </c>
      <c r="D2250" s="173" t="inlineStr">
        <is>
          <t>汽车融资租赁</t>
        </is>
      </c>
      <c r="E2250" s="173" t="inlineStr">
        <is>
          <t>尚乘1-3</t>
        </is>
      </c>
      <c r="F2250" s="173" t="inlineStr">
        <is>
          <t>上交所</t>
        </is>
      </c>
      <c r="G2250" s="173" t="inlineStr">
        <is>
          <t>华泰资管</t>
        </is>
      </c>
      <c r="H2250" s="173" t="inlineStr">
        <is>
          <t>国信证券/兴业证券</t>
        </is>
      </c>
      <c r="I2250" s="173" t="inlineStr">
        <is>
          <t>青岛银行</t>
        </is>
      </c>
      <c r="J2250" s="172" t="n">
        <v>8</v>
      </c>
      <c r="K2250" s="173" t="inlineStr">
        <is>
          <t>0+47</t>
        </is>
      </c>
      <c r="L2250" s="202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优先A2</t>
        </is>
      </c>
      <c r="Q2250" s="178" t="n">
        <v>0.4625</v>
      </c>
      <c r="R2250" s="179" t="n">
        <v>3.7</v>
      </c>
      <c r="S2250" s="177" t="inlineStr">
        <is>
          <t>AAA</t>
        </is>
      </c>
      <c r="T2250" s="178" t="n">
        <v>0.0198</v>
      </c>
      <c r="U2250" s="177" t="inlineStr">
        <is>
          <t>青岛银行</t>
        </is>
      </c>
      <c r="V2250" s="192" t="n">
        <v>0.26</v>
      </c>
      <c r="W2250" s="175" t="n">
        <v>0.019</v>
      </c>
      <c r="X2250" s="172" t="inlineStr">
        <is>
          <t>青岛银行</t>
        </is>
      </c>
      <c r="Y2250" s="191" t="n">
        <v>0.26</v>
      </c>
    </row>
    <row r="2251">
      <c r="A2251" s="172" t="n">
        <v>125</v>
      </c>
      <c r="B2251" s="173" t="inlineStr">
        <is>
          <t>7月</t>
        </is>
      </c>
      <c r="C2251" s="173" t="inlineStr">
        <is>
          <t>消金</t>
        </is>
      </c>
      <c r="D2251" s="173" t="inlineStr">
        <is>
          <t>汽车融资租赁</t>
        </is>
      </c>
      <c r="E2251" s="173" t="inlineStr">
        <is>
          <t>尚乘1-3</t>
        </is>
      </c>
      <c r="F2251" s="173" t="inlineStr">
        <is>
          <t>上交所</t>
        </is>
      </c>
      <c r="G2251" s="173" t="inlineStr">
        <is>
          <t>华泰资管</t>
        </is>
      </c>
      <c r="H2251" s="173" t="inlineStr">
        <is>
          <t>国信证券/兴业证券</t>
        </is>
      </c>
      <c r="I2251" s="173" t="inlineStr">
        <is>
          <t>青岛银行</t>
        </is>
      </c>
      <c r="J2251" s="172" t="n">
        <v>8</v>
      </c>
      <c r="K2251" s="173" t="inlineStr">
        <is>
          <t>0+47</t>
        </is>
      </c>
      <c r="L2251" s="202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优先A2</t>
        </is>
      </c>
      <c r="Q2251" s="178" t="n">
        <v>0.4625</v>
      </c>
      <c r="R2251" s="179" t="n">
        <v>3.7</v>
      </c>
      <c r="S2251" s="177" t="inlineStr">
        <is>
          <t>AAA</t>
        </is>
      </c>
      <c r="T2251" s="178" t="n">
        <v>0.0198</v>
      </c>
      <c r="U2251" s="177" t="inlineStr">
        <is>
          <t>广发资管</t>
        </is>
      </c>
      <c r="V2251" s="192" t="n">
        <v>0.45</v>
      </c>
      <c r="W2251" s="175" t="n">
        <v>0.019</v>
      </c>
      <c r="X2251" s="172" t="inlineStr">
        <is>
          <t>广发资管</t>
        </is>
      </c>
      <c r="Y2251" s="191" t="n">
        <v>0.45</v>
      </c>
    </row>
    <row r="2252">
      <c r="A2252" s="172" t="n">
        <v>125</v>
      </c>
      <c r="B2252" s="173" t="inlineStr">
        <is>
          <t>7月</t>
        </is>
      </c>
      <c r="C2252" s="173" t="inlineStr">
        <is>
          <t>消金</t>
        </is>
      </c>
      <c r="D2252" s="173" t="inlineStr">
        <is>
          <t>汽车融资租赁</t>
        </is>
      </c>
      <c r="E2252" s="173" t="inlineStr">
        <is>
          <t>尚乘1-3</t>
        </is>
      </c>
      <c r="F2252" s="173" t="inlineStr">
        <is>
          <t>上交所</t>
        </is>
      </c>
      <c r="G2252" s="173" t="inlineStr">
        <is>
          <t>华泰资管</t>
        </is>
      </c>
      <c r="H2252" s="173" t="inlineStr">
        <is>
          <t>国信证券/兴业证券</t>
        </is>
      </c>
      <c r="I2252" s="173" t="inlineStr">
        <is>
          <t>青岛银行</t>
        </is>
      </c>
      <c r="J2252" s="172" t="n">
        <v>8</v>
      </c>
      <c r="K2252" s="173" t="inlineStr">
        <is>
          <t>0+47</t>
        </is>
      </c>
      <c r="L2252" s="202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优先A2</t>
        </is>
      </c>
      <c r="Q2252" s="178" t="n">
        <v>0.4625</v>
      </c>
      <c r="R2252" s="179" t="n">
        <v>3.7</v>
      </c>
      <c r="S2252" s="177" t="inlineStr">
        <is>
          <t>AAA</t>
        </is>
      </c>
      <c r="T2252" s="178" t="n">
        <v>0.0198</v>
      </c>
      <c r="U2252" s="177" t="inlineStr">
        <is>
          <t>易方达基金</t>
        </is>
      </c>
      <c r="V2252" s="192" t="n">
        <v>0.9</v>
      </c>
      <c r="W2252" s="175" t="n">
        <v>0.0198</v>
      </c>
      <c r="X2252" s="172" t="inlineStr">
        <is>
          <t>易方达基金</t>
        </is>
      </c>
      <c r="Y2252" s="191" t="n">
        <v>0.9</v>
      </c>
    </row>
    <row r="2253">
      <c r="A2253" s="172" t="n">
        <v>125</v>
      </c>
      <c r="B2253" s="173" t="inlineStr">
        <is>
          <t>7月</t>
        </is>
      </c>
      <c r="C2253" s="173" t="inlineStr">
        <is>
          <t>消金</t>
        </is>
      </c>
      <c r="D2253" s="173" t="inlineStr">
        <is>
          <t>汽车融资租赁</t>
        </is>
      </c>
      <c r="E2253" s="173" t="inlineStr">
        <is>
          <t>尚乘1-3</t>
        </is>
      </c>
      <c r="F2253" s="173" t="inlineStr">
        <is>
          <t>上交所</t>
        </is>
      </c>
      <c r="G2253" s="173" t="inlineStr">
        <is>
          <t>华泰资管</t>
        </is>
      </c>
      <c r="H2253" s="173" t="inlineStr">
        <is>
          <t>国信证券/兴业证券</t>
        </is>
      </c>
      <c r="I2253" s="173" t="inlineStr">
        <is>
          <t>青岛银行</t>
        </is>
      </c>
      <c r="J2253" s="172" t="n">
        <v>8</v>
      </c>
      <c r="K2253" s="173" t="inlineStr">
        <is>
          <t>0+47</t>
        </is>
      </c>
      <c r="L2253" s="202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优先A2</t>
        </is>
      </c>
      <c r="Q2253" s="178" t="n">
        <v>0.4625</v>
      </c>
      <c r="R2253" s="179" t="n">
        <v>3.7</v>
      </c>
      <c r="S2253" s="177" t="inlineStr">
        <is>
          <t>AAA</t>
        </is>
      </c>
      <c r="T2253" s="178" t="n">
        <v>0.0198</v>
      </c>
      <c r="U2253" s="177" t="inlineStr">
        <is>
          <t>朗姿韩亚</t>
        </is>
      </c>
      <c r="V2253" s="192" t="n">
        <v>0.35</v>
      </c>
      <c r="W2253" s="175" t="n">
        <v>0.0198</v>
      </c>
      <c r="X2253" s="172" t="inlineStr">
        <is>
          <t>朗姿韩亚</t>
        </is>
      </c>
      <c r="Y2253" s="191" t="n">
        <v>0.36</v>
      </c>
    </row>
    <row r="2254">
      <c r="A2254" s="172" t="n">
        <v>125</v>
      </c>
      <c r="B2254" s="173" t="inlineStr">
        <is>
          <t>7月</t>
        </is>
      </c>
      <c r="C2254" s="173" t="inlineStr">
        <is>
          <t>消金</t>
        </is>
      </c>
      <c r="D2254" s="173" t="inlineStr">
        <is>
          <t>汽车融资租赁</t>
        </is>
      </c>
      <c r="E2254" s="173" t="inlineStr">
        <is>
          <t>尚乘1-3</t>
        </is>
      </c>
      <c r="F2254" s="173" t="inlineStr">
        <is>
          <t>上交所</t>
        </is>
      </c>
      <c r="G2254" s="173" t="inlineStr">
        <is>
          <t>华泰资管</t>
        </is>
      </c>
      <c r="H2254" s="173" t="inlineStr">
        <is>
          <t>国信证券/兴业证券</t>
        </is>
      </c>
      <c r="I2254" s="173" t="inlineStr">
        <is>
          <t>青岛银行</t>
        </is>
      </c>
      <c r="J2254" s="172" t="n">
        <v>8</v>
      </c>
      <c r="K2254" s="173" t="inlineStr">
        <is>
          <t>0+47</t>
        </is>
      </c>
      <c r="L2254" s="202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优先A2</t>
        </is>
      </c>
      <c r="Q2254" s="178" t="n">
        <v>0.4625</v>
      </c>
      <c r="R2254" s="179" t="n">
        <v>3.7</v>
      </c>
      <c r="S2254" s="177" t="inlineStr">
        <is>
          <t>AAA</t>
        </is>
      </c>
      <c r="T2254" s="178" t="n">
        <v>0.0198</v>
      </c>
      <c r="U2254" s="177" t="inlineStr">
        <is>
          <t>中建投信托</t>
        </is>
      </c>
      <c r="V2254" s="192" t="n">
        <v>0.15</v>
      </c>
      <c r="W2254" s="175" t="n">
        <v>0.0195</v>
      </c>
      <c r="X2254" s="172" t="inlineStr">
        <is>
          <t>中建投信托</t>
        </is>
      </c>
      <c r="Y2254" s="191" t="n">
        <v>0.15</v>
      </c>
    </row>
    <row r="2255">
      <c r="A2255" s="172" t="n">
        <v>125</v>
      </c>
      <c r="B2255" s="173" t="inlineStr">
        <is>
          <t>7月</t>
        </is>
      </c>
      <c r="C2255" s="173" t="inlineStr">
        <is>
          <t>消金</t>
        </is>
      </c>
      <c r="D2255" s="173" t="inlineStr">
        <is>
          <t>汽车融资租赁</t>
        </is>
      </c>
      <c r="E2255" s="173" t="inlineStr">
        <is>
          <t>尚乘1-3</t>
        </is>
      </c>
      <c r="F2255" s="173" t="inlineStr">
        <is>
          <t>上交所</t>
        </is>
      </c>
      <c r="G2255" s="173" t="inlineStr">
        <is>
          <t>华泰资管</t>
        </is>
      </c>
      <c r="H2255" s="173" t="inlineStr">
        <is>
          <t>国信证券/兴业证券</t>
        </is>
      </c>
      <c r="I2255" s="173" t="inlineStr">
        <is>
          <t>青岛银行</t>
        </is>
      </c>
      <c r="J2255" s="172" t="n">
        <v>8</v>
      </c>
      <c r="K2255" s="173" t="inlineStr">
        <is>
          <t>0+47</t>
        </is>
      </c>
      <c r="L2255" s="202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优先A2</t>
        </is>
      </c>
      <c r="Q2255" s="178" t="n">
        <v>0.4625</v>
      </c>
      <c r="R2255" s="179" t="n">
        <v>3.7</v>
      </c>
      <c r="S2255" s="177" t="inlineStr">
        <is>
          <t>AAA</t>
        </is>
      </c>
      <c r="T2255" s="178" t="n">
        <v>0.0198</v>
      </c>
      <c r="U2255" s="177" t="inlineStr">
        <is>
          <t>利曦基金</t>
        </is>
      </c>
      <c r="V2255" s="192" t="n">
        <v>0.1</v>
      </c>
      <c r="W2255" s="175" t="n">
        <v>0.019</v>
      </c>
      <c r="X2255" s="172" t="inlineStr">
        <is>
          <t>利曦基金</t>
        </is>
      </c>
      <c r="Y2255" s="191" t="n">
        <v>0.1</v>
      </c>
    </row>
    <row r="2256">
      <c r="A2256" s="172" t="n">
        <v>125</v>
      </c>
      <c r="B2256" s="172" t="inlineStr">
        <is>
          <t>7月</t>
        </is>
      </c>
      <c r="C2256" s="172" t="inlineStr">
        <is>
          <t>消金</t>
        </is>
      </c>
      <c r="D2256" s="172" t="inlineStr">
        <is>
          <t>汽车融资租赁</t>
        </is>
      </c>
      <c r="E2256" s="172" t="inlineStr">
        <is>
          <t>尚乘1-3</t>
        </is>
      </c>
      <c r="F2256" s="172" t="inlineStr">
        <is>
          <t>上交所</t>
        </is>
      </c>
      <c r="G2256" s="172" t="inlineStr">
        <is>
          <t>华泰资管</t>
        </is>
      </c>
      <c r="H2256" s="172" t="inlineStr">
        <is>
          <t>国信证券/兴业证券</t>
        </is>
      </c>
      <c r="I2256" s="172" t="inlineStr">
        <is>
          <t>青岛银行</t>
        </is>
      </c>
      <c r="J2256" s="172" t="n">
        <v>8</v>
      </c>
      <c r="K2256" s="172" t="inlineStr">
        <is>
          <t>0+47</t>
        </is>
      </c>
      <c r="L2256" s="208" t="n">
        <v>46234</v>
      </c>
      <c r="M2256" s="175" t="n">
        <v>0.0148</v>
      </c>
      <c r="N2256" s="176" t="n">
        <v>0.02865</v>
      </c>
      <c r="O2256" s="172" t="n">
        <v>3.25</v>
      </c>
      <c r="P2256" s="172" t="inlineStr">
        <is>
          <t>优先A2</t>
        </is>
      </c>
      <c r="Q2256" s="175" t="n">
        <v>0.4625</v>
      </c>
      <c r="R2256" s="192" t="n">
        <v>3.7</v>
      </c>
      <c r="S2256" s="172" t="inlineStr">
        <is>
          <t>AAA</t>
        </is>
      </c>
      <c r="T2256" s="175" t="n">
        <v>0.0198</v>
      </c>
      <c r="U2256" s="172" t="n"/>
      <c r="V2256" s="172" t="n"/>
      <c r="W2256" s="175" t="n">
        <v>0.029</v>
      </c>
      <c r="X2256" s="172" t="inlineStr">
        <is>
          <t>利曦基金</t>
        </is>
      </c>
      <c r="Y2256" s="191" t="n">
        <v>0.6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申万投顾</t>
        </is>
      </c>
      <c r="V2257" s="192" t="n">
        <v>0.6</v>
      </c>
      <c r="W2257" s="175" t="n">
        <v>0.0195</v>
      </c>
      <c r="X2257" s="172" t="inlineStr">
        <is>
          <t>申万投顾</t>
        </is>
      </c>
      <c r="Y2257" s="191" t="n">
        <v>0.6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中金财富自营</t>
        </is>
      </c>
      <c r="V2258" s="192" t="n">
        <v>0.2</v>
      </c>
      <c r="W2258" s="175" t="n">
        <v>0.0194</v>
      </c>
      <c r="X2258" s="172" t="inlineStr">
        <is>
          <t>中金财富</t>
        </is>
      </c>
      <c r="Y2258" s="191" t="n">
        <v>0.2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中金投顾</t>
        </is>
      </c>
      <c r="V2259" s="192" t="n">
        <v>0.5</v>
      </c>
      <c r="W2259" s="175" t="n">
        <v>0.0195</v>
      </c>
      <c r="X2259" s="172" t="inlineStr">
        <is>
          <t>中金投顾</t>
        </is>
      </c>
      <c r="Y2259" s="191" t="n">
        <v>0.5</v>
      </c>
    </row>
    <row r="2260">
      <c r="A2260" s="172" t="n">
        <v>125</v>
      </c>
      <c r="B2260" s="172" t="inlineStr">
        <is>
          <t>7月</t>
        </is>
      </c>
      <c r="C2260" s="172" t="inlineStr">
        <is>
          <t>消金</t>
        </is>
      </c>
      <c r="D2260" s="172" t="inlineStr">
        <is>
          <t>汽车融资租赁</t>
        </is>
      </c>
      <c r="E2260" s="172" t="inlineStr">
        <is>
          <t>尚乘1-3</t>
        </is>
      </c>
      <c r="F2260" s="172" t="inlineStr">
        <is>
          <t>上交所</t>
        </is>
      </c>
      <c r="G2260" s="172" t="inlineStr">
        <is>
          <t>华泰资管</t>
        </is>
      </c>
      <c r="H2260" s="172" t="inlineStr">
        <is>
          <t>国信证券/兴业证券</t>
        </is>
      </c>
      <c r="I2260" s="172" t="inlineStr">
        <is>
          <t>青岛银行</t>
        </is>
      </c>
      <c r="J2260" s="172" t="n">
        <v>8</v>
      </c>
      <c r="K2260" s="172" t="inlineStr">
        <is>
          <t>0+47</t>
        </is>
      </c>
      <c r="L2260" s="208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5" t="n">
        <v>0.4625</v>
      </c>
      <c r="R2260" s="192" t="n">
        <v>3.7</v>
      </c>
      <c r="S2260" s="172" t="inlineStr">
        <is>
          <t>AAA</t>
        </is>
      </c>
      <c r="T2260" s="175" t="n">
        <v>0.0198</v>
      </c>
      <c r="U2260" s="172" t="n"/>
      <c r="V2260" s="172" t="n"/>
      <c r="W2260" s="175" t="n">
        <v>0.02</v>
      </c>
      <c r="X2260" s="172" t="inlineStr">
        <is>
          <t>财通资管</t>
        </is>
      </c>
      <c r="Y2260" s="191" t="n">
        <v>0.91</v>
      </c>
    </row>
    <row r="2261">
      <c r="A2261" s="172" t="n">
        <v>125</v>
      </c>
      <c r="B2261" s="172" t="inlineStr">
        <is>
          <t>7月</t>
        </is>
      </c>
      <c r="C2261" s="172" t="inlineStr">
        <is>
          <t>消金</t>
        </is>
      </c>
      <c r="D2261" s="172" t="inlineStr">
        <is>
          <t>汽车融资租赁</t>
        </is>
      </c>
      <c r="E2261" s="172" t="inlineStr">
        <is>
          <t>尚乘1-3</t>
        </is>
      </c>
      <c r="F2261" s="172" t="inlineStr">
        <is>
          <t>上交所</t>
        </is>
      </c>
      <c r="G2261" s="172" t="inlineStr">
        <is>
          <t>华泰资管</t>
        </is>
      </c>
      <c r="H2261" s="172" t="inlineStr">
        <is>
          <t>国信证券/兴业证券</t>
        </is>
      </c>
      <c r="I2261" s="172" t="inlineStr">
        <is>
          <t>青岛银行</t>
        </is>
      </c>
      <c r="J2261" s="172" t="n">
        <v>8</v>
      </c>
      <c r="K2261" s="172" t="inlineStr">
        <is>
          <t>0+47</t>
        </is>
      </c>
      <c r="L2261" s="208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5" t="n">
        <v>0.4625</v>
      </c>
      <c r="R2261" s="192" t="n">
        <v>3.7</v>
      </c>
      <c r="S2261" s="172" t="inlineStr">
        <is>
          <t>AAA</t>
        </is>
      </c>
      <c r="T2261" s="175" t="n">
        <v>0.0198</v>
      </c>
      <c r="U2261" s="172" t="n"/>
      <c r="V2261" s="172" t="n"/>
      <c r="W2261" s="175" t="n">
        <v>0.02</v>
      </c>
      <c r="X2261" s="172" t="inlineStr">
        <is>
          <t>国信证券</t>
        </is>
      </c>
      <c r="Y2261" s="191" t="n">
        <v>0.5</v>
      </c>
    </row>
    <row r="2262">
      <c r="A2262" s="172" t="n">
        <v>125</v>
      </c>
      <c r="B2262" s="172" t="inlineStr">
        <is>
          <t>7月</t>
        </is>
      </c>
      <c r="C2262" s="172" t="inlineStr">
        <is>
          <t>消金</t>
        </is>
      </c>
      <c r="D2262" s="172" t="inlineStr">
        <is>
          <t>汽车融资租赁</t>
        </is>
      </c>
      <c r="E2262" s="172" t="inlineStr">
        <is>
          <t>尚乘1-3</t>
        </is>
      </c>
      <c r="F2262" s="172" t="inlineStr">
        <is>
          <t>上交所</t>
        </is>
      </c>
      <c r="G2262" s="172" t="inlineStr">
        <is>
          <t>华泰资管</t>
        </is>
      </c>
      <c r="H2262" s="172" t="inlineStr">
        <is>
          <t>国信证券/兴业证券</t>
        </is>
      </c>
      <c r="I2262" s="172" t="inlineStr">
        <is>
          <t>青岛银行</t>
        </is>
      </c>
      <c r="J2262" s="172" t="n">
        <v>8</v>
      </c>
      <c r="K2262" s="172" t="inlineStr">
        <is>
          <t>0+47</t>
        </is>
      </c>
      <c r="L2262" s="208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5" t="n">
        <v>0.4625</v>
      </c>
      <c r="R2262" s="192" t="n">
        <v>3.7</v>
      </c>
      <c r="S2262" s="172" t="inlineStr">
        <is>
          <t>AAA</t>
        </is>
      </c>
      <c r="T2262" s="175" t="n">
        <v>0.0198</v>
      </c>
      <c r="U2262" s="172" t="n"/>
      <c r="V2262" s="172" t="n"/>
      <c r="W2262" s="175" t="n">
        <v>0.02</v>
      </c>
      <c r="X2262" s="172" t="inlineStr">
        <is>
          <t>华福证券</t>
        </is>
      </c>
      <c r="Y2262" s="191" t="n">
        <v>0.5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</v>
      </c>
      <c r="X2263" s="172" t="inlineStr">
        <is>
          <t>兴业证券</t>
        </is>
      </c>
      <c r="Y2263" s="191" t="n">
        <v>0.8</v>
      </c>
    </row>
    <row r="2264">
      <c r="A2264" s="172" t="n">
        <v>125</v>
      </c>
      <c r="B2264" s="172" t="inlineStr">
        <is>
          <t>7月</t>
        </is>
      </c>
      <c r="C2264" s="172" t="inlineStr">
        <is>
          <t>消金</t>
        </is>
      </c>
      <c r="D2264" s="172" t="inlineStr">
        <is>
          <t>汽车融资租赁</t>
        </is>
      </c>
      <c r="E2264" s="172" t="inlineStr">
        <is>
          <t>尚乘1-3</t>
        </is>
      </c>
      <c r="F2264" s="172" t="inlineStr">
        <is>
          <t>上交所</t>
        </is>
      </c>
      <c r="G2264" s="172" t="inlineStr">
        <is>
          <t>华泰资管</t>
        </is>
      </c>
      <c r="H2264" s="172" t="inlineStr">
        <is>
          <t>国信证券/兴业证券</t>
        </is>
      </c>
      <c r="I2264" s="172" t="inlineStr">
        <is>
          <t>青岛银行</t>
        </is>
      </c>
      <c r="J2264" s="172" t="n">
        <v>8</v>
      </c>
      <c r="K2264" s="172" t="inlineStr">
        <is>
          <t>0+47</t>
        </is>
      </c>
      <c r="L2264" s="208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5" t="n">
        <v>0.4625</v>
      </c>
      <c r="R2264" s="192" t="n">
        <v>3.7</v>
      </c>
      <c r="S2264" s="172" t="inlineStr">
        <is>
          <t>AAA</t>
        </is>
      </c>
      <c r="T2264" s="175" t="n">
        <v>0.0198</v>
      </c>
      <c r="U2264" s="172" t="n"/>
      <c r="V2264" s="172" t="n"/>
      <c r="W2264" s="175" t="n">
        <v>0.02</v>
      </c>
      <c r="X2264" s="172" t="inlineStr">
        <is>
          <t>中金资管</t>
        </is>
      </c>
      <c r="Y2264" s="191" t="n">
        <v>0.76</v>
      </c>
    </row>
    <row r="2265">
      <c r="A2265" s="172" t="n">
        <v>125</v>
      </c>
      <c r="B2265" s="172" t="inlineStr">
        <is>
          <t>7月</t>
        </is>
      </c>
      <c r="C2265" s="172" t="inlineStr">
        <is>
          <t>消金</t>
        </is>
      </c>
      <c r="D2265" s="172" t="inlineStr">
        <is>
          <t>汽车融资租赁</t>
        </is>
      </c>
      <c r="E2265" s="172" t="inlineStr">
        <is>
          <t>尚乘1-3</t>
        </is>
      </c>
      <c r="F2265" s="172" t="inlineStr">
        <is>
          <t>上交所</t>
        </is>
      </c>
      <c r="G2265" s="172" t="inlineStr">
        <is>
          <t>华泰资管</t>
        </is>
      </c>
      <c r="H2265" s="172" t="inlineStr">
        <is>
          <t>国信证券/兴业证券</t>
        </is>
      </c>
      <c r="I2265" s="172" t="inlineStr">
        <is>
          <t>青岛银行</t>
        </is>
      </c>
      <c r="J2265" s="172" t="n">
        <v>8</v>
      </c>
      <c r="K2265" s="172" t="inlineStr">
        <is>
          <t>0+47</t>
        </is>
      </c>
      <c r="L2265" s="208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5" t="n">
        <v>0.4625</v>
      </c>
      <c r="R2265" s="192" t="n">
        <v>3.7</v>
      </c>
      <c r="S2265" s="172" t="inlineStr">
        <is>
          <t>AAA</t>
        </is>
      </c>
      <c r="T2265" s="175" t="n">
        <v>0.0198</v>
      </c>
      <c r="U2265" s="172" t="n"/>
      <c r="V2265" s="172" t="n"/>
      <c r="W2265" s="175" t="n">
        <v>0.021</v>
      </c>
      <c r="X2265" s="172" t="inlineStr">
        <is>
          <t>首创证券</t>
        </is>
      </c>
      <c r="Y2265" s="191" t="n">
        <v>0.3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7" t="inlineStr">
        <is>
          <t>优先B</t>
        </is>
      </c>
      <c r="Q2266" s="178" t="n">
        <v>0.1188</v>
      </c>
      <c r="R2266" s="179" t="n">
        <v>0.95</v>
      </c>
      <c r="S2266" s="177" t="inlineStr">
        <is>
          <t>AA+</t>
        </is>
      </c>
      <c r="T2266" s="178" t="n">
        <v>0.031</v>
      </c>
      <c r="U2266" s="172" t="inlineStr">
        <is>
          <t>朗资韩亚</t>
        </is>
      </c>
      <c r="V2266" s="192" t="n">
        <v>0.5</v>
      </c>
      <c r="W2266" s="172" t="n"/>
      <c r="X2266" s="172" t="n"/>
      <c r="Y2266" s="172" t="n"/>
    </row>
    <row r="2267">
      <c r="A2267" s="172" t="n">
        <v>125</v>
      </c>
      <c r="B2267" s="173" t="inlineStr">
        <is>
          <t>7月</t>
        </is>
      </c>
      <c r="C2267" s="173" t="inlineStr">
        <is>
          <t>消金</t>
        </is>
      </c>
      <c r="D2267" s="173" t="inlineStr">
        <is>
          <t>汽车融资租赁</t>
        </is>
      </c>
      <c r="E2267" s="173" t="inlineStr">
        <is>
          <t>尚乘1-3</t>
        </is>
      </c>
      <c r="F2267" s="173" t="inlineStr">
        <is>
          <t>上交所</t>
        </is>
      </c>
      <c r="G2267" s="173" t="inlineStr">
        <is>
          <t>华泰资管</t>
        </is>
      </c>
      <c r="H2267" s="173" t="inlineStr">
        <is>
          <t>国信证券/兴业证券</t>
        </is>
      </c>
      <c r="I2267" s="173" t="inlineStr">
        <is>
          <t>青岛银行</t>
        </is>
      </c>
      <c r="J2267" s="172" t="n">
        <v>8</v>
      </c>
      <c r="K2267" s="173" t="inlineStr">
        <is>
          <t>0+47</t>
        </is>
      </c>
      <c r="L2267" s="202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优先B</t>
        </is>
      </c>
      <c r="Q2267" s="178" t="n">
        <v>0.1188</v>
      </c>
      <c r="R2267" s="179" t="n">
        <v>0.95</v>
      </c>
      <c r="S2267" s="177" t="inlineStr">
        <is>
          <t>AA+</t>
        </is>
      </c>
      <c r="T2267" s="178" t="n">
        <v>0.031</v>
      </c>
      <c r="U2267" s="172" t="inlineStr">
        <is>
          <t>中金投顾</t>
        </is>
      </c>
      <c r="V2267" s="192" t="n">
        <v>0.3</v>
      </c>
      <c r="W2267" s="172" t="n"/>
      <c r="X2267" s="172" t="n"/>
      <c r="Y2267" s="172" t="n"/>
    </row>
    <row r="2268">
      <c r="A2268" s="172" t="n">
        <v>125</v>
      </c>
      <c r="B2268" s="173" t="inlineStr">
        <is>
          <t>7月</t>
        </is>
      </c>
      <c r="C2268" s="173" t="inlineStr">
        <is>
          <t>消金</t>
        </is>
      </c>
      <c r="D2268" s="173" t="inlineStr">
        <is>
          <t>汽车融资租赁</t>
        </is>
      </c>
      <c r="E2268" s="173" t="inlineStr">
        <is>
          <t>尚乘1-3</t>
        </is>
      </c>
      <c r="F2268" s="173" t="inlineStr">
        <is>
          <t>上交所</t>
        </is>
      </c>
      <c r="G2268" s="173" t="inlineStr">
        <is>
          <t>华泰资管</t>
        </is>
      </c>
      <c r="H2268" s="173" t="inlineStr">
        <is>
          <t>国信证券/兴业证券</t>
        </is>
      </c>
      <c r="I2268" s="173" t="inlineStr">
        <is>
          <t>青岛银行</t>
        </is>
      </c>
      <c r="J2268" s="172" t="n">
        <v>8</v>
      </c>
      <c r="K2268" s="173" t="inlineStr">
        <is>
          <t>0+47</t>
        </is>
      </c>
      <c r="L2268" s="202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优先B</t>
        </is>
      </c>
      <c r="Q2268" s="178" t="n">
        <v>0.1188</v>
      </c>
      <c r="R2268" s="179" t="n">
        <v>0.95</v>
      </c>
      <c r="S2268" s="177" t="inlineStr">
        <is>
          <t>AA+</t>
        </is>
      </c>
      <c r="T2268" s="178" t="n">
        <v>0.031</v>
      </c>
      <c r="U2268" s="172" t="inlineStr">
        <is>
          <t>广发资管</t>
        </is>
      </c>
      <c r="V2268" s="192" t="n">
        <v>0.1</v>
      </c>
      <c r="W2268" s="172" t="n"/>
      <c r="X2268" s="172" t="n"/>
      <c r="Y2268" s="172" t="n"/>
    </row>
    <row r="2269">
      <c r="A2269" s="172" t="n">
        <v>125</v>
      </c>
      <c r="B2269" s="173" t="inlineStr">
        <is>
          <t>7月</t>
        </is>
      </c>
      <c r="C2269" s="173" t="inlineStr">
        <is>
          <t>消金</t>
        </is>
      </c>
      <c r="D2269" s="173" t="inlineStr">
        <is>
          <t>汽车融资租赁</t>
        </is>
      </c>
      <c r="E2269" s="173" t="inlineStr">
        <is>
          <t>尚乘1-3</t>
        </is>
      </c>
      <c r="F2269" s="173" t="inlineStr">
        <is>
          <t>上交所</t>
        </is>
      </c>
      <c r="G2269" s="173" t="inlineStr">
        <is>
          <t>华泰资管</t>
        </is>
      </c>
      <c r="H2269" s="173" t="inlineStr">
        <is>
          <t>国信证券/兴业证券</t>
        </is>
      </c>
      <c r="I2269" s="173" t="inlineStr">
        <is>
          <t>青岛银行</t>
        </is>
      </c>
      <c r="J2269" s="172" t="n">
        <v>8</v>
      </c>
      <c r="K2269" s="173" t="inlineStr">
        <is>
          <t>0+47</t>
        </is>
      </c>
      <c r="L2269" s="202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优先B</t>
        </is>
      </c>
      <c r="Q2269" s="178" t="n">
        <v>0.1188</v>
      </c>
      <c r="R2269" s="179" t="n">
        <v>0.95</v>
      </c>
      <c r="S2269" s="177" t="inlineStr">
        <is>
          <t>AA+</t>
        </is>
      </c>
      <c r="T2269" s="178" t="n">
        <v>0.031</v>
      </c>
      <c r="U2269" s="177" t="inlineStr">
        <is>
          <t>厦门汇正</t>
        </is>
      </c>
      <c r="V2269" s="192" t="n">
        <v>0.05</v>
      </c>
      <c r="W2269" s="172" t="n"/>
      <c r="X2269" s="172" t="n"/>
      <c r="Y2269" s="172" t="n"/>
    </row>
    <row r="2270">
      <c r="A2270" s="172" t="n">
        <v>125</v>
      </c>
      <c r="B2270" s="173" t="inlineStr">
        <is>
          <t>7月</t>
        </is>
      </c>
      <c r="C2270" s="173" t="inlineStr">
        <is>
          <t>消金</t>
        </is>
      </c>
      <c r="D2270" s="173" t="inlineStr">
        <is>
          <t>汽车融资租赁</t>
        </is>
      </c>
      <c r="E2270" s="173" t="inlineStr">
        <is>
          <t>尚乘1-3</t>
        </is>
      </c>
      <c r="F2270" s="173" t="inlineStr">
        <is>
          <t>上交所</t>
        </is>
      </c>
      <c r="G2270" s="173" t="inlineStr">
        <is>
          <t>华泰资管</t>
        </is>
      </c>
      <c r="H2270" s="173" t="inlineStr">
        <is>
          <t>国信证券/兴业证券</t>
        </is>
      </c>
      <c r="I2270" s="173" t="inlineStr">
        <is>
          <t>青岛银行</t>
        </is>
      </c>
      <c r="J2270" s="172" t="n">
        <v>8</v>
      </c>
      <c r="K2270" s="173" t="inlineStr">
        <is>
          <t>0+47</t>
        </is>
      </c>
      <c r="L2270" s="202" t="n">
        <v>46234</v>
      </c>
      <c r="M2270" s="175" t="n">
        <v>0.0148</v>
      </c>
      <c r="N2270" s="176" t="n">
        <v>0.02865</v>
      </c>
      <c r="O2270" s="172" t="n">
        <v>3.25</v>
      </c>
      <c r="P2270" s="177" t="inlineStr">
        <is>
          <t>次级</t>
        </is>
      </c>
      <c r="Q2270" s="178" t="n">
        <v>0.1375</v>
      </c>
      <c r="R2270" s="179" t="n">
        <v>1.1</v>
      </c>
      <c r="S2270" s="177" t="inlineStr">
        <is>
          <t>无</t>
        </is>
      </c>
      <c r="T2270" s="178" t="n">
        <v>0.052</v>
      </c>
      <c r="U2270" s="172" t="inlineStr">
        <is>
          <t>东家铂睿</t>
        </is>
      </c>
      <c r="V2270" s="192" t="n">
        <v>0.27</v>
      </c>
      <c r="W2270" s="172" t="n"/>
      <c r="X2270" s="172" t="n"/>
      <c r="Y2270" s="172" t="n"/>
    </row>
    <row r="2271">
      <c r="A2271" s="172" t="n">
        <v>125</v>
      </c>
      <c r="B2271" s="173" t="inlineStr">
        <is>
          <t>7月</t>
        </is>
      </c>
      <c r="C2271" s="173" t="inlineStr">
        <is>
          <t>消金</t>
        </is>
      </c>
      <c r="D2271" s="173" t="inlineStr">
        <is>
          <t>汽车融资租赁</t>
        </is>
      </c>
      <c r="E2271" s="173" t="inlineStr">
        <is>
          <t>尚乘1-3</t>
        </is>
      </c>
      <c r="F2271" s="173" t="inlineStr">
        <is>
          <t>上交所</t>
        </is>
      </c>
      <c r="G2271" s="173" t="inlineStr">
        <is>
          <t>华泰资管</t>
        </is>
      </c>
      <c r="H2271" s="173" t="inlineStr">
        <is>
          <t>国信证券/兴业证券</t>
        </is>
      </c>
      <c r="I2271" s="173" t="inlineStr">
        <is>
          <t>青岛银行</t>
        </is>
      </c>
      <c r="J2271" s="172" t="n">
        <v>8</v>
      </c>
      <c r="K2271" s="173" t="inlineStr">
        <is>
          <t>0+47</t>
        </is>
      </c>
      <c r="L2271" s="202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次级</t>
        </is>
      </c>
      <c r="Q2271" s="178" t="n">
        <v>0.1375</v>
      </c>
      <c r="R2271" s="179" t="n">
        <v>1.1</v>
      </c>
      <c r="S2271" s="177" t="inlineStr">
        <is>
          <t>无</t>
        </is>
      </c>
      <c r="T2271" s="178" t="n">
        <v>0.052</v>
      </c>
      <c r="U2271" s="172" t="inlineStr">
        <is>
          <t>朗资韩亚</t>
        </is>
      </c>
      <c r="V2271" s="192" t="n">
        <v>0.57</v>
      </c>
      <c r="W2271" s="172" t="n"/>
      <c r="X2271" s="172" t="n"/>
      <c r="Y2271" s="172" t="n"/>
    </row>
    <row r="2272">
      <c r="A2272" s="172" t="n">
        <v>125</v>
      </c>
      <c r="B2272" s="173" t="inlineStr">
        <is>
          <t>7月</t>
        </is>
      </c>
      <c r="C2272" s="173" t="inlineStr">
        <is>
          <t>消金</t>
        </is>
      </c>
      <c r="D2272" s="173" t="inlineStr">
        <is>
          <t>汽车融资租赁</t>
        </is>
      </c>
      <c r="E2272" s="173" t="inlineStr">
        <is>
          <t>尚乘1-3</t>
        </is>
      </c>
      <c r="F2272" s="173" t="inlineStr">
        <is>
          <t>上交所</t>
        </is>
      </c>
      <c r="G2272" s="173" t="inlineStr">
        <is>
          <t>华泰资管</t>
        </is>
      </c>
      <c r="H2272" s="173" t="inlineStr">
        <is>
          <t>国信证券/兴业证券</t>
        </is>
      </c>
      <c r="I2272" s="173" t="inlineStr">
        <is>
          <t>青岛银行</t>
        </is>
      </c>
      <c r="J2272" s="172" t="n">
        <v>8</v>
      </c>
      <c r="K2272" s="173" t="inlineStr">
        <is>
          <t>0+47</t>
        </is>
      </c>
      <c r="L2272" s="202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次级</t>
        </is>
      </c>
      <c r="Q2272" s="178" t="n">
        <v>0.1375</v>
      </c>
      <c r="R2272" s="179" t="n">
        <v>1.1</v>
      </c>
      <c r="S2272" s="177" t="inlineStr">
        <is>
          <t>无</t>
        </is>
      </c>
      <c r="T2272" s="178" t="n">
        <v>0.052</v>
      </c>
      <c r="U2272" s="172" t="inlineStr">
        <is>
          <t>思达星汇</t>
        </is>
      </c>
      <c r="V2272" s="192" t="n">
        <v>0.2</v>
      </c>
      <c r="W2272" s="172" t="n"/>
      <c r="X2272" s="172" t="n"/>
      <c r="Y2272" s="172" t="n"/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2" t="inlineStr">
        <is>
          <t>次级</t>
        </is>
      </c>
      <c r="Q2273" s="178" t="n">
        <v>0.1375</v>
      </c>
      <c r="R2273" s="179" t="n">
        <v>1.1</v>
      </c>
      <c r="S2273" s="177" t="inlineStr">
        <is>
          <t>无</t>
        </is>
      </c>
      <c r="T2273" s="178" t="n">
        <v>0.052</v>
      </c>
      <c r="U2273" s="177" t="inlineStr">
        <is>
          <t>厦门汇正</t>
        </is>
      </c>
      <c r="V2273" s="192" t="n">
        <v>0.06</v>
      </c>
      <c r="W2273" s="172" t="n"/>
      <c r="X2273" s="172" t="n"/>
      <c r="Y2273" s="172" t="n"/>
    </row>
    <row r="2274">
      <c r="A2274" s="172" t="n">
        <v>126</v>
      </c>
      <c r="B2274" s="173" t="inlineStr">
        <is>
          <t>8月</t>
        </is>
      </c>
      <c r="C2274" s="173" t="inlineStr">
        <is>
          <t>消金</t>
        </is>
      </c>
      <c r="D2274" s="173" t="inlineStr">
        <is>
          <t>金条&amp;白取混发</t>
        </is>
      </c>
      <c r="E2274" s="173" t="inlineStr">
        <is>
          <t>2026东樾4号2期（东樾4-4）</t>
        </is>
      </c>
      <c r="F2274" s="173" t="inlineStr">
        <is>
          <t>银行间</t>
        </is>
      </c>
      <c r="G2274" s="173" t="inlineStr">
        <is>
          <t>中信证券</t>
        </is>
      </c>
      <c r="H2274" s="173" t="inlineStr">
        <is>
          <t>国信证券/光大证券/国泰海通/招商证券</t>
        </is>
      </c>
      <c r="I2274" s="173" t="inlineStr">
        <is>
          <t>中邮北分</t>
        </is>
      </c>
      <c r="J2274" s="172" t="n">
        <v>5</v>
      </c>
      <c r="K2274" s="173" t="inlineStr">
        <is>
          <t>22+24</t>
        </is>
      </c>
      <c r="L2274" s="202" t="n">
        <v>46241</v>
      </c>
      <c r="M2274" s="175" t="n">
        <v>0.0148</v>
      </c>
      <c r="N2274" s="176" t="n">
        <v>0.02286</v>
      </c>
      <c r="O2274" s="172" t="n">
        <v>2.1</v>
      </c>
      <c r="P2274" s="177" t="inlineStr">
        <is>
          <t>优先A</t>
        </is>
      </c>
      <c r="Q2274" s="178" t="n">
        <v>0.87</v>
      </c>
      <c r="R2274" s="179">
        <f>Q1498*J1498</f>
        <v/>
      </c>
      <c r="S2274" s="177" t="inlineStr">
        <is>
          <t>AAA</t>
        </is>
      </c>
      <c r="T2274" s="178" t="n">
        <v>0.018</v>
      </c>
      <c r="U2274" s="172" t="inlineStr">
        <is>
          <t>国信证券投行</t>
        </is>
      </c>
      <c r="V2274" s="192" t="n">
        <v>0.1</v>
      </c>
      <c r="W2274" s="175" t="n">
        <v>0.018</v>
      </c>
      <c r="X2274" s="172" t="inlineStr">
        <is>
          <t>国信证券（投行上报）</t>
        </is>
      </c>
      <c r="Y2274" s="191" t="n">
        <v>0.1</v>
      </c>
    </row>
    <row r="2275">
      <c r="A2275" s="172" t="n">
        <v>126</v>
      </c>
      <c r="B2275" s="173" t="inlineStr">
        <is>
          <t>8月</t>
        </is>
      </c>
      <c r="C2275" s="173" t="inlineStr">
        <is>
          <t>消金</t>
        </is>
      </c>
      <c r="D2275" s="173" t="inlineStr">
        <is>
          <t>金条&amp;白取混发</t>
        </is>
      </c>
      <c r="E2275" s="173" t="inlineStr">
        <is>
          <t>2026东樾4号2期（东樾4-4）</t>
        </is>
      </c>
      <c r="F2275" s="173" t="inlineStr">
        <is>
          <t>银行间</t>
        </is>
      </c>
      <c r="G2275" s="173" t="inlineStr">
        <is>
          <t>中信证券</t>
        </is>
      </c>
      <c r="H2275" s="173" t="inlineStr">
        <is>
          <t>国信证券/光大证券/国泰海通/招商证券</t>
        </is>
      </c>
      <c r="I2275" s="173" t="inlineStr">
        <is>
          <t>中邮北分</t>
        </is>
      </c>
      <c r="J2275" s="172" t="n">
        <v>5</v>
      </c>
      <c r="K2275" s="173" t="inlineStr">
        <is>
          <t>22+24</t>
        </is>
      </c>
      <c r="L2275" s="202" t="n">
        <v>46241</v>
      </c>
      <c r="M2275" s="175" t="n">
        <v>0.0148</v>
      </c>
      <c r="N2275" s="176" t="n">
        <v>0.02286</v>
      </c>
      <c r="O2275" s="172" t="n">
        <v>2.1</v>
      </c>
      <c r="P2275" s="172" t="inlineStr">
        <is>
          <t>优先A</t>
        </is>
      </c>
      <c r="Q2275" s="178" t="n">
        <v>0.87</v>
      </c>
      <c r="R2275" s="179">
        <f>Q1498*J1498</f>
        <v/>
      </c>
      <c r="S2275" s="177" t="inlineStr">
        <is>
          <t>AAA</t>
        </is>
      </c>
      <c r="T2275" s="178" t="n">
        <v>0.018</v>
      </c>
      <c r="U2275" s="172" t="inlineStr">
        <is>
          <t>招商证券投行</t>
        </is>
      </c>
      <c r="V2275" s="192" t="n">
        <v>0.1</v>
      </c>
      <c r="W2275" s="175" t="n">
        <v>0.018</v>
      </c>
      <c r="X2275" s="172" t="inlineStr">
        <is>
          <t>招商证券（投行上报）</t>
        </is>
      </c>
      <c r="Y2275" s="191" t="n">
        <v>0.1</v>
      </c>
    </row>
    <row r="2276">
      <c r="A2276" s="172" t="n">
        <v>126</v>
      </c>
      <c r="B2276" s="173" t="inlineStr">
        <is>
          <t>8月</t>
        </is>
      </c>
      <c r="C2276" s="173" t="inlineStr">
        <is>
          <t>消金</t>
        </is>
      </c>
      <c r="D2276" s="173" t="inlineStr">
        <is>
          <t>金条&amp;白取混发</t>
        </is>
      </c>
      <c r="E2276" s="173" t="inlineStr">
        <is>
          <t>2026东樾4号2期（东樾4-4）</t>
        </is>
      </c>
      <c r="F2276" s="173" t="inlineStr">
        <is>
          <t>银行间</t>
        </is>
      </c>
      <c r="G2276" s="173" t="inlineStr">
        <is>
          <t>中信证券</t>
        </is>
      </c>
      <c r="H2276" s="173" t="inlineStr">
        <is>
          <t>国信证券/光大证券/国泰海通/招商证券</t>
        </is>
      </c>
      <c r="I2276" s="173" t="inlineStr">
        <is>
          <t>中邮北分</t>
        </is>
      </c>
      <c r="J2276" s="172" t="n">
        <v>5</v>
      </c>
      <c r="K2276" s="173" t="inlineStr">
        <is>
          <t>22+24</t>
        </is>
      </c>
      <c r="L2276" s="202" t="n">
        <v>46241</v>
      </c>
      <c r="M2276" s="175" t="n">
        <v>0.0148</v>
      </c>
      <c r="N2276" s="176" t="n">
        <v>0.02286</v>
      </c>
      <c r="O2276" s="172" t="n">
        <v>2.1</v>
      </c>
      <c r="P2276" s="172" t="inlineStr">
        <is>
          <t>优先A</t>
        </is>
      </c>
      <c r="Q2276" s="178" t="n">
        <v>0.87</v>
      </c>
      <c r="R2276" s="179">
        <f>Q1498*J1498</f>
        <v/>
      </c>
      <c r="S2276" s="177" t="inlineStr">
        <is>
          <t>AAA</t>
        </is>
      </c>
      <c r="T2276" s="178" t="n">
        <v>0.018</v>
      </c>
      <c r="U2276" s="172" t="inlineStr">
        <is>
          <t>远行基金</t>
        </is>
      </c>
      <c r="V2276" s="192" t="n">
        <v>0.1</v>
      </c>
      <c r="W2276" s="172" t="n"/>
      <c r="X2276" s="172" t="n"/>
      <c r="Y2276" s="172" t="n"/>
    </row>
    <row r="2277">
      <c r="A2277" s="172" t="n">
        <v>126</v>
      </c>
      <c r="B2277" s="173" t="inlineStr">
        <is>
          <t>8月</t>
        </is>
      </c>
      <c r="C2277" s="173" t="inlineStr">
        <is>
          <t>消金</t>
        </is>
      </c>
      <c r="D2277" s="173" t="inlineStr">
        <is>
          <t>金条&amp;白取混发</t>
        </is>
      </c>
      <c r="E2277" s="173" t="inlineStr">
        <is>
          <t>2026东樾4号2期（东樾4-4）</t>
        </is>
      </c>
      <c r="F2277" s="173" t="inlineStr">
        <is>
          <t>银行间</t>
        </is>
      </c>
      <c r="G2277" s="173" t="inlineStr">
        <is>
          <t>中信证券</t>
        </is>
      </c>
      <c r="H2277" s="173" t="inlineStr">
        <is>
          <t>国信证券/光大证券/国泰海通/招商证券</t>
        </is>
      </c>
      <c r="I2277" s="173" t="inlineStr">
        <is>
          <t>中邮北分</t>
        </is>
      </c>
      <c r="J2277" s="172" t="n">
        <v>5</v>
      </c>
      <c r="K2277" s="173" t="inlineStr">
        <is>
          <t>22+24</t>
        </is>
      </c>
      <c r="L2277" s="202" t="n">
        <v>46241</v>
      </c>
      <c r="M2277" s="175" t="n">
        <v>0.0148</v>
      </c>
      <c r="N2277" s="176" t="n">
        <v>0.02286</v>
      </c>
      <c r="O2277" s="172" t="n">
        <v>2.1</v>
      </c>
      <c r="P2277" s="172" t="inlineStr">
        <is>
          <t>优先A</t>
        </is>
      </c>
      <c r="Q2277" s="178" t="n">
        <v>0.87</v>
      </c>
      <c r="R2277" s="179">
        <f>Q1498*J1498</f>
        <v/>
      </c>
      <c r="S2277" s="177" t="inlineStr">
        <is>
          <t>AAA</t>
        </is>
      </c>
      <c r="T2277" s="178" t="n">
        <v>0.018</v>
      </c>
      <c r="U2277" s="172" t="inlineStr">
        <is>
          <t>中金自营</t>
        </is>
      </c>
      <c r="V2277" s="192" t="n">
        <v>0.7</v>
      </c>
      <c r="W2277" s="172" t="n"/>
      <c r="X2277" s="172" t="n"/>
      <c r="Y2277" s="172" t="n"/>
    </row>
    <row r="2278">
      <c r="A2278" s="172" t="n">
        <v>126</v>
      </c>
      <c r="B2278" s="173" t="inlineStr">
        <is>
          <t>8月</t>
        </is>
      </c>
      <c r="C2278" s="173" t="inlineStr">
        <is>
          <t>消金</t>
        </is>
      </c>
      <c r="D2278" s="173" t="inlineStr">
        <is>
          <t>金条&amp;白取混发</t>
        </is>
      </c>
      <c r="E2278" s="173" t="inlineStr">
        <is>
          <t>2026东樾4号2期（东樾4-4）</t>
        </is>
      </c>
      <c r="F2278" s="173" t="inlineStr">
        <is>
          <t>银行间</t>
        </is>
      </c>
      <c r="G2278" s="173" t="inlineStr">
        <is>
          <t>中信证券</t>
        </is>
      </c>
      <c r="H2278" s="173" t="inlineStr">
        <is>
          <t>国信证券/光大证券/国泰海通/招商证券</t>
        </is>
      </c>
      <c r="I2278" s="173" t="inlineStr">
        <is>
          <t>中邮北分</t>
        </is>
      </c>
      <c r="J2278" s="172" t="n">
        <v>5</v>
      </c>
      <c r="K2278" s="173" t="inlineStr">
        <is>
          <t>22+24</t>
        </is>
      </c>
      <c r="L2278" s="202" t="n">
        <v>46241</v>
      </c>
      <c r="M2278" s="175" t="n">
        <v>0.0148</v>
      </c>
      <c r="N2278" s="176" t="n">
        <v>0.02286</v>
      </c>
      <c r="O2278" s="172" t="n">
        <v>2.1</v>
      </c>
      <c r="P2278" s="172" t="inlineStr">
        <is>
          <t>优先A</t>
        </is>
      </c>
      <c r="Q2278" s="178" t="n">
        <v>0.87</v>
      </c>
      <c r="R2278" s="179">
        <f>Q1498*J1498</f>
        <v/>
      </c>
      <c r="S2278" s="177" t="inlineStr">
        <is>
          <t>AAA</t>
        </is>
      </c>
      <c r="T2278" s="178" t="n">
        <v>0.018</v>
      </c>
      <c r="U2278" s="172" t="inlineStr">
        <is>
          <t>兴银理财</t>
        </is>
      </c>
      <c r="V2278" s="192" t="n">
        <v>0.65</v>
      </c>
      <c r="W2278" s="175" t="n">
        <v>0.0179</v>
      </c>
      <c r="X2278" s="172" t="inlineStr">
        <is>
          <t>兴银理财</t>
        </is>
      </c>
      <c r="Y2278" s="191" t="n">
        <v>0.65</v>
      </c>
    </row>
    <row r="2279">
      <c r="A2279" s="172" t="n">
        <v>126</v>
      </c>
      <c r="B2279" s="173" t="inlineStr">
        <is>
          <t>8月</t>
        </is>
      </c>
      <c r="C2279" s="173" t="inlineStr">
        <is>
          <t>消金</t>
        </is>
      </c>
      <c r="D2279" s="173" t="inlineStr">
        <is>
          <t>金条&amp;白取混发</t>
        </is>
      </c>
      <c r="E2279" s="173" t="inlineStr">
        <is>
          <t>2026东樾4号2期（东樾4-4）</t>
        </is>
      </c>
      <c r="F2279" s="173" t="inlineStr">
        <is>
          <t>银行间</t>
        </is>
      </c>
      <c r="G2279" s="173" t="inlineStr">
        <is>
          <t>中信证券</t>
        </is>
      </c>
      <c r="H2279" s="173" t="inlineStr">
        <is>
          <t>国信证券/光大证券/国泰海通/招商证券</t>
        </is>
      </c>
      <c r="I2279" s="173" t="inlineStr">
        <is>
          <t>中邮北分</t>
        </is>
      </c>
      <c r="J2279" s="172" t="n">
        <v>5</v>
      </c>
      <c r="K2279" s="173" t="inlineStr">
        <is>
          <t>22+24</t>
        </is>
      </c>
      <c r="L2279" s="202" t="n">
        <v>46241</v>
      </c>
      <c r="M2279" s="175" t="n">
        <v>0.0148</v>
      </c>
      <c r="N2279" s="176" t="n">
        <v>0.02286</v>
      </c>
      <c r="O2279" s="172" t="n">
        <v>2.1</v>
      </c>
      <c r="P2279" s="172" t="inlineStr">
        <is>
          <t>优先A</t>
        </is>
      </c>
      <c r="Q2279" s="178" t="n">
        <v>0.87</v>
      </c>
      <c r="R2279" s="179">
        <f>Q1498*J1498</f>
        <v/>
      </c>
      <c r="S2279" s="177" t="inlineStr">
        <is>
          <t>AAA</t>
        </is>
      </c>
      <c r="T2279" s="178" t="n">
        <v>0.018</v>
      </c>
      <c r="U2279" s="172" t="inlineStr">
        <is>
          <t>光大证券投行</t>
        </is>
      </c>
      <c r="V2279" s="192" t="n">
        <v>0.1</v>
      </c>
      <c r="W2279" s="175" t="n">
        <v>0.018</v>
      </c>
      <c r="X2279" s="172" t="inlineStr">
        <is>
          <t>光大证券（投行上报）</t>
        </is>
      </c>
      <c r="Y2279" s="191" t="n">
        <v>0.1</v>
      </c>
    </row>
    <row r="2280">
      <c r="A2280" s="172" t="n">
        <v>126</v>
      </c>
      <c r="B2280" s="173" t="inlineStr">
        <is>
          <t>8月</t>
        </is>
      </c>
      <c r="C2280" s="173" t="inlineStr">
        <is>
          <t>消金</t>
        </is>
      </c>
      <c r="D2280" s="173" t="inlineStr">
        <is>
          <t>金条&amp;白取混发</t>
        </is>
      </c>
      <c r="E2280" s="173" t="inlineStr">
        <is>
          <t>2026东樾4号2期（东樾4-4）</t>
        </is>
      </c>
      <c r="F2280" s="173" t="inlineStr">
        <is>
          <t>银行间</t>
        </is>
      </c>
      <c r="G2280" s="173" t="inlineStr">
        <is>
          <t>中信证券</t>
        </is>
      </c>
      <c r="H2280" s="173" t="inlineStr">
        <is>
          <t>国信证券/光大证券/国泰海通/招商证券</t>
        </is>
      </c>
      <c r="I2280" s="173" t="inlineStr">
        <is>
          <t>中邮北分</t>
        </is>
      </c>
      <c r="J2280" s="172" t="n">
        <v>5</v>
      </c>
      <c r="K2280" s="173" t="inlineStr">
        <is>
          <t>22+24</t>
        </is>
      </c>
      <c r="L2280" s="202" t="n">
        <v>46241</v>
      </c>
      <c r="M2280" s="175" t="n">
        <v>0.0148</v>
      </c>
      <c r="N2280" s="176" t="n">
        <v>0.02286</v>
      </c>
      <c r="O2280" s="172" t="n">
        <v>2.1</v>
      </c>
      <c r="P2280" s="172" t="inlineStr">
        <is>
          <t>优先A</t>
        </is>
      </c>
      <c r="Q2280" s="178" t="n">
        <v>0.87</v>
      </c>
      <c r="R2280" s="179">
        <f>Q1498*J1498</f>
        <v/>
      </c>
      <c r="S2280" s="177" t="inlineStr">
        <is>
          <t>AAA</t>
        </is>
      </c>
      <c r="T2280" s="178" t="n">
        <v>0.018</v>
      </c>
      <c r="U2280" s="172" t="inlineStr">
        <is>
          <t>中邮理财</t>
        </is>
      </c>
      <c r="V2280" s="192" t="n">
        <v>1.3</v>
      </c>
      <c r="W2280" s="175" t="n">
        <v>0.018</v>
      </c>
      <c r="X2280" s="172" t="inlineStr">
        <is>
          <t>中邮理财</t>
        </is>
      </c>
      <c r="Y2280" s="191" t="n">
        <v>1.3</v>
      </c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2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信银理财</t>
        </is>
      </c>
      <c r="V2281" s="192" t="n">
        <v>1.3</v>
      </c>
      <c r="W2281" s="175" t="n">
        <v>0.0177</v>
      </c>
      <c r="X2281" s="172" t="inlineStr">
        <is>
          <t>信银理财</t>
        </is>
      </c>
      <c r="Y2281" s="191" t="n">
        <v>1.3</v>
      </c>
    </row>
    <row r="2282">
      <c r="A2282" s="172" t="n">
        <v>126</v>
      </c>
      <c r="B2282" s="172" t="inlineStr">
        <is>
          <t>8月</t>
        </is>
      </c>
      <c r="C2282" s="172" t="inlineStr">
        <is>
          <t>消金</t>
        </is>
      </c>
      <c r="D2282" s="172" t="inlineStr">
        <is>
          <t>金条&amp;白取混发</t>
        </is>
      </c>
      <c r="E2282" s="172" t="inlineStr">
        <is>
          <t>2026东樾4号2期（东樾4-4）</t>
        </is>
      </c>
      <c r="F2282" s="172" t="inlineStr">
        <is>
          <t>银行间</t>
        </is>
      </c>
      <c r="G2282" s="172" t="inlineStr">
        <is>
          <t>中信证券</t>
        </is>
      </c>
      <c r="H2282" s="172" t="inlineStr">
        <is>
          <t>国信证券/光大证券/国泰海通/招商证券</t>
        </is>
      </c>
      <c r="I2282" s="172" t="inlineStr">
        <is>
          <t>中邮北分</t>
        </is>
      </c>
      <c r="J2282" s="172" t="n">
        <v>5</v>
      </c>
      <c r="K2282" s="172" t="inlineStr">
        <is>
          <t>22+24</t>
        </is>
      </c>
      <c r="L2282" s="208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5" t="n">
        <v>0.87</v>
      </c>
      <c r="R2282" s="172">
        <f>Q1498*J1498</f>
        <v/>
      </c>
      <c r="S2282" s="172" t="inlineStr">
        <is>
          <t>AAA</t>
        </is>
      </c>
      <c r="T2282" s="175" t="n">
        <v>0.018</v>
      </c>
      <c r="U2282" s="172" t="n"/>
      <c r="V2282" s="172" t="n"/>
      <c r="W2282" s="175" t="n">
        <v>0.0175</v>
      </c>
      <c r="X2282" s="172" t="inlineStr">
        <is>
          <t>上海远行私募</t>
        </is>
      </c>
      <c r="Y2282" s="191" t="n">
        <v>0.1</v>
      </c>
    </row>
    <row r="2283">
      <c r="A2283" s="172" t="n">
        <v>126</v>
      </c>
      <c r="B2283" s="172" t="inlineStr">
        <is>
          <t>8月</t>
        </is>
      </c>
      <c r="C2283" s="172" t="inlineStr">
        <is>
          <t>消金</t>
        </is>
      </c>
      <c r="D2283" s="172" t="inlineStr">
        <is>
          <t>金条&amp;白取混发</t>
        </is>
      </c>
      <c r="E2283" s="172" t="inlineStr">
        <is>
          <t>2026东樾4号2期（东樾4-4）</t>
        </is>
      </c>
      <c r="F2283" s="172" t="inlineStr">
        <is>
          <t>银行间</t>
        </is>
      </c>
      <c r="G2283" s="172" t="inlineStr">
        <is>
          <t>中信证券</t>
        </is>
      </c>
      <c r="H2283" s="172" t="inlineStr">
        <is>
          <t>国信证券/光大证券/国泰海通/招商证券</t>
        </is>
      </c>
      <c r="I2283" s="172" t="inlineStr">
        <is>
          <t>中邮北分</t>
        </is>
      </c>
      <c r="J2283" s="172" t="n">
        <v>5</v>
      </c>
      <c r="K2283" s="172" t="inlineStr">
        <is>
          <t>22+24</t>
        </is>
      </c>
      <c r="L2283" s="208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5" t="n">
        <v>0.87</v>
      </c>
      <c r="R2283" s="172">
        <f>Q1498*J1498</f>
        <v/>
      </c>
      <c r="S2283" s="172" t="inlineStr">
        <is>
          <t>AAA</t>
        </is>
      </c>
      <c r="T2283" s="175" t="n">
        <v>0.018</v>
      </c>
      <c r="U2283" s="172" t="n"/>
      <c r="V2283" s="172" t="n"/>
      <c r="W2283" s="175" t="n">
        <v>0.018</v>
      </c>
      <c r="X2283" s="172" t="inlineStr">
        <is>
          <t>中金公司（固定收益部）</t>
        </is>
      </c>
      <c r="Y2283" s="191" t="n">
        <v>0.7</v>
      </c>
    </row>
    <row r="2284">
      <c r="A2284" s="172" t="n">
        <v>126</v>
      </c>
      <c r="B2284" s="172" t="inlineStr">
        <is>
          <t>8月</t>
        </is>
      </c>
      <c r="C2284" s="172" t="inlineStr">
        <is>
          <t>消金</t>
        </is>
      </c>
      <c r="D2284" s="172" t="inlineStr">
        <is>
          <t>金条&amp;白取混发</t>
        </is>
      </c>
      <c r="E2284" s="172" t="inlineStr">
        <is>
          <t>2026东樾4号2期（东樾4-4）</t>
        </is>
      </c>
      <c r="F2284" s="172" t="inlineStr">
        <is>
          <t>银行间</t>
        </is>
      </c>
      <c r="G2284" s="172" t="inlineStr">
        <is>
          <t>中信证券</t>
        </is>
      </c>
      <c r="H2284" s="172" t="inlineStr">
        <is>
          <t>国信证券/光大证券/国泰海通/招商证券</t>
        </is>
      </c>
      <c r="I2284" s="172" t="inlineStr">
        <is>
          <t>中邮北分</t>
        </is>
      </c>
      <c r="J2284" s="172" t="n">
        <v>5</v>
      </c>
      <c r="K2284" s="172" t="inlineStr">
        <is>
          <t>22+24</t>
        </is>
      </c>
      <c r="L2284" s="208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5" t="n">
        <v>0.87</v>
      </c>
      <c r="R2284" s="172">
        <f>Q1498*J1498</f>
        <v/>
      </c>
      <c r="S2284" s="172" t="inlineStr">
        <is>
          <t>AAA</t>
        </is>
      </c>
      <c r="T2284" s="175" t="n">
        <v>0.018</v>
      </c>
      <c r="U2284" s="172" t="n"/>
      <c r="V2284" s="172" t="n"/>
      <c r="W2284" s="175" t="n">
        <v>0.0184</v>
      </c>
      <c r="X2284" s="172" t="inlineStr">
        <is>
          <t>宝武财务</t>
        </is>
      </c>
      <c r="Y2284" s="191" t="n">
        <v>0.35</v>
      </c>
    </row>
    <row r="2285">
      <c r="A2285" s="172" t="n">
        <v>126</v>
      </c>
      <c r="B2285" s="172" t="inlineStr">
        <is>
          <t>8月</t>
        </is>
      </c>
      <c r="C2285" s="172" t="inlineStr">
        <is>
          <t>消金</t>
        </is>
      </c>
      <c r="D2285" s="172" t="inlineStr">
        <is>
          <t>金条&amp;白取混发</t>
        </is>
      </c>
      <c r="E2285" s="172" t="inlineStr">
        <is>
          <t>2026东樾4号2期（东樾4-4）</t>
        </is>
      </c>
      <c r="F2285" s="172" t="inlineStr">
        <is>
          <t>银行间</t>
        </is>
      </c>
      <c r="G2285" s="172" t="inlineStr">
        <is>
          <t>中信证券</t>
        </is>
      </c>
      <c r="H2285" s="172" t="inlineStr">
        <is>
          <t>国信证券/光大证券/国泰海通/招商证券</t>
        </is>
      </c>
      <c r="I2285" s="172" t="inlineStr">
        <is>
          <t>中邮北分</t>
        </is>
      </c>
      <c r="J2285" s="172" t="n">
        <v>5</v>
      </c>
      <c r="K2285" s="172" t="inlineStr">
        <is>
          <t>22+24</t>
        </is>
      </c>
      <c r="L2285" s="208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5" t="n">
        <v>0.87</v>
      </c>
      <c r="R2285" s="172">
        <f>Q1498*J1498</f>
        <v/>
      </c>
      <c r="S2285" s="172" t="inlineStr">
        <is>
          <t>AAA</t>
        </is>
      </c>
      <c r="T2285" s="175" t="n">
        <v>0.018</v>
      </c>
      <c r="U2285" s="172" t="n"/>
      <c r="V2285" s="172" t="n"/>
      <c r="W2285" s="175" t="n">
        <v>0.0185</v>
      </c>
      <c r="X2285" s="172" t="inlineStr">
        <is>
          <t>中信证券（投行上报）</t>
        </is>
      </c>
      <c r="Y2285" s="191" t="n">
        <v>0.6</v>
      </c>
    </row>
    <row r="2286">
      <c r="A2286" s="172" t="n">
        <v>126</v>
      </c>
      <c r="B2286" s="172" t="inlineStr">
        <is>
          <t>8月</t>
        </is>
      </c>
      <c r="C2286" s="172" t="inlineStr">
        <is>
          <t>消金</t>
        </is>
      </c>
      <c r="D2286" s="172" t="inlineStr">
        <is>
          <t>金条&amp;白取混发</t>
        </is>
      </c>
      <c r="E2286" s="172" t="inlineStr">
        <is>
          <t>2026东樾4号2期（东樾4-4）</t>
        </is>
      </c>
      <c r="F2286" s="172" t="inlineStr">
        <is>
          <t>银行间</t>
        </is>
      </c>
      <c r="G2286" s="172" t="inlineStr">
        <is>
          <t>中信证券</t>
        </is>
      </c>
      <c r="H2286" s="172" t="inlineStr">
        <is>
          <t>国信证券/光大证券/国泰海通/招商证券</t>
        </is>
      </c>
      <c r="I2286" s="172" t="inlineStr">
        <is>
          <t>中邮北分</t>
        </is>
      </c>
      <c r="J2286" s="172" t="n">
        <v>5</v>
      </c>
      <c r="K2286" s="172" t="inlineStr">
        <is>
          <t>22+24</t>
        </is>
      </c>
      <c r="L2286" s="208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5" t="n">
        <v>0.87</v>
      </c>
      <c r="R2286" s="172">
        <f>Q1498*J1498</f>
        <v/>
      </c>
      <c r="S2286" s="172" t="inlineStr">
        <is>
          <t>AAA</t>
        </is>
      </c>
      <c r="T2286" s="175" t="n">
        <v>0.018</v>
      </c>
      <c r="U2286" s="172" t="n"/>
      <c r="V2286" s="172" t="n"/>
      <c r="W2286" s="175" t="n">
        <v>0.0185</v>
      </c>
      <c r="X2286" s="172" t="inlineStr">
        <is>
          <t>国泰海通（投行上报）</t>
        </is>
      </c>
      <c r="Y2286" s="191" t="n">
        <v>0.5</v>
      </c>
    </row>
    <row r="2287">
      <c r="A2287" s="172" t="n">
        <v>126</v>
      </c>
      <c r="B2287" s="172" t="inlineStr">
        <is>
          <t>8月</t>
        </is>
      </c>
      <c r="C2287" s="172" t="inlineStr">
        <is>
          <t>消金</t>
        </is>
      </c>
      <c r="D2287" s="172" t="inlineStr">
        <is>
          <t>金条&amp;白取混发</t>
        </is>
      </c>
      <c r="E2287" s="172" t="inlineStr">
        <is>
          <t>2026东樾4号2期（东樾4-4）</t>
        </is>
      </c>
      <c r="F2287" s="172" t="inlineStr">
        <is>
          <t>银行间</t>
        </is>
      </c>
      <c r="G2287" s="172" t="inlineStr">
        <is>
          <t>中信证券</t>
        </is>
      </c>
      <c r="H2287" s="172" t="inlineStr">
        <is>
          <t>国信证券/光大证券/国泰海通/招商证券</t>
        </is>
      </c>
      <c r="I2287" s="172" t="inlineStr">
        <is>
          <t>中邮北分</t>
        </is>
      </c>
      <c r="J2287" s="172" t="n">
        <v>5</v>
      </c>
      <c r="K2287" s="172" t="inlineStr">
        <is>
          <t>22+24</t>
        </is>
      </c>
      <c r="L2287" s="208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5" t="n">
        <v>0.87</v>
      </c>
      <c r="R2287" s="172">
        <f>Q1498*J1498</f>
        <v/>
      </c>
      <c r="S2287" s="172" t="inlineStr">
        <is>
          <t>AAA</t>
        </is>
      </c>
      <c r="T2287" s="175" t="n">
        <v>0.018</v>
      </c>
      <c r="U2287" s="172" t="n"/>
      <c r="V2287" s="172" t="n"/>
      <c r="W2287" s="175" t="n">
        <v>0.025</v>
      </c>
      <c r="X2287" s="172" t="inlineStr">
        <is>
          <t>国泰海通（投行上报）</t>
        </is>
      </c>
      <c r="Y2287" s="191" t="n">
        <v>0.19</v>
      </c>
    </row>
    <row r="2288">
      <c r="A2288" s="172" t="n">
        <v>126</v>
      </c>
      <c r="B2288" s="172" t="inlineStr">
        <is>
          <t>8月</t>
        </is>
      </c>
      <c r="C2288" s="172" t="inlineStr">
        <is>
          <t>消金</t>
        </is>
      </c>
      <c r="D2288" s="172" t="inlineStr">
        <is>
          <t>金条&amp;白取混发</t>
        </is>
      </c>
      <c r="E2288" s="172" t="inlineStr">
        <is>
          <t>2026东樾4号2期（东樾4-4）</t>
        </is>
      </c>
      <c r="F2288" s="172" t="inlineStr">
        <is>
          <t>银行间</t>
        </is>
      </c>
      <c r="G2288" s="172" t="inlineStr">
        <is>
          <t>中信证券</t>
        </is>
      </c>
      <c r="H2288" s="172" t="inlineStr">
        <is>
          <t>国信证券/光大证券/国泰海通/招商证券</t>
        </is>
      </c>
      <c r="I2288" s="172" t="inlineStr">
        <is>
          <t>中邮北分</t>
        </is>
      </c>
      <c r="J2288" s="172" t="n">
        <v>5</v>
      </c>
      <c r="K2288" s="172" t="inlineStr">
        <is>
          <t>22+24</t>
        </is>
      </c>
      <c r="L2288" s="208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5" t="n">
        <v>0.87</v>
      </c>
      <c r="R2288" s="172">
        <f>Q1498*J1498</f>
        <v/>
      </c>
      <c r="S2288" s="172" t="inlineStr">
        <is>
          <t>AAA</t>
        </is>
      </c>
      <c r="T2288" s="175" t="n">
        <v>0.018</v>
      </c>
      <c r="U2288" s="172" t="n"/>
      <c r="V2288" s="172" t="n"/>
      <c r="W2288" s="175" t="n">
        <v>0.0185</v>
      </c>
      <c r="X2288" s="172" t="inlineStr">
        <is>
          <t>中金公司（投顾）</t>
        </is>
      </c>
      <c r="Y2288" s="191" t="n">
        <v>0.5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0.025</v>
      </c>
      <c r="X2289" s="172" t="inlineStr">
        <is>
          <t>上海利曦私募</t>
        </is>
      </c>
      <c r="Y2289" s="191" t="n">
        <v>1</v>
      </c>
    </row>
    <row r="2290">
      <c r="A2290" s="172" t="n">
        <v>126</v>
      </c>
      <c r="B2290" s="173" t="inlineStr">
        <is>
          <t>8月</t>
        </is>
      </c>
      <c r="C2290" s="173" t="inlineStr">
        <is>
          <t>消金</t>
        </is>
      </c>
      <c r="D2290" s="173" t="inlineStr">
        <is>
          <t>金条&amp;白取混发</t>
        </is>
      </c>
      <c r="E2290" s="173" t="inlineStr">
        <is>
          <t>2026东樾4号2期（东樾4-4）</t>
        </is>
      </c>
      <c r="F2290" s="173" t="inlineStr">
        <is>
          <t>银行间</t>
        </is>
      </c>
      <c r="G2290" s="173" t="inlineStr">
        <is>
          <t>中信证券</t>
        </is>
      </c>
      <c r="H2290" s="173" t="inlineStr">
        <is>
          <t>国信证券/光大证券/国泰海通/招商证券</t>
        </is>
      </c>
      <c r="I2290" s="173" t="inlineStr">
        <is>
          <t>中邮北分</t>
        </is>
      </c>
      <c r="J2290" s="172" t="n">
        <v>5</v>
      </c>
      <c r="K2290" s="173" t="inlineStr">
        <is>
          <t>22+24</t>
        </is>
      </c>
      <c r="L2290" s="202" t="n">
        <v>46241</v>
      </c>
      <c r="M2290" s="175" t="n">
        <v>0.0148</v>
      </c>
      <c r="N2290" s="176" t="n">
        <v>0.02286</v>
      </c>
      <c r="O2290" s="172" t="n">
        <v>2.1</v>
      </c>
      <c r="P2290" s="177" t="inlineStr">
        <is>
          <t>优先B</t>
        </is>
      </c>
      <c r="Q2290" s="178" t="n">
        <v>0.04</v>
      </c>
      <c r="R2290" s="179">
        <f>Q1506*J1498</f>
        <v/>
      </c>
      <c r="S2290" s="177" t="inlineStr">
        <is>
          <t>AA+</t>
        </is>
      </c>
      <c r="T2290" s="178" t="n">
        <v>0.0185</v>
      </c>
      <c r="U2290" s="172" t="inlineStr">
        <is>
          <t>中金自营</t>
        </is>
      </c>
      <c r="V2290" s="192" t="n">
        <v>0.1</v>
      </c>
      <c r="W2290" s="172" t="n"/>
      <c r="X2290" s="172" t="n"/>
      <c r="Y2290" s="172" t="n"/>
    </row>
    <row r="2291">
      <c r="A2291" s="172" t="n">
        <v>126</v>
      </c>
      <c r="B2291" s="173" t="inlineStr">
        <is>
          <t>8月</t>
        </is>
      </c>
      <c r="C2291" s="173" t="inlineStr">
        <is>
          <t>消金</t>
        </is>
      </c>
      <c r="D2291" s="173" t="inlineStr">
        <is>
          <t>金条&amp;白取混发</t>
        </is>
      </c>
      <c r="E2291" s="173" t="inlineStr">
        <is>
          <t>2026东樾4号2期（东樾4-4）</t>
        </is>
      </c>
      <c r="F2291" s="173" t="inlineStr">
        <is>
          <t>银行间</t>
        </is>
      </c>
      <c r="G2291" s="173" t="inlineStr">
        <is>
          <t>中信证券</t>
        </is>
      </c>
      <c r="H2291" s="173" t="inlineStr">
        <is>
          <t>国信证券/光大证券/国泰海通/招商证券</t>
        </is>
      </c>
      <c r="I2291" s="173" t="inlineStr">
        <is>
          <t>中邮北分</t>
        </is>
      </c>
      <c r="J2291" s="172" t="n">
        <v>5</v>
      </c>
      <c r="K2291" s="173" t="inlineStr">
        <is>
          <t>22+24</t>
        </is>
      </c>
      <c r="L2291" s="202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优先B</t>
        </is>
      </c>
      <c r="Q2291" s="178" t="n">
        <v>0.04</v>
      </c>
      <c r="R2291" s="179">
        <f>Q1506*J1498</f>
        <v/>
      </c>
      <c r="S2291" s="177" t="inlineStr">
        <is>
          <t>AA+</t>
        </is>
      </c>
      <c r="T2291" s="178" t="n">
        <v>0.0185</v>
      </c>
      <c r="U2291" s="172" t="inlineStr">
        <is>
          <t>中信证券投行</t>
        </is>
      </c>
      <c r="V2291" s="192" t="n">
        <v>0.1</v>
      </c>
      <c r="W2291" s="175" t="n">
        <v>0.0185</v>
      </c>
      <c r="X2291" s="172" t="inlineStr">
        <is>
          <t>中信证券（投行上报）</t>
        </is>
      </c>
      <c r="Y2291" s="191" t="n">
        <v>0.1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优先B</t>
        </is>
      </c>
      <c r="Q2292" s="175" t="n">
        <v>0.04</v>
      </c>
      <c r="R2292" s="172">
        <f>Q1506*J1498</f>
        <v/>
      </c>
      <c r="S2292" s="172" t="inlineStr">
        <is>
          <t>AA+</t>
        </is>
      </c>
      <c r="T2292" s="175" t="n">
        <v>0.0185</v>
      </c>
      <c r="U2292" s="172" t="n"/>
      <c r="V2292" s="172" t="n"/>
      <c r="W2292" s="175" t="n">
        <v>0.0185</v>
      </c>
      <c r="X2292" s="172" t="inlineStr">
        <is>
          <t>中金公司（固定收益部）</t>
        </is>
      </c>
      <c r="Y2292" s="191" t="n">
        <v>0.1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优先B</t>
        </is>
      </c>
      <c r="Q2293" s="175" t="n">
        <v>0.04</v>
      </c>
      <c r="R2293" s="172">
        <f>Q1506*J1498</f>
        <v/>
      </c>
      <c r="S2293" s="172" t="inlineStr">
        <is>
          <t>AA+</t>
        </is>
      </c>
      <c r="T2293" s="175" t="n">
        <v>0.0185</v>
      </c>
      <c r="U2293" s="172" t="n"/>
      <c r="V2293" s="172" t="n"/>
      <c r="W2293" s="175" t="n">
        <v>0.027</v>
      </c>
      <c r="X2293" s="172" t="inlineStr">
        <is>
          <t>国信证券（投行上报）</t>
        </is>
      </c>
      <c r="Y2293" s="191" t="n">
        <v>0.03</v>
      </c>
    </row>
    <row r="2294">
      <c r="A2294" s="172" t="n">
        <v>126</v>
      </c>
      <c r="B2294" s="173" t="inlineStr">
        <is>
          <t>8月</t>
        </is>
      </c>
      <c r="C2294" s="173" t="inlineStr">
        <is>
          <t>消金</t>
        </is>
      </c>
      <c r="D2294" s="173" t="inlineStr">
        <is>
          <t>金条&amp;白取混发</t>
        </is>
      </c>
      <c r="E2294" s="173" t="inlineStr">
        <is>
          <t>2026东樾4号2期（东樾4-4）</t>
        </is>
      </c>
      <c r="F2294" s="173" t="inlineStr">
        <is>
          <t>银行间</t>
        </is>
      </c>
      <c r="G2294" s="173" t="inlineStr">
        <is>
          <t>中信证券</t>
        </is>
      </c>
      <c r="H2294" s="173" t="inlineStr">
        <is>
          <t>国信证券/光大证券/国泰海通/招商证券</t>
        </is>
      </c>
      <c r="I2294" s="173" t="inlineStr">
        <is>
          <t>中邮北分</t>
        </is>
      </c>
      <c r="J2294" s="172" t="n">
        <v>5</v>
      </c>
      <c r="K2294" s="173" t="inlineStr">
        <is>
          <t>22+24</t>
        </is>
      </c>
      <c r="L2294" s="202" t="n">
        <v>46241</v>
      </c>
      <c r="M2294" s="175" t="n">
        <v>0.0148</v>
      </c>
      <c r="N2294" s="176" t="n">
        <v>0.02286</v>
      </c>
      <c r="O2294" s="172" t="n">
        <v>2.1</v>
      </c>
      <c r="P2294" s="177" t="inlineStr">
        <is>
          <t>中间级</t>
        </is>
      </c>
      <c r="Q2294" s="178" t="n">
        <v>0.04</v>
      </c>
      <c r="R2294" s="179">
        <f>Q1508*J1498</f>
        <v/>
      </c>
      <c r="S2294" s="177" t="inlineStr">
        <is>
          <t>A+</t>
        </is>
      </c>
      <c r="T2294" s="178" t="n">
        <v>0.032</v>
      </c>
      <c r="U2294" s="172" t="inlineStr">
        <is>
          <t>国信证券自营</t>
        </is>
      </c>
      <c r="V2294" s="192" t="n">
        <v>0.05</v>
      </c>
      <c r="W2294" s="172" t="n"/>
      <c r="X2294" s="172" t="n"/>
      <c r="Y2294" s="172" t="n"/>
    </row>
    <row r="2295">
      <c r="A2295" s="172" t="n">
        <v>126</v>
      </c>
      <c r="B2295" s="173" t="inlineStr">
        <is>
          <t>8月</t>
        </is>
      </c>
      <c r="C2295" s="173" t="inlineStr">
        <is>
          <t>消金</t>
        </is>
      </c>
      <c r="D2295" s="173" t="inlineStr">
        <is>
          <t>金条&amp;白取混发</t>
        </is>
      </c>
      <c r="E2295" s="173" t="inlineStr">
        <is>
          <t>2026东樾4号2期（东樾4-4）</t>
        </is>
      </c>
      <c r="F2295" s="173" t="inlineStr">
        <is>
          <t>银行间</t>
        </is>
      </c>
      <c r="G2295" s="173" t="inlineStr">
        <is>
          <t>中信证券</t>
        </is>
      </c>
      <c r="H2295" s="173" t="inlineStr">
        <is>
          <t>国信证券/光大证券/国泰海通/招商证券</t>
        </is>
      </c>
      <c r="I2295" s="173" t="inlineStr">
        <is>
          <t>中邮北分</t>
        </is>
      </c>
      <c r="J2295" s="172" t="n">
        <v>5</v>
      </c>
      <c r="K2295" s="173" t="inlineStr">
        <is>
          <t>22+24</t>
        </is>
      </c>
      <c r="L2295" s="202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中间级</t>
        </is>
      </c>
      <c r="Q2295" s="178" t="n">
        <v>0.04</v>
      </c>
      <c r="R2295" s="179">
        <f>Q1508*J1498</f>
        <v/>
      </c>
      <c r="S2295" s="177" t="inlineStr">
        <is>
          <t>A+</t>
        </is>
      </c>
      <c r="T2295" s="178" t="n">
        <v>0.032</v>
      </c>
      <c r="U2295" s="172" t="inlineStr">
        <is>
          <t>上汽财务</t>
        </is>
      </c>
      <c r="V2295" s="192" t="n">
        <v>0.05</v>
      </c>
      <c r="W2295" s="172" t="n"/>
      <c r="X2295" s="172" t="n"/>
      <c r="Y2295" s="172" t="n"/>
    </row>
    <row r="2296">
      <c r="A2296" s="172" t="n">
        <v>126</v>
      </c>
      <c r="B2296" s="173" t="inlineStr">
        <is>
          <t>8月</t>
        </is>
      </c>
      <c r="C2296" s="173" t="inlineStr">
        <is>
          <t>消金</t>
        </is>
      </c>
      <c r="D2296" s="173" t="inlineStr">
        <is>
          <t>金条&amp;白取混发</t>
        </is>
      </c>
      <c r="E2296" s="173" t="inlineStr">
        <is>
          <t>2026东樾4号2期（东樾4-4）</t>
        </is>
      </c>
      <c r="F2296" s="173" t="inlineStr">
        <is>
          <t>银行间</t>
        </is>
      </c>
      <c r="G2296" s="173" t="inlineStr">
        <is>
          <t>中信证券</t>
        </is>
      </c>
      <c r="H2296" s="173" t="inlineStr">
        <is>
          <t>国信证券/光大证券/国泰海通/招商证券</t>
        </is>
      </c>
      <c r="I2296" s="173" t="inlineStr">
        <is>
          <t>中邮北分</t>
        </is>
      </c>
      <c r="J2296" s="172" t="n">
        <v>5</v>
      </c>
      <c r="K2296" s="173" t="inlineStr">
        <is>
          <t>22+24</t>
        </is>
      </c>
      <c r="L2296" s="202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中间级</t>
        </is>
      </c>
      <c r="Q2296" s="178" t="n">
        <v>0.04</v>
      </c>
      <c r="R2296" s="179">
        <f>Q1508*J1498</f>
        <v/>
      </c>
      <c r="S2296" s="177" t="inlineStr">
        <is>
          <t>A+</t>
        </is>
      </c>
      <c r="T2296" s="178" t="n">
        <v>0.032</v>
      </c>
      <c r="U2296" s="172" t="inlineStr">
        <is>
          <t>利曦基金</t>
        </is>
      </c>
      <c r="V2296" s="192" t="n">
        <v>0.1</v>
      </c>
      <c r="W2296" s="172" t="n"/>
      <c r="X2296" s="172" t="n"/>
      <c r="Y2296" s="172" t="n"/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受益权</t>
        </is>
      </c>
      <c r="Q2297" s="178" t="n">
        <v>0.05</v>
      </c>
      <c r="R2297" s="179">
        <f>Q1511*J1498</f>
        <v/>
      </c>
      <c r="S2297" s="177" t="inlineStr">
        <is>
          <t>无</t>
        </is>
      </c>
      <c r="T2297" s="178" t="n">
        <v>0.0495</v>
      </c>
      <c r="U2297" s="172" t="inlineStr">
        <is>
          <t>国信证券自营</t>
        </is>
      </c>
      <c r="V2297" s="195" t="n">
        <v>0.135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受益权</t>
        </is>
      </c>
      <c r="Q2298" s="178" t="n">
        <v>0.05</v>
      </c>
      <c r="R2298" s="179">
        <f>Q1511*J1498</f>
        <v/>
      </c>
      <c r="S2298" s="177" t="inlineStr">
        <is>
          <t>无</t>
        </is>
      </c>
      <c r="T2298" s="178" t="n">
        <v>0.0495</v>
      </c>
      <c r="U2298" s="172" t="inlineStr">
        <is>
          <t>中信建投衍生品</t>
        </is>
      </c>
      <c r="V2298" s="195" t="n">
        <v>0.115</v>
      </c>
      <c r="W2298" s="172" t="n"/>
      <c r="X2298" s="172" t="n"/>
      <c r="Y2298" s="172" t="n"/>
    </row>
    <row r="2299">
      <c r="A2299" s="172" t="n">
        <v>127</v>
      </c>
      <c r="B2299" s="172" t="inlineStr">
        <is>
          <t>8月</t>
        </is>
      </c>
      <c r="C2299" s="172" t="inlineStr">
        <is>
          <t>企金</t>
        </is>
      </c>
      <c r="D2299" s="172" t="inlineStr">
        <is>
          <t>保理</t>
        </is>
      </c>
      <c r="E2299" s="172" t="inlineStr">
        <is>
          <t>京诚15-11</t>
        </is>
      </c>
      <c r="F2299" s="172" t="inlineStr">
        <is>
          <t>上交所</t>
        </is>
      </c>
      <c r="G2299" s="172" t="inlineStr">
        <is>
          <t>首创证券</t>
        </is>
      </c>
      <c r="H2299" s="172" t="inlineStr">
        <is>
          <t>兴业证券</t>
        </is>
      </c>
      <c r="I2299" s="172" t="inlineStr">
        <is>
          <t>江苏北分</t>
        </is>
      </c>
      <c r="J2299" s="172" t="n">
        <v>10</v>
      </c>
      <c r="K2299" s="172" t="inlineStr">
        <is>
          <t>3+3</t>
        </is>
      </c>
      <c r="L2299" s="202" t="n">
        <v>46241</v>
      </c>
      <c r="M2299" s="175" t="n">
        <v>0.0148</v>
      </c>
      <c r="N2299" s="176" t="n">
        <v>0.0161</v>
      </c>
      <c r="O2299" s="191" t="n">
        <v>3.47</v>
      </c>
      <c r="P2299" s="172" t="inlineStr">
        <is>
          <t>优先级</t>
        </is>
      </c>
      <c r="Q2299" s="175" t="n">
        <v>0.99</v>
      </c>
      <c r="R2299" s="192" t="n">
        <v>9.9</v>
      </c>
      <c r="S2299" s="172" t="inlineStr">
        <is>
          <t>AAA</t>
        </is>
      </c>
      <c r="T2299" s="175" t="n">
        <v>0.0154</v>
      </c>
      <c r="U2299" s="172" t="inlineStr">
        <is>
          <t>民生理财</t>
        </is>
      </c>
      <c r="V2299" s="191" t="n">
        <v>2.97</v>
      </c>
      <c r="W2299" s="172" t="n"/>
      <c r="X2299" s="172" t="n"/>
      <c r="Y2299" s="172" t="n"/>
    </row>
    <row r="2300">
      <c r="A2300" s="172" t="n">
        <v>127</v>
      </c>
      <c r="B2300" s="172" t="inlineStr">
        <is>
          <t>8月</t>
        </is>
      </c>
      <c r="C2300" s="172" t="inlineStr">
        <is>
          <t>企金</t>
        </is>
      </c>
      <c r="D2300" s="172" t="inlineStr">
        <is>
          <t>保理</t>
        </is>
      </c>
      <c r="E2300" s="172" t="inlineStr">
        <is>
          <t>京诚15-11</t>
        </is>
      </c>
      <c r="F2300" s="172" t="inlineStr">
        <is>
          <t>上交所</t>
        </is>
      </c>
      <c r="G2300" s="172" t="inlineStr">
        <is>
          <t>首创证券</t>
        </is>
      </c>
      <c r="H2300" s="172" t="inlineStr">
        <is>
          <t>兴业证券</t>
        </is>
      </c>
      <c r="I2300" s="172" t="inlineStr">
        <is>
          <t>江苏北分</t>
        </is>
      </c>
      <c r="J2300" s="172" t="n">
        <v>10</v>
      </c>
      <c r="K2300" s="172" t="inlineStr">
        <is>
          <t>3+3</t>
        </is>
      </c>
      <c r="L2300" s="202" t="n">
        <v>46241</v>
      </c>
      <c r="M2300" s="175" t="n">
        <v>0.0148</v>
      </c>
      <c r="N2300" s="176" t="n">
        <v>0.0161</v>
      </c>
      <c r="O2300" s="191" t="n">
        <v>3.47</v>
      </c>
      <c r="P2300" s="172" t="inlineStr">
        <is>
          <t>优先级</t>
        </is>
      </c>
      <c r="Q2300" s="175" t="n">
        <v>0.99</v>
      </c>
      <c r="R2300" s="192" t="n">
        <v>9.9</v>
      </c>
      <c r="S2300" s="172" t="inlineStr">
        <is>
          <t>AAA</t>
        </is>
      </c>
      <c r="T2300" s="175" t="n">
        <v>0.0154</v>
      </c>
      <c r="U2300" s="172" t="inlineStr">
        <is>
          <t>平安理财</t>
        </is>
      </c>
      <c r="V2300" s="191" t="n">
        <v>2.47</v>
      </c>
      <c r="W2300" s="172" t="n"/>
      <c r="X2300" s="172" t="n"/>
      <c r="Y2300" s="172" t="n"/>
    </row>
    <row r="2301">
      <c r="A2301" s="172" t="n">
        <v>127</v>
      </c>
      <c r="B2301" s="172" t="inlineStr">
        <is>
          <t>8月</t>
        </is>
      </c>
      <c r="C2301" s="172" t="inlineStr">
        <is>
          <t>企金</t>
        </is>
      </c>
      <c r="D2301" s="172" t="inlineStr">
        <is>
          <t>保理</t>
        </is>
      </c>
      <c r="E2301" s="172" t="inlineStr">
        <is>
          <t>京诚15-11</t>
        </is>
      </c>
      <c r="F2301" s="172" t="inlineStr">
        <is>
          <t>上交所</t>
        </is>
      </c>
      <c r="G2301" s="172" t="inlineStr">
        <is>
          <t>首创证券</t>
        </is>
      </c>
      <c r="H2301" s="172" t="inlineStr">
        <is>
          <t>兴业证券</t>
        </is>
      </c>
      <c r="I2301" s="172" t="inlineStr">
        <is>
          <t>江苏北分</t>
        </is>
      </c>
      <c r="J2301" s="172" t="n">
        <v>10</v>
      </c>
      <c r="K2301" s="172" t="inlineStr">
        <is>
          <t>3+3</t>
        </is>
      </c>
      <c r="L2301" s="202" t="n">
        <v>46241</v>
      </c>
      <c r="M2301" s="175" t="n">
        <v>0.0148</v>
      </c>
      <c r="N2301" s="176" t="n">
        <v>0.0161</v>
      </c>
      <c r="O2301" s="191" t="n">
        <v>3.47</v>
      </c>
      <c r="P2301" s="172" t="inlineStr">
        <is>
          <t>优先级</t>
        </is>
      </c>
      <c r="Q2301" s="175" t="n">
        <v>0.99</v>
      </c>
      <c r="R2301" s="192" t="n">
        <v>9.9</v>
      </c>
      <c r="S2301" s="172" t="inlineStr">
        <is>
          <t>AAA</t>
        </is>
      </c>
      <c r="T2301" s="175" t="n">
        <v>0.0154</v>
      </c>
      <c r="U2301" s="172" t="inlineStr">
        <is>
          <t>中银理财</t>
        </is>
      </c>
      <c r="V2301" s="191" t="n">
        <v>1.01</v>
      </c>
      <c r="W2301" s="172" t="n"/>
      <c r="X2301" s="172" t="n"/>
      <c r="Y2301" s="172" t="n"/>
    </row>
    <row r="2302">
      <c r="A2302" s="172" t="n">
        <v>127</v>
      </c>
      <c r="B2302" s="172" t="inlineStr">
        <is>
          <t>8月</t>
        </is>
      </c>
      <c r="C2302" s="172" t="inlineStr">
        <is>
          <t>企金</t>
        </is>
      </c>
      <c r="D2302" s="172" t="inlineStr">
        <is>
          <t>保理</t>
        </is>
      </c>
      <c r="E2302" s="172" t="inlineStr">
        <is>
          <t>京诚15-11</t>
        </is>
      </c>
      <c r="F2302" s="172" t="inlineStr">
        <is>
          <t>上交所</t>
        </is>
      </c>
      <c r="G2302" s="172" t="inlineStr">
        <is>
          <t>首创证券</t>
        </is>
      </c>
      <c r="H2302" s="172" t="inlineStr">
        <is>
          <t>兴业证券</t>
        </is>
      </c>
      <c r="I2302" s="172" t="inlineStr">
        <is>
          <t>江苏北分</t>
        </is>
      </c>
      <c r="J2302" s="172" t="n">
        <v>10</v>
      </c>
      <c r="K2302" s="172" t="inlineStr">
        <is>
          <t>3+3</t>
        </is>
      </c>
      <c r="L2302" s="202" t="n">
        <v>46241</v>
      </c>
      <c r="M2302" s="175" t="n">
        <v>0.0148</v>
      </c>
      <c r="N2302" s="176" t="n">
        <v>0.0161</v>
      </c>
      <c r="O2302" s="191" t="n">
        <v>3.47</v>
      </c>
      <c r="P2302" s="172" t="inlineStr">
        <is>
          <t>优先级</t>
        </is>
      </c>
      <c r="Q2302" s="175" t="n">
        <v>0.99</v>
      </c>
      <c r="R2302" s="192" t="n">
        <v>9.9</v>
      </c>
      <c r="S2302" s="172" t="inlineStr">
        <is>
          <t>AAA</t>
        </is>
      </c>
      <c r="T2302" s="175" t="n">
        <v>0.0154</v>
      </c>
      <c r="U2302" s="172" t="inlineStr">
        <is>
          <t>杭银理财</t>
        </is>
      </c>
      <c r="V2302" s="191" t="n">
        <v>0.12</v>
      </c>
      <c r="W2302" s="172" t="n"/>
      <c r="X2302" s="172" t="n"/>
      <c r="Y2302" s="172" t="n"/>
    </row>
    <row r="2303">
      <c r="A2303" s="172" t="n">
        <v>127</v>
      </c>
      <c r="B2303" s="172" t="inlineStr">
        <is>
          <t>8月</t>
        </is>
      </c>
      <c r="C2303" s="172" t="inlineStr">
        <is>
          <t>企金</t>
        </is>
      </c>
      <c r="D2303" s="172" t="inlineStr">
        <is>
          <t>保理</t>
        </is>
      </c>
      <c r="E2303" s="172" t="inlineStr">
        <is>
          <t>京诚15-11</t>
        </is>
      </c>
      <c r="F2303" s="172" t="inlineStr">
        <is>
          <t>上交所</t>
        </is>
      </c>
      <c r="G2303" s="172" t="inlineStr">
        <is>
          <t>首创证券</t>
        </is>
      </c>
      <c r="H2303" s="172" t="inlineStr">
        <is>
          <t>兴业证券</t>
        </is>
      </c>
      <c r="I2303" s="172" t="inlineStr">
        <is>
          <t>江苏北分</t>
        </is>
      </c>
      <c r="J2303" s="172" t="n">
        <v>10</v>
      </c>
      <c r="K2303" s="172" t="inlineStr">
        <is>
          <t>3+3</t>
        </is>
      </c>
      <c r="L2303" s="202" t="n">
        <v>46241</v>
      </c>
      <c r="M2303" s="175" t="n">
        <v>0.0148</v>
      </c>
      <c r="N2303" s="176" t="n">
        <v>0.0161</v>
      </c>
      <c r="O2303" s="191" t="n">
        <v>3.47</v>
      </c>
      <c r="P2303" s="172" t="inlineStr">
        <is>
          <t>优先级</t>
        </is>
      </c>
      <c r="Q2303" s="175" t="n">
        <v>0.99</v>
      </c>
      <c r="R2303" s="192" t="n">
        <v>9.9</v>
      </c>
      <c r="S2303" s="172" t="inlineStr">
        <is>
          <t>AAA</t>
        </is>
      </c>
      <c r="T2303" s="175" t="n">
        <v>0.0154</v>
      </c>
      <c r="U2303" s="172" t="inlineStr">
        <is>
          <t>兴银理财</t>
        </is>
      </c>
      <c r="V2303" s="191" t="n">
        <v>0.52</v>
      </c>
      <c r="W2303" s="172" t="n"/>
      <c r="X2303" s="172" t="n"/>
      <c r="Y2303" s="172" t="n"/>
    </row>
    <row r="2304">
      <c r="A2304" s="172" t="n">
        <v>127</v>
      </c>
      <c r="B2304" s="172" t="inlineStr">
        <is>
          <t>8月</t>
        </is>
      </c>
      <c r="C2304" s="172" t="inlineStr">
        <is>
          <t>企金</t>
        </is>
      </c>
      <c r="D2304" s="172" t="inlineStr">
        <is>
          <t>保理</t>
        </is>
      </c>
      <c r="E2304" s="172" t="inlineStr">
        <is>
          <t>京诚15-11</t>
        </is>
      </c>
      <c r="F2304" s="172" t="inlineStr">
        <is>
          <t>上交所</t>
        </is>
      </c>
      <c r="G2304" s="172" t="inlineStr">
        <is>
          <t>首创证券</t>
        </is>
      </c>
      <c r="H2304" s="172" t="inlineStr">
        <is>
          <t>兴业证券</t>
        </is>
      </c>
      <c r="I2304" s="172" t="inlineStr">
        <is>
          <t>江苏北分</t>
        </is>
      </c>
      <c r="J2304" s="172" t="n">
        <v>10</v>
      </c>
      <c r="K2304" s="172" t="inlineStr">
        <is>
          <t>3+3</t>
        </is>
      </c>
      <c r="L2304" s="202" t="n">
        <v>46241</v>
      </c>
      <c r="M2304" s="175" t="n">
        <v>0.0148</v>
      </c>
      <c r="N2304" s="176" t="n">
        <v>0.0161</v>
      </c>
      <c r="O2304" s="191" t="n">
        <v>3.47</v>
      </c>
      <c r="P2304" s="172" t="inlineStr">
        <is>
          <t>优先级</t>
        </is>
      </c>
      <c r="Q2304" s="175" t="n">
        <v>0.99</v>
      </c>
      <c r="R2304" s="192" t="n">
        <v>9.9</v>
      </c>
      <c r="S2304" s="172" t="inlineStr">
        <is>
          <t>AAA</t>
        </is>
      </c>
      <c r="T2304" s="175" t="n">
        <v>0.0154</v>
      </c>
      <c r="U2304" s="172" t="inlineStr">
        <is>
          <t>平安资产</t>
        </is>
      </c>
      <c r="V2304" s="191" t="n">
        <v>2.23</v>
      </c>
      <c r="W2304" s="172" t="n"/>
      <c r="X2304" s="172" t="n"/>
      <c r="Y2304" s="172" t="n"/>
    </row>
    <row r="2305">
      <c r="A2305" s="172" t="n">
        <v>127</v>
      </c>
      <c r="B2305" s="172" t="inlineStr">
        <is>
          <t>8月</t>
        </is>
      </c>
      <c r="C2305" s="172" t="inlineStr">
        <is>
          <t>企金</t>
        </is>
      </c>
      <c r="D2305" s="172" t="inlineStr">
        <is>
          <t>保理</t>
        </is>
      </c>
      <c r="E2305" s="172" t="inlineStr">
        <is>
          <t>京诚15-11</t>
        </is>
      </c>
      <c r="F2305" s="172" t="inlineStr">
        <is>
          <t>上交所</t>
        </is>
      </c>
      <c r="G2305" s="172" t="inlineStr">
        <is>
          <t>首创证券</t>
        </is>
      </c>
      <c r="H2305" s="172" t="inlineStr">
        <is>
          <t>兴业证券</t>
        </is>
      </c>
      <c r="I2305" s="172" t="inlineStr">
        <is>
          <t>江苏北分</t>
        </is>
      </c>
      <c r="J2305" s="172" t="n">
        <v>10</v>
      </c>
      <c r="K2305" s="172" t="inlineStr">
        <is>
          <t>3+3</t>
        </is>
      </c>
      <c r="L2305" s="202" t="n">
        <v>46241</v>
      </c>
      <c r="M2305" s="175" t="n">
        <v>0.0148</v>
      </c>
      <c r="N2305" s="176" t="n">
        <v>0.0161</v>
      </c>
      <c r="O2305" s="191" t="n">
        <v>3.47</v>
      </c>
      <c r="P2305" s="172" t="inlineStr">
        <is>
          <t>优先级</t>
        </is>
      </c>
      <c r="Q2305" s="175" t="n">
        <v>0.99</v>
      </c>
      <c r="R2305" s="192" t="n">
        <v>9.9</v>
      </c>
      <c r="S2305" s="172" t="inlineStr">
        <is>
          <t>AAA</t>
        </is>
      </c>
      <c r="T2305" s="175" t="n">
        <v>0.0154</v>
      </c>
      <c r="U2305" s="172" t="inlineStr">
        <is>
          <t>浦银理财</t>
        </is>
      </c>
      <c r="V2305" s="191" t="n">
        <v>0.58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次级</t>
        </is>
      </c>
      <c r="Q2306" s="175" t="n">
        <v>0.01</v>
      </c>
      <c r="R2306" s="192" t="n">
        <v>0.1</v>
      </c>
      <c r="S2306" s="175" t="inlineStr">
        <is>
          <t>无</t>
        </is>
      </c>
      <c r="T2306" s="175" t="n">
        <v>0.043</v>
      </c>
      <c r="U2306" s="172" t="inlineStr">
        <is>
          <t>利曦基金</t>
        </is>
      </c>
      <c r="V2306" s="191" t="n">
        <v>0.1</v>
      </c>
      <c r="W2306" s="172" t="n"/>
      <c r="X2306" s="172" t="n"/>
      <c r="Y2306" s="172" t="n"/>
    </row>
    <row r="2307">
      <c r="A2307" s="172" t="n">
        <v>128</v>
      </c>
      <c r="B2307" s="173" t="inlineStr">
        <is>
          <t>8月</t>
        </is>
      </c>
      <c r="C2307" s="173" t="inlineStr">
        <is>
          <t>消金</t>
        </is>
      </c>
      <c r="D2307" s="173" t="inlineStr">
        <is>
          <t>赊销白条</t>
        </is>
      </c>
      <c r="E2307" s="173" t="inlineStr">
        <is>
          <t>东裕11号季裕（可续发）</t>
        </is>
      </c>
      <c r="F2307" s="173" t="inlineStr">
        <is>
          <t>银行间</t>
        </is>
      </c>
      <c r="G2307" s="173" t="inlineStr">
        <is>
          <t>光大证券</t>
        </is>
      </c>
      <c r="H2307" s="173" t="inlineStr">
        <is>
          <t>江苏银行/杭州银行/厦门国际银行/中信证券</t>
        </is>
      </c>
      <c r="I2307" s="173" t="inlineStr">
        <is>
          <t>工银天分</t>
        </is>
      </c>
      <c r="J2307" s="172" t="n">
        <v>10</v>
      </c>
      <c r="K2307" s="173" t="inlineStr">
        <is>
          <t>10+10+9+3</t>
        </is>
      </c>
      <c r="L2307" s="202" t="n">
        <v>46244</v>
      </c>
      <c r="M2307" s="175" t="n">
        <v>0.0148</v>
      </c>
      <c r="N2307" s="176" t="n">
        <v>0.018</v>
      </c>
      <c r="O2307" s="191" t="n">
        <v>2.12</v>
      </c>
      <c r="P2307" s="177" t="inlineStr">
        <is>
          <t>优先A</t>
        </is>
      </c>
      <c r="Q2307" s="178" t="n">
        <v>0.9</v>
      </c>
      <c r="R2307" s="179" t="n">
        <v>9</v>
      </c>
      <c r="S2307" s="177" t="inlineStr">
        <is>
          <t>AAA</t>
        </is>
      </c>
      <c r="T2307" s="178" t="n">
        <v>0.0158</v>
      </c>
      <c r="U2307" s="177" t="inlineStr">
        <is>
          <t>杭州银行</t>
        </is>
      </c>
      <c r="V2307" s="192" t="n">
        <v>1.8</v>
      </c>
      <c r="W2307" s="172" t="n"/>
      <c r="X2307" s="172" t="n"/>
      <c r="Y2307" s="172" t="n"/>
    </row>
    <row r="2308">
      <c r="A2308" s="172" t="n">
        <v>128</v>
      </c>
      <c r="B2308" s="173" t="inlineStr">
        <is>
          <t>8月</t>
        </is>
      </c>
      <c r="C2308" s="173" t="inlineStr">
        <is>
          <t>消金</t>
        </is>
      </c>
      <c r="D2308" s="173" t="inlineStr">
        <is>
          <t>赊销白条</t>
        </is>
      </c>
      <c r="E2308" s="173" t="inlineStr">
        <is>
          <t>东裕11号季裕（可续发）</t>
        </is>
      </c>
      <c r="F2308" s="173" t="inlineStr">
        <is>
          <t>银行间</t>
        </is>
      </c>
      <c r="G2308" s="173" t="inlineStr">
        <is>
          <t>光大证券</t>
        </is>
      </c>
      <c r="H2308" s="173" t="inlineStr">
        <is>
          <t>江苏银行/杭州银行/厦门国际银行/中信证券</t>
        </is>
      </c>
      <c r="I2308" s="173" t="inlineStr">
        <is>
          <t>工银天分</t>
        </is>
      </c>
      <c r="J2308" s="172" t="n">
        <v>10</v>
      </c>
      <c r="K2308" s="173" t="inlineStr">
        <is>
          <t>10+10+9+3</t>
        </is>
      </c>
      <c r="L2308" s="202" t="n">
        <v>46244</v>
      </c>
      <c r="M2308" s="175" t="n">
        <v>0.0148</v>
      </c>
      <c r="N2308" s="176" t="n">
        <v>0.018</v>
      </c>
      <c r="O2308" s="191" t="n">
        <v>2.12</v>
      </c>
      <c r="P2308" s="172" t="inlineStr">
        <is>
          <t>优先A</t>
        </is>
      </c>
      <c r="Q2308" s="178" t="n">
        <v>0.9</v>
      </c>
      <c r="R2308" s="179" t="n">
        <v>9</v>
      </c>
      <c r="S2308" s="177" t="inlineStr">
        <is>
          <t>AAA</t>
        </is>
      </c>
      <c r="T2308" s="178" t="n">
        <v>0.0158</v>
      </c>
      <c r="U2308" s="177" t="inlineStr">
        <is>
          <t>中银理财</t>
        </is>
      </c>
      <c r="V2308" s="192" t="n">
        <v>1.2</v>
      </c>
      <c r="W2308" s="172" t="n"/>
      <c r="X2308" s="172" t="n"/>
      <c r="Y2308" s="172" t="n"/>
    </row>
    <row r="2309">
      <c r="A2309" s="172" t="n">
        <v>128</v>
      </c>
      <c r="B2309" s="173" t="inlineStr">
        <is>
          <t>8月</t>
        </is>
      </c>
      <c r="C2309" s="173" t="inlineStr">
        <is>
          <t>消金</t>
        </is>
      </c>
      <c r="D2309" s="173" t="inlineStr">
        <is>
          <t>赊销白条</t>
        </is>
      </c>
      <c r="E2309" s="173" t="inlineStr">
        <is>
          <t>东裕11号季裕（可续发）</t>
        </is>
      </c>
      <c r="F2309" s="173" t="inlineStr">
        <is>
          <t>银行间</t>
        </is>
      </c>
      <c r="G2309" s="173" t="inlineStr">
        <is>
          <t>光大证券</t>
        </is>
      </c>
      <c r="H2309" s="173" t="inlineStr">
        <is>
          <t>江苏银行/杭州银行/厦门国际银行/中信证券</t>
        </is>
      </c>
      <c r="I2309" s="173" t="inlineStr">
        <is>
          <t>工银天分</t>
        </is>
      </c>
      <c r="J2309" s="172" t="n">
        <v>10</v>
      </c>
      <c r="K2309" s="173" t="inlineStr">
        <is>
          <t>10+10+9+3</t>
        </is>
      </c>
      <c r="L2309" s="202" t="n">
        <v>46244</v>
      </c>
      <c r="M2309" s="175" t="n">
        <v>0.0148</v>
      </c>
      <c r="N2309" s="176" t="n">
        <v>0.018</v>
      </c>
      <c r="O2309" s="191" t="n">
        <v>2.12</v>
      </c>
      <c r="P2309" s="172" t="inlineStr">
        <is>
          <t>优先A</t>
        </is>
      </c>
      <c r="Q2309" s="178" t="n">
        <v>0.9</v>
      </c>
      <c r="R2309" s="179" t="n">
        <v>9</v>
      </c>
      <c r="S2309" s="177" t="inlineStr">
        <is>
          <t>AAA</t>
        </is>
      </c>
      <c r="T2309" s="178" t="n">
        <v>0.0158</v>
      </c>
      <c r="U2309" s="177" t="inlineStr">
        <is>
          <t>江苏银行</t>
        </is>
      </c>
      <c r="V2309" s="192" t="n">
        <v>0.1</v>
      </c>
      <c r="W2309" s="172" t="n"/>
      <c r="X2309" s="172" t="n"/>
      <c r="Y2309" s="172" t="n"/>
    </row>
    <row r="2310">
      <c r="A2310" s="172" t="n">
        <v>128</v>
      </c>
      <c r="B2310" s="173" t="inlineStr">
        <is>
          <t>8月</t>
        </is>
      </c>
      <c r="C2310" s="173" t="inlineStr">
        <is>
          <t>消金</t>
        </is>
      </c>
      <c r="D2310" s="173" t="inlineStr">
        <is>
          <t>赊销白条</t>
        </is>
      </c>
      <c r="E2310" s="173" t="inlineStr">
        <is>
          <t>东裕11号季裕（可续发）</t>
        </is>
      </c>
      <c r="F2310" s="173" t="inlineStr">
        <is>
          <t>银行间</t>
        </is>
      </c>
      <c r="G2310" s="173" t="inlineStr">
        <is>
          <t>光大证券</t>
        </is>
      </c>
      <c r="H2310" s="173" t="inlineStr">
        <is>
          <t>江苏银行/杭州银行/厦门国际银行/中信证券</t>
        </is>
      </c>
      <c r="I2310" s="173" t="inlineStr">
        <is>
          <t>工银天分</t>
        </is>
      </c>
      <c r="J2310" s="172" t="n">
        <v>10</v>
      </c>
      <c r="K2310" s="173" t="inlineStr">
        <is>
          <t>10+10+9+3</t>
        </is>
      </c>
      <c r="L2310" s="202" t="n">
        <v>46244</v>
      </c>
      <c r="M2310" s="175" t="n">
        <v>0.0148</v>
      </c>
      <c r="N2310" s="176" t="n">
        <v>0.018</v>
      </c>
      <c r="O2310" s="191" t="n">
        <v>2.12</v>
      </c>
      <c r="P2310" s="172" t="inlineStr">
        <is>
          <t>优先A</t>
        </is>
      </c>
      <c r="Q2310" s="178" t="n">
        <v>0.9</v>
      </c>
      <c r="R2310" s="179" t="n">
        <v>9</v>
      </c>
      <c r="S2310" s="177" t="inlineStr">
        <is>
          <t>AAA</t>
        </is>
      </c>
      <c r="T2310" s="178" t="n">
        <v>0.0158</v>
      </c>
      <c r="U2310" s="177" t="inlineStr">
        <is>
          <t>招银理财</t>
        </is>
      </c>
      <c r="V2310" s="192" t="n">
        <v>2.7</v>
      </c>
      <c r="W2310" s="172" t="n"/>
      <c r="X2310" s="172" t="n"/>
      <c r="Y2310" s="172" t="n"/>
    </row>
    <row r="2311">
      <c r="A2311" s="172" t="n">
        <v>128</v>
      </c>
      <c r="B2311" s="173" t="inlineStr">
        <is>
          <t>8月</t>
        </is>
      </c>
      <c r="C2311" s="173" t="inlineStr">
        <is>
          <t>消金</t>
        </is>
      </c>
      <c r="D2311" s="173" t="inlineStr">
        <is>
          <t>赊销白条</t>
        </is>
      </c>
      <c r="E2311" s="173" t="inlineStr">
        <is>
          <t>东裕11号季裕（可续发）</t>
        </is>
      </c>
      <c r="F2311" s="173" t="inlineStr">
        <is>
          <t>银行间</t>
        </is>
      </c>
      <c r="G2311" s="173" t="inlineStr">
        <is>
          <t>光大证券</t>
        </is>
      </c>
      <c r="H2311" s="173" t="inlineStr">
        <is>
          <t>江苏银行/杭州银行/厦门国际银行/中信证券</t>
        </is>
      </c>
      <c r="I2311" s="173" t="inlineStr">
        <is>
          <t>工银天分</t>
        </is>
      </c>
      <c r="J2311" s="172" t="n">
        <v>10</v>
      </c>
      <c r="K2311" s="173" t="inlineStr">
        <is>
          <t>10+10+9+3</t>
        </is>
      </c>
      <c r="L2311" s="202" t="n">
        <v>46244</v>
      </c>
      <c r="M2311" s="175" t="n">
        <v>0.0148</v>
      </c>
      <c r="N2311" s="176" t="n">
        <v>0.018</v>
      </c>
      <c r="O2311" s="191" t="n">
        <v>2.12</v>
      </c>
      <c r="P2311" s="172" t="inlineStr">
        <is>
          <t>优先A</t>
        </is>
      </c>
      <c r="Q2311" s="178" t="n">
        <v>0.9</v>
      </c>
      <c r="R2311" s="179" t="n">
        <v>9</v>
      </c>
      <c r="S2311" s="177" t="inlineStr">
        <is>
          <t>AAA</t>
        </is>
      </c>
      <c r="T2311" s="178" t="n">
        <v>0.0158</v>
      </c>
      <c r="U2311" s="177" t="inlineStr">
        <is>
          <t>建信理财</t>
        </is>
      </c>
      <c r="V2311" s="192" t="n">
        <v>0.5</v>
      </c>
      <c r="W2311" s="172" t="n"/>
      <c r="X2311" s="172" t="n"/>
      <c r="Y2311" s="172" t="n"/>
    </row>
    <row r="2312">
      <c r="A2312" s="172" t="n">
        <v>128</v>
      </c>
      <c r="B2312" s="173" t="inlineStr">
        <is>
          <t>8月</t>
        </is>
      </c>
      <c r="C2312" s="173" t="inlineStr">
        <is>
          <t>消金</t>
        </is>
      </c>
      <c r="D2312" s="173" t="inlineStr">
        <is>
          <t>赊销白条</t>
        </is>
      </c>
      <c r="E2312" s="173" t="inlineStr">
        <is>
          <t>东裕11号季裕（可续发）</t>
        </is>
      </c>
      <c r="F2312" s="173" t="inlineStr">
        <is>
          <t>银行间</t>
        </is>
      </c>
      <c r="G2312" s="173" t="inlineStr">
        <is>
          <t>光大证券</t>
        </is>
      </c>
      <c r="H2312" s="173" t="inlineStr">
        <is>
          <t>江苏银行/杭州银行/厦门国际银行/中信证券</t>
        </is>
      </c>
      <c r="I2312" s="173" t="inlineStr">
        <is>
          <t>工银天分</t>
        </is>
      </c>
      <c r="J2312" s="172" t="n">
        <v>10</v>
      </c>
      <c r="K2312" s="173" t="inlineStr">
        <is>
          <t>10+10+9+3</t>
        </is>
      </c>
      <c r="L2312" s="202" t="n">
        <v>46244</v>
      </c>
      <c r="M2312" s="175" t="n">
        <v>0.0148</v>
      </c>
      <c r="N2312" s="176" t="n">
        <v>0.018</v>
      </c>
      <c r="O2312" s="191" t="n">
        <v>2.12</v>
      </c>
      <c r="P2312" s="172" t="inlineStr">
        <is>
          <t>优先A</t>
        </is>
      </c>
      <c r="Q2312" s="178" t="n">
        <v>0.9</v>
      </c>
      <c r="R2312" s="179" t="n">
        <v>9</v>
      </c>
      <c r="S2312" s="177" t="inlineStr">
        <is>
          <t>AAA</t>
        </is>
      </c>
      <c r="T2312" s="178" t="n">
        <v>0.0158</v>
      </c>
      <c r="U2312" s="177" t="inlineStr">
        <is>
          <t>信银理财</t>
        </is>
      </c>
      <c r="V2312" s="192" t="n">
        <v>2.7</v>
      </c>
      <c r="W2312" s="172" t="n"/>
      <c r="X2312" s="172" t="n"/>
      <c r="Y2312" s="172" t="n"/>
    </row>
    <row r="2313">
      <c r="A2313" s="172" t="n">
        <v>128</v>
      </c>
      <c r="B2313" s="173" t="inlineStr">
        <is>
          <t>8月</t>
        </is>
      </c>
      <c r="C2313" s="173" t="inlineStr">
        <is>
          <t>消金</t>
        </is>
      </c>
      <c r="D2313" s="173" t="inlineStr">
        <is>
          <t>赊销白条</t>
        </is>
      </c>
      <c r="E2313" s="173" t="inlineStr">
        <is>
          <t>东裕11号季裕（可续发）</t>
        </is>
      </c>
      <c r="F2313" s="173" t="inlineStr">
        <is>
          <t>银行间</t>
        </is>
      </c>
      <c r="G2313" s="173" t="inlineStr">
        <is>
          <t>光大证券</t>
        </is>
      </c>
      <c r="H2313" s="173" t="inlineStr">
        <is>
          <t>江苏银行/杭州银行/厦门国际银行/中信证券</t>
        </is>
      </c>
      <c r="I2313" s="173" t="inlineStr">
        <is>
          <t>工银天分</t>
        </is>
      </c>
      <c r="J2313" s="172" t="n">
        <v>10</v>
      </c>
      <c r="K2313" s="173" t="inlineStr">
        <is>
          <t>10+10+9+3</t>
        </is>
      </c>
      <c r="L2313" s="202" t="n">
        <v>46244</v>
      </c>
      <c r="M2313" s="175" t="n">
        <v>0.0148</v>
      </c>
      <c r="N2313" s="176" t="n">
        <v>0.018</v>
      </c>
      <c r="O2313" s="191" t="n">
        <v>2.12</v>
      </c>
      <c r="P2313" s="177" t="inlineStr">
        <is>
          <t>优先B</t>
        </is>
      </c>
      <c r="Q2313" s="178" t="n">
        <v>0.03</v>
      </c>
      <c r="R2313" s="179" t="n">
        <v>0.3</v>
      </c>
      <c r="S2313" s="177" t="inlineStr">
        <is>
          <t>AA+</t>
        </is>
      </c>
      <c r="T2313" s="178" t="n">
        <v>0.018</v>
      </c>
      <c r="U2313" s="177" t="inlineStr">
        <is>
          <t>杭州联合银行</t>
        </is>
      </c>
      <c r="V2313" s="192" t="n">
        <v>0.09</v>
      </c>
      <c r="W2313" s="172" t="n"/>
      <c r="X2313" s="172" t="n"/>
      <c r="Y2313" s="172" t="n"/>
    </row>
    <row r="2314">
      <c r="A2314" s="172" t="n">
        <v>128</v>
      </c>
      <c r="B2314" s="173" t="inlineStr">
        <is>
          <t>8月</t>
        </is>
      </c>
      <c r="C2314" s="173" t="inlineStr">
        <is>
          <t>消金</t>
        </is>
      </c>
      <c r="D2314" s="173" t="inlineStr">
        <is>
          <t>赊销白条</t>
        </is>
      </c>
      <c r="E2314" s="173" t="inlineStr">
        <is>
          <t>东裕11号季裕（可续发）</t>
        </is>
      </c>
      <c r="F2314" s="173" t="inlineStr">
        <is>
          <t>银行间</t>
        </is>
      </c>
      <c r="G2314" s="173" t="inlineStr">
        <is>
          <t>光大证券</t>
        </is>
      </c>
      <c r="H2314" s="173" t="inlineStr">
        <is>
          <t>江苏银行/杭州银行/厦门国际银行/中信证券</t>
        </is>
      </c>
      <c r="I2314" s="173" t="inlineStr">
        <is>
          <t>工银天分</t>
        </is>
      </c>
      <c r="J2314" s="172" t="n">
        <v>10</v>
      </c>
      <c r="K2314" s="173" t="inlineStr">
        <is>
          <t>10+10+9+3</t>
        </is>
      </c>
      <c r="L2314" s="202" t="n">
        <v>46244</v>
      </c>
      <c r="M2314" s="175" t="n">
        <v>0.0148</v>
      </c>
      <c r="N2314" s="176" t="n">
        <v>0.018</v>
      </c>
      <c r="O2314" s="191" t="n">
        <v>2.12</v>
      </c>
      <c r="P2314" s="172" t="inlineStr">
        <is>
          <t>优先B</t>
        </is>
      </c>
      <c r="Q2314" s="178" t="n">
        <v>0.03</v>
      </c>
      <c r="R2314" s="179" t="n">
        <v>0.3</v>
      </c>
      <c r="S2314" s="177" t="inlineStr">
        <is>
          <t>AA+</t>
        </is>
      </c>
      <c r="T2314" s="178" t="n">
        <v>0.018</v>
      </c>
      <c r="U2314" s="177" t="inlineStr">
        <is>
          <t>招银理财</t>
        </is>
      </c>
      <c r="V2314" s="192" t="n">
        <v>0.09</v>
      </c>
      <c r="W2314" s="172" t="n"/>
      <c r="X2314" s="172" t="n"/>
      <c r="Y2314" s="172" t="n"/>
    </row>
    <row r="2315">
      <c r="A2315" s="172" t="n">
        <v>128</v>
      </c>
      <c r="B2315" s="173" t="inlineStr">
        <is>
          <t>8月</t>
        </is>
      </c>
      <c r="C2315" s="173" t="inlineStr">
        <is>
          <t>消金</t>
        </is>
      </c>
      <c r="D2315" s="173" t="inlineStr">
        <is>
          <t>赊销白条</t>
        </is>
      </c>
      <c r="E2315" s="173" t="inlineStr">
        <is>
          <t>东裕11号季裕（可续发）</t>
        </is>
      </c>
      <c r="F2315" s="173" t="inlineStr">
        <is>
          <t>银行间</t>
        </is>
      </c>
      <c r="G2315" s="173" t="inlineStr">
        <is>
          <t>光大证券</t>
        </is>
      </c>
      <c r="H2315" s="173" t="inlineStr">
        <is>
          <t>江苏银行/杭州银行/厦门国际银行/中信证券</t>
        </is>
      </c>
      <c r="I2315" s="173" t="inlineStr">
        <is>
          <t>工银天分</t>
        </is>
      </c>
      <c r="J2315" s="172" t="n">
        <v>10</v>
      </c>
      <c r="K2315" s="173" t="inlineStr">
        <is>
          <t>10+10+9+3</t>
        </is>
      </c>
      <c r="L2315" s="202" t="n">
        <v>46244</v>
      </c>
      <c r="M2315" s="175" t="n">
        <v>0.0148</v>
      </c>
      <c r="N2315" s="176" t="n">
        <v>0.018</v>
      </c>
      <c r="O2315" s="191" t="n">
        <v>2.12</v>
      </c>
      <c r="P2315" s="172" t="inlineStr">
        <is>
          <t>优先B</t>
        </is>
      </c>
      <c r="Q2315" s="178" t="n">
        <v>0.03</v>
      </c>
      <c r="R2315" s="179" t="n">
        <v>0.3</v>
      </c>
      <c r="S2315" s="177" t="inlineStr">
        <is>
          <t>AA+</t>
        </is>
      </c>
      <c r="T2315" s="178" t="n">
        <v>0.018</v>
      </c>
      <c r="U2315" s="177" t="inlineStr">
        <is>
          <t>中邮理财</t>
        </is>
      </c>
      <c r="V2315" s="192" t="n">
        <v>0.09</v>
      </c>
      <c r="W2315" s="172" t="n"/>
      <c r="X2315" s="172" t="n"/>
      <c r="Y2315" s="172" t="n"/>
    </row>
    <row r="2316">
      <c r="A2316" s="172" t="n">
        <v>128</v>
      </c>
      <c r="B2316" s="173" t="inlineStr">
        <is>
          <t>8月</t>
        </is>
      </c>
      <c r="C2316" s="173" t="inlineStr">
        <is>
          <t>消金</t>
        </is>
      </c>
      <c r="D2316" s="173" t="inlineStr">
        <is>
          <t>赊销白条</t>
        </is>
      </c>
      <c r="E2316" s="173" t="inlineStr">
        <is>
          <t>东裕11号季裕（可续发）</t>
        </is>
      </c>
      <c r="F2316" s="173" t="inlineStr">
        <is>
          <t>银行间</t>
        </is>
      </c>
      <c r="G2316" s="173" t="inlineStr">
        <is>
          <t>光大证券</t>
        </is>
      </c>
      <c r="H2316" s="173" t="inlineStr">
        <is>
          <t>江苏银行/杭州银行/厦门国际银行/中信证券</t>
        </is>
      </c>
      <c r="I2316" s="173" t="inlineStr">
        <is>
          <t>工银天分</t>
        </is>
      </c>
      <c r="J2316" s="172" t="n">
        <v>10</v>
      </c>
      <c r="K2316" s="173" t="inlineStr">
        <is>
          <t>10+10+9+3</t>
        </is>
      </c>
      <c r="L2316" s="202" t="n">
        <v>46244</v>
      </c>
      <c r="M2316" s="175" t="n">
        <v>0.0148</v>
      </c>
      <c r="N2316" s="176" t="n">
        <v>0.018</v>
      </c>
      <c r="O2316" s="191" t="n">
        <v>2.12</v>
      </c>
      <c r="P2316" s="172" t="inlineStr">
        <is>
          <t>优先B</t>
        </is>
      </c>
      <c r="Q2316" s="178" t="n">
        <v>0.03</v>
      </c>
      <c r="R2316" s="179" t="n">
        <v>0.3</v>
      </c>
      <c r="S2316" s="177" t="inlineStr">
        <is>
          <t>AA+</t>
        </is>
      </c>
      <c r="T2316" s="178" t="n">
        <v>0.018</v>
      </c>
      <c r="U2316" s="177" t="inlineStr">
        <is>
          <t>中信建投衍生品</t>
        </is>
      </c>
      <c r="V2316" s="192" t="n">
        <v>0.03</v>
      </c>
      <c r="W2316" s="172" t="n"/>
      <c r="X2316" s="172" t="n"/>
      <c r="Y2316" s="172" t="n"/>
    </row>
    <row r="2317">
      <c r="A2317" s="172" t="n">
        <v>128</v>
      </c>
      <c r="B2317" s="173" t="inlineStr">
        <is>
          <t>8月</t>
        </is>
      </c>
      <c r="C2317" s="173" t="inlineStr">
        <is>
          <t>消金</t>
        </is>
      </c>
      <c r="D2317" s="173" t="inlineStr">
        <is>
          <t>赊销白条</t>
        </is>
      </c>
      <c r="E2317" s="173" t="inlineStr">
        <is>
          <t>东裕11号季裕（可续发）</t>
        </is>
      </c>
      <c r="F2317" s="173" t="inlineStr">
        <is>
          <t>银行间</t>
        </is>
      </c>
      <c r="G2317" s="173" t="inlineStr">
        <is>
          <t>光大证券</t>
        </is>
      </c>
      <c r="H2317" s="173" t="inlineStr">
        <is>
          <t>江苏银行/杭州银行/厦门国际银行/中信证券</t>
        </is>
      </c>
      <c r="I2317" s="173" t="inlineStr">
        <is>
          <t>工银天分</t>
        </is>
      </c>
      <c r="J2317" s="172" t="n">
        <v>10</v>
      </c>
      <c r="K2317" s="173" t="inlineStr">
        <is>
          <t>10+10+9+3</t>
        </is>
      </c>
      <c r="L2317" s="202" t="n">
        <v>46244</v>
      </c>
      <c r="M2317" s="175" t="n">
        <v>0.0148</v>
      </c>
      <c r="N2317" s="176" t="n">
        <v>0.018</v>
      </c>
      <c r="O2317" s="191" t="n">
        <v>2.12</v>
      </c>
      <c r="P2317" s="177" t="inlineStr">
        <is>
          <t>中间级</t>
        </is>
      </c>
      <c r="Q2317" s="178" t="n">
        <v>0.02</v>
      </c>
      <c r="R2317" s="179" t="n">
        <v>0.2</v>
      </c>
      <c r="S2317" s="177" t="inlineStr">
        <is>
          <t>A+</t>
        </is>
      </c>
      <c r="T2317" s="178" t="n">
        <v>0.031</v>
      </c>
      <c r="U2317" s="177" t="inlineStr">
        <is>
          <t>杭州联合银行</t>
        </is>
      </c>
      <c r="V2317" s="192" t="n">
        <v>0.06</v>
      </c>
      <c r="W2317" s="172" t="n"/>
      <c r="X2317" s="172" t="n"/>
      <c r="Y2317" s="172" t="n"/>
    </row>
    <row r="2318">
      <c r="A2318" s="172" t="n">
        <v>128</v>
      </c>
      <c r="B2318" s="173" t="inlineStr">
        <is>
          <t>8月</t>
        </is>
      </c>
      <c r="C2318" s="173" t="inlineStr">
        <is>
          <t>消金</t>
        </is>
      </c>
      <c r="D2318" s="173" t="inlineStr">
        <is>
          <t>赊销白条</t>
        </is>
      </c>
      <c r="E2318" s="173" t="inlineStr">
        <is>
          <t>东裕11号季裕（可续发）</t>
        </is>
      </c>
      <c r="F2318" s="173" t="inlineStr">
        <is>
          <t>银行间</t>
        </is>
      </c>
      <c r="G2318" s="173" t="inlineStr">
        <is>
          <t>光大证券</t>
        </is>
      </c>
      <c r="H2318" s="173" t="inlineStr">
        <is>
          <t>江苏银行/杭州银行/厦门国际银行/中信证券</t>
        </is>
      </c>
      <c r="I2318" s="173" t="inlineStr">
        <is>
          <t>工银天分</t>
        </is>
      </c>
      <c r="J2318" s="172" t="n">
        <v>10</v>
      </c>
      <c r="K2318" s="173" t="inlineStr">
        <is>
          <t>10+10+9+3</t>
        </is>
      </c>
      <c r="L2318" s="202" t="n">
        <v>46244</v>
      </c>
      <c r="M2318" s="175" t="n">
        <v>0.0148</v>
      </c>
      <c r="N2318" s="176" t="n">
        <v>0.018</v>
      </c>
      <c r="O2318" s="191" t="n">
        <v>2.12</v>
      </c>
      <c r="P2318" s="172" t="inlineStr">
        <is>
          <t>中间级</t>
        </is>
      </c>
      <c r="Q2318" s="178" t="n">
        <v>0.02</v>
      </c>
      <c r="R2318" s="179" t="n">
        <v>0.2</v>
      </c>
      <c r="S2318" s="177" t="inlineStr">
        <is>
          <t>A+</t>
        </is>
      </c>
      <c r="T2318" s="178" t="n">
        <v>0.031</v>
      </c>
      <c r="U2318" s="177" t="inlineStr">
        <is>
          <t>平安理财</t>
        </is>
      </c>
      <c r="V2318" s="192" t="n">
        <v>0.06</v>
      </c>
      <c r="W2318" s="172" t="n"/>
      <c r="X2318" s="172" t="n"/>
      <c r="Y2318" s="172" t="n"/>
    </row>
    <row r="2319">
      <c r="A2319" s="172" t="n">
        <v>128</v>
      </c>
      <c r="B2319" s="173" t="inlineStr">
        <is>
          <t>8月</t>
        </is>
      </c>
      <c r="C2319" s="173" t="inlineStr">
        <is>
          <t>消金</t>
        </is>
      </c>
      <c r="D2319" s="173" t="inlineStr">
        <is>
          <t>赊销白条</t>
        </is>
      </c>
      <c r="E2319" s="173" t="inlineStr">
        <is>
          <t>东裕11号季裕（可续发）</t>
        </is>
      </c>
      <c r="F2319" s="173" t="inlineStr">
        <is>
          <t>银行间</t>
        </is>
      </c>
      <c r="G2319" s="173" t="inlineStr">
        <is>
          <t>光大证券</t>
        </is>
      </c>
      <c r="H2319" s="173" t="inlineStr">
        <is>
          <t>江苏银行/杭州银行/厦门国际银行/中信证券</t>
        </is>
      </c>
      <c r="I2319" s="173" t="inlineStr">
        <is>
          <t>工银天分</t>
        </is>
      </c>
      <c r="J2319" s="172" t="n">
        <v>10</v>
      </c>
      <c r="K2319" s="173" t="inlineStr">
        <is>
          <t>10+10+9+3</t>
        </is>
      </c>
      <c r="L2319" s="202" t="n">
        <v>46244</v>
      </c>
      <c r="M2319" s="175" t="n">
        <v>0.0148</v>
      </c>
      <c r="N2319" s="176" t="n">
        <v>0.018</v>
      </c>
      <c r="O2319" s="191" t="n">
        <v>2.12</v>
      </c>
      <c r="P2319" s="172" t="inlineStr">
        <is>
          <t>中间级</t>
        </is>
      </c>
      <c r="Q2319" s="178" t="n">
        <v>0.02</v>
      </c>
      <c r="R2319" s="179" t="n">
        <v>0.2</v>
      </c>
      <c r="S2319" s="177" t="inlineStr">
        <is>
          <t>A+</t>
        </is>
      </c>
      <c r="T2319" s="178" t="n">
        <v>0.031</v>
      </c>
      <c r="U2319" s="177" t="inlineStr">
        <is>
          <t>招银理财</t>
        </is>
      </c>
      <c r="V2319" s="192" t="n">
        <v>0.06</v>
      </c>
      <c r="W2319" s="172" t="n"/>
      <c r="X2319" s="172" t="n"/>
      <c r="Y2319" s="172" t="n"/>
    </row>
    <row r="2320">
      <c r="A2320" s="172" t="n">
        <v>128</v>
      </c>
      <c r="B2320" s="173" t="inlineStr">
        <is>
          <t>8月</t>
        </is>
      </c>
      <c r="C2320" s="173" t="inlineStr">
        <is>
          <t>消金</t>
        </is>
      </c>
      <c r="D2320" s="173" t="inlineStr">
        <is>
          <t>赊销白条</t>
        </is>
      </c>
      <c r="E2320" s="173" t="inlineStr">
        <is>
          <t>东裕11号季裕（可续发）</t>
        </is>
      </c>
      <c r="F2320" s="173" t="inlineStr">
        <is>
          <t>银行间</t>
        </is>
      </c>
      <c r="G2320" s="173" t="inlineStr">
        <is>
          <t>光大证券</t>
        </is>
      </c>
      <c r="H2320" s="173" t="inlineStr">
        <is>
          <t>江苏银行/杭州银行/厦门国际银行/中信证券</t>
        </is>
      </c>
      <c r="I2320" s="173" t="inlineStr">
        <is>
          <t>工银天分</t>
        </is>
      </c>
      <c r="J2320" s="172" t="n">
        <v>10</v>
      </c>
      <c r="K2320" s="173" t="inlineStr">
        <is>
          <t>10+10+9+3</t>
        </is>
      </c>
      <c r="L2320" s="202" t="n">
        <v>46244</v>
      </c>
      <c r="M2320" s="175" t="n">
        <v>0.0148</v>
      </c>
      <c r="N2320" s="176" t="n">
        <v>0.018</v>
      </c>
      <c r="O2320" s="191" t="n">
        <v>2.12</v>
      </c>
      <c r="P2320" s="172" t="inlineStr">
        <is>
          <t>中间级</t>
        </is>
      </c>
      <c r="Q2320" s="178" t="n">
        <v>0.02</v>
      </c>
      <c r="R2320" s="179" t="n">
        <v>0.2</v>
      </c>
      <c r="S2320" s="177" t="inlineStr">
        <is>
          <t>A+</t>
        </is>
      </c>
      <c r="T2320" s="178" t="n">
        <v>0.031</v>
      </c>
      <c r="U2320" s="177" t="inlineStr">
        <is>
          <t>中信建投衍生品</t>
        </is>
      </c>
      <c r="V2320" s="192" t="n">
        <v>0.02</v>
      </c>
      <c r="W2320" s="172" t="n"/>
      <c r="X2320" s="172" t="n"/>
      <c r="Y2320" s="172" t="n"/>
    </row>
    <row r="2321">
      <c r="A2321" s="172" t="n">
        <v>128</v>
      </c>
      <c r="B2321" s="173" t="inlineStr">
        <is>
          <t>8月</t>
        </is>
      </c>
      <c r="C2321" s="173" t="inlineStr">
        <is>
          <t>消金</t>
        </is>
      </c>
      <c r="D2321" s="173" t="inlineStr">
        <is>
          <t>赊销白条</t>
        </is>
      </c>
      <c r="E2321" s="173" t="inlineStr">
        <is>
          <t>东裕11号季裕（可续发）</t>
        </is>
      </c>
      <c r="F2321" s="173" t="inlineStr">
        <is>
          <t>银行间</t>
        </is>
      </c>
      <c r="G2321" s="173" t="inlineStr">
        <is>
          <t>光大证券</t>
        </is>
      </c>
      <c r="H2321" s="173" t="inlineStr">
        <is>
          <t>江苏银行/杭州银行/厦门国际银行/中信证券</t>
        </is>
      </c>
      <c r="I2321" s="173" t="inlineStr">
        <is>
          <t>工银天分</t>
        </is>
      </c>
      <c r="J2321" s="172" t="n">
        <v>10</v>
      </c>
      <c r="K2321" s="173" t="inlineStr">
        <is>
          <t>10+10+9+3</t>
        </is>
      </c>
      <c r="L2321" s="202" t="n">
        <v>46244</v>
      </c>
      <c r="M2321" s="175" t="n">
        <v>0.0148</v>
      </c>
      <c r="N2321" s="176" t="n">
        <v>0.018</v>
      </c>
      <c r="O2321" s="191" t="n">
        <v>2.12</v>
      </c>
      <c r="P2321" s="177" t="inlineStr">
        <is>
          <t>次级</t>
        </is>
      </c>
      <c r="Q2321" s="178" t="n">
        <v>0.05</v>
      </c>
      <c r="R2321" s="179" t="n">
        <v>0.5</v>
      </c>
      <c r="S2321" s="177" t="inlineStr">
        <is>
          <t>无</t>
        </is>
      </c>
      <c r="T2321" s="178" t="n">
        <v>0.045</v>
      </c>
      <c r="U2321" s="177" t="inlineStr">
        <is>
          <t>中金投顾</t>
        </is>
      </c>
      <c r="V2321" s="192" t="n">
        <v>0.2</v>
      </c>
      <c r="W2321" s="172" t="n"/>
      <c r="X2321" s="172" t="n"/>
      <c r="Y2321" s="172" t="n"/>
    </row>
    <row r="2322">
      <c r="A2322" s="172" t="n">
        <v>128</v>
      </c>
      <c r="B2322" s="173" t="inlineStr">
        <is>
          <t>8月</t>
        </is>
      </c>
      <c r="C2322" s="173" t="inlineStr">
        <is>
          <t>消金</t>
        </is>
      </c>
      <c r="D2322" s="173" t="inlineStr">
        <is>
          <t>赊销白条</t>
        </is>
      </c>
      <c r="E2322" s="173" t="inlineStr">
        <is>
          <t>东裕11号季裕（可续发）</t>
        </is>
      </c>
      <c r="F2322" s="173" t="inlineStr">
        <is>
          <t>银行间</t>
        </is>
      </c>
      <c r="G2322" s="173" t="inlineStr">
        <is>
          <t>光大证券</t>
        </is>
      </c>
      <c r="H2322" s="173" t="inlineStr">
        <is>
          <t>江苏银行/杭州银行/厦门国际银行/中信证券</t>
        </is>
      </c>
      <c r="I2322" s="173" t="inlineStr">
        <is>
          <t>工银天分</t>
        </is>
      </c>
      <c r="J2322" s="172" t="n">
        <v>10</v>
      </c>
      <c r="K2322" s="173" t="inlineStr">
        <is>
          <t>10+10+9+3</t>
        </is>
      </c>
      <c r="L2322" s="202" t="n">
        <v>46244</v>
      </c>
      <c r="M2322" s="175" t="n">
        <v>0.0148</v>
      </c>
      <c r="N2322" s="176" t="n">
        <v>0.018</v>
      </c>
      <c r="O2322" s="191" t="n">
        <v>2.12</v>
      </c>
      <c r="P2322" s="172" t="inlineStr">
        <is>
          <t>次级</t>
        </is>
      </c>
      <c r="Q2322" s="178" t="n">
        <v>0.05</v>
      </c>
      <c r="R2322" s="179" t="n">
        <v>0.5</v>
      </c>
      <c r="S2322" s="177" t="inlineStr">
        <is>
          <t>无</t>
        </is>
      </c>
      <c r="T2322" s="178" t="n">
        <v>0.045</v>
      </c>
      <c r="U2322" s="177" t="inlineStr">
        <is>
          <t>中信证券自营</t>
        </is>
      </c>
      <c r="V2322" s="192" t="n">
        <v>0.3</v>
      </c>
      <c r="W2322" s="172" t="n"/>
      <c r="X2322" s="172" t="n"/>
      <c r="Y2322" s="172" t="n"/>
    </row>
    <row r="2323">
      <c r="A2323" s="172" t="n">
        <v>129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京诚16-1</t>
        </is>
      </c>
      <c r="F2323" s="172" t="inlineStr">
        <is>
          <t>上交所</t>
        </is>
      </c>
      <c r="G2323" s="172" t="inlineStr">
        <is>
          <t>财通资管</t>
        </is>
      </c>
      <c r="H2323" s="172" t="inlineStr">
        <is>
          <t>华福证券</t>
        </is>
      </c>
      <c r="I2323" s="172" t="inlineStr">
        <is>
          <t>招行北分</t>
        </is>
      </c>
      <c r="J2323" s="172" t="n">
        <v>10</v>
      </c>
      <c r="K2323" s="172" t="inlineStr">
        <is>
          <t>3+3</t>
        </is>
      </c>
      <c r="L2323" s="202" t="n">
        <v>46244</v>
      </c>
      <c r="M2323" s="175" t="n">
        <v>0.0148</v>
      </c>
      <c r="N2323" s="176" t="n">
        <v>0.0161</v>
      </c>
      <c r="O2323" s="191" t="n">
        <v>3</v>
      </c>
      <c r="P2323" s="172" t="inlineStr">
        <is>
          <t>优先级</t>
        </is>
      </c>
      <c r="Q2323" s="175" t="n">
        <v>0.99</v>
      </c>
      <c r="R2323" s="192" t="n">
        <v>9.9</v>
      </c>
      <c r="S2323" s="172" t="inlineStr">
        <is>
          <t>AAA</t>
        </is>
      </c>
      <c r="T2323" s="175" t="n">
        <v>0.0154</v>
      </c>
      <c r="U2323" s="172" t="inlineStr">
        <is>
          <t>平安理财</t>
        </is>
      </c>
      <c r="V2323" s="191" t="n">
        <v>1.56</v>
      </c>
      <c r="W2323" s="172" t="n"/>
      <c r="X2323" s="172" t="n"/>
      <c r="Y2323" s="172" t="n"/>
    </row>
    <row r="2324">
      <c r="A2324" s="172" t="n">
        <v>129</v>
      </c>
      <c r="B2324" s="172" t="inlineStr">
        <is>
          <t>8月</t>
        </is>
      </c>
      <c r="C2324" s="172" t="inlineStr">
        <is>
          <t>企金</t>
        </is>
      </c>
      <c r="D2324" s="172" t="inlineStr">
        <is>
          <t>保理</t>
        </is>
      </c>
      <c r="E2324" s="172" t="inlineStr">
        <is>
          <t>京诚16-1</t>
        </is>
      </c>
      <c r="F2324" s="172" t="inlineStr">
        <is>
          <t>上交所</t>
        </is>
      </c>
      <c r="G2324" s="172" t="inlineStr">
        <is>
          <t>财通资管</t>
        </is>
      </c>
      <c r="H2324" s="172" t="inlineStr">
        <is>
          <t>华福证券</t>
        </is>
      </c>
      <c r="I2324" s="172" t="inlineStr">
        <is>
          <t>招行北分</t>
        </is>
      </c>
      <c r="J2324" s="172" t="n">
        <v>10</v>
      </c>
      <c r="K2324" s="172" t="inlineStr">
        <is>
          <t>3+3</t>
        </is>
      </c>
      <c r="L2324" s="202" t="n">
        <v>46244</v>
      </c>
      <c r="M2324" s="175" t="n">
        <v>0.0148</v>
      </c>
      <c r="N2324" s="176" t="n">
        <v>0.0161</v>
      </c>
      <c r="O2324" s="191" t="n">
        <v>3</v>
      </c>
      <c r="P2324" s="172" t="inlineStr">
        <is>
          <t>优先级</t>
        </is>
      </c>
      <c r="Q2324" s="175" t="n">
        <v>0.99</v>
      </c>
      <c r="R2324" s="192" t="n">
        <v>9.9</v>
      </c>
      <c r="S2324" s="172" t="inlineStr">
        <is>
          <t>AAA</t>
        </is>
      </c>
      <c r="T2324" s="175" t="n">
        <v>0.0154</v>
      </c>
      <c r="U2324" s="172" t="inlineStr">
        <is>
          <t>平安资产</t>
        </is>
      </c>
      <c r="V2324" s="191" t="n">
        <v>3.8</v>
      </c>
      <c r="W2324" s="172" t="n"/>
      <c r="X2324" s="172" t="n"/>
      <c r="Y2324" s="172" t="n"/>
    </row>
    <row r="2325">
      <c r="A2325" s="172" t="n">
        <v>129</v>
      </c>
      <c r="B2325" s="172" t="inlineStr">
        <is>
          <t>8月</t>
        </is>
      </c>
      <c r="C2325" s="172" t="inlineStr">
        <is>
          <t>企金</t>
        </is>
      </c>
      <c r="D2325" s="172" t="inlineStr">
        <is>
          <t>保理</t>
        </is>
      </c>
      <c r="E2325" s="172" t="inlineStr">
        <is>
          <t>京诚16-1</t>
        </is>
      </c>
      <c r="F2325" s="172" t="inlineStr">
        <is>
          <t>上交所</t>
        </is>
      </c>
      <c r="G2325" s="172" t="inlineStr">
        <is>
          <t>财通资管</t>
        </is>
      </c>
      <c r="H2325" s="172" t="inlineStr">
        <is>
          <t>华福证券</t>
        </is>
      </c>
      <c r="I2325" s="172" t="inlineStr">
        <is>
          <t>招行北分</t>
        </is>
      </c>
      <c r="J2325" s="172" t="n">
        <v>10</v>
      </c>
      <c r="K2325" s="172" t="inlineStr">
        <is>
          <t>3+3</t>
        </is>
      </c>
      <c r="L2325" s="202" t="n">
        <v>46244</v>
      </c>
      <c r="M2325" s="175" t="n">
        <v>0.0148</v>
      </c>
      <c r="N2325" s="176" t="n">
        <v>0.0161</v>
      </c>
      <c r="O2325" s="191" t="n">
        <v>3</v>
      </c>
      <c r="P2325" s="172" t="inlineStr">
        <is>
          <t>优先级</t>
        </is>
      </c>
      <c r="Q2325" s="175" t="n">
        <v>0.99</v>
      </c>
      <c r="R2325" s="192" t="n">
        <v>9.9</v>
      </c>
      <c r="S2325" s="172" t="inlineStr">
        <is>
          <t>AAA</t>
        </is>
      </c>
      <c r="T2325" s="175" t="n">
        <v>0.0154</v>
      </c>
      <c r="U2325" s="172" t="inlineStr">
        <is>
          <t>光大理财</t>
        </is>
      </c>
      <c r="V2325" s="191" t="n">
        <v>0.33</v>
      </c>
      <c r="W2325" s="172" t="n"/>
      <c r="X2325" s="172" t="n"/>
      <c r="Y2325" s="172" t="n"/>
    </row>
    <row r="2326">
      <c r="A2326" s="172" t="n">
        <v>129</v>
      </c>
      <c r="B2326" s="172" t="inlineStr">
        <is>
          <t>8月</t>
        </is>
      </c>
      <c r="C2326" s="172" t="inlineStr">
        <is>
          <t>企金</t>
        </is>
      </c>
      <c r="D2326" s="172" t="inlineStr">
        <is>
          <t>保理</t>
        </is>
      </c>
      <c r="E2326" s="172" t="inlineStr">
        <is>
          <t>京诚16-1</t>
        </is>
      </c>
      <c r="F2326" s="172" t="inlineStr">
        <is>
          <t>上交所</t>
        </is>
      </c>
      <c r="G2326" s="172" t="inlineStr">
        <is>
          <t>财通资管</t>
        </is>
      </c>
      <c r="H2326" s="172" t="inlineStr">
        <is>
          <t>华福证券</t>
        </is>
      </c>
      <c r="I2326" s="172" t="inlineStr">
        <is>
          <t>招行北分</t>
        </is>
      </c>
      <c r="J2326" s="172" t="n">
        <v>10</v>
      </c>
      <c r="K2326" s="172" t="inlineStr">
        <is>
          <t>3+3</t>
        </is>
      </c>
      <c r="L2326" s="202" t="n">
        <v>46244</v>
      </c>
      <c r="M2326" s="175" t="n">
        <v>0.0148</v>
      </c>
      <c r="N2326" s="176" t="n">
        <v>0.0161</v>
      </c>
      <c r="O2326" s="191" t="n">
        <v>3</v>
      </c>
      <c r="P2326" s="172" t="inlineStr">
        <is>
          <t>优先级</t>
        </is>
      </c>
      <c r="Q2326" s="175" t="n">
        <v>0.99</v>
      </c>
      <c r="R2326" s="192" t="n">
        <v>9.9</v>
      </c>
      <c r="S2326" s="172" t="inlineStr">
        <is>
          <t>AAA</t>
        </is>
      </c>
      <c r="T2326" s="175" t="n">
        <v>0.0154</v>
      </c>
      <c r="U2326" s="172" t="inlineStr">
        <is>
          <t>浦银理财</t>
        </is>
      </c>
      <c r="V2326" s="191" t="n">
        <v>0.5600000000000001</v>
      </c>
      <c r="W2326" s="172" t="n"/>
      <c r="X2326" s="172" t="n"/>
      <c r="Y2326" s="172" t="n"/>
    </row>
    <row r="2327">
      <c r="A2327" s="172" t="n">
        <v>129</v>
      </c>
      <c r="B2327" s="172" t="inlineStr">
        <is>
          <t>8月</t>
        </is>
      </c>
      <c r="C2327" s="172" t="inlineStr">
        <is>
          <t>企金</t>
        </is>
      </c>
      <c r="D2327" s="172" t="inlineStr">
        <is>
          <t>保理</t>
        </is>
      </c>
      <c r="E2327" s="172" t="inlineStr">
        <is>
          <t>京诚16-1</t>
        </is>
      </c>
      <c r="F2327" s="172" t="inlineStr">
        <is>
          <t>上交所</t>
        </is>
      </c>
      <c r="G2327" s="172" t="inlineStr">
        <is>
          <t>财通资管</t>
        </is>
      </c>
      <c r="H2327" s="172" t="inlineStr">
        <is>
          <t>华福证券</t>
        </is>
      </c>
      <c r="I2327" s="172" t="inlineStr">
        <is>
          <t>招行北分</t>
        </is>
      </c>
      <c r="J2327" s="172" t="n">
        <v>10</v>
      </c>
      <c r="K2327" s="172" t="inlineStr">
        <is>
          <t>3+3</t>
        </is>
      </c>
      <c r="L2327" s="202" t="n">
        <v>46244</v>
      </c>
      <c r="M2327" s="175" t="n">
        <v>0.0148</v>
      </c>
      <c r="N2327" s="176" t="n">
        <v>0.0161</v>
      </c>
      <c r="O2327" s="191" t="n">
        <v>3</v>
      </c>
      <c r="P2327" s="172" t="inlineStr">
        <is>
          <t>优先级</t>
        </is>
      </c>
      <c r="Q2327" s="175" t="n">
        <v>0.99</v>
      </c>
      <c r="R2327" s="192" t="n">
        <v>9.9</v>
      </c>
      <c r="S2327" s="172" t="inlineStr">
        <is>
          <t>AAA</t>
        </is>
      </c>
      <c r="T2327" s="175" t="n">
        <v>0.0154</v>
      </c>
      <c r="U2327" s="172" t="inlineStr">
        <is>
          <t>兴银理财</t>
        </is>
      </c>
      <c r="V2327" s="191" t="n">
        <v>1.65</v>
      </c>
      <c r="W2327" s="172" t="n"/>
      <c r="X2327" s="172" t="n"/>
      <c r="Y2327" s="172" t="n"/>
    </row>
    <row r="2328">
      <c r="A2328" s="172" t="n">
        <v>129</v>
      </c>
      <c r="B2328" s="172" t="inlineStr">
        <is>
          <t>8月</t>
        </is>
      </c>
      <c r="C2328" s="172" t="inlineStr">
        <is>
          <t>企金</t>
        </is>
      </c>
      <c r="D2328" s="172" t="inlineStr">
        <is>
          <t>保理</t>
        </is>
      </c>
      <c r="E2328" s="172" t="inlineStr">
        <is>
          <t>京诚16-1</t>
        </is>
      </c>
      <c r="F2328" s="172" t="inlineStr">
        <is>
          <t>上交所</t>
        </is>
      </c>
      <c r="G2328" s="172" t="inlineStr">
        <is>
          <t>财通资管</t>
        </is>
      </c>
      <c r="H2328" s="172" t="inlineStr">
        <is>
          <t>华福证券</t>
        </is>
      </c>
      <c r="I2328" s="172" t="inlineStr">
        <is>
          <t>招行北分</t>
        </is>
      </c>
      <c r="J2328" s="172" t="n">
        <v>10</v>
      </c>
      <c r="K2328" s="172" t="inlineStr">
        <is>
          <t>3+3</t>
        </is>
      </c>
      <c r="L2328" s="202" t="n">
        <v>46244</v>
      </c>
      <c r="M2328" s="175" t="n">
        <v>0.0148</v>
      </c>
      <c r="N2328" s="176" t="n">
        <v>0.0161</v>
      </c>
      <c r="O2328" s="191" t="n">
        <v>3</v>
      </c>
      <c r="P2328" s="172" t="inlineStr">
        <is>
          <t>优先级</t>
        </is>
      </c>
      <c r="Q2328" s="175" t="n">
        <v>0.99</v>
      </c>
      <c r="R2328" s="192" t="n">
        <v>9.9</v>
      </c>
      <c r="S2328" s="172" t="inlineStr">
        <is>
          <t>AAA</t>
        </is>
      </c>
      <c r="T2328" s="175" t="n">
        <v>0.0154</v>
      </c>
      <c r="U2328" s="172" t="inlineStr">
        <is>
          <t>中银理财</t>
        </is>
      </c>
      <c r="V2328" s="191" t="n">
        <v>1.33</v>
      </c>
      <c r="W2328" s="172" t="n"/>
      <c r="X2328" s="172" t="n"/>
      <c r="Y2328" s="172" t="n"/>
    </row>
    <row r="2329">
      <c r="A2329" s="172" t="n">
        <v>129</v>
      </c>
      <c r="B2329" s="172" t="inlineStr">
        <is>
          <t>8月</t>
        </is>
      </c>
      <c r="C2329" s="172" t="inlineStr">
        <is>
          <t>企金</t>
        </is>
      </c>
      <c r="D2329" s="172" t="inlineStr">
        <is>
          <t>保理</t>
        </is>
      </c>
      <c r="E2329" s="172" t="inlineStr">
        <is>
          <t>京诚16-1</t>
        </is>
      </c>
      <c r="F2329" s="172" t="inlineStr">
        <is>
          <t>上交所</t>
        </is>
      </c>
      <c r="G2329" s="172" t="inlineStr">
        <is>
          <t>财通资管</t>
        </is>
      </c>
      <c r="H2329" s="172" t="inlineStr">
        <is>
          <t>华福证券</t>
        </is>
      </c>
      <c r="I2329" s="172" t="inlineStr">
        <is>
          <t>招行北分</t>
        </is>
      </c>
      <c r="J2329" s="172" t="n">
        <v>10</v>
      </c>
      <c r="K2329" s="172" t="inlineStr">
        <is>
          <t>3+3</t>
        </is>
      </c>
      <c r="L2329" s="202" t="n">
        <v>46244</v>
      </c>
      <c r="M2329" s="175" t="n">
        <v>0.0148</v>
      </c>
      <c r="N2329" s="176" t="n">
        <v>0.0161</v>
      </c>
      <c r="O2329" s="191" t="n">
        <v>3</v>
      </c>
      <c r="P2329" s="172" t="inlineStr">
        <is>
          <t>优先级</t>
        </is>
      </c>
      <c r="Q2329" s="175" t="n">
        <v>0.99</v>
      </c>
      <c r="R2329" s="192" t="n">
        <v>9.9</v>
      </c>
      <c r="S2329" s="172" t="inlineStr">
        <is>
          <t>AAA</t>
        </is>
      </c>
      <c r="T2329" s="175" t="n">
        <v>0.0154</v>
      </c>
      <c r="U2329" s="172" t="inlineStr">
        <is>
          <t>民生理财</t>
        </is>
      </c>
      <c r="V2329" s="191" t="n">
        <v>0.67</v>
      </c>
      <c r="W2329" s="172" t="n"/>
      <c r="X2329" s="172" t="n"/>
      <c r="Y2329" s="172" t="n"/>
    </row>
    <row r="2330">
      <c r="A2330" s="172" t="n">
        <v>129</v>
      </c>
      <c r="B2330" s="172" t="inlineStr">
        <is>
          <t>8月</t>
        </is>
      </c>
      <c r="C2330" s="172" t="inlineStr">
        <is>
          <t>企金</t>
        </is>
      </c>
      <c r="D2330" s="172" t="inlineStr">
        <is>
          <t>保理</t>
        </is>
      </c>
      <c r="E2330" s="172" t="inlineStr">
        <is>
          <t>京诚16-1</t>
        </is>
      </c>
      <c r="F2330" s="172" t="inlineStr">
        <is>
          <t>上交所</t>
        </is>
      </c>
      <c r="G2330" s="172" t="inlineStr">
        <is>
          <t>财通资管</t>
        </is>
      </c>
      <c r="H2330" s="172" t="inlineStr">
        <is>
          <t>华福证券</t>
        </is>
      </c>
      <c r="I2330" s="172" t="inlineStr">
        <is>
          <t>招行北分</t>
        </is>
      </c>
      <c r="J2330" s="172" t="n">
        <v>10</v>
      </c>
      <c r="K2330" s="172" t="inlineStr">
        <is>
          <t>3+3</t>
        </is>
      </c>
      <c r="L2330" s="202" t="n">
        <v>46244</v>
      </c>
      <c r="M2330" s="175" t="n">
        <v>0.0148</v>
      </c>
      <c r="N2330" s="176" t="n">
        <v>0.0161</v>
      </c>
      <c r="O2330" s="191" t="n">
        <v>3</v>
      </c>
      <c r="P2330" s="172" t="inlineStr">
        <is>
          <t>次级</t>
        </is>
      </c>
      <c r="Q2330" s="175" t="n">
        <v>0.01</v>
      </c>
      <c r="R2330" s="192" t="n">
        <v>0.1</v>
      </c>
      <c r="S2330" s="175" t="inlineStr">
        <is>
          <t>无</t>
        </is>
      </c>
      <c r="T2330" s="175" t="n">
        <v>0.043</v>
      </c>
      <c r="U2330" s="172" t="inlineStr">
        <is>
          <t>浙商证券自营</t>
        </is>
      </c>
      <c r="V2330" s="191" t="n">
        <v>0.1</v>
      </c>
      <c r="W2330" s="172" t="n"/>
      <c r="X2330" s="172" t="n"/>
      <c r="Y2330" s="172" t="n"/>
    </row>
    <row r="2331">
      <c r="A2331" s="172" t="n">
        <v>130</v>
      </c>
      <c r="B2331" s="172" t="inlineStr">
        <is>
          <t>8月</t>
        </is>
      </c>
      <c r="C2331" s="172" t="inlineStr">
        <is>
          <t>企金</t>
        </is>
      </c>
      <c r="D2331" s="172" t="inlineStr">
        <is>
          <t>保理</t>
        </is>
      </c>
      <c r="E2331" s="172" t="inlineStr">
        <is>
          <t>京诚16-2</t>
        </is>
      </c>
      <c r="F2331" s="172" t="inlineStr">
        <is>
          <t>上交所</t>
        </is>
      </c>
      <c r="G2331" s="172" t="inlineStr">
        <is>
          <t>申万宏源资管</t>
        </is>
      </c>
      <c r="H2331" s="172" t="inlineStr">
        <is>
          <t>信达证券</t>
        </is>
      </c>
      <c r="I2331" s="172" t="inlineStr">
        <is>
          <t>建行北分</t>
        </is>
      </c>
      <c r="J2331" s="172" t="n">
        <v>10</v>
      </c>
      <c r="K2331" s="172" t="inlineStr">
        <is>
          <t>8+4</t>
        </is>
      </c>
      <c r="L2331" s="202" t="n">
        <v>46247</v>
      </c>
      <c r="M2331" s="175" t="n">
        <v>0.0147</v>
      </c>
      <c r="N2331" s="176" t="n">
        <v>0.0164</v>
      </c>
      <c r="O2331" s="191" t="n">
        <v>3.46</v>
      </c>
      <c r="P2331" s="172" t="inlineStr">
        <is>
          <t>优先级</t>
        </is>
      </c>
      <c r="Q2331" s="175" t="n">
        <v>0.99</v>
      </c>
      <c r="R2331" s="192" t="n">
        <v>9.9</v>
      </c>
      <c r="S2331" s="172" t="inlineStr">
        <is>
          <t>AAA</t>
        </is>
      </c>
      <c r="T2331" s="175" t="n">
        <v>0.0157</v>
      </c>
      <c r="U2331" s="172" t="inlineStr">
        <is>
          <t>兴银理财</t>
        </is>
      </c>
      <c r="V2331" s="191" t="n">
        <v>1.54</v>
      </c>
      <c r="W2331" s="172" t="n"/>
      <c r="X2331" s="172" t="n"/>
      <c r="Y2331" s="172" t="n"/>
    </row>
    <row r="2332">
      <c r="A2332" s="172" t="n">
        <v>130</v>
      </c>
      <c r="B2332" s="172" t="inlineStr">
        <is>
          <t>8月</t>
        </is>
      </c>
      <c r="C2332" s="172" t="inlineStr">
        <is>
          <t>企金</t>
        </is>
      </c>
      <c r="D2332" s="172" t="inlineStr">
        <is>
          <t>保理</t>
        </is>
      </c>
      <c r="E2332" s="172" t="inlineStr">
        <is>
          <t>京诚16-2</t>
        </is>
      </c>
      <c r="F2332" s="172" t="inlineStr">
        <is>
          <t>上交所</t>
        </is>
      </c>
      <c r="G2332" s="172" t="inlineStr">
        <is>
          <t>申万宏源资管</t>
        </is>
      </c>
      <c r="H2332" s="172" t="inlineStr">
        <is>
          <t>信达证券</t>
        </is>
      </c>
      <c r="I2332" s="172" t="inlineStr">
        <is>
          <t>建行北分</t>
        </is>
      </c>
      <c r="J2332" s="172" t="n">
        <v>10</v>
      </c>
      <c r="K2332" s="172" t="inlineStr">
        <is>
          <t>8+4</t>
        </is>
      </c>
      <c r="L2332" s="202" t="n">
        <v>46247</v>
      </c>
      <c r="M2332" s="175" t="n">
        <v>0.0147</v>
      </c>
      <c r="N2332" s="176" t="n">
        <v>0.0164</v>
      </c>
      <c r="O2332" s="191" t="n">
        <v>3.46</v>
      </c>
      <c r="P2332" s="172" t="inlineStr">
        <is>
          <t>优先级</t>
        </is>
      </c>
      <c r="Q2332" s="175" t="n">
        <v>0.99</v>
      </c>
      <c r="R2332" s="192" t="n">
        <v>9.9</v>
      </c>
      <c r="S2332" s="172" t="inlineStr">
        <is>
          <t>AAA</t>
        </is>
      </c>
      <c r="T2332" s="175" t="n">
        <v>0.0157</v>
      </c>
      <c r="U2332" s="172" t="inlineStr">
        <is>
          <t>平安理财</t>
        </is>
      </c>
      <c r="V2332" s="191" t="n">
        <v>2.47</v>
      </c>
      <c r="W2332" s="172" t="n"/>
      <c r="X2332" s="172" t="n"/>
      <c r="Y2332" s="172" t="n"/>
    </row>
    <row r="2333">
      <c r="A2333" s="172" t="n">
        <v>130</v>
      </c>
      <c r="B2333" s="172" t="inlineStr">
        <is>
          <t>8月</t>
        </is>
      </c>
      <c r="C2333" s="172" t="inlineStr">
        <is>
          <t>企金</t>
        </is>
      </c>
      <c r="D2333" s="172" t="inlineStr">
        <is>
          <t>保理</t>
        </is>
      </c>
      <c r="E2333" s="172" t="inlineStr">
        <is>
          <t>京诚16-2</t>
        </is>
      </c>
      <c r="F2333" s="172" t="inlineStr">
        <is>
          <t>上交所</t>
        </is>
      </c>
      <c r="G2333" s="172" t="inlineStr">
        <is>
          <t>申万宏源资管</t>
        </is>
      </c>
      <c r="H2333" s="172" t="inlineStr">
        <is>
          <t>信达证券</t>
        </is>
      </c>
      <c r="I2333" s="172" t="inlineStr">
        <is>
          <t>建行北分</t>
        </is>
      </c>
      <c r="J2333" s="172" t="n">
        <v>10</v>
      </c>
      <c r="K2333" s="172" t="inlineStr">
        <is>
          <t>8+4</t>
        </is>
      </c>
      <c r="L2333" s="202" t="n">
        <v>46247</v>
      </c>
      <c r="M2333" s="175" t="n">
        <v>0.0147</v>
      </c>
      <c r="N2333" s="176" t="n">
        <v>0.0164</v>
      </c>
      <c r="O2333" s="191" t="n">
        <v>3.46</v>
      </c>
      <c r="P2333" s="172" t="inlineStr">
        <is>
          <t>优先级</t>
        </is>
      </c>
      <c r="Q2333" s="175" t="n">
        <v>0.99</v>
      </c>
      <c r="R2333" s="192" t="n">
        <v>9.9</v>
      </c>
      <c r="S2333" s="172" t="inlineStr">
        <is>
          <t>AAA</t>
        </is>
      </c>
      <c r="T2333" s="175" t="n">
        <v>0.0157</v>
      </c>
      <c r="U2333" s="172" t="inlineStr">
        <is>
          <t>浦银理财</t>
        </is>
      </c>
      <c r="V2333" s="191" t="n">
        <v>2.14</v>
      </c>
      <c r="W2333" s="172" t="n"/>
      <c r="X2333" s="172" t="n"/>
      <c r="Y2333" s="172" t="n"/>
    </row>
    <row r="2334">
      <c r="A2334" s="172" t="n">
        <v>130</v>
      </c>
      <c r="B2334" s="172" t="inlineStr">
        <is>
          <t>8月</t>
        </is>
      </c>
      <c r="C2334" s="172" t="inlineStr">
        <is>
          <t>企金</t>
        </is>
      </c>
      <c r="D2334" s="172" t="inlineStr">
        <is>
          <t>保理</t>
        </is>
      </c>
      <c r="E2334" s="172" t="inlineStr">
        <is>
          <t>京诚16-2</t>
        </is>
      </c>
      <c r="F2334" s="172" t="inlineStr">
        <is>
          <t>上交所</t>
        </is>
      </c>
      <c r="G2334" s="172" t="inlineStr">
        <is>
          <t>申万宏源资管</t>
        </is>
      </c>
      <c r="H2334" s="172" t="inlineStr">
        <is>
          <t>信达证券</t>
        </is>
      </c>
      <c r="I2334" s="172" t="inlineStr">
        <is>
          <t>建行北分</t>
        </is>
      </c>
      <c r="J2334" s="172" t="n">
        <v>10</v>
      </c>
      <c r="K2334" s="172" t="inlineStr">
        <is>
          <t>8+4</t>
        </is>
      </c>
      <c r="L2334" s="202" t="n">
        <v>46247</v>
      </c>
      <c r="M2334" s="175" t="n">
        <v>0.0147</v>
      </c>
      <c r="N2334" s="176" t="n">
        <v>0.0164</v>
      </c>
      <c r="O2334" s="191" t="n">
        <v>3.46</v>
      </c>
      <c r="P2334" s="172" t="inlineStr">
        <is>
          <t>优先级</t>
        </is>
      </c>
      <c r="Q2334" s="175" t="n">
        <v>0.99</v>
      </c>
      <c r="R2334" s="192" t="n">
        <v>9.9</v>
      </c>
      <c r="S2334" s="172" t="inlineStr">
        <is>
          <t>AAA</t>
        </is>
      </c>
      <c r="T2334" s="175" t="n">
        <v>0.0157</v>
      </c>
      <c r="U2334" s="172" t="inlineStr">
        <is>
          <t>工银理财</t>
        </is>
      </c>
      <c r="V2334" s="191" t="n">
        <v>0.78</v>
      </c>
      <c r="W2334" s="172" t="n"/>
      <c r="X2334" s="172" t="n"/>
      <c r="Y2334" s="172" t="n"/>
    </row>
    <row r="2335">
      <c r="A2335" s="172" t="n">
        <v>130</v>
      </c>
      <c r="B2335" s="172" t="inlineStr">
        <is>
          <t>8月</t>
        </is>
      </c>
      <c r="C2335" s="172" t="inlineStr">
        <is>
          <t>企金</t>
        </is>
      </c>
      <c r="D2335" s="172" t="inlineStr">
        <is>
          <t>保理</t>
        </is>
      </c>
      <c r="E2335" s="172" t="inlineStr">
        <is>
          <t>京诚16-2</t>
        </is>
      </c>
      <c r="F2335" s="172" t="inlineStr">
        <is>
          <t>上交所</t>
        </is>
      </c>
      <c r="G2335" s="172" t="inlineStr">
        <is>
          <t>申万宏源资管</t>
        </is>
      </c>
      <c r="H2335" s="172" t="inlineStr">
        <is>
          <t>信达证券</t>
        </is>
      </c>
      <c r="I2335" s="172" t="inlineStr">
        <is>
          <t>建行北分</t>
        </is>
      </c>
      <c r="J2335" s="172" t="n">
        <v>10</v>
      </c>
      <c r="K2335" s="172" t="inlineStr">
        <is>
          <t>8+4</t>
        </is>
      </c>
      <c r="L2335" s="202" t="n">
        <v>46247</v>
      </c>
      <c r="M2335" s="175" t="n">
        <v>0.0147</v>
      </c>
      <c r="N2335" s="176" t="n">
        <v>0.0164</v>
      </c>
      <c r="O2335" s="191" t="n">
        <v>3.46</v>
      </c>
      <c r="P2335" s="172" t="inlineStr">
        <is>
          <t>优先级</t>
        </is>
      </c>
      <c r="Q2335" s="175" t="n">
        <v>0.99</v>
      </c>
      <c r="R2335" s="192" t="n">
        <v>9.9</v>
      </c>
      <c r="S2335" s="172" t="inlineStr">
        <is>
          <t>AAA</t>
        </is>
      </c>
      <c r="T2335" s="175" t="n">
        <v>0.0157</v>
      </c>
      <c r="U2335" s="172" t="inlineStr">
        <is>
          <t>招银理财</t>
        </is>
      </c>
      <c r="V2335" s="191" t="n">
        <v>2.97</v>
      </c>
      <c r="W2335" s="172" t="n"/>
      <c r="X2335" s="172" t="n"/>
      <c r="Y2335" s="172" t="n"/>
    </row>
    <row r="2336">
      <c r="A2336" s="172" t="n">
        <v>130</v>
      </c>
      <c r="B2336" s="172" t="inlineStr">
        <is>
          <t>8月</t>
        </is>
      </c>
      <c r="C2336" s="172" t="inlineStr">
        <is>
          <t>企金</t>
        </is>
      </c>
      <c r="D2336" s="172" t="inlineStr">
        <is>
          <t>保理</t>
        </is>
      </c>
      <c r="E2336" s="172" t="inlineStr">
        <is>
          <t>京诚16-2</t>
        </is>
      </c>
      <c r="F2336" s="172" t="inlineStr">
        <is>
          <t>上交所</t>
        </is>
      </c>
      <c r="G2336" s="172" t="inlineStr">
        <is>
          <t>申万宏源资管</t>
        </is>
      </c>
      <c r="H2336" s="172" t="inlineStr">
        <is>
          <t>信达证券</t>
        </is>
      </c>
      <c r="I2336" s="172" t="inlineStr">
        <is>
          <t>建行北分</t>
        </is>
      </c>
      <c r="J2336" s="172" t="n">
        <v>10</v>
      </c>
      <c r="K2336" s="172" t="inlineStr">
        <is>
          <t>8+4</t>
        </is>
      </c>
      <c r="L2336" s="202" t="n">
        <v>46247</v>
      </c>
      <c r="M2336" s="175" t="n">
        <v>0.0147</v>
      </c>
      <c r="N2336" s="176" t="n">
        <v>0.0164</v>
      </c>
      <c r="O2336" s="191" t="n">
        <v>3.46</v>
      </c>
      <c r="P2336" s="172" t="inlineStr">
        <is>
          <t>次级</t>
        </is>
      </c>
      <c r="Q2336" s="175" t="n">
        <v>0.01</v>
      </c>
      <c r="R2336" s="192" t="n">
        <v>0.1</v>
      </c>
      <c r="S2336" s="175" t="inlineStr">
        <is>
          <t>无</t>
        </is>
      </c>
      <c r="T2336" s="175" t="n">
        <v>0.043</v>
      </c>
      <c r="U2336" s="172" t="inlineStr">
        <is>
          <t>朗姿韩亚</t>
        </is>
      </c>
      <c r="V2336" s="191" t="n">
        <v>0.1</v>
      </c>
      <c r="W2336" s="172" t="n"/>
      <c r="X2336" s="172" t="n"/>
      <c r="Y2336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2026-08-19T01:37:17Z</dcterms:modified>
  <cp:lastModifiedBy>wupeizhi.nolan</cp:lastModifiedBy>
</cp:coreProperties>
</file>