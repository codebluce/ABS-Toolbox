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xmlns:r="http://schemas.openxmlformats.org/officeDocument/2006/relationships" name="总表" sheetId="1" state="visible" r:id="rId1"/>
    <sheet xmlns:r="http://schemas.openxmlformats.org/officeDocument/2006/relationships" name="储架情况" sheetId="2" state="visible" r:id="rId2"/>
    <sheet xmlns:r="http://schemas.openxmlformats.org/officeDocument/2006/relationships" name="发行情况" sheetId="3" state="visible" r:id="rId3"/>
    <sheet xmlns:r="http://schemas.openxmlformats.org/officeDocument/2006/relationships" name="金条" sheetId="4" state="visible" r:id="rId4"/>
    <sheet xmlns:r="http://schemas.openxmlformats.org/officeDocument/2006/relationships" name="金条创收" sheetId="5" state="visible" r:id="rId5"/>
    <sheet xmlns:r="http://schemas.openxmlformats.org/officeDocument/2006/relationships" name="金条非标" sheetId="6" state="visible" r:id="rId6"/>
    <sheet xmlns:r="http://schemas.openxmlformats.org/officeDocument/2006/relationships" name="金条非标创收" sheetId="7" state="visible" r:id="rId7"/>
    <sheet xmlns:r="http://schemas.openxmlformats.org/officeDocument/2006/relationships" name="白条" sheetId="8" state="visible" r:id="rId8"/>
    <sheet xmlns:r="http://schemas.openxmlformats.org/officeDocument/2006/relationships" name="白条创收" sheetId="9" state="visible" r:id="rId9"/>
    <sheet xmlns:r="http://schemas.openxmlformats.org/officeDocument/2006/relationships" name="白条非标" sheetId="10" state="visible" r:id="rId10"/>
    <sheet xmlns:r="http://schemas.openxmlformats.org/officeDocument/2006/relationships" name="白条非标创收" sheetId="11" state="visible" r:id="rId11"/>
    <sheet xmlns:r="http://schemas.openxmlformats.org/officeDocument/2006/relationships" name="白取" sheetId="12" state="visible" r:id="rId12"/>
    <sheet xmlns:r="http://schemas.openxmlformats.org/officeDocument/2006/relationships" name="白取创收" sheetId="13" state="visible" r:id="rId13"/>
    <sheet xmlns:r="http://schemas.openxmlformats.org/officeDocument/2006/relationships" name="白取非标" sheetId="14" state="visible" r:id="rId14"/>
    <sheet xmlns:r="http://schemas.openxmlformats.org/officeDocument/2006/relationships" name="白取非标创收" sheetId="15" state="visible" r:id="rId15"/>
    <sheet xmlns:r="http://schemas.openxmlformats.org/officeDocument/2006/relationships" name="消金混池非标" sheetId="16" state="visible" r:id="rId16"/>
    <sheet xmlns:r="http://schemas.openxmlformats.org/officeDocument/2006/relationships" name="消金混池非标创收" sheetId="17" state="visible" r:id="rId17"/>
    <sheet xmlns:r="http://schemas.openxmlformats.org/officeDocument/2006/relationships" name="企业主贷" sheetId="18" state="visible" r:id="rId18"/>
    <sheet xmlns:r="http://schemas.openxmlformats.org/officeDocument/2006/relationships" name="企业主贷创收" sheetId="19" state="visible" r:id="rId19"/>
    <sheet xmlns:r="http://schemas.openxmlformats.org/officeDocument/2006/relationships" name="保理" sheetId="20" state="visible" r:id="rId20"/>
    <sheet xmlns:r="http://schemas.openxmlformats.org/officeDocument/2006/relationships" name="保理创收" sheetId="21" state="visible" r:id="rId21"/>
    <sheet xmlns:r="http://schemas.openxmlformats.org/officeDocument/2006/relationships" name="京企贷" sheetId="22" state="visible" r:id="rId22"/>
    <sheet xmlns:r="http://schemas.openxmlformats.org/officeDocument/2006/relationships" name="京企贷创收" sheetId="23" state="visible" r:id="rId23"/>
    <sheet xmlns:r="http://schemas.openxmlformats.org/officeDocument/2006/relationships" name="动产质押" sheetId="24" state="visible" r:id="rId24"/>
    <sheet xmlns:r="http://schemas.openxmlformats.org/officeDocument/2006/relationships"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28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 t="n">
        <v>0.9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 t="n">
        <v>0.9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 t="n">
        <v>0.9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 t="n">
        <v>0.9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 t="n">
        <v>0.9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 t="n">
        <v>0.9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 t="n">
        <v>0.9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 t="n">
        <v>0.03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 t="n">
        <v>0.03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 t="n">
        <v>0.03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 t="n">
        <v>0.03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0.4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0.4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0.4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0.4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0.4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0.045</v>
      </c>
      <c r="R262" s="181" t="n">
        <v>0.2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0.045</v>
      </c>
      <c r="R263" s="192" t="n">
        <v>0.2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0.045</v>
      </c>
      <c r="R264" s="192" t="n">
        <v>0.2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杭州银行/南京银行/江苏银行/中信银行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杭州银行/南京银行/江苏银行/中信银行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杭州银行/南京银行/江苏银行/中信银行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杭州银行/南京银行/江苏银行/中信银行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杭州银行/南京银行/江苏银行/中信银行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杭州银行/南京银行/江苏银行/中信银行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杭州银行/南京银行/江苏银行/中信银行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杭州银行/南京银行/江苏银行/中信银行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杭州银行/南京银行/江苏银行/中信银行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0.045</v>
      </c>
      <c r="R298" s="181" t="n">
        <v>0.2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杭州银行/南京银行/江苏银行/中信银行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0.045</v>
      </c>
      <c r="R299" s="192" t="n">
        <v>0.2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杭州银行/南京银行/江苏银行/中信银行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0.045</v>
      </c>
      <c r="R300" s="192" t="n">
        <v>0.2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0.24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0.24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0.24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0.3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0.3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0.35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0.2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 t="n">
        <v>0.9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 t="n">
        <v>0.9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 t="n">
        <v>0.9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 t="n">
        <v>0.9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 t="n">
        <v>0.9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 t="n">
        <v>0.9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 t="n">
        <v>0.9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 t="n">
        <v>0.9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 t="n">
        <v>0.9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 t="n">
        <v>0.9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 t="n">
        <v>0.9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 t="n">
        <v>0.9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 t="n">
        <v>0.9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 t="n">
        <v>0.9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 t="n">
        <v>0.9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 t="n">
        <v>0.9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 t="n">
        <v>0.9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 t="n">
        <v>0.03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 t="n">
        <v>0.03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 t="n">
        <v>0.03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 t="n">
        <v>0.03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 t="n">
        <v>0.03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 t="n">
        <v>0.9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 t="n">
        <v>0.9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 t="n">
        <v>0.9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 t="n">
        <v>0.9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 t="n">
        <v>0.9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 t="n">
        <v>0.9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 t="n">
        <v>0.9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 t="n">
        <v>0.9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 t="n">
        <v>0.9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 t="n">
        <v>0.9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 t="n">
        <v>0.9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 t="n">
        <v>0.9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 t="n">
        <v>0.9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 t="n">
        <v>0.9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 t="n">
        <v>0.9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 t="n">
        <v>0.9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 t="n">
        <v>0.9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 t="n">
        <v>0.9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 t="n">
        <v>0.9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 t="n">
        <v>0.9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 t="n">
        <v>0.9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 t="n">
        <v>0.03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 t="n">
        <v>0.03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 t="n">
        <v>0.03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 t="n">
        <v>0.03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 t="n">
        <v>0.03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 t="n">
        <v>0.9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 t="n">
        <v>0.9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 t="n">
        <v>0.9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 t="n">
        <v>0.9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 t="n">
        <v>0.9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 t="n">
        <v>0.9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 t="n">
        <v>0.9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 t="n">
        <v>0.9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 t="n">
        <v>0.9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 t="n">
        <v>0.9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 t="n">
        <v>0.9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 t="n">
        <v>0.9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 t="n">
        <v>0.9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 t="n">
        <v>0.9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 t="n">
        <v>0.9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 t="n">
        <v>0.9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 t="n">
        <v>0.9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 t="n">
        <v>0.9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 t="n">
        <v>0.9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 t="n">
        <v>0.03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 t="n">
        <v>0.03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 t="n">
        <v>0.03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 t="n">
        <v>0.03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 t="n">
        <v>0.03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平层非标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平层非标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平层非标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 t="n">
        <v>0.9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 t="n">
        <v>0.9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 t="n">
        <v>0.9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 t="n">
        <v>0.9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 t="n">
        <v>0.9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 t="n">
        <v>0.9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 t="n">
        <v>0.9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 t="n">
        <v>0.9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 t="n">
        <v>0.9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 t="n">
        <v>0.9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 t="n">
        <v>0.9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 t="n">
        <v>0.9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 t="n">
        <v>0.9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 t="n">
        <v>0.03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 t="n">
        <v>0.03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 t="n">
        <v>0.03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 t="n">
        <v>0.9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 t="n">
        <v>0.9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 t="n">
        <v>0.9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 t="n">
        <v>0.9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 t="n">
        <v>0.9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 t="n">
        <v>0.9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 t="n">
        <v>0.9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 t="n">
        <v>0.9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 t="n">
        <v>0.9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 t="n">
        <v>0.9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 t="n">
        <v>0.9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 t="n">
        <v>0.9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 t="n">
        <v>0.9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 t="n">
        <v>0.9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 t="n">
        <v>0.9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 t="n">
        <v>0.9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 t="n">
        <v>0.9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 t="n">
        <v>0.03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 t="n">
        <v>0.03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 t="n">
        <v>0.03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 t="n">
        <v>0.03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 t="n">
        <v>0.3682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 t="n">
        <v>0.3682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 t="n">
        <v>0.3682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 t="n">
        <v>0.3682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 t="n">
        <v>0.3682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 t="n">
        <v>0.3682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 t="n">
        <v>0.3682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 t="n">
        <v>0.3682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 t="n">
        <v>0.3682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 t="n">
        <v>0.3682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 t="n">
        <v>0.3682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 t="n">
        <v>0.3682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 t="n">
        <v>0.3682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 t="n">
        <v>0.3682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 t="n">
        <v>0.3682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 t="n">
        <v>0.3682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 t="n">
        <v>0.3682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 t="n">
        <v>0.3682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 t="n">
        <v>0.3682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 t="n">
        <v>0.3682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 t="n">
        <v>0.3682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 t="n">
        <v>0.3682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 t="n">
        <v>0.3764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 t="n">
        <v>0.3764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 t="n">
        <v>0.3764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 t="n">
        <v>0.3764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 t="n">
        <v>0.3764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 t="n">
        <v>0.3764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 t="n">
        <v>0.3764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 t="n">
        <v>0.3764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 t="n">
        <v>0.3764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 t="n">
        <v>0.3764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 t="n">
        <v>0.3764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 t="n">
        <v>0.3764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 t="n">
        <v>0.3764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 t="n">
        <v>0.3764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 t="n">
        <v>0.3764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>
        <f>0.75-V866</f>
        <v/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消金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消金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江苏银行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5" t="n">
        <v>0.0149</v>
      </c>
      <c r="X1471" s="172" t="inlineStr">
        <is>
          <t>平安资产</t>
        </is>
      </c>
      <c r="Y1471" s="191" t="n">
        <v>4.95</v>
      </c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5" t="n">
        <v>0.0149</v>
      </c>
      <c r="X1472" s="172" t="inlineStr">
        <is>
          <t>杭银理财</t>
        </is>
      </c>
      <c r="Y1472" s="191" t="n">
        <v>0.45</v>
      </c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5" t="n">
        <v>0.015</v>
      </c>
      <c r="X1473" s="172" t="inlineStr">
        <is>
          <t>信银理财</t>
        </is>
      </c>
      <c r="Y1473" s="191" t="n">
        <v>2.97</v>
      </c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5" t="n">
        <v>0.015</v>
      </c>
      <c r="X1474" s="172" t="inlineStr">
        <is>
          <t>建信理财</t>
        </is>
      </c>
      <c r="Y1474" s="191" t="n">
        <v>2.9</v>
      </c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5" t="n">
        <v>0.015</v>
      </c>
      <c r="X1475" s="172" t="inlineStr">
        <is>
          <t>平安理财</t>
        </is>
      </c>
      <c r="Y1475" s="191" t="n">
        <v>2.47</v>
      </c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5" t="n">
        <v>0.015</v>
      </c>
      <c r="X1476" s="172" t="inlineStr">
        <is>
          <t>中银理财</t>
        </is>
      </c>
      <c r="Y1476" s="191" t="n">
        <v>1</v>
      </c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8" t="n">
        <v>46182</v>
      </c>
      <c r="M1477" s="175" t="n">
        <v>0.0145</v>
      </c>
      <c r="N1477" s="176" t="n">
        <v>0.0157</v>
      </c>
      <c r="O1477" s="172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n"/>
      <c r="V1477" s="172" t="n"/>
      <c r="W1477" s="175" t="n">
        <v>0.016</v>
      </c>
      <c r="X1477" s="172" t="inlineStr">
        <is>
          <t>中银理财</t>
        </is>
      </c>
      <c r="Y1477" s="191" t="n">
        <v>0.5</v>
      </c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8" t="n">
        <v>46182</v>
      </c>
      <c r="M1478" s="175" t="n">
        <v>0.0145</v>
      </c>
      <c r="N1478" s="176" t="n">
        <v>0.0157</v>
      </c>
      <c r="O1478" s="172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n"/>
      <c r="V1478" s="172" t="n"/>
      <c r="W1478" s="175" t="n">
        <v>0.0165</v>
      </c>
      <c r="X1478" s="172" t="inlineStr">
        <is>
          <t>中银理财</t>
        </is>
      </c>
      <c r="Y1478" s="191" t="n">
        <v>0.5</v>
      </c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优先级</t>
        </is>
      </c>
      <c r="Q1479" s="175" t="n">
        <v>0.99</v>
      </c>
      <c r="R1479" s="192" t="n">
        <v>9.9</v>
      </c>
      <c r="S1479" s="172" t="inlineStr">
        <is>
          <t>AAA</t>
        </is>
      </c>
      <c r="T1479" s="175" t="n">
        <v>0.015</v>
      </c>
      <c r="U1479" s="172" t="inlineStr">
        <is>
          <t>光大理财</t>
        </is>
      </c>
      <c r="V1479" s="191" t="n">
        <v>0.73</v>
      </c>
      <c r="W1479" s="175" t="n">
        <v>0.015</v>
      </c>
      <c r="X1479" s="172" t="inlineStr">
        <is>
          <t>光大理财</t>
        </is>
      </c>
      <c r="Y1479" s="191" t="n">
        <v>2.35</v>
      </c>
    </row>
    <row r="1480">
      <c r="A1480" s="172" t="n">
        <v>85</v>
      </c>
      <c r="B1480" s="172" t="inlineStr">
        <is>
          <t>6月</t>
        </is>
      </c>
      <c r="C1480" s="172" t="inlineStr">
        <is>
          <t>企金</t>
        </is>
      </c>
      <c r="D1480" s="172" t="inlineStr">
        <is>
          <t>保理</t>
        </is>
      </c>
      <c r="E1480" s="172" t="inlineStr">
        <is>
          <t>京诚15-9</t>
        </is>
      </c>
      <c r="F1480" s="172" t="inlineStr">
        <is>
          <t>上交所</t>
        </is>
      </c>
      <c r="G1480" s="172" t="inlineStr">
        <is>
          <t>首创证券</t>
        </is>
      </c>
      <c r="H1480" s="172" t="inlineStr">
        <is>
          <t>国金证券</t>
        </is>
      </c>
      <c r="I1480" s="172" t="inlineStr">
        <is>
          <t>工银天分</t>
        </is>
      </c>
      <c r="J1480" s="172" t="n">
        <v>10</v>
      </c>
      <c r="K1480" s="172" t="inlineStr">
        <is>
          <t>2+4</t>
        </is>
      </c>
      <c r="L1480" s="202" t="n">
        <v>46182</v>
      </c>
      <c r="M1480" s="175" t="n">
        <v>0.0145</v>
      </c>
      <c r="N1480" s="176" t="n">
        <v>0.0157</v>
      </c>
      <c r="O1480" s="191" t="n">
        <v>3.92</v>
      </c>
      <c r="P1480" s="172" t="inlineStr">
        <is>
          <t>优先级</t>
        </is>
      </c>
      <c r="Q1480" s="175" t="n">
        <v>0.99</v>
      </c>
      <c r="R1480" s="192" t="n">
        <v>9.9</v>
      </c>
      <c r="S1480" s="172" t="inlineStr">
        <is>
          <t>AAA</t>
        </is>
      </c>
      <c r="T1480" s="175" t="n">
        <v>0.015</v>
      </c>
      <c r="U1480" s="172" t="inlineStr">
        <is>
          <t>浦银理财</t>
        </is>
      </c>
      <c r="V1480" s="191" t="n">
        <v>0.86</v>
      </c>
      <c r="W1480" s="175" t="n">
        <v>0.015</v>
      </c>
      <c r="X1480" s="172" t="inlineStr">
        <is>
          <t>浦银理财</t>
        </is>
      </c>
      <c r="Y1480" s="191" t="n">
        <v>2.76</v>
      </c>
    </row>
    <row r="1481">
      <c r="A1481" s="172" t="n">
        <v>85</v>
      </c>
      <c r="B1481" s="172" t="inlineStr">
        <is>
          <t>6月</t>
        </is>
      </c>
      <c r="C1481" s="172" t="inlineStr">
        <is>
          <t>企金</t>
        </is>
      </c>
      <c r="D1481" s="172" t="inlineStr">
        <is>
          <t>保理</t>
        </is>
      </c>
      <c r="E1481" s="172" t="inlineStr">
        <is>
          <t>京诚15-9</t>
        </is>
      </c>
      <c r="F1481" s="172" t="inlineStr">
        <is>
          <t>上交所</t>
        </is>
      </c>
      <c r="G1481" s="172" t="inlineStr">
        <is>
          <t>首创证券</t>
        </is>
      </c>
      <c r="H1481" s="172" t="inlineStr">
        <is>
          <t>国金证券</t>
        </is>
      </c>
      <c r="I1481" s="172" t="inlineStr">
        <is>
          <t>工银天分</t>
        </is>
      </c>
      <c r="J1481" s="172" t="n">
        <v>10</v>
      </c>
      <c r="K1481" s="172" t="inlineStr">
        <is>
          <t>2+4</t>
        </is>
      </c>
      <c r="L1481" s="208" t="n">
        <v>46182</v>
      </c>
      <c r="M1481" s="175" t="n">
        <v>0.0145</v>
      </c>
      <c r="N1481" s="176" t="n">
        <v>0.0157</v>
      </c>
      <c r="O1481" s="172" t="n">
        <v>3.92</v>
      </c>
      <c r="P1481" s="172" t="inlineStr">
        <is>
          <t>优先级</t>
        </is>
      </c>
      <c r="Q1481" s="175" t="n">
        <v>0.99</v>
      </c>
      <c r="R1481" s="192" t="n">
        <v>9.9</v>
      </c>
      <c r="S1481" s="172" t="inlineStr">
        <is>
          <t>AAA</t>
        </is>
      </c>
      <c r="T1481" s="175" t="n">
        <v>0.015</v>
      </c>
      <c r="U1481" s="172" t="n"/>
      <c r="V1481" s="172" t="n"/>
      <c r="W1481" s="175" t="n">
        <v>0.0151</v>
      </c>
      <c r="X1481" s="172" t="inlineStr">
        <is>
          <t>工银理财</t>
        </is>
      </c>
      <c r="Y1481" s="191" t="n">
        <v>2.5</v>
      </c>
    </row>
    <row r="1482">
      <c r="A1482" s="172" t="n">
        <v>85</v>
      </c>
      <c r="B1482" s="172" t="inlineStr">
        <is>
          <t>6月</t>
        </is>
      </c>
      <c r="C1482" s="172" t="inlineStr">
        <is>
          <t>企金</t>
        </is>
      </c>
      <c r="D1482" s="172" t="inlineStr">
        <is>
          <t>保理</t>
        </is>
      </c>
      <c r="E1482" s="172" t="inlineStr">
        <is>
          <t>京诚15-9</t>
        </is>
      </c>
      <c r="F1482" s="172" t="inlineStr">
        <is>
          <t>上交所</t>
        </is>
      </c>
      <c r="G1482" s="172" t="inlineStr">
        <is>
          <t>首创证券</t>
        </is>
      </c>
      <c r="H1482" s="172" t="inlineStr">
        <is>
          <t>国金证券</t>
        </is>
      </c>
      <c r="I1482" s="172" t="inlineStr">
        <is>
          <t>工银天分</t>
        </is>
      </c>
      <c r="J1482" s="172" t="n">
        <v>10</v>
      </c>
      <c r="K1482" s="172" t="inlineStr">
        <is>
          <t>2+4</t>
        </is>
      </c>
      <c r="L1482" s="208" t="n">
        <v>46182</v>
      </c>
      <c r="M1482" s="175" t="n">
        <v>0.0145</v>
      </c>
      <c r="N1482" s="176" t="n">
        <v>0.0157</v>
      </c>
      <c r="O1482" s="172" t="n">
        <v>3.92</v>
      </c>
      <c r="P1482" s="172" t="inlineStr">
        <is>
          <t>优先级</t>
        </is>
      </c>
      <c r="Q1482" s="175" t="n">
        <v>0.99</v>
      </c>
      <c r="R1482" s="192" t="n">
        <v>9.9</v>
      </c>
      <c r="S1482" s="172" t="inlineStr">
        <is>
          <t>AAA</t>
        </is>
      </c>
      <c r="T1482" s="175" t="n">
        <v>0.015</v>
      </c>
      <c r="U1482" s="172" t="n"/>
      <c r="V1482" s="172" t="n"/>
      <c r="W1482" s="175" t="n">
        <v>0.0154</v>
      </c>
      <c r="X1482" s="172" t="inlineStr">
        <is>
          <t>民生理财</t>
        </is>
      </c>
      <c r="Y1482" s="191" t="n">
        <v>2.7</v>
      </c>
    </row>
    <row r="1483">
      <c r="A1483" s="172" t="n">
        <v>85</v>
      </c>
      <c r="B1483" s="172" t="inlineStr">
        <is>
          <t>6月</t>
        </is>
      </c>
      <c r="C1483" s="172" t="inlineStr">
        <is>
          <t>企金</t>
        </is>
      </c>
      <c r="D1483" s="172" t="inlineStr">
        <is>
          <t>保理</t>
        </is>
      </c>
      <c r="E1483" s="172" t="inlineStr">
        <is>
          <t>京诚15-9</t>
        </is>
      </c>
      <c r="F1483" s="172" t="inlineStr">
        <is>
          <t>上交所</t>
        </is>
      </c>
      <c r="G1483" s="172" t="inlineStr">
        <is>
          <t>首创证券</t>
        </is>
      </c>
      <c r="H1483" s="172" t="inlineStr">
        <is>
          <t>国金证券</t>
        </is>
      </c>
      <c r="I1483" s="172" t="inlineStr">
        <is>
          <t>工银天分</t>
        </is>
      </c>
      <c r="J1483" s="172" t="n">
        <v>10</v>
      </c>
      <c r="K1483" s="172" t="inlineStr">
        <is>
          <t>2+4</t>
        </is>
      </c>
      <c r="L1483" s="208" t="n">
        <v>46182</v>
      </c>
      <c r="M1483" s="175" t="n">
        <v>0.0145</v>
      </c>
      <c r="N1483" s="176" t="n">
        <v>0.0157</v>
      </c>
      <c r="O1483" s="172" t="n">
        <v>3.92</v>
      </c>
      <c r="P1483" s="172" t="inlineStr">
        <is>
          <t>优先级</t>
        </is>
      </c>
      <c r="Q1483" s="175" t="n">
        <v>0.99</v>
      </c>
      <c r="R1483" s="192" t="n">
        <v>9.9</v>
      </c>
      <c r="S1483" s="172" t="inlineStr">
        <is>
          <t>AAA</t>
        </is>
      </c>
      <c r="T1483" s="175" t="n">
        <v>0.015</v>
      </c>
      <c r="U1483" s="172" t="n"/>
      <c r="V1483" s="172" t="n"/>
      <c r="W1483" s="175" t="n">
        <v>0.0155</v>
      </c>
      <c r="X1483" s="172" t="inlineStr">
        <is>
          <t>交银理财</t>
        </is>
      </c>
      <c r="Y1483" s="191" t="n">
        <v>0.5</v>
      </c>
    </row>
    <row r="1484">
      <c r="A1484" s="172" t="n">
        <v>85</v>
      </c>
      <c r="B1484" s="172" t="inlineStr">
        <is>
          <t>6月</t>
        </is>
      </c>
      <c r="C1484" s="172" t="inlineStr">
        <is>
          <t>企金</t>
        </is>
      </c>
      <c r="D1484" s="172" t="inlineStr">
        <is>
          <t>保理</t>
        </is>
      </c>
      <c r="E1484" s="172" t="inlineStr">
        <is>
          <t>京诚15-9</t>
        </is>
      </c>
      <c r="F1484" s="172" t="inlineStr">
        <is>
          <t>上交所</t>
        </is>
      </c>
      <c r="G1484" s="172" t="inlineStr">
        <is>
          <t>首创证券</t>
        </is>
      </c>
      <c r="H1484" s="172" t="inlineStr">
        <is>
          <t>国金证券</t>
        </is>
      </c>
      <c r="I1484" s="172" t="inlineStr">
        <is>
          <t>工银天分</t>
        </is>
      </c>
      <c r="J1484" s="172" t="n">
        <v>10</v>
      </c>
      <c r="K1484" s="172" t="inlineStr">
        <is>
          <t>2+4</t>
        </is>
      </c>
      <c r="L1484" s="208" t="n">
        <v>46182</v>
      </c>
      <c r="M1484" s="175" t="n">
        <v>0.0145</v>
      </c>
      <c r="N1484" s="176" t="n">
        <v>0.0157</v>
      </c>
      <c r="O1484" s="172" t="n">
        <v>3.92</v>
      </c>
      <c r="P1484" s="172" t="inlineStr">
        <is>
          <t>优先级</t>
        </is>
      </c>
      <c r="Q1484" s="175" t="n">
        <v>0.99</v>
      </c>
      <c r="R1484" s="192" t="n">
        <v>9.9</v>
      </c>
      <c r="S1484" s="172" t="inlineStr">
        <is>
          <t>AAA</t>
        </is>
      </c>
      <c r="T1484" s="175" t="n">
        <v>0.015</v>
      </c>
      <c r="U1484" s="172" t="n"/>
      <c r="V1484" s="172" t="n"/>
      <c r="W1484" s="175" t="n">
        <v>0.0158</v>
      </c>
      <c r="X1484" s="172" t="inlineStr">
        <is>
          <t>交银理财</t>
        </is>
      </c>
      <c r="Y1484" s="191" t="n">
        <v>0.3</v>
      </c>
    </row>
    <row r="1485">
      <c r="A1485" s="172" t="n">
        <v>85</v>
      </c>
      <c r="B1485" s="172" t="inlineStr">
        <is>
          <t>6月</t>
        </is>
      </c>
      <c r="C1485" s="172" t="inlineStr">
        <is>
          <t>企金</t>
        </is>
      </c>
      <c r="D1485" s="172" t="inlineStr">
        <is>
          <t>保理</t>
        </is>
      </c>
      <c r="E1485" s="172" t="inlineStr">
        <is>
          <t>京诚15-9</t>
        </is>
      </c>
      <c r="F1485" s="172" t="inlineStr">
        <is>
          <t>上交所</t>
        </is>
      </c>
      <c r="G1485" s="172" t="inlineStr">
        <is>
          <t>首创证券</t>
        </is>
      </c>
      <c r="H1485" s="172" t="inlineStr">
        <is>
          <t>国金证券</t>
        </is>
      </c>
      <c r="I1485" s="172" t="inlineStr">
        <is>
          <t>工银天分</t>
        </is>
      </c>
      <c r="J1485" s="172" t="n">
        <v>10</v>
      </c>
      <c r="K1485" s="172" t="inlineStr">
        <is>
          <t>2+4</t>
        </is>
      </c>
      <c r="L1485" s="208" t="n">
        <v>46182</v>
      </c>
      <c r="M1485" s="175" t="n">
        <v>0.0145</v>
      </c>
      <c r="N1485" s="176" t="n">
        <v>0.0157</v>
      </c>
      <c r="O1485" s="172" t="n">
        <v>3.92</v>
      </c>
      <c r="P1485" s="172" t="inlineStr">
        <is>
          <t>优先级</t>
        </is>
      </c>
      <c r="Q1485" s="175" t="n">
        <v>0.99</v>
      </c>
      <c r="R1485" s="192" t="n">
        <v>9.9</v>
      </c>
      <c r="S1485" s="172" t="inlineStr">
        <is>
          <t>AAA</t>
        </is>
      </c>
      <c r="T1485" s="175" t="n">
        <v>0.015</v>
      </c>
      <c r="U1485" s="172" t="n"/>
      <c r="V1485" s="172" t="n"/>
      <c r="W1485" s="175" t="n">
        <v>0.0155</v>
      </c>
      <c r="X1485" s="172" t="inlineStr">
        <is>
          <t>平安银行</t>
        </is>
      </c>
      <c r="Y1485" s="191" t="n">
        <v>3.96</v>
      </c>
    </row>
    <row r="1486">
      <c r="A1486" s="172" t="n">
        <v>85</v>
      </c>
      <c r="B1486" s="172" t="inlineStr">
        <is>
          <t>6月</t>
        </is>
      </c>
      <c r="C1486" s="172" t="inlineStr">
        <is>
          <t>企金</t>
        </is>
      </c>
      <c r="D1486" s="172" t="inlineStr">
        <is>
          <t>保理</t>
        </is>
      </c>
      <c r="E1486" s="172" t="inlineStr">
        <is>
          <t>京诚15-9</t>
        </is>
      </c>
      <c r="F1486" s="172" t="inlineStr">
        <is>
          <t>上交所</t>
        </is>
      </c>
      <c r="G1486" s="172" t="inlineStr">
        <is>
          <t>首创证券</t>
        </is>
      </c>
      <c r="H1486" s="172" t="inlineStr">
        <is>
          <t>国金证券</t>
        </is>
      </c>
      <c r="I1486" s="172" t="inlineStr">
        <is>
          <t>工银天分</t>
        </is>
      </c>
      <c r="J1486" s="172" t="n">
        <v>10</v>
      </c>
      <c r="K1486" s="172" t="inlineStr">
        <is>
          <t>2+4</t>
        </is>
      </c>
      <c r="L1486" s="208" t="n">
        <v>46182</v>
      </c>
      <c r="M1486" s="175" t="n">
        <v>0.0145</v>
      </c>
      <c r="N1486" s="176" t="n">
        <v>0.0157</v>
      </c>
      <c r="O1486" s="172" t="n">
        <v>3.92</v>
      </c>
      <c r="P1486" s="172" t="inlineStr">
        <is>
          <t>优先级</t>
        </is>
      </c>
      <c r="Q1486" s="175" t="n">
        <v>0.99</v>
      </c>
      <c r="R1486" s="192" t="n">
        <v>9.9</v>
      </c>
      <c r="S1486" s="172" t="inlineStr">
        <is>
          <t>AAA</t>
        </is>
      </c>
      <c r="T1486" s="175" t="n">
        <v>0.015</v>
      </c>
      <c r="U1486" s="172" t="n"/>
      <c r="V1486" s="172" t="n"/>
      <c r="W1486" s="175" t="n">
        <v>0.0155</v>
      </c>
      <c r="X1486" s="172" t="inlineStr">
        <is>
          <t>中邮理财</t>
        </is>
      </c>
      <c r="Y1486" s="191" t="n">
        <v>2.9</v>
      </c>
    </row>
    <row r="1487">
      <c r="A1487" s="172" t="n">
        <v>85</v>
      </c>
      <c r="B1487" s="172" t="inlineStr">
        <is>
          <t>6月</t>
        </is>
      </c>
      <c r="C1487" s="172" t="inlineStr">
        <is>
          <t>企金</t>
        </is>
      </c>
      <c r="D1487" s="172" t="inlineStr">
        <is>
          <t>保理</t>
        </is>
      </c>
      <c r="E1487" s="172" t="inlineStr">
        <is>
          <t>京诚15-9</t>
        </is>
      </c>
      <c r="F1487" s="172" t="inlineStr">
        <is>
          <t>上交所</t>
        </is>
      </c>
      <c r="G1487" s="172" t="inlineStr">
        <is>
          <t>首创证券</t>
        </is>
      </c>
      <c r="H1487" s="172" t="inlineStr">
        <is>
          <t>国金证券</t>
        </is>
      </c>
      <c r="I1487" s="172" t="inlineStr">
        <is>
          <t>工银天分</t>
        </is>
      </c>
      <c r="J1487" s="172" t="n">
        <v>10</v>
      </c>
      <c r="K1487" s="172" t="inlineStr">
        <is>
          <t>2+4</t>
        </is>
      </c>
      <c r="L1487" s="208" t="n">
        <v>46182</v>
      </c>
      <c r="M1487" s="175" t="n">
        <v>0.0145</v>
      </c>
      <c r="N1487" s="176" t="n">
        <v>0.0157</v>
      </c>
      <c r="O1487" s="172" t="n">
        <v>3.92</v>
      </c>
      <c r="P1487" s="172" t="inlineStr">
        <is>
          <t>优先级</t>
        </is>
      </c>
      <c r="Q1487" s="175" t="n">
        <v>0.99</v>
      </c>
      <c r="R1487" s="192" t="n">
        <v>9.9</v>
      </c>
      <c r="S1487" s="172" t="inlineStr">
        <is>
          <t>AAA</t>
        </is>
      </c>
      <c r="T1487" s="175" t="n">
        <v>0.015</v>
      </c>
      <c r="U1487" s="172" t="n"/>
      <c r="V1487" s="172" t="n"/>
      <c r="W1487" s="175" t="n">
        <v>0.016</v>
      </c>
      <c r="X1487" s="172" t="inlineStr">
        <is>
          <t>中邮理财</t>
        </is>
      </c>
      <c r="Y1487" s="191" t="n">
        <v>0.06900000000000001</v>
      </c>
    </row>
    <row r="1488">
      <c r="A1488" s="172" t="n">
        <v>85</v>
      </c>
      <c r="B1488" s="172" t="inlineStr">
        <is>
          <t>6月</t>
        </is>
      </c>
      <c r="C1488" s="172" t="inlineStr">
        <is>
          <t>企金</t>
        </is>
      </c>
      <c r="D1488" s="172" t="inlineStr">
        <is>
          <t>保理</t>
        </is>
      </c>
      <c r="E1488" s="172" t="inlineStr">
        <is>
          <t>京诚15-9</t>
        </is>
      </c>
      <c r="F1488" s="172" t="inlineStr">
        <is>
          <t>上交所</t>
        </is>
      </c>
      <c r="G1488" s="172" t="inlineStr">
        <is>
          <t>首创证券</t>
        </is>
      </c>
      <c r="H1488" s="172" t="inlineStr">
        <is>
          <t>国金证券</t>
        </is>
      </c>
      <c r="I1488" s="172" t="inlineStr">
        <is>
          <t>工银天分</t>
        </is>
      </c>
      <c r="J1488" s="172" t="n">
        <v>10</v>
      </c>
      <c r="K1488" s="172" t="inlineStr">
        <is>
          <t>2+4</t>
        </is>
      </c>
      <c r="L1488" s="208" t="n">
        <v>46182</v>
      </c>
      <c r="M1488" s="175" t="n">
        <v>0.0145</v>
      </c>
      <c r="N1488" s="176" t="n">
        <v>0.0157</v>
      </c>
      <c r="O1488" s="172" t="n">
        <v>3.92</v>
      </c>
      <c r="P1488" s="172" t="inlineStr">
        <is>
          <t>优先级</t>
        </is>
      </c>
      <c r="Q1488" s="175" t="n">
        <v>0.99</v>
      </c>
      <c r="R1488" s="192" t="n">
        <v>9.9</v>
      </c>
      <c r="S1488" s="172" t="inlineStr">
        <is>
          <t>AAA</t>
        </is>
      </c>
      <c r="T1488" s="175" t="n">
        <v>0.015</v>
      </c>
      <c r="U1488" s="172" t="n"/>
      <c r="V1488" s="172" t="n"/>
      <c r="W1488" s="175" t="n">
        <v>0.0165</v>
      </c>
      <c r="X1488" s="172" t="inlineStr">
        <is>
          <t>国金资管</t>
        </is>
      </c>
      <c r="Y1488" s="191" t="n">
        <v>1.5</v>
      </c>
    </row>
    <row r="1489">
      <c r="A1489" s="172" t="n">
        <v>85</v>
      </c>
      <c r="B1489" s="172" t="inlineStr">
        <is>
          <t>6月</t>
        </is>
      </c>
      <c r="C1489" s="172" t="inlineStr">
        <is>
          <t>企金</t>
        </is>
      </c>
      <c r="D1489" s="172" t="inlineStr">
        <is>
          <t>保理</t>
        </is>
      </c>
      <c r="E1489" s="172" t="inlineStr">
        <is>
          <t>京诚15-9</t>
        </is>
      </c>
      <c r="F1489" s="172" t="inlineStr">
        <is>
          <t>上交所</t>
        </is>
      </c>
      <c r="G1489" s="172" t="inlineStr">
        <is>
          <t>首创证券</t>
        </is>
      </c>
      <c r="H1489" s="172" t="inlineStr">
        <is>
          <t>国金证券</t>
        </is>
      </c>
      <c r="I1489" s="172" t="inlineStr">
        <is>
          <t>工银天分</t>
        </is>
      </c>
      <c r="J1489" s="172" t="n">
        <v>10</v>
      </c>
      <c r="K1489" s="172" t="inlineStr">
        <is>
          <t>2+4</t>
        </is>
      </c>
      <c r="L1489" s="208" t="n">
        <v>46182</v>
      </c>
      <c r="M1489" s="175" t="n">
        <v>0.0145</v>
      </c>
      <c r="N1489" s="176" t="n">
        <v>0.0157</v>
      </c>
      <c r="O1489" s="172" t="n">
        <v>3.92</v>
      </c>
      <c r="P1489" s="172" t="inlineStr">
        <is>
          <t>优先级</t>
        </is>
      </c>
      <c r="Q1489" s="175" t="n">
        <v>0.99</v>
      </c>
      <c r="R1489" s="192" t="n">
        <v>9.9</v>
      </c>
      <c r="S1489" s="172" t="inlineStr">
        <is>
          <t>AAA</t>
        </is>
      </c>
      <c r="T1489" s="175" t="n">
        <v>0.015</v>
      </c>
      <c r="U1489" s="172" t="n"/>
      <c r="V1489" s="172" t="n"/>
      <c r="W1489" s="175" t="n">
        <v>0.023</v>
      </c>
      <c r="X1489" s="172" t="inlineStr">
        <is>
          <t>利曦基金</t>
        </is>
      </c>
      <c r="Y1489" s="191" t="n">
        <v>2</v>
      </c>
    </row>
    <row r="1490">
      <c r="A1490" s="172" t="n">
        <v>85</v>
      </c>
      <c r="B1490" s="172" t="inlineStr">
        <is>
          <t>6月</t>
        </is>
      </c>
      <c r="C1490" s="172" t="inlineStr">
        <is>
          <t>企金</t>
        </is>
      </c>
      <c r="D1490" s="172" t="inlineStr">
        <is>
          <t>保理</t>
        </is>
      </c>
      <c r="E1490" s="172" t="inlineStr">
        <is>
          <t>京诚15-9</t>
        </is>
      </c>
      <c r="F1490" s="172" t="inlineStr">
        <is>
          <t>上交所</t>
        </is>
      </c>
      <c r="G1490" s="172" t="inlineStr">
        <is>
          <t>首创证券</t>
        </is>
      </c>
      <c r="H1490" s="172" t="inlineStr">
        <is>
          <t>国金证券</t>
        </is>
      </c>
      <c r="I1490" s="172" t="inlineStr">
        <is>
          <t>工银天分</t>
        </is>
      </c>
      <c r="J1490" s="172" t="n">
        <v>10</v>
      </c>
      <c r="K1490" s="172" t="inlineStr">
        <is>
          <t>2+4</t>
        </is>
      </c>
      <c r="L1490" s="208" t="n">
        <v>46182</v>
      </c>
      <c r="M1490" s="175" t="n">
        <v>0.0145</v>
      </c>
      <c r="N1490" s="176" t="n">
        <v>0.0157</v>
      </c>
      <c r="O1490" s="172" t="n">
        <v>3.92</v>
      </c>
      <c r="P1490" s="172" t="inlineStr">
        <is>
          <t>优先级</t>
        </is>
      </c>
      <c r="Q1490" s="175" t="n">
        <v>0.99</v>
      </c>
      <c r="R1490" s="192" t="n">
        <v>9.9</v>
      </c>
      <c r="S1490" s="172" t="inlineStr">
        <is>
          <t>AAA</t>
        </is>
      </c>
      <c r="T1490" s="175" t="n">
        <v>0.015</v>
      </c>
      <c r="U1490" s="172" t="n"/>
      <c r="V1490" s="172" t="n"/>
      <c r="W1490" s="175" t="n">
        <v>0.024</v>
      </c>
      <c r="X1490" s="172" t="inlineStr">
        <is>
          <t>首创自营</t>
        </is>
      </c>
      <c r="Y1490" s="191" t="n">
        <v>1.48</v>
      </c>
    </row>
    <row r="1491">
      <c r="A1491" s="172" t="n">
        <v>85</v>
      </c>
      <c r="B1491" s="172" t="inlineStr">
        <is>
          <t>6月</t>
        </is>
      </c>
      <c r="C1491" s="172" t="inlineStr">
        <is>
          <t>企金</t>
        </is>
      </c>
      <c r="D1491" s="172" t="inlineStr">
        <is>
          <t>保理</t>
        </is>
      </c>
      <c r="E1491" s="172" t="inlineStr">
        <is>
          <t>京诚15-9</t>
        </is>
      </c>
      <c r="F1491" s="172" t="inlineStr">
        <is>
          <t>上交所</t>
        </is>
      </c>
      <c r="G1491" s="172" t="inlineStr">
        <is>
          <t>首创证券</t>
        </is>
      </c>
      <c r="H1491" s="172" t="inlineStr">
        <is>
          <t>国金证券</t>
        </is>
      </c>
      <c r="I1491" s="172" t="inlineStr">
        <is>
          <t>工银天分</t>
        </is>
      </c>
      <c r="J1491" s="172" t="n">
        <v>10</v>
      </c>
      <c r="K1491" s="172" t="inlineStr">
        <is>
          <t>2+4</t>
        </is>
      </c>
      <c r="L1491" s="202" t="n">
        <v>46182</v>
      </c>
      <c r="M1491" s="175" t="n">
        <v>0.0145</v>
      </c>
      <c r="N1491" s="176" t="n">
        <v>0.0157</v>
      </c>
      <c r="O1491" s="191" t="n">
        <v>3.92</v>
      </c>
      <c r="P1491" s="172" t="inlineStr">
        <is>
          <t>次级</t>
        </is>
      </c>
      <c r="Q1491" s="175" t="n">
        <v>0.01</v>
      </c>
      <c r="R1491" s="192" t="n">
        <v>0.1</v>
      </c>
      <c r="S1491" s="175" t="inlineStr">
        <is>
          <t>无</t>
        </is>
      </c>
      <c r="T1491" s="175" t="n">
        <v>0.043</v>
      </c>
      <c r="U1491" s="172" t="inlineStr">
        <is>
          <t>华宝证券资管</t>
        </is>
      </c>
      <c r="V1491" s="191" t="n">
        <v>0.1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0.01942</v>
      </c>
      <c r="O1492" s="191" t="n">
        <v>2</v>
      </c>
      <c r="P1492" s="203" t="inlineStr">
        <is>
          <t>优先A</t>
        </is>
      </c>
      <c r="Q1492" s="204" t="n">
        <v>0.9</v>
      </c>
      <c r="R1492" s="205" t="n">
        <v>9</v>
      </c>
      <c r="S1492" s="203" t="inlineStr">
        <is>
          <t>AAA</t>
        </is>
      </c>
      <c r="T1492" s="204" t="n">
        <v>0.016</v>
      </c>
      <c r="U1492" s="203" t="inlineStr">
        <is>
          <t>中银理财</t>
        </is>
      </c>
      <c r="V1492" s="192" t="n">
        <v>2.64</v>
      </c>
      <c r="W1492" s="175" t="n">
        <v>0.015</v>
      </c>
      <c r="X1492" s="172" t="inlineStr">
        <is>
          <t>中银理财</t>
        </is>
      </c>
      <c r="Y1492" s="191" t="n">
        <v>0.5</v>
      </c>
    </row>
    <row r="1493">
      <c r="A1493" s="172" t="n">
        <v>84</v>
      </c>
      <c r="B1493" s="172" t="inlineStr">
        <is>
          <t>6月</t>
        </is>
      </c>
      <c r="C1493" s="172" t="inlineStr">
        <is>
          <t>消金</t>
        </is>
      </c>
      <c r="D1493" s="172" t="inlineStr">
        <is>
          <t>信托金条</t>
        </is>
      </c>
      <c r="E1493" s="172" t="inlineStr">
        <is>
          <t>耘睿22-3</t>
        </is>
      </c>
      <c r="F1493" s="172" t="inlineStr">
        <is>
          <t>上交所</t>
        </is>
      </c>
      <c r="G1493" s="172" t="inlineStr">
        <is>
          <t>国信证券</t>
        </is>
      </c>
      <c r="H1493" s="172" t="inlineStr">
        <is>
          <t>中信建投</t>
        </is>
      </c>
      <c r="I1493" s="172" t="inlineStr">
        <is>
          <t>渤海银行自贸区分行</t>
        </is>
      </c>
      <c r="J1493" s="172" t="n">
        <v>10</v>
      </c>
      <c r="K1493" s="172" t="inlineStr">
        <is>
          <t>11+24</t>
        </is>
      </c>
      <c r="L1493" s="208" t="n">
        <v>46182</v>
      </c>
      <c r="M1493" s="175" t="n">
        <v>0.0145</v>
      </c>
      <c r="N1493" s="176" t="n">
        <v>0.01942</v>
      </c>
      <c r="O1493" s="172" t="n">
        <v>2</v>
      </c>
      <c r="P1493" s="172" t="inlineStr">
        <is>
          <t>优先A</t>
        </is>
      </c>
      <c r="Q1493" s="175" t="n">
        <v>0.9</v>
      </c>
      <c r="R1493" s="192" t="n">
        <v>9</v>
      </c>
      <c r="S1493" s="172" t="inlineStr">
        <is>
          <t>AAA</t>
        </is>
      </c>
      <c r="T1493" s="175" t="n">
        <v>0.016</v>
      </c>
      <c r="U1493" s="172" t="n"/>
      <c r="V1493" s="172" t="n"/>
      <c r="W1493" s="175" t="n">
        <v>0.0152</v>
      </c>
      <c r="X1493" s="172" t="inlineStr">
        <is>
          <t>中银理财</t>
        </is>
      </c>
      <c r="Y1493" s="191" t="n">
        <v>2</v>
      </c>
    </row>
    <row r="1494">
      <c r="A1494" s="172" t="n">
        <v>84</v>
      </c>
      <c r="B1494" s="172" t="inlineStr">
        <is>
          <t>6月</t>
        </is>
      </c>
      <c r="C1494" s="172" t="inlineStr">
        <is>
          <t>消金</t>
        </is>
      </c>
      <c r="D1494" s="172" t="inlineStr">
        <is>
          <t>信托金条</t>
        </is>
      </c>
      <c r="E1494" s="172" t="inlineStr">
        <is>
          <t>耘睿22-3</t>
        </is>
      </c>
      <c r="F1494" s="172" t="inlineStr">
        <is>
          <t>上交所</t>
        </is>
      </c>
      <c r="G1494" s="172" t="inlineStr">
        <is>
          <t>国信证券</t>
        </is>
      </c>
      <c r="H1494" s="172" t="inlineStr">
        <is>
          <t>中信建投</t>
        </is>
      </c>
      <c r="I1494" s="172" t="inlineStr">
        <is>
          <t>渤海银行自贸区分行</t>
        </is>
      </c>
      <c r="J1494" s="172" t="n">
        <v>10</v>
      </c>
      <c r="K1494" s="172" t="inlineStr">
        <is>
          <t>11+24</t>
        </is>
      </c>
      <c r="L1494" s="208" t="n">
        <v>46182</v>
      </c>
      <c r="M1494" s="175" t="n">
        <v>0.0145</v>
      </c>
      <c r="N1494" s="176" t="n">
        <v>0.01942</v>
      </c>
      <c r="O1494" s="172" t="n">
        <v>2</v>
      </c>
      <c r="P1494" s="172" t="inlineStr">
        <is>
          <t>优先A</t>
        </is>
      </c>
      <c r="Q1494" s="175" t="n">
        <v>0.9</v>
      </c>
      <c r="R1494" s="192" t="n">
        <v>9</v>
      </c>
      <c r="S1494" s="172" t="inlineStr">
        <is>
          <t>AAA</t>
        </is>
      </c>
      <c r="T1494" s="175" t="n">
        <v>0.016</v>
      </c>
      <c r="U1494" s="172" t="n"/>
      <c r="V1494" s="172" t="n"/>
      <c r="W1494" s="175" t="n">
        <v>0.016</v>
      </c>
      <c r="X1494" s="172" t="inlineStr">
        <is>
          <t>中银理财</t>
        </is>
      </c>
      <c r="Y1494" s="191" t="n">
        <v>0.2</v>
      </c>
    </row>
    <row r="1495">
      <c r="A1495" s="172" t="n">
        <v>84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耘睿22-3</t>
        </is>
      </c>
      <c r="F1495" s="173" t="inlineStr">
        <is>
          <t>上交所</t>
        </is>
      </c>
      <c r="G1495" s="173" t="inlineStr">
        <is>
          <t>国信证券</t>
        </is>
      </c>
      <c r="H1495" s="173" t="inlineStr">
        <is>
          <t>中信建投</t>
        </is>
      </c>
      <c r="I1495" s="173" t="inlineStr">
        <is>
          <t>渤海银行自贸区分行</t>
        </is>
      </c>
      <c r="J1495" s="172" t="n">
        <v>10</v>
      </c>
      <c r="K1495" s="173" t="inlineStr">
        <is>
          <t>11+24</t>
        </is>
      </c>
      <c r="L1495" s="202" t="n">
        <v>46182</v>
      </c>
      <c r="M1495" s="175" t="n">
        <v>0.0145</v>
      </c>
      <c r="N1495" s="176" t="n">
        <v>0.01942</v>
      </c>
      <c r="O1495" s="191" t="n">
        <v>2</v>
      </c>
      <c r="P1495" s="172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交银理财</t>
        </is>
      </c>
      <c r="V1495" s="192" t="n">
        <v>2.1</v>
      </c>
      <c r="W1495" s="175" t="n">
        <v>0.0157</v>
      </c>
      <c r="X1495" s="172" t="inlineStr">
        <is>
          <t>交银理财</t>
        </is>
      </c>
      <c r="Y1495" s="191" t="n">
        <v>0.5</v>
      </c>
    </row>
    <row r="1496">
      <c r="A1496" s="172" t="n">
        <v>84</v>
      </c>
      <c r="B1496" s="172" t="inlineStr">
        <is>
          <t>6月</t>
        </is>
      </c>
      <c r="C1496" s="172" t="inlineStr">
        <is>
          <t>消金</t>
        </is>
      </c>
      <c r="D1496" s="172" t="inlineStr">
        <is>
          <t>信托金条</t>
        </is>
      </c>
      <c r="E1496" s="172" t="inlineStr">
        <is>
          <t>耘睿22-3</t>
        </is>
      </c>
      <c r="F1496" s="172" t="inlineStr">
        <is>
          <t>上交所</t>
        </is>
      </c>
      <c r="G1496" s="172" t="inlineStr">
        <is>
          <t>国信证券</t>
        </is>
      </c>
      <c r="H1496" s="172" t="inlineStr">
        <is>
          <t>中信建投</t>
        </is>
      </c>
      <c r="I1496" s="172" t="inlineStr">
        <is>
          <t>渤海银行自贸区分行</t>
        </is>
      </c>
      <c r="J1496" s="172" t="n">
        <v>10</v>
      </c>
      <c r="K1496" s="172" t="inlineStr">
        <is>
          <t>11+24</t>
        </is>
      </c>
      <c r="L1496" s="208" t="n">
        <v>46182</v>
      </c>
      <c r="M1496" s="175" t="n">
        <v>0.0145</v>
      </c>
      <c r="N1496" s="176" t="n">
        <v>0.01942</v>
      </c>
      <c r="O1496" s="172" t="n">
        <v>2</v>
      </c>
      <c r="P1496" s="172" t="inlineStr">
        <is>
          <t>优先A</t>
        </is>
      </c>
      <c r="Q1496" s="175" t="n">
        <v>0.9</v>
      </c>
      <c r="R1496" s="192" t="n">
        <v>9</v>
      </c>
      <c r="S1496" s="172" t="inlineStr">
        <is>
          <t>AAA</t>
        </is>
      </c>
      <c r="T1496" s="175" t="n">
        <v>0.016</v>
      </c>
      <c r="U1496" s="172" t="n"/>
      <c r="V1496" s="172" t="n"/>
      <c r="W1496" s="175" t="n">
        <v>0.0158</v>
      </c>
      <c r="X1496" s="172" t="inlineStr">
        <is>
          <t>交银理财</t>
        </is>
      </c>
      <c r="Y1496" s="191" t="n">
        <v>0.3</v>
      </c>
    </row>
    <row r="1497">
      <c r="A1497" s="172" t="n">
        <v>84</v>
      </c>
      <c r="B1497" s="172" t="inlineStr">
        <is>
          <t>6月</t>
        </is>
      </c>
      <c r="C1497" s="172" t="inlineStr">
        <is>
          <t>消金</t>
        </is>
      </c>
      <c r="D1497" s="172" t="inlineStr">
        <is>
          <t>信托金条</t>
        </is>
      </c>
      <c r="E1497" s="172" t="inlineStr">
        <is>
          <t>耘睿22-3</t>
        </is>
      </c>
      <c r="F1497" s="172" t="inlineStr">
        <is>
          <t>上交所</t>
        </is>
      </c>
      <c r="G1497" s="172" t="inlineStr">
        <is>
          <t>国信证券</t>
        </is>
      </c>
      <c r="H1497" s="172" t="inlineStr">
        <is>
          <t>中信建投</t>
        </is>
      </c>
      <c r="I1497" s="172" t="inlineStr">
        <is>
          <t>渤海银行自贸区分行</t>
        </is>
      </c>
      <c r="J1497" s="172" t="n">
        <v>10</v>
      </c>
      <c r="K1497" s="172" t="inlineStr">
        <is>
          <t>11+24</t>
        </is>
      </c>
      <c r="L1497" s="208" t="n">
        <v>46182</v>
      </c>
      <c r="M1497" s="175" t="n">
        <v>0.0145</v>
      </c>
      <c r="N1497" s="176" t="n">
        <v>0.01942</v>
      </c>
      <c r="O1497" s="172" t="n">
        <v>2</v>
      </c>
      <c r="P1497" s="172" t="inlineStr">
        <is>
          <t>优先A</t>
        </is>
      </c>
      <c r="Q1497" s="175" t="n">
        <v>0.9</v>
      </c>
      <c r="R1497" s="192" t="n">
        <v>9</v>
      </c>
      <c r="S1497" s="172" t="inlineStr">
        <is>
          <t>AAA</t>
        </is>
      </c>
      <c r="T1497" s="175" t="n">
        <v>0.016</v>
      </c>
      <c r="U1497" s="172" t="n"/>
      <c r="V1497" s="172" t="n"/>
      <c r="W1497" s="175" t="n">
        <v>0.016</v>
      </c>
      <c r="X1497" s="172" t="inlineStr">
        <is>
          <t>交银理财</t>
        </is>
      </c>
      <c r="Y1497" s="191" t="n">
        <v>1.9</v>
      </c>
    </row>
    <row r="1498">
      <c r="A1498" s="172" t="n">
        <v>84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耘睿22-3</t>
        </is>
      </c>
      <c r="F1498" s="173" t="inlineStr">
        <is>
          <t>上交所</t>
        </is>
      </c>
      <c r="G1498" s="173" t="inlineStr">
        <is>
          <t>国信证券</t>
        </is>
      </c>
      <c r="H1498" s="173" t="inlineStr">
        <is>
          <t>中信建投</t>
        </is>
      </c>
      <c r="I1498" s="173" t="inlineStr">
        <is>
          <t>渤海银行自贸区分行</t>
        </is>
      </c>
      <c r="J1498" s="172" t="n">
        <v>10</v>
      </c>
      <c r="K1498" s="173" t="inlineStr">
        <is>
          <t>11+24</t>
        </is>
      </c>
      <c r="L1498" s="202" t="n">
        <v>46182</v>
      </c>
      <c r="M1498" s="175" t="n">
        <v>0.0145</v>
      </c>
      <c r="N1498" s="176" t="n">
        <v>0.01942</v>
      </c>
      <c r="O1498" s="191" t="n">
        <v>2</v>
      </c>
      <c r="P1498" s="172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中邮理财</t>
        </is>
      </c>
      <c r="V1498" s="192" t="n">
        <v>1.85</v>
      </c>
      <c r="W1498" s="175" t="n">
        <v>0.016</v>
      </c>
      <c r="X1498" s="172" t="inlineStr">
        <is>
          <t>中邮理财</t>
        </is>
      </c>
      <c r="Y1498" s="191" t="n">
        <v>2.7</v>
      </c>
    </row>
    <row r="1499">
      <c r="A1499" s="172" t="n">
        <v>84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耘睿22-3</t>
        </is>
      </c>
      <c r="F1499" s="173" t="inlineStr">
        <is>
          <t>上交所</t>
        </is>
      </c>
      <c r="G1499" s="173" t="inlineStr">
        <is>
          <t>国信证券</t>
        </is>
      </c>
      <c r="H1499" s="173" t="inlineStr">
        <is>
          <t>中信建投</t>
        </is>
      </c>
      <c r="I1499" s="173" t="inlineStr">
        <is>
          <t>渤海银行自贸区分行</t>
        </is>
      </c>
      <c r="J1499" s="172" t="n">
        <v>10</v>
      </c>
      <c r="K1499" s="173" t="inlineStr">
        <is>
          <t>11+24</t>
        </is>
      </c>
      <c r="L1499" s="202" t="n">
        <v>46182</v>
      </c>
      <c r="M1499" s="175" t="n">
        <v>0.0145</v>
      </c>
      <c r="N1499" s="176" t="n">
        <v>0.01942</v>
      </c>
      <c r="O1499" s="191" t="n">
        <v>2</v>
      </c>
      <c r="P1499" s="172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建信理财</t>
        </is>
      </c>
      <c r="V1499" s="192" t="n">
        <v>1.1</v>
      </c>
      <c r="W1499" s="175" t="n">
        <v>0.0155</v>
      </c>
      <c r="X1499" s="172" t="inlineStr">
        <is>
          <t>建信理财</t>
        </is>
      </c>
      <c r="Y1499" s="191" t="n">
        <v>0.9</v>
      </c>
    </row>
    <row r="1500">
      <c r="A1500" s="172" t="n">
        <v>84</v>
      </c>
      <c r="B1500" s="172" t="inlineStr">
        <is>
          <t>6月</t>
        </is>
      </c>
      <c r="C1500" s="172" t="inlineStr">
        <is>
          <t>消金</t>
        </is>
      </c>
      <c r="D1500" s="172" t="inlineStr">
        <is>
          <t>信托金条</t>
        </is>
      </c>
      <c r="E1500" s="172" t="inlineStr">
        <is>
          <t>耘睿22-3</t>
        </is>
      </c>
      <c r="F1500" s="172" t="inlineStr">
        <is>
          <t>上交所</t>
        </is>
      </c>
      <c r="G1500" s="172" t="inlineStr">
        <is>
          <t>国信证券</t>
        </is>
      </c>
      <c r="H1500" s="172" t="inlineStr">
        <is>
          <t>中信建投</t>
        </is>
      </c>
      <c r="I1500" s="172" t="inlineStr">
        <is>
          <t>渤海银行自贸区分行</t>
        </is>
      </c>
      <c r="J1500" s="172" t="n">
        <v>10</v>
      </c>
      <c r="K1500" s="172" t="inlineStr">
        <is>
          <t>11+24</t>
        </is>
      </c>
      <c r="L1500" s="208" t="n">
        <v>46182</v>
      </c>
      <c r="M1500" s="175" t="n">
        <v>0.0145</v>
      </c>
      <c r="N1500" s="176" t="n">
        <v>0.01942</v>
      </c>
      <c r="O1500" s="172" t="n">
        <v>2</v>
      </c>
      <c r="P1500" s="172" t="inlineStr">
        <is>
          <t>优先A</t>
        </is>
      </c>
      <c r="Q1500" s="175" t="n">
        <v>0.9</v>
      </c>
      <c r="R1500" s="192" t="n">
        <v>9</v>
      </c>
      <c r="S1500" s="172" t="inlineStr">
        <is>
          <t>AAA</t>
        </is>
      </c>
      <c r="T1500" s="175" t="n">
        <v>0.016</v>
      </c>
      <c r="U1500" s="172" t="n"/>
      <c r="V1500" s="172" t="n"/>
      <c r="W1500" s="175" t="n">
        <v>0.0156</v>
      </c>
      <c r="X1500" s="172" t="inlineStr">
        <is>
          <t>建信理财</t>
        </is>
      </c>
      <c r="Y1500" s="191" t="n">
        <v>0.2</v>
      </c>
    </row>
    <row r="1501">
      <c r="A1501" s="172" t="n">
        <v>84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耘睿22-3</t>
        </is>
      </c>
      <c r="F1501" s="173" t="inlineStr">
        <is>
          <t>上交所</t>
        </is>
      </c>
      <c r="G1501" s="173" t="inlineStr">
        <is>
          <t>国信证券</t>
        </is>
      </c>
      <c r="H1501" s="173" t="inlineStr">
        <is>
          <t>中信建投</t>
        </is>
      </c>
      <c r="I1501" s="173" t="inlineStr">
        <is>
          <t>渤海银行自贸区分行</t>
        </is>
      </c>
      <c r="J1501" s="172" t="n">
        <v>10</v>
      </c>
      <c r="K1501" s="173" t="inlineStr">
        <is>
          <t>11+24</t>
        </is>
      </c>
      <c r="L1501" s="202" t="n">
        <v>46182</v>
      </c>
      <c r="M1501" s="175" t="n">
        <v>0.0145</v>
      </c>
      <c r="N1501" s="176" t="n">
        <v>0.01942</v>
      </c>
      <c r="O1501" s="191" t="n">
        <v>2</v>
      </c>
      <c r="P1501" s="172" t="inlineStr">
        <is>
          <t>优先A</t>
        </is>
      </c>
      <c r="Q1501" s="204" t="n">
        <v>0.9</v>
      </c>
      <c r="R1501" s="205" t="n">
        <v>9</v>
      </c>
      <c r="S1501" s="203" t="inlineStr">
        <is>
          <t>AAA</t>
        </is>
      </c>
      <c r="T1501" s="204" t="n">
        <v>0.016</v>
      </c>
      <c r="U1501" s="203" t="inlineStr">
        <is>
          <t>渝农商理财</t>
        </is>
      </c>
      <c r="V1501" s="192" t="n">
        <v>0.6899999999999999</v>
      </c>
      <c r="W1501" s="175" t="n">
        <v>0.016</v>
      </c>
      <c r="X1501" s="172" t="inlineStr">
        <is>
          <t>渝农商理财</t>
        </is>
      </c>
      <c r="Y1501" s="191" t="n">
        <v>1</v>
      </c>
    </row>
    <row r="1502">
      <c r="A1502" s="172" t="n">
        <v>84</v>
      </c>
      <c r="B1502" s="172" t="inlineStr">
        <is>
          <t>6月</t>
        </is>
      </c>
      <c r="C1502" s="172" t="inlineStr">
        <is>
          <t>消金</t>
        </is>
      </c>
      <c r="D1502" s="172" t="inlineStr">
        <is>
          <t>信托金条</t>
        </is>
      </c>
      <c r="E1502" s="172" t="inlineStr">
        <is>
          <t>耘睿22-3</t>
        </is>
      </c>
      <c r="F1502" s="172" t="inlineStr">
        <is>
          <t>上交所</t>
        </is>
      </c>
      <c r="G1502" s="172" t="inlineStr">
        <is>
          <t>国信证券</t>
        </is>
      </c>
      <c r="H1502" s="172" t="inlineStr">
        <is>
          <t>中信建投</t>
        </is>
      </c>
      <c r="I1502" s="172" t="inlineStr">
        <is>
          <t>渤海银行自贸区分行</t>
        </is>
      </c>
      <c r="J1502" s="172" t="n">
        <v>10</v>
      </c>
      <c r="K1502" s="172" t="inlineStr">
        <is>
          <t>11+24</t>
        </is>
      </c>
      <c r="L1502" s="208" t="n">
        <v>46182</v>
      </c>
      <c r="M1502" s="175" t="n">
        <v>0.0145</v>
      </c>
      <c r="N1502" s="176" t="n">
        <v>0.01942</v>
      </c>
      <c r="O1502" s="172" t="n">
        <v>2</v>
      </c>
      <c r="P1502" s="172" t="inlineStr">
        <is>
          <t>优先A</t>
        </is>
      </c>
      <c r="Q1502" s="175" t="n">
        <v>0.9</v>
      </c>
      <c r="R1502" s="192" t="n">
        <v>9</v>
      </c>
      <c r="S1502" s="172" t="inlineStr">
        <is>
          <t>AAA</t>
        </is>
      </c>
      <c r="T1502" s="175" t="n">
        <v>0.016</v>
      </c>
      <c r="U1502" s="172" t="n"/>
      <c r="V1502" s="172" t="n"/>
      <c r="W1502" s="175" t="n">
        <v>0.0163</v>
      </c>
      <c r="X1502" s="172" t="inlineStr">
        <is>
          <t>渝农商理财</t>
        </is>
      </c>
      <c r="Y1502" s="191" t="n">
        <v>0.1</v>
      </c>
    </row>
    <row r="1503">
      <c r="A1503" s="172" t="n">
        <v>84</v>
      </c>
      <c r="B1503" s="172" t="inlineStr">
        <is>
          <t>6月</t>
        </is>
      </c>
      <c r="C1503" s="172" t="inlineStr">
        <is>
          <t>消金</t>
        </is>
      </c>
      <c r="D1503" s="172" t="inlineStr">
        <is>
          <t>信托金条</t>
        </is>
      </c>
      <c r="E1503" s="172" t="inlineStr">
        <is>
          <t>耘睿22-3</t>
        </is>
      </c>
      <c r="F1503" s="172" t="inlineStr">
        <is>
          <t>上交所</t>
        </is>
      </c>
      <c r="G1503" s="172" t="inlineStr">
        <is>
          <t>国信证券</t>
        </is>
      </c>
      <c r="H1503" s="172" t="inlineStr">
        <is>
          <t>中信建投</t>
        </is>
      </c>
      <c r="I1503" s="172" t="inlineStr">
        <is>
          <t>渤海银行自贸区分行</t>
        </is>
      </c>
      <c r="J1503" s="172" t="n">
        <v>10</v>
      </c>
      <c r="K1503" s="172" t="inlineStr">
        <is>
          <t>11+24</t>
        </is>
      </c>
      <c r="L1503" s="208" t="n">
        <v>46182</v>
      </c>
      <c r="M1503" s="175" t="n">
        <v>0.0145</v>
      </c>
      <c r="N1503" s="176" t="n">
        <v>0.01942</v>
      </c>
      <c r="O1503" s="172" t="n">
        <v>2</v>
      </c>
      <c r="P1503" s="172" t="inlineStr">
        <is>
          <t>优先A</t>
        </is>
      </c>
      <c r="Q1503" s="175" t="n">
        <v>0.9</v>
      </c>
      <c r="R1503" s="192" t="n">
        <v>9</v>
      </c>
      <c r="S1503" s="172" t="inlineStr">
        <is>
          <t>AAA</t>
        </is>
      </c>
      <c r="T1503" s="175" t="n">
        <v>0.016</v>
      </c>
      <c r="U1503" s="172" t="n"/>
      <c r="V1503" s="172" t="n"/>
      <c r="W1503" s="175" t="n">
        <v>0.0165</v>
      </c>
      <c r="X1503" s="172" t="inlineStr">
        <is>
          <t>渝农商理财</t>
        </is>
      </c>
      <c r="Y1503" s="191" t="n">
        <v>1.6</v>
      </c>
    </row>
    <row r="1504">
      <c r="A1504" s="172" t="n">
        <v>84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耘睿22-3</t>
        </is>
      </c>
      <c r="F1504" s="173" t="inlineStr">
        <is>
          <t>上交所</t>
        </is>
      </c>
      <c r="G1504" s="173" t="inlineStr">
        <is>
          <t>国信证券</t>
        </is>
      </c>
      <c r="H1504" s="173" t="inlineStr">
        <is>
          <t>中信建投</t>
        </is>
      </c>
      <c r="I1504" s="173" t="inlineStr">
        <is>
          <t>渤海银行自贸区分行</t>
        </is>
      </c>
      <c r="J1504" s="172" t="n">
        <v>10</v>
      </c>
      <c r="K1504" s="173" t="inlineStr">
        <is>
          <t>11+24</t>
        </is>
      </c>
      <c r="L1504" s="202" t="n">
        <v>46182</v>
      </c>
      <c r="M1504" s="175" t="n">
        <v>0.0145</v>
      </c>
      <c r="N1504" s="176" t="n">
        <v>0.01942</v>
      </c>
      <c r="O1504" s="191" t="n">
        <v>2</v>
      </c>
      <c r="P1504" s="172" t="inlineStr">
        <is>
          <t>优先A</t>
        </is>
      </c>
      <c r="Q1504" s="204" t="n">
        <v>0.9</v>
      </c>
      <c r="R1504" s="205" t="n">
        <v>9</v>
      </c>
      <c r="S1504" s="203" t="inlineStr">
        <is>
          <t>AAA</t>
        </is>
      </c>
      <c r="T1504" s="204" t="n">
        <v>0.016</v>
      </c>
      <c r="U1504" s="203" t="inlineStr">
        <is>
          <t>华夏基金</t>
        </is>
      </c>
      <c r="V1504" s="192" t="n">
        <v>0.62</v>
      </c>
      <c r="W1504" s="175" t="n">
        <v>0.016</v>
      </c>
      <c r="X1504" s="172" t="inlineStr">
        <is>
          <t>华夏基金</t>
        </is>
      </c>
      <c r="Y1504" s="191" t="n">
        <v>0.9</v>
      </c>
    </row>
    <row r="1505">
      <c r="A1505" s="172" t="n">
        <v>84</v>
      </c>
      <c r="B1505" s="172" t="inlineStr">
        <is>
          <t>6月</t>
        </is>
      </c>
      <c r="C1505" s="172" t="inlineStr">
        <is>
          <t>消金</t>
        </is>
      </c>
      <c r="D1505" s="172" t="inlineStr">
        <is>
          <t>信托金条</t>
        </is>
      </c>
      <c r="E1505" s="172" t="inlineStr">
        <is>
          <t>耘睿22-3</t>
        </is>
      </c>
      <c r="F1505" s="172" t="inlineStr">
        <is>
          <t>上交所</t>
        </is>
      </c>
      <c r="G1505" s="172" t="inlineStr">
        <is>
          <t>国信证券</t>
        </is>
      </c>
      <c r="H1505" s="172" t="inlineStr">
        <is>
          <t>中信建投</t>
        </is>
      </c>
      <c r="I1505" s="172" t="inlineStr">
        <is>
          <t>渤海银行自贸区分行</t>
        </is>
      </c>
      <c r="J1505" s="172" t="n">
        <v>10</v>
      </c>
      <c r="K1505" s="172" t="inlineStr">
        <is>
          <t>11+24</t>
        </is>
      </c>
      <c r="L1505" s="208" t="n">
        <v>46182</v>
      </c>
      <c r="M1505" s="175" t="n">
        <v>0.0145</v>
      </c>
      <c r="N1505" s="176" t="n">
        <v>0.01942</v>
      </c>
      <c r="O1505" s="172" t="n">
        <v>2</v>
      </c>
      <c r="P1505" s="172" t="inlineStr">
        <is>
          <t>优先A</t>
        </is>
      </c>
      <c r="Q1505" s="175" t="n">
        <v>0.9</v>
      </c>
      <c r="R1505" s="192" t="n">
        <v>9</v>
      </c>
      <c r="S1505" s="172" t="inlineStr">
        <is>
          <t>AAA</t>
        </is>
      </c>
      <c r="T1505" s="175" t="n">
        <v>0.016</v>
      </c>
      <c r="U1505" s="172" t="n"/>
      <c r="V1505" s="172" t="n"/>
      <c r="W1505" s="175" t="n">
        <v>0.016</v>
      </c>
      <c r="X1505" s="172" t="inlineStr">
        <is>
          <t>中信建投证券</t>
        </is>
      </c>
      <c r="Y1505" s="191" t="n">
        <v>1.3</v>
      </c>
    </row>
    <row r="1506">
      <c r="A1506" s="172" t="n">
        <v>84</v>
      </c>
      <c r="B1506" s="172" t="inlineStr">
        <is>
          <t>6月</t>
        </is>
      </c>
      <c r="C1506" s="172" t="inlineStr">
        <is>
          <t>消金</t>
        </is>
      </c>
      <c r="D1506" s="172" t="inlineStr">
        <is>
          <t>信托金条</t>
        </is>
      </c>
      <c r="E1506" s="172" t="inlineStr">
        <is>
          <t>耘睿22-3</t>
        </is>
      </c>
      <c r="F1506" s="172" t="inlineStr">
        <is>
          <t>上交所</t>
        </is>
      </c>
      <c r="G1506" s="172" t="inlineStr">
        <is>
          <t>国信证券</t>
        </is>
      </c>
      <c r="H1506" s="172" t="inlineStr">
        <is>
          <t>中信建投</t>
        </is>
      </c>
      <c r="I1506" s="172" t="inlineStr">
        <is>
          <t>渤海银行自贸区分行</t>
        </is>
      </c>
      <c r="J1506" s="172" t="n">
        <v>10</v>
      </c>
      <c r="K1506" s="172" t="inlineStr">
        <is>
          <t>11+24</t>
        </is>
      </c>
      <c r="L1506" s="208" t="n">
        <v>46182</v>
      </c>
      <c r="M1506" s="175" t="n">
        <v>0.0145</v>
      </c>
      <c r="N1506" s="176" t="n">
        <v>0.01942</v>
      </c>
      <c r="O1506" s="172" t="n">
        <v>2</v>
      </c>
      <c r="P1506" s="172" t="inlineStr">
        <is>
          <t>优先A</t>
        </is>
      </c>
      <c r="Q1506" s="175" t="n">
        <v>0.9</v>
      </c>
      <c r="R1506" s="192" t="n">
        <v>9</v>
      </c>
      <c r="S1506" s="172" t="inlineStr">
        <is>
          <t>AAA</t>
        </is>
      </c>
      <c r="T1506" s="175" t="n">
        <v>0.016</v>
      </c>
      <c r="U1506" s="172" t="n"/>
      <c r="V1506" s="172" t="n"/>
      <c r="W1506" s="175" t="n">
        <v>0.017</v>
      </c>
      <c r="X1506" s="172" t="inlineStr">
        <is>
          <t>国信证券</t>
        </is>
      </c>
      <c r="Y1506" s="191" t="n">
        <v>1.3</v>
      </c>
    </row>
    <row r="1507">
      <c r="A1507" s="172" t="n">
        <v>84</v>
      </c>
      <c r="B1507" s="172" t="inlineStr">
        <is>
          <t>6月</t>
        </is>
      </c>
      <c r="C1507" s="172" t="inlineStr">
        <is>
          <t>消金</t>
        </is>
      </c>
      <c r="D1507" s="172" t="inlineStr">
        <is>
          <t>信托金条</t>
        </is>
      </c>
      <c r="E1507" s="172" t="inlineStr">
        <is>
          <t>耘睿22-3</t>
        </is>
      </c>
      <c r="F1507" s="172" t="inlineStr">
        <is>
          <t>上交所</t>
        </is>
      </c>
      <c r="G1507" s="172" t="inlineStr">
        <is>
          <t>国信证券</t>
        </is>
      </c>
      <c r="H1507" s="172" t="inlineStr">
        <is>
          <t>中信建投</t>
        </is>
      </c>
      <c r="I1507" s="172" t="inlineStr">
        <is>
          <t>渤海银行自贸区分行</t>
        </is>
      </c>
      <c r="J1507" s="172" t="n">
        <v>10</v>
      </c>
      <c r="K1507" s="172" t="inlineStr">
        <is>
          <t>11+24</t>
        </is>
      </c>
      <c r="L1507" s="208" t="n">
        <v>46182</v>
      </c>
      <c r="M1507" s="175" t="n">
        <v>0.0145</v>
      </c>
      <c r="N1507" s="176" t="n">
        <v>0.01942</v>
      </c>
      <c r="O1507" s="172" t="n">
        <v>2</v>
      </c>
      <c r="P1507" s="172" t="inlineStr">
        <is>
          <t>优先A</t>
        </is>
      </c>
      <c r="Q1507" s="175" t="n">
        <v>0.9</v>
      </c>
      <c r="R1507" s="192" t="n">
        <v>9</v>
      </c>
      <c r="S1507" s="172" t="inlineStr">
        <is>
          <t>AAA</t>
        </is>
      </c>
      <c r="T1507" s="175" t="n">
        <v>0.016</v>
      </c>
      <c r="U1507" s="172" t="n"/>
      <c r="V1507" s="172" t="n"/>
      <c r="W1507" s="175" t="n">
        <v>0.017</v>
      </c>
      <c r="X1507" s="172" t="inlineStr">
        <is>
          <t>杭州联合农商行</t>
        </is>
      </c>
      <c r="Y1507" s="191" t="n">
        <v>0.5</v>
      </c>
    </row>
    <row r="1508">
      <c r="A1508" s="172" t="n">
        <v>84</v>
      </c>
      <c r="B1508" s="172" t="inlineStr">
        <is>
          <t>6月</t>
        </is>
      </c>
      <c r="C1508" s="172" t="inlineStr">
        <is>
          <t>消金</t>
        </is>
      </c>
      <c r="D1508" s="172" t="inlineStr">
        <is>
          <t>信托金条</t>
        </is>
      </c>
      <c r="E1508" s="172" t="inlineStr">
        <is>
          <t>耘睿22-3</t>
        </is>
      </c>
      <c r="F1508" s="172" t="inlineStr">
        <is>
          <t>上交所</t>
        </is>
      </c>
      <c r="G1508" s="172" t="inlineStr">
        <is>
          <t>国信证券</t>
        </is>
      </c>
      <c r="H1508" s="172" t="inlineStr">
        <is>
          <t>中信建投</t>
        </is>
      </c>
      <c r="I1508" s="172" t="inlineStr">
        <is>
          <t>渤海银行自贸区分行</t>
        </is>
      </c>
      <c r="J1508" s="172" t="n">
        <v>10</v>
      </c>
      <c r="K1508" s="172" t="inlineStr">
        <is>
          <t>11+24</t>
        </is>
      </c>
      <c r="L1508" s="208" t="n">
        <v>46182</v>
      </c>
      <c r="M1508" s="175" t="n">
        <v>0.0145</v>
      </c>
      <c r="N1508" s="176" t="n">
        <v>0.01942</v>
      </c>
      <c r="O1508" s="172" t="n">
        <v>2</v>
      </c>
      <c r="P1508" s="172" t="inlineStr">
        <is>
          <t>优先A</t>
        </is>
      </c>
      <c r="Q1508" s="175" t="n">
        <v>0.9</v>
      </c>
      <c r="R1508" s="192" t="n">
        <v>9</v>
      </c>
      <c r="S1508" s="172" t="inlineStr">
        <is>
          <t>AAA</t>
        </is>
      </c>
      <c r="T1508" s="175" t="n">
        <v>0.016</v>
      </c>
      <c r="U1508" s="172" t="n"/>
      <c r="V1508" s="172" t="n"/>
      <c r="W1508" s="175" t="n">
        <v>0.024</v>
      </c>
      <c r="X1508" s="172" t="inlineStr">
        <is>
          <t>利曦私募基金</t>
        </is>
      </c>
      <c r="Y1508" s="191" t="n">
        <v>2</v>
      </c>
    </row>
    <row r="1509">
      <c r="A1509" s="172" t="n">
        <v>84</v>
      </c>
      <c r="B1509" s="173" t="inlineStr">
        <is>
          <t>6月</t>
        </is>
      </c>
      <c r="C1509" s="173" t="inlineStr">
        <is>
          <t>消金</t>
        </is>
      </c>
      <c r="D1509" s="173" t="inlineStr">
        <is>
          <t>信托金条</t>
        </is>
      </c>
      <c r="E1509" s="173" t="inlineStr">
        <is>
          <t>耘睿22-3</t>
        </is>
      </c>
      <c r="F1509" s="173" t="inlineStr">
        <is>
          <t>上交所</t>
        </is>
      </c>
      <c r="G1509" s="173" t="inlineStr">
        <is>
          <t>国信证券</t>
        </is>
      </c>
      <c r="H1509" s="173" t="inlineStr">
        <is>
          <t>中信建投</t>
        </is>
      </c>
      <c r="I1509" s="173" t="inlineStr">
        <is>
          <t>渤海银行自贸区分行</t>
        </is>
      </c>
      <c r="J1509" s="172" t="n">
        <v>10</v>
      </c>
      <c r="K1509" s="173" t="inlineStr">
        <is>
          <t>11+24</t>
        </is>
      </c>
      <c r="L1509" s="202" t="n">
        <v>46182</v>
      </c>
      <c r="M1509" s="175" t="n">
        <v>0.0145</v>
      </c>
      <c r="N1509" s="176" t="n">
        <v>0.01942</v>
      </c>
      <c r="O1509" s="191" t="n">
        <v>2</v>
      </c>
      <c r="P1509" s="203" t="inlineStr">
        <is>
          <t>优先B</t>
        </is>
      </c>
      <c r="Q1509" s="204" t="n">
        <v>0.03</v>
      </c>
      <c r="R1509" s="205" t="n">
        <v>0.3</v>
      </c>
      <c r="S1509" s="203" t="inlineStr">
        <is>
          <t>AA+</t>
        </is>
      </c>
      <c r="T1509" s="204" t="n">
        <v>0.017</v>
      </c>
      <c r="U1509" s="203" t="inlineStr">
        <is>
          <t>交银理财</t>
        </is>
      </c>
      <c r="V1509" s="192" t="n">
        <v>0.09</v>
      </c>
      <c r="W1509" s="175" t="n">
        <v>0.017</v>
      </c>
      <c r="X1509" s="172" t="inlineStr">
        <is>
          <t>交银理财</t>
        </is>
      </c>
      <c r="Y1509" s="191" t="n">
        <v>0.09</v>
      </c>
    </row>
    <row r="1510">
      <c r="A1510" s="172" t="n">
        <v>84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耘睿22-3</t>
        </is>
      </c>
      <c r="F1510" s="173" t="inlineStr">
        <is>
          <t>上交所</t>
        </is>
      </c>
      <c r="G1510" s="173" t="inlineStr">
        <is>
          <t>国信证券</t>
        </is>
      </c>
      <c r="H1510" s="173" t="inlineStr">
        <is>
          <t>中信建投</t>
        </is>
      </c>
      <c r="I1510" s="173" t="inlineStr">
        <is>
          <t>渤海银行自贸区分行</t>
        </is>
      </c>
      <c r="J1510" s="172" t="n">
        <v>10</v>
      </c>
      <c r="K1510" s="173" t="inlineStr">
        <is>
          <t>11+24</t>
        </is>
      </c>
      <c r="L1510" s="202" t="n">
        <v>46182</v>
      </c>
      <c r="M1510" s="175" t="n">
        <v>0.0145</v>
      </c>
      <c r="N1510" s="176" t="n">
        <v>0.01942</v>
      </c>
      <c r="O1510" s="191" t="n">
        <v>2</v>
      </c>
      <c r="P1510" s="172" t="inlineStr">
        <is>
          <t>优先B</t>
        </is>
      </c>
      <c r="Q1510" s="204" t="n">
        <v>0.03</v>
      </c>
      <c r="R1510" s="205" t="n">
        <v>0.3</v>
      </c>
      <c r="S1510" s="203" t="inlineStr">
        <is>
          <t>AA+</t>
        </is>
      </c>
      <c r="T1510" s="204" t="n">
        <v>0.017</v>
      </c>
      <c r="U1510" s="203" t="inlineStr">
        <is>
          <t>渝农商理财</t>
        </is>
      </c>
      <c r="V1510" s="192" t="n">
        <v>0.09</v>
      </c>
      <c r="W1510" s="175" t="n">
        <v>0.017</v>
      </c>
      <c r="X1510" s="172" t="inlineStr">
        <is>
          <t>渝农商理财</t>
        </is>
      </c>
      <c r="Y1510" s="191" t="n">
        <v>0.09</v>
      </c>
    </row>
    <row r="1511">
      <c r="A1511" s="172" t="n">
        <v>84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耘睿22-3</t>
        </is>
      </c>
      <c r="F1511" s="173" t="inlineStr">
        <is>
          <t>上交所</t>
        </is>
      </c>
      <c r="G1511" s="173" t="inlineStr">
        <is>
          <t>国信证券</t>
        </is>
      </c>
      <c r="H1511" s="173" t="inlineStr">
        <is>
          <t>中信建投</t>
        </is>
      </c>
      <c r="I1511" s="173" t="inlineStr">
        <is>
          <t>渤海银行自贸区分行</t>
        </is>
      </c>
      <c r="J1511" s="172" t="n">
        <v>10</v>
      </c>
      <c r="K1511" s="173" t="inlineStr">
        <is>
          <t>11+24</t>
        </is>
      </c>
      <c r="L1511" s="202" t="n">
        <v>46182</v>
      </c>
      <c r="M1511" s="175" t="n">
        <v>0.0145</v>
      </c>
      <c r="N1511" s="176" t="n">
        <v>0.01942</v>
      </c>
      <c r="O1511" s="191" t="n">
        <v>2</v>
      </c>
      <c r="P1511" s="172" t="inlineStr">
        <is>
          <t>优先B</t>
        </is>
      </c>
      <c r="Q1511" s="204" t="n">
        <v>0.03</v>
      </c>
      <c r="R1511" s="205" t="n">
        <v>0.3</v>
      </c>
      <c r="S1511" s="203" t="inlineStr">
        <is>
          <t>AA+</t>
        </is>
      </c>
      <c r="T1511" s="204" t="n">
        <v>0.017</v>
      </c>
      <c r="U1511" s="203" t="inlineStr">
        <is>
          <t>杭州联合银行</t>
        </is>
      </c>
      <c r="V1511" s="192" t="n">
        <v>0.09</v>
      </c>
      <c r="W1511" s="172" t="n"/>
      <c r="X1511" s="172" t="n"/>
      <c r="Y1511" s="172" t="n"/>
    </row>
    <row r="1512">
      <c r="A1512" s="172" t="n">
        <v>84</v>
      </c>
      <c r="B1512" s="173" t="inlineStr">
        <is>
          <t>6月</t>
        </is>
      </c>
      <c r="C1512" s="173" t="inlineStr">
        <is>
          <t>消金</t>
        </is>
      </c>
      <c r="D1512" s="173" t="inlineStr">
        <is>
          <t>信托金条</t>
        </is>
      </c>
      <c r="E1512" s="173" t="inlineStr">
        <is>
          <t>耘睿22-3</t>
        </is>
      </c>
      <c r="F1512" s="173" t="inlineStr">
        <is>
          <t>上交所</t>
        </is>
      </c>
      <c r="G1512" s="173" t="inlineStr">
        <is>
          <t>国信证券</t>
        </is>
      </c>
      <c r="H1512" s="173" t="inlineStr">
        <is>
          <t>中信建投</t>
        </is>
      </c>
      <c r="I1512" s="173" t="inlineStr">
        <is>
          <t>渤海银行自贸区分行</t>
        </is>
      </c>
      <c r="J1512" s="172" t="n">
        <v>10</v>
      </c>
      <c r="K1512" s="173" t="inlineStr">
        <is>
          <t>11+24</t>
        </is>
      </c>
      <c r="L1512" s="202" t="n">
        <v>46182</v>
      </c>
      <c r="M1512" s="175" t="n">
        <v>0.0145</v>
      </c>
      <c r="N1512" s="176" t="n">
        <v>0.01942</v>
      </c>
      <c r="O1512" s="191" t="n">
        <v>2</v>
      </c>
      <c r="P1512" s="172" t="inlineStr">
        <is>
          <t>优先B</t>
        </is>
      </c>
      <c r="Q1512" s="204" t="n">
        <v>0.03</v>
      </c>
      <c r="R1512" s="205" t="n">
        <v>0.3</v>
      </c>
      <c r="S1512" s="203" t="inlineStr">
        <is>
          <t>AA+</t>
        </is>
      </c>
      <c r="T1512" s="204" t="n">
        <v>0.017</v>
      </c>
      <c r="U1512" s="203" t="inlineStr">
        <is>
          <t>国信证券投行</t>
        </is>
      </c>
      <c r="V1512" s="192" t="n">
        <v>0.03</v>
      </c>
      <c r="W1512" s="175" t="n">
        <v>0.017</v>
      </c>
      <c r="X1512" s="172" t="inlineStr">
        <is>
          <t>国信证券</t>
        </is>
      </c>
      <c r="Y1512" s="191" t="n">
        <v>0.03</v>
      </c>
    </row>
    <row r="1513">
      <c r="A1513" s="172" t="n">
        <v>84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耘睿22-3</t>
        </is>
      </c>
      <c r="F1513" s="172" t="inlineStr">
        <is>
          <t>上交所</t>
        </is>
      </c>
      <c r="G1513" s="172" t="inlineStr">
        <is>
          <t>国信证券</t>
        </is>
      </c>
      <c r="H1513" s="172" t="inlineStr">
        <is>
          <t>中信建投</t>
        </is>
      </c>
      <c r="I1513" s="172" t="inlineStr">
        <is>
          <t>渤海银行自贸区分行</t>
        </is>
      </c>
      <c r="J1513" s="172" t="n">
        <v>10</v>
      </c>
      <c r="K1513" s="172" t="inlineStr">
        <is>
          <t>11+24</t>
        </is>
      </c>
      <c r="L1513" s="208" t="n">
        <v>46182</v>
      </c>
      <c r="M1513" s="175" t="n">
        <v>0.0145</v>
      </c>
      <c r="N1513" s="176" t="n">
        <v>0.01942</v>
      </c>
      <c r="O1513" s="172" t="n">
        <v>2</v>
      </c>
      <c r="P1513" s="172" t="inlineStr">
        <is>
          <t>优先B</t>
        </is>
      </c>
      <c r="Q1513" s="175" t="n">
        <v>0.03</v>
      </c>
      <c r="R1513" s="192" t="n">
        <v>0.3</v>
      </c>
      <c r="S1513" s="172" t="inlineStr">
        <is>
          <t>AA+</t>
        </is>
      </c>
      <c r="T1513" s="175" t="n">
        <v>0.017</v>
      </c>
      <c r="U1513" s="172" t="n"/>
      <c r="V1513" s="172" t="n"/>
      <c r="W1513" s="175" t="n">
        <v>0.017</v>
      </c>
      <c r="X1513" s="172" t="inlineStr">
        <is>
          <t>杭州联合农商行</t>
        </is>
      </c>
      <c r="Y1513" s="191" t="n">
        <v>0.09</v>
      </c>
    </row>
    <row r="1514">
      <c r="A1514" s="172" t="n">
        <v>84</v>
      </c>
      <c r="B1514" s="173" t="inlineStr">
        <is>
          <t>6月</t>
        </is>
      </c>
      <c r="C1514" s="173" t="inlineStr">
        <is>
          <t>消金</t>
        </is>
      </c>
      <c r="D1514" s="173" t="inlineStr">
        <is>
          <t>信托金条</t>
        </is>
      </c>
      <c r="E1514" s="173" t="inlineStr">
        <is>
          <t>耘睿22-3</t>
        </is>
      </c>
      <c r="F1514" s="173" t="inlineStr">
        <is>
          <t>上交所</t>
        </is>
      </c>
      <c r="G1514" s="173" t="inlineStr">
        <is>
          <t>国信证券</t>
        </is>
      </c>
      <c r="H1514" s="173" t="inlineStr">
        <is>
          <t>中信建投</t>
        </is>
      </c>
      <c r="I1514" s="173" t="inlineStr">
        <is>
          <t>渤海银行自贸区分行</t>
        </is>
      </c>
      <c r="J1514" s="172" t="n">
        <v>10</v>
      </c>
      <c r="K1514" s="173" t="inlineStr">
        <is>
          <t>11+24</t>
        </is>
      </c>
      <c r="L1514" s="202" t="n">
        <v>46182</v>
      </c>
      <c r="M1514" s="175" t="n">
        <v>0.0145</v>
      </c>
      <c r="N1514" s="176" t="n">
        <v>0.01942</v>
      </c>
      <c r="O1514" s="191" t="n">
        <v>2</v>
      </c>
      <c r="P1514" s="203" t="inlineStr">
        <is>
          <t>中间级</t>
        </is>
      </c>
      <c r="Q1514" s="204" t="n">
        <v>0.02</v>
      </c>
      <c r="R1514" s="205" t="n">
        <v>0.2</v>
      </c>
      <c r="S1514" s="203" t="inlineStr">
        <is>
          <t>A+</t>
        </is>
      </c>
      <c r="T1514" s="204" t="n">
        <v>0.031</v>
      </c>
      <c r="U1514" s="203" t="inlineStr">
        <is>
          <t>中金投顾</t>
        </is>
      </c>
      <c r="V1514" s="192" t="n">
        <v>0.14</v>
      </c>
      <c r="W1514" s="172" t="n"/>
      <c r="X1514" s="172" t="n"/>
      <c r="Y1514" s="172" t="n"/>
    </row>
    <row r="1515">
      <c r="A1515" s="172" t="n">
        <v>84</v>
      </c>
      <c r="B1515" s="173" t="inlineStr">
        <is>
          <t>6月</t>
        </is>
      </c>
      <c r="C1515" s="173" t="inlineStr">
        <is>
          <t>消金</t>
        </is>
      </c>
      <c r="D1515" s="173" t="inlineStr">
        <is>
          <t>信托金条</t>
        </is>
      </c>
      <c r="E1515" s="173" t="inlineStr">
        <is>
          <t>耘睿22-3</t>
        </is>
      </c>
      <c r="F1515" s="173" t="inlineStr">
        <is>
          <t>上交所</t>
        </is>
      </c>
      <c r="G1515" s="173" t="inlineStr">
        <is>
          <t>国信证券</t>
        </is>
      </c>
      <c r="H1515" s="173" t="inlineStr">
        <is>
          <t>中信建投</t>
        </is>
      </c>
      <c r="I1515" s="173" t="inlineStr">
        <is>
          <t>渤海银行自贸区分行</t>
        </is>
      </c>
      <c r="J1515" s="172" t="n">
        <v>10</v>
      </c>
      <c r="K1515" s="173" t="inlineStr">
        <is>
          <t>11+24</t>
        </is>
      </c>
      <c r="L1515" s="202" t="n">
        <v>46182</v>
      </c>
      <c r="M1515" s="175" t="n">
        <v>0.0145</v>
      </c>
      <c r="N1515" s="176" t="n">
        <v>0.01942</v>
      </c>
      <c r="O1515" s="191" t="n">
        <v>2</v>
      </c>
      <c r="P1515" s="172" t="inlineStr">
        <is>
          <t>中间级</t>
        </is>
      </c>
      <c r="Q1515" s="204" t="n">
        <v>0.02</v>
      </c>
      <c r="R1515" s="205" t="n">
        <v>0.2</v>
      </c>
      <c r="S1515" s="203" t="inlineStr">
        <is>
          <t>A+</t>
        </is>
      </c>
      <c r="T1515" s="204" t="n">
        <v>0.031</v>
      </c>
      <c r="U1515" s="203" t="inlineStr">
        <is>
          <t>杭州联合银行</t>
        </is>
      </c>
      <c r="V1515" s="192" t="n">
        <v>0.06</v>
      </c>
      <c r="W1515" s="172" t="n"/>
      <c r="X1515" s="172" t="n"/>
      <c r="Y1515" s="172" t="n"/>
    </row>
    <row r="1516">
      <c r="A1516" s="172" t="n">
        <v>84</v>
      </c>
      <c r="B1516" s="173" t="inlineStr">
        <is>
          <t>6月</t>
        </is>
      </c>
      <c r="C1516" s="173" t="inlineStr">
        <is>
          <t>消金</t>
        </is>
      </c>
      <c r="D1516" s="173" t="inlineStr">
        <is>
          <t>信托金条</t>
        </is>
      </c>
      <c r="E1516" s="173" t="inlineStr">
        <is>
          <t>耘睿22-3</t>
        </is>
      </c>
      <c r="F1516" s="173" t="inlineStr">
        <is>
          <t>上交所</t>
        </is>
      </c>
      <c r="G1516" s="173" t="inlineStr">
        <is>
          <t>国信证券</t>
        </is>
      </c>
      <c r="H1516" s="173" t="inlineStr">
        <is>
          <t>中信建投</t>
        </is>
      </c>
      <c r="I1516" s="173" t="inlineStr">
        <is>
          <t>渤海银行自贸区分行</t>
        </is>
      </c>
      <c r="J1516" s="172" t="n">
        <v>10</v>
      </c>
      <c r="K1516" s="173" t="inlineStr">
        <is>
          <t>11+24</t>
        </is>
      </c>
      <c r="L1516" s="202" t="n">
        <v>46182</v>
      </c>
      <c r="M1516" s="175" t="n">
        <v>0.0145</v>
      </c>
      <c r="N1516" s="176" t="n">
        <v>0.01942</v>
      </c>
      <c r="O1516" s="191" t="n">
        <v>2</v>
      </c>
      <c r="P1516" s="203" t="inlineStr">
        <is>
          <t>次级</t>
        </is>
      </c>
      <c r="Q1516" s="204" t="n">
        <v>0.05</v>
      </c>
      <c r="R1516" s="205" t="n">
        <v>0.5</v>
      </c>
      <c r="S1516" s="203" t="inlineStr">
        <is>
          <t>无</t>
        </is>
      </c>
      <c r="T1516" s="204" t="n">
        <v>0.0495</v>
      </c>
      <c r="U1516" s="203" t="inlineStr">
        <is>
          <t>华兴证券自营</t>
        </is>
      </c>
      <c r="V1516" s="192" t="n">
        <v>0.07000000000000001</v>
      </c>
      <c r="W1516" s="172" t="n"/>
      <c r="X1516" s="172" t="n"/>
      <c r="Y1516" s="172" t="n"/>
    </row>
    <row r="1517">
      <c r="A1517" s="172" t="n">
        <v>84</v>
      </c>
      <c r="B1517" s="173" t="inlineStr">
        <is>
          <t>6月</t>
        </is>
      </c>
      <c r="C1517" s="173" t="inlineStr">
        <is>
          <t>消金</t>
        </is>
      </c>
      <c r="D1517" s="173" t="inlineStr">
        <is>
          <t>信托金条</t>
        </is>
      </c>
      <c r="E1517" s="173" t="inlineStr">
        <is>
          <t>耘睿22-3</t>
        </is>
      </c>
      <c r="F1517" s="173" t="inlineStr">
        <is>
          <t>上交所</t>
        </is>
      </c>
      <c r="G1517" s="173" t="inlineStr">
        <is>
          <t>国信证券</t>
        </is>
      </c>
      <c r="H1517" s="173" t="inlineStr">
        <is>
          <t>中信建投</t>
        </is>
      </c>
      <c r="I1517" s="173" t="inlineStr">
        <is>
          <t>渤海银行自贸区分行</t>
        </is>
      </c>
      <c r="J1517" s="172" t="n">
        <v>10</v>
      </c>
      <c r="K1517" s="173" t="inlineStr">
        <is>
          <t>11+24</t>
        </is>
      </c>
      <c r="L1517" s="202" t="n">
        <v>46182</v>
      </c>
      <c r="M1517" s="175" t="n">
        <v>0.0145</v>
      </c>
      <c r="N1517" s="176" t="n">
        <v>0.01942</v>
      </c>
      <c r="O1517" s="191" t="n">
        <v>2</v>
      </c>
      <c r="P1517" s="172" t="inlineStr">
        <is>
          <t>次级</t>
        </is>
      </c>
      <c r="Q1517" s="204" t="n">
        <v>0.05</v>
      </c>
      <c r="R1517" s="205" t="n">
        <v>0.5</v>
      </c>
      <c r="S1517" s="203" t="inlineStr">
        <is>
          <t>无</t>
        </is>
      </c>
      <c r="T1517" s="204" t="n">
        <v>0.0495</v>
      </c>
      <c r="U1517" s="203" t="inlineStr">
        <is>
          <t>中信建投投顾</t>
        </is>
      </c>
      <c r="V1517" s="192" t="n">
        <v>0.25</v>
      </c>
      <c r="W1517" s="172" t="n"/>
      <c r="X1517" s="172" t="n"/>
      <c r="Y1517" s="172" t="n"/>
    </row>
    <row r="1518">
      <c r="A1518" s="172" t="n">
        <v>84</v>
      </c>
      <c r="B1518" s="173" t="inlineStr">
        <is>
          <t>6月</t>
        </is>
      </c>
      <c r="C1518" s="173" t="inlineStr">
        <is>
          <t>消金</t>
        </is>
      </c>
      <c r="D1518" s="173" t="inlineStr">
        <is>
          <t>信托金条</t>
        </is>
      </c>
      <c r="E1518" s="173" t="inlineStr">
        <is>
          <t>耘睿22-3</t>
        </is>
      </c>
      <c r="F1518" s="173" t="inlineStr">
        <is>
          <t>上交所</t>
        </is>
      </c>
      <c r="G1518" s="173" t="inlineStr">
        <is>
          <t>国信证券</t>
        </is>
      </c>
      <c r="H1518" s="173" t="inlineStr">
        <is>
          <t>中信建投</t>
        </is>
      </c>
      <c r="I1518" s="173" t="inlineStr">
        <is>
          <t>渤海银行自贸区分行</t>
        </is>
      </c>
      <c r="J1518" s="172" t="n">
        <v>10</v>
      </c>
      <c r="K1518" s="173" t="inlineStr">
        <is>
          <t>11+24</t>
        </is>
      </c>
      <c r="L1518" s="202" t="n">
        <v>46182</v>
      </c>
      <c r="M1518" s="175" t="n">
        <v>0.0145</v>
      </c>
      <c r="N1518" s="176" t="n">
        <v>0.01942</v>
      </c>
      <c r="O1518" s="191" t="n">
        <v>2</v>
      </c>
      <c r="P1518" s="172" t="inlineStr">
        <is>
          <t>次级</t>
        </is>
      </c>
      <c r="Q1518" s="204" t="n">
        <v>0.05</v>
      </c>
      <c r="R1518" s="205" t="n">
        <v>0.5</v>
      </c>
      <c r="S1518" s="203" t="inlineStr">
        <is>
          <t>无</t>
        </is>
      </c>
      <c r="T1518" s="204" t="n">
        <v>0.0495</v>
      </c>
      <c r="U1518" s="203" t="inlineStr">
        <is>
          <t>中信建投机构部</t>
        </is>
      </c>
      <c r="V1518" s="195" t="n">
        <v>0.18</v>
      </c>
      <c r="W1518" s="172" t="n"/>
      <c r="X1518" s="172" t="n"/>
      <c r="Y1518" s="172" t="n"/>
    </row>
    <row r="1519">
      <c r="A1519" s="172" t="n">
        <v>86</v>
      </c>
      <c r="B1519" s="173" t="inlineStr">
        <is>
          <t>6月</t>
        </is>
      </c>
      <c r="C1519" s="173" t="inlineStr">
        <is>
          <t>消金</t>
        </is>
      </c>
      <c r="D1519" s="173" t="inlineStr">
        <is>
          <t>信托金条</t>
        </is>
      </c>
      <c r="E1519" s="173" t="inlineStr">
        <is>
          <t>耘睿22-5</t>
        </is>
      </c>
      <c r="F1519" s="173" t="inlineStr">
        <is>
          <t>上交所</t>
        </is>
      </c>
      <c r="G1519" s="173" t="inlineStr">
        <is>
          <t>招商证券</t>
        </is>
      </c>
      <c r="H1519" s="173" t="inlineStr">
        <is>
          <t>平安证券</t>
        </is>
      </c>
      <c r="I1519" s="173" t="inlineStr">
        <is>
          <t>北京银行西单支行</t>
        </is>
      </c>
      <c r="J1519" s="172" t="n">
        <v>10</v>
      </c>
      <c r="K1519" s="173" t="inlineStr">
        <is>
          <t>11+24</t>
        </is>
      </c>
      <c r="L1519" s="202" t="n">
        <v>46184</v>
      </c>
      <c r="M1519" s="175" t="n">
        <v>0.0145</v>
      </c>
      <c r="N1519" s="176" t="n">
        <v>0.01926</v>
      </c>
      <c r="O1519" s="172" t="n">
        <v>1.92</v>
      </c>
      <c r="P1519" s="203" t="inlineStr">
        <is>
          <t>优先A</t>
        </is>
      </c>
      <c r="Q1519" s="204" t="n">
        <v>0.9</v>
      </c>
      <c r="R1519" s="205" t="n">
        <v>9</v>
      </c>
      <c r="S1519" s="203" t="inlineStr">
        <is>
          <t>AAA</t>
        </is>
      </c>
      <c r="T1519" s="204" t="n">
        <v>0.016</v>
      </c>
      <c r="U1519" s="203" t="inlineStr">
        <is>
          <t>中邮理财</t>
        </is>
      </c>
      <c r="V1519" s="192" t="n">
        <v>1.8</v>
      </c>
      <c r="W1519" s="175" t="n">
        <v>0.016</v>
      </c>
      <c r="X1519" s="172" t="inlineStr">
        <is>
          <t>中邮理财</t>
        </is>
      </c>
      <c r="Y1519" s="191" t="n">
        <v>2.7</v>
      </c>
    </row>
    <row r="1520">
      <c r="A1520" s="172" t="n">
        <v>86</v>
      </c>
      <c r="B1520" s="173" t="inlineStr">
        <is>
          <t>6月</t>
        </is>
      </c>
      <c r="C1520" s="173" t="inlineStr">
        <is>
          <t>消金</t>
        </is>
      </c>
      <c r="D1520" s="173" t="inlineStr">
        <is>
          <t>信托金条</t>
        </is>
      </c>
      <c r="E1520" s="173" t="inlineStr">
        <is>
          <t>耘睿22-5</t>
        </is>
      </c>
      <c r="F1520" s="173" t="inlineStr">
        <is>
          <t>上交所</t>
        </is>
      </c>
      <c r="G1520" s="173" t="inlineStr">
        <is>
          <t>招商证券</t>
        </is>
      </c>
      <c r="H1520" s="173" t="inlineStr">
        <is>
          <t>平安证券</t>
        </is>
      </c>
      <c r="I1520" s="173" t="inlineStr">
        <is>
          <t>北京银行西单支行</t>
        </is>
      </c>
      <c r="J1520" s="172" t="n">
        <v>10</v>
      </c>
      <c r="K1520" s="173" t="inlineStr">
        <is>
          <t>11+24</t>
        </is>
      </c>
      <c r="L1520" s="202" t="n">
        <v>46184</v>
      </c>
      <c r="M1520" s="175" t="n">
        <v>0.0145</v>
      </c>
      <c r="N1520" s="176" t="n">
        <v>0.01926</v>
      </c>
      <c r="O1520" s="172" t="n">
        <v>1.92</v>
      </c>
      <c r="P1520" s="172" t="inlineStr">
        <is>
          <t>优先A</t>
        </is>
      </c>
      <c r="Q1520" s="204" t="n">
        <v>0.9</v>
      </c>
      <c r="R1520" s="205" t="n">
        <v>9</v>
      </c>
      <c r="S1520" s="203" t="inlineStr">
        <is>
          <t>AAA</t>
        </is>
      </c>
      <c r="T1520" s="204" t="n">
        <v>0.016</v>
      </c>
      <c r="U1520" s="203" t="inlineStr">
        <is>
          <t>中银理财</t>
        </is>
      </c>
      <c r="V1520" s="192" t="n">
        <v>2.7</v>
      </c>
      <c r="W1520" s="175" t="n">
        <v>0.0157</v>
      </c>
      <c r="X1520" s="172" t="inlineStr">
        <is>
          <t>中银理财</t>
        </is>
      </c>
      <c r="Y1520" s="191" t="n">
        <v>1</v>
      </c>
    </row>
    <row r="1521">
      <c r="A1521" s="172" t="n">
        <v>86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耘睿22-5</t>
        </is>
      </c>
      <c r="F1521" s="172" t="inlineStr">
        <is>
          <t>上交所</t>
        </is>
      </c>
      <c r="G1521" s="172" t="inlineStr">
        <is>
          <t>招商证券</t>
        </is>
      </c>
      <c r="H1521" s="172" t="inlineStr">
        <is>
          <t>平安证券</t>
        </is>
      </c>
      <c r="I1521" s="172" t="inlineStr">
        <is>
          <t>北京银行西单支行</t>
        </is>
      </c>
      <c r="J1521" s="172" t="n">
        <v>10</v>
      </c>
      <c r="K1521" s="172" t="inlineStr">
        <is>
          <t>11+24</t>
        </is>
      </c>
      <c r="L1521" s="208" t="n">
        <v>46184</v>
      </c>
      <c r="M1521" s="175" t="n">
        <v>0.0145</v>
      </c>
      <c r="N1521" s="176" t="n">
        <v>0.01926</v>
      </c>
      <c r="O1521" s="172" t="n">
        <v>1.92</v>
      </c>
      <c r="P1521" s="172" t="inlineStr">
        <is>
          <t>优先A</t>
        </is>
      </c>
      <c r="Q1521" s="175" t="n">
        <v>0.9</v>
      </c>
      <c r="R1521" s="192" t="n">
        <v>9</v>
      </c>
      <c r="S1521" s="172" t="inlineStr">
        <is>
          <t>AAA</t>
        </is>
      </c>
      <c r="T1521" s="175" t="n">
        <v>0.016</v>
      </c>
      <c r="U1521" s="172" t="n"/>
      <c r="V1521" s="172" t="n"/>
      <c r="W1521" s="175" t="n">
        <v>0.0158</v>
      </c>
      <c r="X1521" s="172" t="inlineStr">
        <is>
          <t>中银理财</t>
        </is>
      </c>
      <c r="Y1521" s="191" t="n">
        <v>1.7</v>
      </c>
    </row>
    <row r="1522">
      <c r="A1522" s="172" t="n">
        <v>86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耘睿22-5</t>
        </is>
      </c>
      <c r="F1522" s="173" t="inlineStr">
        <is>
          <t>上交所</t>
        </is>
      </c>
      <c r="G1522" s="173" t="inlineStr">
        <is>
          <t>招商证券</t>
        </is>
      </c>
      <c r="H1522" s="173" t="inlineStr">
        <is>
          <t>平安证券</t>
        </is>
      </c>
      <c r="I1522" s="173" t="inlineStr">
        <is>
          <t>北京银行西单支行</t>
        </is>
      </c>
      <c r="J1522" s="172" t="n">
        <v>10</v>
      </c>
      <c r="K1522" s="173" t="inlineStr">
        <is>
          <t>11+24</t>
        </is>
      </c>
      <c r="L1522" s="202" t="n">
        <v>46184</v>
      </c>
      <c r="M1522" s="175" t="n">
        <v>0.0145</v>
      </c>
      <c r="N1522" s="176" t="n">
        <v>0.01926</v>
      </c>
      <c r="O1522" s="172" t="n">
        <v>1.92</v>
      </c>
      <c r="P1522" s="172" t="inlineStr">
        <is>
          <t>优先A</t>
        </is>
      </c>
      <c r="Q1522" s="204" t="n">
        <v>0.9</v>
      </c>
      <c r="R1522" s="205" t="n">
        <v>9</v>
      </c>
      <c r="S1522" s="203" t="inlineStr">
        <is>
          <t>AAA</t>
        </is>
      </c>
      <c r="T1522" s="204" t="n">
        <v>0.016</v>
      </c>
      <c r="U1522" s="203" t="inlineStr">
        <is>
          <t>渝农商资源</t>
        </is>
      </c>
      <c r="V1522" s="192" t="n">
        <v>2</v>
      </c>
      <c r="W1522" s="172" t="n"/>
      <c r="X1522" s="172" t="n"/>
      <c r="Y1522" s="172" t="n"/>
    </row>
    <row r="1523">
      <c r="A1523" s="172" t="n">
        <v>86</v>
      </c>
      <c r="B1523" s="173" t="inlineStr">
        <is>
          <t>6月</t>
        </is>
      </c>
      <c r="C1523" s="173" t="inlineStr">
        <is>
          <t>消金</t>
        </is>
      </c>
      <c r="D1523" s="173" t="inlineStr">
        <is>
          <t>信托金条</t>
        </is>
      </c>
      <c r="E1523" s="173" t="inlineStr">
        <is>
          <t>耘睿22-5</t>
        </is>
      </c>
      <c r="F1523" s="173" t="inlineStr">
        <is>
          <t>上交所</t>
        </is>
      </c>
      <c r="G1523" s="173" t="inlineStr">
        <is>
          <t>招商证券</t>
        </is>
      </c>
      <c r="H1523" s="173" t="inlineStr">
        <is>
          <t>平安证券</t>
        </is>
      </c>
      <c r="I1523" s="173" t="inlineStr">
        <is>
          <t>北京银行西单支行</t>
        </is>
      </c>
      <c r="J1523" s="172" t="n">
        <v>10</v>
      </c>
      <c r="K1523" s="173" t="inlineStr">
        <is>
          <t>11+24</t>
        </is>
      </c>
      <c r="L1523" s="202" t="n">
        <v>46184</v>
      </c>
      <c r="M1523" s="175" t="n">
        <v>0.0145</v>
      </c>
      <c r="N1523" s="176" t="n">
        <v>0.01926</v>
      </c>
      <c r="O1523" s="172" t="n">
        <v>1.92</v>
      </c>
      <c r="P1523" s="172" t="inlineStr">
        <is>
          <t>优先A</t>
        </is>
      </c>
      <c r="Q1523" s="204" t="n">
        <v>0.9</v>
      </c>
      <c r="R1523" s="205" t="n">
        <v>9</v>
      </c>
      <c r="S1523" s="203" t="inlineStr">
        <is>
          <t>AAA</t>
        </is>
      </c>
      <c r="T1523" s="204" t="n">
        <v>0.016</v>
      </c>
      <c r="U1523" s="203" t="inlineStr">
        <is>
          <t>渝农商理财</t>
        </is>
      </c>
      <c r="V1523" s="192" t="n">
        <v>0.53</v>
      </c>
      <c r="W1523" s="175" t="n">
        <v>0.0158</v>
      </c>
      <c r="X1523" s="172" t="inlineStr">
        <is>
          <t>渝农商自营</t>
        </is>
      </c>
      <c r="Y1523" s="191" t="n">
        <v>2</v>
      </c>
    </row>
    <row r="1524">
      <c r="A1524" s="172" t="n">
        <v>86</v>
      </c>
      <c r="B1524" s="173" t="inlineStr">
        <is>
          <t>6月</t>
        </is>
      </c>
      <c r="C1524" s="173" t="inlineStr">
        <is>
          <t>消金</t>
        </is>
      </c>
      <c r="D1524" s="173" t="inlineStr">
        <is>
          <t>信托金条</t>
        </is>
      </c>
      <c r="E1524" s="173" t="inlineStr">
        <is>
          <t>耘睿22-5</t>
        </is>
      </c>
      <c r="F1524" s="173" t="inlineStr">
        <is>
          <t>上交所</t>
        </is>
      </c>
      <c r="G1524" s="173" t="inlineStr">
        <is>
          <t>招商证券</t>
        </is>
      </c>
      <c r="H1524" s="173" t="inlineStr">
        <is>
          <t>平安证券</t>
        </is>
      </c>
      <c r="I1524" s="173" t="inlineStr">
        <is>
          <t>北京银行西单支行</t>
        </is>
      </c>
      <c r="J1524" s="172" t="n">
        <v>10</v>
      </c>
      <c r="K1524" s="173" t="inlineStr">
        <is>
          <t>11+24</t>
        </is>
      </c>
      <c r="L1524" s="202" t="n">
        <v>46184</v>
      </c>
      <c r="M1524" s="175" t="n">
        <v>0.0145</v>
      </c>
      <c r="N1524" s="176" t="n">
        <v>0.01926</v>
      </c>
      <c r="O1524" s="172" t="n">
        <v>1.92</v>
      </c>
      <c r="P1524" s="172" t="inlineStr">
        <is>
          <t>优先A</t>
        </is>
      </c>
      <c r="Q1524" s="204" t="n">
        <v>0.9</v>
      </c>
      <c r="R1524" s="205" t="n">
        <v>9</v>
      </c>
      <c r="S1524" s="203" t="inlineStr">
        <is>
          <t>AAA</t>
        </is>
      </c>
      <c r="T1524" s="204" t="n">
        <v>0.016</v>
      </c>
      <c r="U1524" s="203" t="inlineStr">
        <is>
          <t>交银理财</t>
        </is>
      </c>
      <c r="V1524" s="192" t="n">
        <v>1.97</v>
      </c>
      <c r="W1524" s="175" t="n">
        <v>0.0158</v>
      </c>
      <c r="X1524" s="172" t="inlineStr">
        <is>
          <t>交银理财</t>
        </is>
      </c>
      <c r="Y1524" s="191" t="n">
        <v>0.5</v>
      </c>
    </row>
    <row r="1525">
      <c r="A1525" s="172" t="n">
        <v>86</v>
      </c>
      <c r="B1525" s="172" t="inlineStr">
        <is>
          <t>6月</t>
        </is>
      </c>
      <c r="C1525" s="172" t="inlineStr">
        <is>
          <t>消金</t>
        </is>
      </c>
      <c r="D1525" s="172" t="inlineStr">
        <is>
          <t>信托金条</t>
        </is>
      </c>
      <c r="E1525" s="172" t="inlineStr">
        <is>
          <t>耘睿22-5</t>
        </is>
      </c>
      <c r="F1525" s="172" t="inlineStr">
        <is>
          <t>上交所</t>
        </is>
      </c>
      <c r="G1525" s="172" t="inlineStr">
        <is>
          <t>招商证券</t>
        </is>
      </c>
      <c r="H1525" s="172" t="inlineStr">
        <is>
          <t>平安证券</t>
        </is>
      </c>
      <c r="I1525" s="172" t="inlineStr">
        <is>
          <t>北京银行西单支行</t>
        </is>
      </c>
      <c r="J1525" s="172" t="n">
        <v>10</v>
      </c>
      <c r="K1525" s="172" t="inlineStr">
        <is>
          <t>11+24</t>
        </is>
      </c>
      <c r="L1525" s="208" t="n">
        <v>46184</v>
      </c>
      <c r="M1525" s="175" t="n">
        <v>0.0145</v>
      </c>
      <c r="N1525" s="176" t="n">
        <v>0.01926</v>
      </c>
      <c r="O1525" s="172" t="n">
        <v>1.92</v>
      </c>
      <c r="P1525" s="172" t="inlineStr">
        <is>
          <t>优先A</t>
        </is>
      </c>
      <c r="Q1525" s="175" t="n">
        <v>0.9</v>
      </c>
      <c r="R1525" s="192" t="n">
        <v>9</v>
      </c>
      <c r="S1525" s="172" t="inlineStr">
        <is>
          <t>AAA</t>
        </is>
      </c>
      <c r="T1525" s="175" t="n">
        <v>0.016</v>
      </c>
      <c r="U1525" s="172" t="n"/>
      <c r="V1525" s="172" t="n"/>
      <c r="W1525" s="175" t="n">
        <v>0.016</v>
      </c>
      <c r="X1525" s="172" t="inlineStr">
        <is>
          <t>交银理财</t>
        </is>
      </c>
      <c r="Y1525" s="191" t="n">
        <v>2.2</v>
      </c>
    </row>
    <row r="1526">
      <c r="A1526" s="172" t="n">
        <v>86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耘睿22-5</t>
        </is>
      </c>
      <c r="F1526" s="172" t="inlineStr">
        <is>
          <t>上交所</t>
        </is>
      </c>
      <c r="G1526" s="172" t="inlineStr">
        <is>
          <t>招商证券</t>
        </is>
      </c>
      <c r="H1526" s="172" t="inlineStr">
        <is>
          <t>平安证券</t>
        </is>
      </c>
      <c r="I1526" s="172" t="inlineStr">
        <is>
          <t>北京银行西单支行</t>
        </is>
      </c>
      <c r="J1526" s="172" t="n">
        <v>10</v>
      </c>
      <c r="K1526" s="172" t="inlineStr">
        <is>
          <t>11+24</t>
        </is>
      </c>
      <c r="L1526" s="208" t="n">
        <v>46184</v>
      </c>
      <c r="M1526" s="175" t="n">
        <v>0.0145</v>
      </c>
      <c r="N1526" s="176" t="n">
        <v>0.01926</v>
      </c>
      <c r="O1526" s="172" t="n">
        <v>1.92</v>
      </c>
      <c r="P1526" s="172" t="inlineStr">
        <is>
          <t>优先A</t>
        </is>
      </c>
      <c r="Q1526" s="175" t="n">
        <v>0.9</v>
      </c>
      <c r="R1526" s="192" t="n">
        <v>9</v>
      </c>
      <c r="S1526" s="172" t="inlineStr">
        <is>
          <t>AAA</t>
        </is>
      </c>
      <c r="T1526" s="175" t="n">
        <v>0.016</v>
      </c>
      <c r="U1526" s="172" t="n"/>
      <c r="V1526" s="172" t="n"/>
      <c r="W1526" s="175" t="n">
        <v>0.016</v>
      </c>
      <c r="X1526" s="172" t="inlineStr">
        <is>
          <t>渝农商理财</t>
        </is>
      </c>
      <c r="Y1526" s="191" t="n">
        <v>0.8</v>
      </c>
    </row>
    <row r="1527">
      <c r="A1527" s="172" t="n">
        <v>86</v>
      </c>
      <c r="B1527" s="172" t="inlineStr">
        <is>
          <t>6月</t>
        </is>
      </c>
      <c r="C1527" s="172" t="inlineStr">
        <is>
          <t>消金</t>
        </is>
      </c>
      <c r="D1527" s="172" t="inlineStr">
        <is>
          <t>信托金条</t>
        </is>
      </c>
      <c r="E1527" s="172" t="inlineStr">
        <is>
          <t>耘睿22-5</t>
        </is>
      </c>
      <c r="F1527" s="172" t="inlineStr">
        <is>
          <t>上交所</t>
        </is>
      </c>
      <c r="G1527" s="172" t="inlineStr">
        <is>
          <t>招商证券</t>
        </is>
      </c>
      <c r="H1527" s="172" t="inlineStr">
        <is>
          <t>平安证券</t>
        </is>
      </c>
      <c r="I1527" s="172" t="inlineStr">
        <is>
          <t>北京银行西单支行</t>
        </is>
      </c>
      <c r="J1527" s="172" t="n">
        <v>10</v>
      </c>
      <c r="K1527" s="172" t="inlineStr">
        <is>
          <t>11+24</t>
        </is>
      </c>
      <c r="L1527" s="208" t="n">
        <v>46184</v>
      </c>
      <c r="M1527" s="175" t="n">
        <v>0.0145</v>
      </c>
      <c r="N1527" s="176" t="n">
        <v>0.01926</v>
      </c>
      <c r="O1527" s="172" t="n">
        <v>1.92</v>
      </c>
      <c r="P1527" s="172" t="inlineStr">
        <is>
          <t>优先A</t>
        </is>
      </c>
      <c r="Q1527" s="175" t="n">
        <v>0.9</v>
      </c>
      <c r="R1527" s="192" t="n">
        <v>9</v>
      </c>
      <c r="S1527" s="172" t="inlineStr">
        <is>
          <t>AAA</t>
        </is>
      </c>
      <c r="T1527" s="175" t="n">
        <v>0.016</v>
      </c>
      <c r="U1527" s="172" t="n"/>
      <c r="V1527" s="172" t="n"/>
      <c r="W1527" s="175" t="n">
        <v>0.0163</v>
      </c>
      <c r="X1527" s="172" t="inlineStr">
        <is>
          <t>渝农商理财</t>
        </is>
      </c>
      <c r="Y1527" s="191" t="n">
        <v>0.1</v>
      </c>
    </row>
    <row r="1528">
      <c r="A1528" s="172" t="n">
        <v>86</v>
      </c>
      <c r="B1528" s="172" t="inlineStr">
        <is>
          <t>6月</t>
        </is>
      </c>
      <c r="C1528" s="172" t="inlineStr">
        <is>
          <t>消金</t>
        </is>
      </c>
      <c r="D1528" s="172" t="inlineStr">
        <is>
          <t>信托金条</t>
        </is>
      </c>
      <c r="E1528" s="172" t="inlineStr">
        <is>
          <t>耘睿22-5</t>
        </is>
      </c>
      <c r="F1528" s="172" t="inlineStr">
        <is>
          <t>上交所</t>
        </is>
      </c>
      <c r="G1528" s="172" t="inlineStr">
        <is>
          <t>招商证券</t>
        </is>
      </c>
      <c r="H1528" s="172" t="inlineStr">
        <is>
          <t>平安证券</t>
        </is>
      </c>
      <c r="I1528" s="172" t="inlineStr">
        <is>
          <t>北京银行西单支行</t>
        </is>
      </c>
      <c r="J1528" s="172" t="n">
        <v>10</v>
      </c>
      <c r="K1528" s="172" t="inlineStr">
        <is>
          <t>11+24</t>
        </is>
      </c>
      <c r="L1528" s="208" t="n">
        <v>46184</v>
      </c>
      <c r="M1528" s="175" t="n">
        <v>0.0145</v>
      </c>
      <c r="N1528" s="176" t="n">
        <v>0.01926</v>
      </c>
      <c r="O1528" s="172" t="n">
        <v>1.92</v>
      </c>
      <c r="P1528" s="172" t="inlineStr">
        <is>
          <t>优先A</t>
        </is>
      </c>
      <c r="Q1528" s="175" t="n">
        <v>0.9</v>
      </c>
      <c r="R1528" s="192" t="n">
        <v>9</v>
      </c>
      <c r="S1528" s="172" t="inlineStr">
        <is>
          <t>AAA</t>
        </is>
      </c>
      <c r="T1528" s="175" t="n">
        <v>0.016</v>
      </c>
      <c r="U1528" s="172" t="n"/>
      <c r="V1528" s="172" t="n"/>
      <c r="W1528" s="175" t="n">
        <v>0.0165</v>
      </c>
      <c r="X1528" s="172" t="inlineStr">
        <is>
          <t>渝农商理财</t>
        </is>
      </c>
      <c r="Y1528" s="191" t="n">
        <v>0.6</v>
      </c>
    </row>
    <row r="1529">
      <c r="A1529" s="172" t="n">
        <v>86</v>
      </c>
      <c r="B1529" s="172" t="inlineStr">
        <is>
          <t>6月</t>
        </is>
      </c>
      <c r="C1529" s="172" t="inlineStr">
        <is>
          <t>消金</t>
        </is>
      </c>
      <c r="D1529" s="172" t="inlineStr">
        <is>
          <t>信托金条</t>
        </is>
      </c>
      <c r="E1529" s="172" t="inlineStr">
        <is>
          <t>耘睿22-5</t>
        </is>
      </c>
      <c r="F1529" s="172" t="inlineStr">
        <is>
          <t>上交所</t>
        </is>
      </c>
      <c r="G1529" s="172" t="inlineStr">
        <is>
          <t>招商证券</t>
        </is>
      </c>
      <c r="H1529" s="172" t="inlineStr">
        <is>
          <t>平安证券</t>
        </is>
      </c>
      <c r="I1529" s="172" t="inlineStr">
        <is>
          <t>北京银行西单支行</t>
        </is>
      </c>
      <c r="J1529" s="172" t="n">
        <v>10</v>
      </c>
      <c r="K1529" s="172" t="inlineStr">
        <is>
          <t>11+24</t>
        </is>
      </c>
      <c r="L1529" s="208" t="n">
        <v>46184</v>
      </c>
      <c r="M1529" s="175" t="n">
        <v>0.0145</v>
      </c>
      <c r="N1529" s="176" t="n">
        <v>0.01926</v>
      </c>
      <c r="O1529" s="172" t="n">
        <v>1.92</v>
      </c>
      <c r="P1529" s="172" t="inlineStr">
        <is>
          <t>优先A</t>
        </is>
      </c>
      <c r="Q1529" s="175" t="n">
        <v>0.9</v>
      </c>
      <c r="R1529" s="192" t="n">
        <v>9</v>
      </c>
      <c r="S1529" s="172" t="inlineStr">
        <is>
          <t>AAA</t>
        </is>
      </c>
      <c r="T1529" s="175" t="n">
        <v>0.016</v>
      </c>
      <c r="U1529" s="172" t="n"/>
      <c r="V1529" s="172" t="n"/>
      <c r="W1529" s="175" t="n">
        <v>0.0165</v>
      </c>
      <c r="X1529" s="172" t="inlineStr">
        <is>
          <t>杭州联合</t>
        </is>
      </c>
      <c r="Y1529" s="191" t="n">
        <v>0.2</v>
      </c>
    </row>
    <row r="1530">
      <c r="A1530" s="172" t="n">
        <v>86</v>
      </c>
      <c r="B1530" s="172" t="inlineStr">
        <is>
          <t>6月</t>
        </is>
      </c>
      <c r="C1530" s="172" t="inlineStr">
        <is>
          <t>消金</t>
        </is>
      </c>
      <c r="D1530" s="172" t="inlineStr">
        <is>
          <t>信托金条</t>
        </is>
      </c>
      <c r="E1530" s="172" t="inlineStr">
        <is>
          <t>耘睿22-5</t>
        </is>
      </c>
      <c r="F1530" s="172" t="inlineStr">
        <is>
          <t>上交所</t>
        </is>
      </c>
      <c r="G1530" s="172" t="inlineStr">
        <is>
          <t>招商证券</t>
        </is>
      </c>
      <c r="H1530" s="172" t="inlineStr">
        <is>
          <t>平安证券</t>
        </is>
      </c>
      <c r="I1530" s="172" t="inlineStr">
        <is>
          <t>北京银行西单支行</t>
        </is>
      </c>
      <c r="J1530" s="172" t="n">
        <v>10</v>
      </c>
      <c r="K1530" s="172" t="inlineStr">
        <is>
          <t>11+24</t>
        </is>
      </c>
      <c r="L1530" s="208" t="n">
        <v>46184</v>
      </c>
      <c r="M1530" s="175" t="n">
        <v>0.0145</v>
      </c>
      <c r="N1530" s="176" t="n">
        <v>0.01926</v>
      </c>
      <c r="O1530" s="172" t="n">
        <v>1.92</v>
      </c>
      <c r="P1530" s="172" t="inlineStr">
        <is>
          <t>优先A</t>
        </is>
      </c>
      <c r="Q1530" s="175" t="n">
        <v>0.9</v>
      </c>
      <c r="R1530" s="192" t="n">
        <v>9</v>
      </c>
      <c r="S1530" s="172" t="inlineStr">
        <is>
          <t>AAA</t>
        </is>
      </c>
      <c r="T1530" s="175" t="n">
        <v>0.016</v>
      </c>
      <c r="U1530" s="172" t="n"/>
      <c r="V1530" s="172" t="n"/>
      <c r="W1530" s="175" t="n">
        <v>0.0165</v>
      </c>
      <c r="X1530" s="172" t="inlineStr">
        <is>
          <t>建信理财</t>
        </is>
      </c>
      <c r="Y1530" s="191" t="n">
        <v>1.9</v>
      </c>
    </row>
    <row r="1531">
      <c r="A1531" s="172" t="n">
        <v>86</v>
      </c>
      <c r="B1531" s="172" t="inlineStr">
        <is>
          <t>6月</t>
        </is>
      </c>
      <c r="C1531" s="172" t="inlineStr">
        <is>
          <t>消金</t>
        </is>
      </c>
      <c r="D1531" s="172" t="inlineStr">
        <is>
          <t>信托金条</t>
        </is>
      </c>
      <c r="E1531" s="172" t="inlineStr">
        <is>
          <t>耘睿22-5</t>
        </is>
      </c>
      <c r="F1531" s="172" t="inlineStr">
        <is>
          <t>上交所</t>
        </is>
      </c>
      <c r="G1531" s="172" t="inlineStr">
        <is>
          <t>招商证券</t>
        </is>
      </c>
      <c r="H1531" s="172" t="inlineStr">
        <is>
          <t>平安证券</t>
        </is>
      </c>
      <c r="I1531" s="172" t="inlineStr">
        <is>
          <t>北京银行西单支行</t>
        </is>
      </c>
      <c r="J1531" s="172" t="n">
        <v>10</v>
      </c>
      <c r="K1531" s="172" t="inlineStr">
        <is>
          <t>11+24</t>
        </is>
      </c>
      <c r="L1531" s="208" t="n">
        <v>46184</v>
      </c>
      <c r="M1531" s="175" t="n">
        <v>0.0145</v>
      </c>
      <c r="N1531" s="176" t="n">
        <v>0.01926</v>
      </c>
      <c r="O1531" s="172" t="n">
        <v>1.92</v>
      </c>
      <c r="P1531" s="172" t="inlineStr">
        <is>
          <t>优先A</t>
        </is>
      </c>
      <c r="Q1531" s="175" t="n">
        <v>0.9</v>
      </c>
      <c r="R1531" s="192" t="n">
        <v>9</v>
      </c>
      <c r="S1531" s="172" t="inlineStr">
        <is>
          <t>AAA</t>
        </is>
      </c>
      <c r="T1531" s="175" t="n">
        <v>0.016</v>
      </c>
      <c r="U1531" s="172" t="n"/>
      <c r="V1531" s="172" t="n"/>
      <c r="W1531" s="175" t="n">
        <v>0.017</v>
      </c>
      <c r="X1531" s="172" t="inlineStr">
        <is>
          <t>平安证券</t>
        </is>
      </c>
      <c r="Y1531" s="191" t="n">
        <v>0.6</v>
      </c>
    </row>
    <row r="1532">
      <c r="A1532" s="172" t="n">
        <v>86</v>
      </c>
      <c r="B1532" s="172" t="inlineStr">
        <is>
          <t>6月</t>
        </is>
      </c>
      <c r="C1532" s="172" t="inlineStr">
        <is>
          <t>消金</t>
        </is>
      </c>
      <c r="D1532" s="172" t="inlineStr">
        <is>
          <t>信托金条</t>
        </is>
      </c>
      <c r="E1532" s="172" t="inlineStr">
        <is>
          <t>耘睿22-5</t>
        </is>
      </c>
      <c r="F1532" s="172" t="inlineStr">
        <is>
          <t>上交所</t>
        </is>
      </c>
      <c r="G1532" s="172" t="inlineStr">
        <is>
          <t>招商证券</t>
        </is>
      </c>
      <c r="H1532" s="172" t="inlineStr">
        <is>
          <t>平安证券</t>
        </is>
      </c>
      <c r="I1532" s="172" t="inlineStr">
        <is>
          <t>北京银行西单支行</t>
        </is>
      </c>
      <c r="J1532" s="172" t="n">
        <v>10</v>
      </c>
      <c r="K1532" s="172" t="inlineStr">
        <is>
          <t>11+24</t>
        </is>
      </c>
      <c r="L1532" s="208" t="n">
        <v>46184</v>
      </c>
      <c r="M1532" s="175" t="n">
        <v>0.0145</v>
      </c>
      <c r="N1532" s="176" t="n">
        <v>0.01926</v>
      </c>
      <c r="O1532" s="172" t="n">
        <v>1.92</v>
      </c>
      <c r="P1532" s="172" t="inlineStr">
        <is>
          <t>优先A</t>
        </is>
      </c>
      <c r="Q1532" s="175" t="n">
        <v>0.9</v>
      </c>
      <c r="R1532" s="192" t="n">
        <v>9</v>
      </c>
      <c r="S1532" s="172" t="inlineStr">
        <is>
          <t>AAA</t>
        </is>
      </c>
      <c r="T1532" s="175" t="n">
        <v>0.016</v>
      </c>
      <c r="U1532" s="172" t="n"/>
      <c r="V1532" s="172" t="n"/>
      <c r="W1532" s="175" t="n">
        <v>0.017</v>
      </c>
      <c r="X1532" s="172" t="inlineStr">
        <is>
          <t>招商证券</t>
        </is>
      </c>
      <c r="Y1532" s="191" t="n">
        <v>1</v>
      </c>
    </row>
    <row r="1533">
      <c r="A1533" s="172" t="n">
        <v>86</v>
      </c>
      <c r="B1533" s="172" t="inlineStr">
        <is>
          <t>6月</t>
        </is>
      </c>
      <c r="C1533" s="172" t="inlineStr">
        <is>
          <t>消金</t>
        </is>
      </c>
      <c r="D1533" s="172" t="inlineStr">
        <is>
          <t>信托金条</t>
        </is>
      </c>
      <c r="E1533" s="172" t="inlineStr">
        <is>
          <t>耘睿22-5</t>
        </is>
      </c>
      <c r="F1533" s="172" t="inlineStr">
        <is>
          <t>上交所</t>
        </is>
      </c>
      <c r="G1533" s="172" t="inlineStr">
        <is>
          <t>招商证券</t>
        </is>
      </c>
      <c r="H1533" s="172" t="inlineStr">
        <is>
          <t>平安证券</t>
        </is>
      </c>
      <c r="I1533" s="172" t="inlineStr">
        <is>
          <t>北京银行西单支行</t>
        </is>
      </c>
      <c r="J1533" s="172" t="n">
        <v>10</v>
      </c>
      <c r="K1533" s="172" t="inlineStr">
        <is>
          <t>11+24</t>
        </is>
      </c>
      <c r="L1533" s="208" t="n">
        <v>46184</v>
      </c>
      <c r="M1533" s="175" t="n">
        <v>0.0145</v>
      </c>
      <c r="N1533" s="176" t="n">
        <v>0.01926</v>
      </c>
      <c r="O1533" s="172" t="n">
        <v>1.92</v>
      </c>
      <c r="P1533" s="172" t="inlineStr">
        <is>
          <t>优先A</t>
        </is>
      </c>
      <c r="Q1533" s="175" t="n">
        <v>0.9</v>
      </c>
      <c r="R1533" s="192" t="n">
        <v>9</v>
      </c>
      <c r="S1533" s="172" t="inlineStr">
        <is>
          <t>AAA</t>
        </is>
      </c>
      <c r="T1533" s="175" t="n">
        <v>0.016</v>
      </c>
      <c r="U1533" s="172" t="n"/>
      <c r="V1533" s="172" t="n"/>
      <c r="W1533" s="175" t="n">
        <v>0.024</v>
      </c>
      <c r="X1533" s="172" t="inlineStr">
        <is>
          <t>上海利曦基金</t>
        </is>
      </c>
      <c r="Y1533" s="191" t="n">
        <v>2</v>
      </c>
    </row>
    <row r="1534">
      <c r="A1534" s="172" t="n">
        <v>86</v>
      </c>
      <c r="B1534" s="173" t="inlineStr">
        <is>
          <t>6月</t>
        </is>
      </c>
      <c r="C1534" s="173" t="inlineStr">
        <is>
          <t>消金</t>
        </is>
      </c>
      <c r="D1534" s="173" t="inlineStr">
        <is>
          <t>信托金条</t>
        </is>
      </c>
      <c r="E1534" s="173" t="inlineStr">
        <is>
          <t>耘睿22-5</t>
        </is>
      </c>
      <c r="F1534" s="173" t="inlineStr">
        <is>
          <t>上交所</t>
        </is>
      </c>
      <c r="G1534" s="173" t="inlineStr">
        <is>
          <t>招商证券</t>
        </is>
      </c>
      <c r="H1534" s="173" t="inlineStr">
        <is>
          <t>平安证券</t>
        </is>
      </c>
      <c r="I1534" s="173" t="inlineStr">
        <is>
          <t>北京银行西单支行</t>
        </is>
      </c>
      <c r="J1534" s="172" t="n">
        <v>10</v>
      </c>
      <c r="K1534" s="173" t="inlineStr">
        <is>
          <t>11+24</t>
        </is>
      </c>
      <c r="L1534" s="202" t="n">
        <v>46184</v>
      </c>
      <c r="M1534" s="175" t="n">
        <v>0.0145</v>
      </c>
      <c r="N1534" s="176" t="n">
        <v>0.01926</v>
      </c>
      <c r="O1534" s="172" t="n">
        <v>1.92</v>
      </c>
      <c r="P1534" s="203" t="inlineStr">
        <is>
          <t>优先B</t>
        </is>
      </c>
      <c r="Q1534" s="204" t="n">
        <v>0.03</v>
      </c>
      <c r="R1534" s="205" t="n">
        <v>0.3</v>
      </c>
      <c r="S1534" s="203" t="inlineStr">
        <is>
          <t>AA+</t>
        </is>
      </c>
      <c r="T1534" s="204" t="n">
        <v>0.0177</v>
      </c>
      <c r="U1534" s="203" t="inlineStr">
        <is>
          <t>交银理财</t>
        </is>
      </c>
      <c r="V1534" s="192" t="n">
        <v>0.09</v>
      </c>
      <c r="W1534" s="175" t="n">
        <v>0.017</v>
      </c>
      <c r="X1534" s="172" t="inlineStr">
        <is>
          <t>交银理财</t>
        </is>
      </c>
      <c r="Y1534" s="191" t="n">
        <v>0.09</v>
      </c>
    </row>
    <row r="1535">
      <c r="A1535" s="172" t="n">
        <v>86</v>
      </c>
      <c r="B1535" s="173" t="inlineStr">
        <is>
          <t>6月</t>
        </is>
      </c>
      <c r="C1535" s="173" t="inlineStr">
        <is>
          <t>消金</t>
        </is>
      </c>
      <c r="D1535" s="173" t="inlineStr">
        <is>
          <t>信托金条</t>
        </is>
      </c>
      <c r="E1535" s="173" t="inlineStr">
        <is>
          <t>耘睿22-5</t>
        </is>
      </c>
      <c r="F1535" s="173" t="inlineStr">
        <is>
          <t>上交所</t>
        </is>
      </c>
      <c r="G1535" s="173" t="inlineStr">
        <is>
          <t>招商证券</t>
        </is>
      </c>
      <c r="H1535" s="173" t="inlineStr">
        <is>
          <t>平安证券</t>
        </is>
      </c>
      <c r="I1535" s="173" t="inlineStr">
        <is>
          <t>北京银行西单支行</t>
        </is>
      </c>
      <c r="J1535" s="172" t="n">
        <v>10</v>
      </c>
      <c r="K1535" s="173" t="inlineStr">
        <is>
          <t>11+24</t>
        </is>
      </c>
      <c r="L1535" s="202" t="n">
        <v>46184</v>
      </c>
      <c r="M1535" s="175" t="n">
        <v>0.0145</v>
      </c>
      <c r="N1535" s="176" t="n">
        <v>0.01926</v>
      </c>
      <c r="O1535" s="172" t="n">
        <v>1.92</v>
      </c>
      <c r="P1535" s="172" t="inlineStr">
        <is>
          <t>优先B</t>
        </is>
      </c>
      <c r="Q1535" s="204" t="n">
        <v>0.03</v>
      </c>
      <c r="R1535" s="205" t="n">
        <v>0.3</v>
      </c>
      <c r="S1535" s="203" t="inlineStr">
        <is>
          <t>AA+</t>
        </is>
      </c>
      <c r="T1535" s="204" t="n">
        <v>0.0177</v>
      </c>
      <c r="U1535" s="203" t="inlineStr">
        <is>
          <t>中信建投投顾</t>
        </is>
      </c>
      <c r="V1535" s="192" t="n">
        <v>0.03</v>
      </c>
      <c r="W1535" s="172" t="n"/>
      <c r="X1535" s="172" t="n"/>
      <c r="Y1535" s="172" t="n"/>
    </row>
    <row r="1536">
      <c r="A1536" s="172" t="n">
        <v>86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耘睿22-5</t>
        </is>
      </c>
      <c r="F1536" s="173" t="inlineStr">
        <is>
          <t>上交所</t>
        </is>
      </c>
      <c r="G1536" s="173" t="inlineStr">
        <is>
          <t>招商证券</t>
        </is>
      </c>
      <c r="H1536" s="173" t="inlineStr">
        <is>
          <t>平安证券</t>
        </is>
      </c>
      <c r="I1536" s="173" t="inlineStr">
        <is>
          <t>北京银行西单支行</t>
        </is>
      </c>
      <c r="J1536" s="172" t="n">
        <v>10</v>
      </c>
      <c r="K1536" s="173" t="inlineStr">
        <is>
          <t>11+24</t>
        </is>
      </c>
      <c r="L1536" s="202" t="n">
        <v>46184</v>
      </c>
      <c r="M1536" s="175" t="n">
        <v>0.0145</v>
      </c>
      <c r="N1536" s="176" t="n">
        <v>0.01926</v>
      </c>
      <c r="O1536" s="172" t="n">
        <v>1.92</v>
      </c>
      <c r="P1536" s="172" t="inlineStr">
        <is>
          <t>优先B</t>
        </is>
      </c>
      <c r="Q1536" s="204" t="n">
        <v>0.03</v>
      </c>
      <c r="R1536" s="205" t="n">
        <v>0.3</v>
      </c>
      <c r="S1536" s="203" t="inlineStr">
        <is>
          <t>AA+</t>
        </is>
      </c>
      <c r="T1536" s="204" t="n">
        <v>0.0177</v>
      </c>
      <c r="U1536" s="203" t="inlineStr">
        <is>
          <t>渝农商理财</t>
        </is>
      </c>
      <c r="V1536" s="192" t="n">
        <v>0.09</v>
      </c>
      <c r="W1536" s="175" t="n">
        <v>0.017</v>
      </c>
      <c r="X1536" s="172" t="inlineStr">
        <is>
          <t>渝农商理财</t>
        </is>
      </c>
      <c r="Y1536" s="191" t="n">
        <v>0.09</v>
      </c>
    </row>
    <row r="1537">
      <c r="A1537" s="172" t="n">
        <v>86</v>
      </c>
      <c r="B1537" s="173" t="inlineStr">
        <is>
          <t>6月</t>
        </is>
      </c>
      <c r="C1537" s="173" t="inlineStr">
        <is>
          <t>消金</t>
        </is>
      </c>
      <c r="D1537" s="173" t="inlineStr">
        <is>
          <t>信托金条</t>
        </is>
      </c>
      <c r="E1537" s="173" t="inlineStr">
        <is>
          <t>耘睿22-5</t>
        </is>
      </c>
      <c r="F1537" s="173" t="inlineStr">
        <is>
          <t>上交所</t>
        </is>
      </c>
      <c r="G1537" s="173" t="inlineStr">
        <is>
          <t>招商证券</t>
        </is>
      </c>
      <c r="H1537" s="173" t="inlineStr">
        <is>
          <t>平安证券</t>
        </is>
      </c>
      <c r="I1537" s="173" t="inlineStr">
        <is>
          <t>北京银行西单支行</t>
        </is>
      </c>
      <c r="J1537" s="172" t="n">
        <v>10</v>
      </c>
      <c r="K1537" s="173" t="inlineStr">
        <is>
          <t>11+24</t>
        </is>
      </c>
      <c r="L1537" s="202" t="n">
        <v>46184</v>
      </c>
      <c r="M1537" s="175" t="n">
        <v>0.0145</v>
      </c>
      <c r="N1537" s="176" t="n">
        <v>0.01926</v>
      </c>
      <c r="O1537" s="172" t="n">
        <v>1.92</v>
      </c>
      <c r="P1537" s="172" t="inlineStr">
        <is>
          <t>优先B</t>
        </is>
      </c>
      <c r="Q1537" s="204" t="n">
        <v>0.03</v>
      </c>
      <c r="R1537" s="205" t="n">
        <v>0.3</v>
      </c>
      <c r="S1537" s="203" t="inlineStr">
        <is>
          <t>AA+</t>
        </is>
      </c>
      <c r="T1537" s="204" t="n">
        <v>0.0177</v>
      </c>
      <c r="U1537" s="203" t="inlineStr">
        <is>
          <t>杭州联合银行</t>
        </is>
      </c>
      <c r="V1537" s="192" t="n">
        <v>0.09</v>
      </c>
      <c r="W1537" s="175" t="n">
        <v>0.0177</v>
      </c>
      <c r="X1537" s="172" t="inlineStr">
        <is>
          <t>杭州联合</t>
        </is>
      </c>
      <c r="Y1537" s="191" t="n">
        <v>0.09</v>
      </c>
    </row>
    <row r="1538">
      <c r="A1538" s="172" t="n">
        <v>86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耘睿22-5</t>
        </is>
      </c>
      <c r="F1538" s="172" t="inlineStr">
        <is>
          <t>上交所</t>
        </is>
      </c>
      <c r="G1538" s="172" t="inlineStr">
        <is>
          <t>招商证券</t>
        </is>
      </c>
      <c r="H1538" s="172" t="inlineStr">
        <is>
          <t>平安证券</t>
        </is>
      </c>
      <c r="I1538" s="172" t="inlineStr">
        <is>
          <t>北京银行西单支行</t>
        </is>
      </c>
      <c r="J1538" s="172" t="n">
        <v>10</v>
      </c>
      <c r="K1538" s="172" t="inlineStr">
        <is>
          <t>11+24</t>
        </is>
      </c>
      <c r="L1538" s="208" t="n">
        <v>46184</v>
      </c>
      <c r="M1538" s="175" t="n">
        <v>0.0145</v>
      </c>
      <c r="N1538" s="176" t="n">
        <v>0.01926</v>
      </c>
      <c r="O1538" s="172" t="n">
        <v>1.92</v>
      </c>
      <c r="P1538" s="172" t="inlineStr">
        <is>
          <t>优先B</t>
        </is>
      </c>
      <c r="Q1538" s="175" t="n">
        <v>0.03</v>
      </c>
      <c r="R1538" s="192" t="n">
        <v>0.3</v>
      </c>
      <c r="S1538" s="172" t="inlineStr">
        <is>
          <t>AA+</t>
        </is>
      </c>
      <c r="T1538" s="175" t="n">
        <v>0.0177</v>
      </c>
      <c r="U1538" s="172" t="n"/>
      <c r="V1538" s="172" t="n"/>
      <c r="W1538" s="175" t="n">
        <v>0.0177</v>
      </c>
      <c r="X1538" s="172" t="inlineStr">
        <is>
          <t>建投衍生品投顾</t>
        </is>
      </c>
      <c r="Y1538" s="191" t="n">
        <v>0.03</v>
      </c>
    </row>
    <row r="1539">
      <c r="A1539" s="172" t="n">
        <v>86</v>
      </c>
      <c r="B1539" s="173" t="inlineStr">
        <is>
          <t>6月</t>
        </is>
      </c>
      <c r="C1539" s="173" t="inlineStr">
        <is>
          <t>消金</t>
        </is>
      </c>
      <c r="D1539" s="173" t="inlineStr">
        <is>
          <t>信托金条</t>
        </is>
      </c>
      <c r="E1539" s="173" t="inlineStr">
        <is>
          <t>耘睿22-5</t>
        </is>
      </c>
      <c r="F1539" s="173" t="inlineStr">
        <is>
          <t>上交所</t>
        </is>
      </c>
      <c r="G1539" s="173" t="inlineStr">
        <is>
          <t>招商证券</t>
        </is>
      </c>
      <c r="H1539" s="173" t="inlineStr">
        <is>
          <t>平安证券</t>
        </is>
      </c>
      <c r="I1539" s="173" t="inlineStr">
        <is>
          <t>北京银行西单支行</t>
        </is>
      </c>
      <c r="J1539" s="172" t="n">
        <v>10</v>
      </c>
      <c r="K1539" s="173" t="inlineStr">
        <is>
          <t>11+24</t>
        </is>
      </c>
      <c r="L1539" s="202" t="n">
        <v>46184</v>
      </c>
      <c r="M1539" s="175" t="n">
        <v>0.0145</v>
      </c>
      <c r="N1539" s="176" t="n">
        <v>0.01926</v>
      </c>
      <c r="O1539" s="172" t="n">
        <v>1.92</v>
      </c>
      <c r="P1539" s="203" t="inlineStr">
        <is>
          <t>中间级</t>
        </is>
      </c>
      <c r="Q1539" s="204" t="n">
        <v>0.02</v>
      </c>
      <c r="R1539" s="205" t="n">
        <v>0.2</v>
      </c>
      <c r="S1539" s="203" t="inlineStr">
        <is>
          <t>A+</t>
        </is>
      </c>
      <c r="T1539" s="204" t="n">
        <v>0.031</v>
      </c>
      <c r="U1539" s="203" t="inlineStr">
        <is>
          <t>国信证券自营</t>
        </is>
      </c>
      <c r="V1539" s="192" t="n">
        <v>0.1</v>
      </c>
      <c r="W1539" s="172" t="n"/>
      <c r="X1539" s="172" t="n"/>
      <c r="Y1539" s="172" t="n"/>
    </row>
    <row r="1540">
      <c r="A1540" s="172" t="n">
        <v>86</v>
      </c>
      <c r="B1540" s="173" t="inlineStr">
        <is>
          <t>6月</t>
        </is>
      </c>
      <c r="C1540" s="173" t="inlineStr">
        <is>
          <t>消金</t>
        </is>
      </c>
      <c r="D1540" s="173" t="inlineStr">
        <is>
          <t>信托金条</t>
        </is>
      </c>
      <c r="E1540" s="173" t="inlineStr">
        <is>
          <t>耘睿22-5</t>
        </is>
      </c>
      <c r="F1540" s="173" t="inlineStr">
        <is>
          <t>上交所</t>
        </is>
      </c>
      <c r="G1540" s="173" t="inlineStr">
        <is>
          <t>招商证券</t>
        </is>
      </c>
      <c r="H1540" s="173" t="inlineStr">
        <is>
          <t>平安证券</t>
        </is>
      </c>
      <c r="I1540" s="173" t="inlineStr">
        <is>
          <t>北京银行西单支行</t>
        </is>
      </c>
      <c r="J1540" s="172" t="n">
        <v>10</v>
      </c>
      <c r="K1540" s="173" t="inlineStr">
        <is>
          <t>11+24</t>
        </is>
      </c>
      <c r="L1540" s="202" t="n">
        <v>46184</v>
      </c>
      <c r="M1540" s="175" t="n">
        <v>0.0145</v>
      </c>
      <c r="N1540" s="176" t="n">
        <v>0.01926</v>
      </c>
      <c r="O1540" s="172" t="n">
        <v>1.92</v>
      </c>
      <c r="P1540" s="172" t="inlineStr">
        <is>
          <t>中间级</t>
        </is>
      </c>
      <c r="Q1540" s="204" t="n">
        <v>0.02</v>
      </c>
      <c r="R1540" s="205" t="n">
        <v>0.2</v>
      </c>
      <c r="S1540" s="203" t="inlineStr">
        <is>
          <t>A+</t>
        </is>
      </c>
      <c r="T1540" s="204" t="n">
        <v>0.031</v>
      </c>
      <c r="U1540" s="203" t="inlineStr">
        <is>
          <t>申万宏源自营</t>
        </is>
      </c>
      <c r="V1540" s="192" t="n">
        <v>0.1</v>
      </c>
      <c r="W1540" s="172" t="n"/>
      <c r="X1540" s="172" t="n"/>
      <c r="Y1540" s="172" t="n"/>
    </row>
    <row r="1541">
      <c r="A1541" s="172" t="n">
        <v>86</v>
      </c>
      <c r="B1541" s="173" t="inlineStr">
        <is>
          <t>6月</t>
        </is>
      </c>
      <c r="C1541" s="173" t="inlineStr">
        <is>
          <t>消金</t>
        </is>
      </c>
      <c r="D1541" s="173" t="inlineStr">
        <is>
          <t>信托金条</t>
        </is>
      </c>
      <c r="E1541" s="173" t="inlineStr">
        <is>
          <t>耘睿22-5</t>
        </is>
      </c>
      <c r="F1541" s="173" t="inlineStr">
        <is>
          <t>上交所</t>
        </is>
      </c>
      <c r="G1541" s="173" t="inlineStr">
        <is>
          <t>招商证券</t>
        </is>
      </c>
      <c r="H1541" s="173" t="inlineStr">
        <is>
          <t>平安证券</t>
        </is>
      </c>
      <c r="I1541" s="173" t="inlineStr">
        <is>
          <t>北京银行西单支行</t>
        </is>
      </c>
      <c r="J1541" s="172" t="n">
        <v>10</v>
      </c>
      <c r="K1541" s="173" t="inlineStr">
        <is>
          <t>11+24</t>
        </is>
      </c>
      <c r="L1541" s="202" t="n">
        <v>46184</v>
      </c>
      <c r="M1541" s="175" t="n">
        <v>0.0145</v>
      </c>
      <c r="N1541" s="176" t="n">
        <v>0.01926</v>
      </c>
      <c r="O1541" s="172" t="n">
        <v>1.92</v>
      </c>
      <c r="P1541" s="203" t="inlineStr">
        <is>
          <t>次级</t>
        </is>
      </c>
      <c r="Q1541" s="204" t="n">
        <v>0.05</v>
      </c>
      <c r="R1541" s="205" t="n">
        <v>0.5</v>
      </c>
      <c r="S1541" s="203" t="inlineStr">
        <is>
          <t>无</t>
        </is>
      </c>
      <c r="T1541" s="204" t="n">
        <v>0.0495</v>
      </c>
      <c r="U1541" s="203" t="inlineStr">
        <is>
          <t>中信证券自营</t>
        </is>
      </c>
      <c r="V1541" s="195" t="n">
        <v>0.075</v>
      </c>
      <c r="W1541" s="172" t="n"/>
      <c r="X1541" s="172" t="n"/>
      <c r="Y1541" s="172" t="n"/>
    </row>
    <row r="1542">
      <c r="A1542" s="172" t="n">
        <v>86</v>
      </c>
      <c r="B1542" s="173" t="inlineStr">
        <is>
          <t>6月</t>
        </is>
      </c>
      <c r="C1542" s="173" t="inlineStr">
        <is>
          <t>消金</t>
        </is>
      </c>
      <c r="D1542" s="173" t="inlineStr">
        <is>
          <t>信托金条</t>
        </is>
      </c>
      <c r="E1542" s="173" t="inlineStr">
        <is>
          <t>耘睿22-5</t>
        </is>
      </c>
      <c r="F1542" s="173" t="inlineStr">
        <is>
          <t>上交所</t>
        </is>
      </c>
      <c r="G1542" s="173" t="inlineStr">
        <is>
          <t>招商证券</t>
        </is>
      </c>
      <c r="H1542" s="173" t="inlineStr">
        <is>
          <t>平安证券</t>
        </is>
      </c>
      <c r="I1542" s="173" t="inlineStr">
        <is>
          <t>北京银行西单支行</t>
        </is>
      </c>
      <c r="J1542" s="172" t="n">
        <v>10</v>
      </c>
      <c r="K1542" s="173" t="inlineStr">
        <is>
          <t>11+24</t>
        </is>
      </c>
      <c r="L1542" s="202" t="n">
        <v>46184</v>
      </c>
      <c r="M1542" s="175" t="n">
        <v>0.0145</v>
      </c>
      <c r="N1542" s="176" t="n">
        <v>0.01926</v>
      </c>
      <c r="O1542" s="172" t="n">
        <v>1.92</v>
      </c>
      <c r="P1542" s="172" t="inlineStr">
        <is>
          <t>次级</t>
        </is>
      </c>
      <c r="Q1542" s="204" t="n">
        <v>0.05</v>
      </c>
      <c r="R1542" s="205" t="n">
        <v>0.5</v>
      </c>
      <c r="S1542" s="203" t="inlineStr">
        <is>
          <t>无</t>
        </is>
      </c>
      <c r="T1542" s="204" t="n">
        <v>0.0495</v>
      </c>
      <c r="U1542" s="203" t="inlineStr">
        <is>
          <t>国元证券自营</t>
        </is>
      </c>
      <c r="V1542" s="195" t="n">
        <v>0.075</v>
      </c>
      <c r="W1542" s="172" t="n"/>
      <c r="X1542" s="172" t="n"/>
      <c r="Y1542" s="172" t="n"/>
    </row>
    <row r="1543">
      <c r="A1543" s="172" t="n">
        <v>86</v>
      </c>
      <c r="B1543" s="173" t="inlineStr">
        <is>
          <t>6月</t>
        </is>
      </c>
      <c r="C1543" s="173" t="inlineStr">
        <is>
          <t>消金</t>
        </is>
      </c>
      <c r="D1543" s="173" t="inlineStr">
        <is>
          <t>信托金条</t>
        </is>
      </c>
      <c r="E1543" s="173" t="inlineStr">
        <is>
          <t>耘睿22-5</t>
        </is>
      </c>
      <c r="F1543" s="173" t="inlineStr">
        <is>
          <t>上交所</t>
        </is>
      </c>
      <c r="G1543" s="173" t="inlineStr">
        <is>
          <t>招商证券</t>
        </is>
      </c>
      <c r="H1543" s="173" t="inlineStr">
        <is>
          <t>平安证券</t>
        </is>
      </c>
      <c r="I1543" s="173" t="inlineStr">
        <is>
          <t>北京银行西单支行</t>
        </is>
      </c>
      <c r="J1543" s="172" t="n">
        <v>10</v>
      </c>
      <c r="K1543" s="173" t="inlineStr">
        <is>
          <t>11+24</t>
        </is>
      </c>
      <c r="L1543" s="202" t="n">
        <v>46184</v>
      </c>
      <c r="M1543" s="175" t="n">
        <v>0.0145</v>
      </c>
      <c r="N1543" s="176" t="n">
        <v>0.01926</v>
      </c>
      <c r="O1543" s="172" t="n">
        <v>1.92</v>
      </c>
      <c r="P1543" s="172" t="inlineStr">
        <is>
          <t>次级</t>
        </is>
      </c>
      <c r="Q1543" s="204" t="n">
        <v>0.05</v>
      </c>
      <c r="R1543" s="205" t="n">
        <v>0.5</v>
      </c>
      <c r="S1543" s="203" t="inlineStr">
        <is>
          <t>无</t>
        </is>
      </c>
      <c r="T1543" s="204" t="n">
        <v>0.0495</v>
      </c>
      <c r="U1543" s="203" t="inlineStr">
        <is>
          <t>中信建投投顾</t>
        </is>
      </c>
      <c r="V1543" s="206" t="n">
        <v>0.2125</v>
      </c>
      <c r="W1543" s="172" t="n"/>
      <c r="X1543" s="172" t="n"/>
      <c r="Y1543" s="172" t="n"/>
    </row>
    <row r="1544">
      <c r="A1544" s="172" t="n">
        <v>86</v>
      </c>
      <c r="B1544" s="173" t="inlineStr">
        <is>
          <t>6月</t>
        </is>
      </c>
      <c r="C1544" s="173" t="inlineStr">
        <is>
          <t>消金</t>
        </is>
      </c>
      <c r="D1544" s="173" t="inlineStr">
        <is>
          <t>信托金条</t>
        </is>
      </c>
      <c r="E1544" s="173" t="inlineStr">
        <is>
          <t>耘睿22-5</t>
        </is>
      </c>
      <c r="F1544" s="173" t="inlineStr">
        <is>
          <t>上交所</t>
        </is>
      </c>
      <c r="G1544" s="173" t="inlineStr">
        <is>
          <t>招商证券</t>
        </is>
      </c>
      <c r="H1544" s="173" t="inlineStr">
        <is>
          <t>平安证券</t>
        </is>
      </c>
      <c r="I1544" s="173" t="inlineStr">
        <is>
          <t>北京银行西单支行</t>
        </is>
      </c>
      <c r="J1544" s="172" t="n">
        <v>10</v>
      </c>
      <c r="K1544" s="173" t="inlineStr">
        <is>
          <t>11+24</t>
        </is>
      </c>
      <c r="L1544" s="202" t="n">
        <v>46184</v>
      </c>
      <c r="M1544" s="175" t="n">
        <v>0.0145</v>
      </c>
      <c r="N1544" s="176" t="n">
        <v>0.01926</v>
      </c>
      <c r="O1544" s="172" t="n">
        <v>1.92</v>
      </c>
      <c r="P1544" s="172" t="inlineStr">
        <is>
          <t>次级</t>
        </is>
      </c>
      <c r="Q1544" s="204" t="n">
        <v>0.05</v>
      </c>
      <c r="R1544" s="205" t="n">
        <v>0.5</v>
      </c>
      <c r="S1544" s="203" t="inlineStr">
        <is>
          <t>无</t>
        </is>
      </c>
      <c r="T1544" s="204" t="n">
        <v>0.0495</v>
      </c>
      <c r="U1544" s="203" t="inlineStr">
        <is>
          <t>西部证券自营</t>
        </is>
      </c>
      <c r="V1544" s="206" t="n">
        <v>0.1375</v>
      </c>
      <c r="W1544" s="172" t="n"/>
      <c r="X1544" s="172" t="n"/>
      <c r="Y1544" s="172" t="n"/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203" t="inlineStr">
        <is>
          <t>优先A</t>
        </is>
      </c>
      <c r="Q1545" s="204" t="n">
        <v>0.9</v>
      </c>
      <c r="R1545" s="205">
        <f>Q1061*J1061</f>
        <v/>
      </c>
      <c r="S1545" s="203" t="inlineStr">
        <is>
          <t>AAA</t>
        </is>
      </c>
      <c r="T1545" s="204" t="n">
        <v>0.0162</v>
      </c>
      <c r="U1545" s="203" t="inlineStr">
        <is>
          <t>中银理财</t>
        </is>
      </c>
      <c r="V1545" s="192" t="n">
        <v>2.4</v>
      </c>
      <c r="W1545" s="175" t="n">
        <v>0.0158</v>
      </c>
      <c r="X1545" s="172" t="inlineStr">
        <is>
          <t>中银理财</t>
        </is>
      </c>
      <c r="Y1545" s="191" t="n">
        <v>2.4</v>
      </c>
    </row>
    <row r="1546">
      <c r="A1546" s="172" t="n">
        <v>87</v>
      </c>
      <c r="B1546" s="173" t="inlineStr">
        <is>
          <t>6月</t>
        </is>
      </c>
      <c r="C1546" s="173" t="inlineStr">
        <is>
          <t>消金</t>
        </is>
      </c>
      <c r="D1546" s="173" t="inlineStr">
        <is>
          <t>信托金条</t>
        </is>
      </c>
      <c r="E1546" s="173" t="inlineStr">
        <is>
          <t>耘睿24-10</t>
        </is>
      </c>
      <c r="F1546" s="173" t="inlineStr">
        <is>
          <t>上交所</t>
        </is>
      </c>
      <c r="G1546" s="173" t="inlineStr">
        <is>
          <t>财通资管</t>
        </is>
      </c>
      <c r="H1546" s="173" t="inlineStr">
        <is>
          <t>国泰海通</t>
        </is>
      </c>
      <c r="I1546" s="173" t="inlineStr">
        <is>
          <t>广发银行</t>
        </is>
      </c>
      <c r="J1546" s="172" t="n">
        <v>9</v>
      </c>
      <c r="K1546" s="173" t="inlineStr">
        <is>
          <t>11+24</t>
        </is>
      </c>
      <c r="L1546" s="202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优先A</t>
        </is>
      </c>
      <c r="Q1546" s="204" t="n">
        <v>0.9</v>
      </c>
      <c r="R1546" s="205">
        <f>Q1061*J1061</f>
        <v/>
      </c>
      <c r="S1546" s="203" t="inlineStr">
        <is>
          <t>AAA</t>
        </is>
      </c>
      <c r="T1546" s="204" t="n">
        <v>0.0162</v>
      </c>
      <c r="U1546" s="203" t="inlineStr">
        <is>
          <t>交银理财</t>
        </is>
      </c>
      <c r="V1546" s="192" t="n">
        <v>2</v>
      </c>
      <c r="W1546" s="175" t="n">
        <v>0.016</v>
      </c>
      <c r="X1546" s="172" t="inlineStr">
        <is>
          <t>交银理财</t>
        </is>
      </c>
      <c r="Y1546" s="191" t="n">
        <v>2</v>
      </c>
    </row>
    <row r="1547">
      <c r="A1547" s="172" t="n">
        <v>87</v>
      </c>
      <c r="B1547" s="172" t="inlineStr">
        <is>
          <t>6月</t>
        </is>
      </c>
      <c r="C1547" s="172" t="inlineStr">
        <is>
          <t>消金</t>
        </is>
      </c>
      <c r="D1547" s="172" t="inlineStr">
        <is>
          <t>信托金条</t>
        </is>
      </c>
      <c r="E1547" s="172" t="inlineStr">
        <is>
          <t>耘睿24-10</t>
        </is>
      </c>
      <c r="F1547" s="172" t="inlineStr">
        <is>
          <t>上交所</t>
        </is>
      </c>
      <c r="G1547" s="172" t="inlineStr">
        <is>
          <t>财通资管</t>
        </is>
      </c>
      <c r="H1547" s="172" t="inlineStr">
        <is>
          <t>国泰海通</t>
        </is>
      </c>
      <c r="I1547" s="172" t="inlineStr">
        <is>
          <t>广发银行</t>
        </is>
      </c>
      <c r="J1547" s="172" t="n">
        <v>9</v>
      </c>
      <c r="K1547" s="172" t="inlineStr">
        <is>
          <t>11+24</t>
        </is>
      </c>
      <c r="L1547" s="200" t="n">
        <v>46185</v>
      </c>
      <c r="M1547" s="175" t="n">
        <v>0.0147</v>
      </c>
      <c r="N1547" s="176" t="n">
        <v>0.01942</v>
      </c>
      <c r="O1547" s="172" t="n">
        <v>2.2</v>
      </c>
      <c r="P1547" s="172" t="inlineStr">
        <is>
          <t>优先A</t>
        </is>
      </c>
      <c r="Q1547" s="175" t="n">
        <v>0.9</v>
      </c>
      <c r="R1547" s="172">
        <f>Q1061*J1061</f>
        <v/>
      </c>
      <c r="S1547" s="172" t="inlineStr">
        <is>
          <t>AAA</t>
        </is>
      </c>
      <c r="T1547" s="175" t="n">
        <v>0.0162</v>
      </c>
      <c r="U1547" s="172" t="n"/>
      <c r="V1547" s="172" t="n"/>
      <c r="W1547" s="175" t="n">
        <v>0.0165</v>
      </c>
      <c r="X1547" s="172" t="inlineStr">
        <is>
          <t>交银理财</t>
        </is>
      </c>
      <c r="Y1547" s="191" t="n">
        <v>0.43</v>
      </c>
    </row>
    <row r="1548">
      <c r="A1548" s="172" t="n">
        <v>87</v>
      </c>
      <c r="B1548" s="173" t="inlineStr">
        <is>
          <t>6月</t>
        </is>
      </c>
      <c r="C1548" s="173" t="inlineStr">
        <is>
          <t>消金</t>
        </is>
      </c>
      <c r="D1548" s="173" t="inlineStr">
        <is>
          <t>信托金条</t>
        </is>
      </c>
      <c r="E1548" s="173" t="inlineStr">
        <is>
          <t>耘睿24-10</t>
        </is>
      </c>
      <c r="F1548" s="173" t="inlineStr">
        <is>
          <t>上交所</t>
        </is>
      </c>
      <c r="G1548" s="173" t="inlineStr">
        <is>
          <t>财通资管</t>
        </is>
      </c>
      <c r="H1548" s="173" t="inlineStr">
        <is>
          <t>国泰海通</t>
        </is>
      </c>
      <c r="I1548" s="173" t="inlineStr">
        <is>
          <t>广发银行</t>
        </is>
      </c>
      <c r="J1548" s="172" t="n">
        <v>9</v>
      </c>
      <c r="K1548" s="173" t="inlineStr">
        <is>
          <t>11+24</t>
        </is>
      </c>
      <c r="L1548" s="202" t="n">
        <v>46185</v>
      </c>
      <c r="M1548" s="175" t="n">
        <v>0.0147</v>
      </c>
      <c r="N1548" s="176" t="n">
        <v>0.01942</v>
      </c>
      <c r="O1548" s="172" t="n">
        <v>2.2</v>
      </c>
      <c r="P1548" s="172" t="inlineStr">
        <is>
          <t>优先A</t>
        </is>
      </c>
      <c r="Q1548" s="204" t="n">
        <v>0.9</v>
      </c>
      <c r="R1548" s="205">
        <f>Q1061*J1061</f>
        <v/>
      </c>
      <c r="S1548" s="203" t="inlineStr">
        <is>
          <t>AAA</t>
        </is>
      </c>
      <c r="T1548" s="204" t="n">
        <v>0.0162</v>
      </c>
      <c r="U1548" s="203" t="inlineStr">
        <is>
          <t>渝农商理财</t>
        </is>
      </c>
      <c r="V1548" s="192" t="n">
        <v>0.8</v>
      </c>
      <c r="W1548" s="175" t="n">
        <v>0.016</v>
      </c>
      <c r="X1548" s="172" t="inlineStr">
        <is>
          <t>渝农商理财</t>
        </is>
      </c>
      <c r="Y1548" s="191" t="n">
        <v>0.8</v>
      </c>
    </row>
    <row r="1549">
      <c r="A1549" s="172" t="n">
        <v>87</v>
      </c>
      <c r="B1549" s="172" t="inlineStr">
        <is>
          <t>6月</t>
        </is>
      </c>
      <c r="C1549" s="172" t="inlineStr">
        <is>
          <t>消金</t>
        </is>
      </c>
      <c r="D1549" s="172" t="inlineStr">
        <is>
          <t>信托金条</t>
        </is>
      </c>
      <c r="E1549" s="172" t="inlineStr">
        <is>
          <t>耘睿24-10</t>
        </is>
      </c>
      <c r="F1549" s="172" t="inlineStr">
        <is>
          <t>上交所</t>
        </is>
      </c>
      <c r="G1549" s="172" t="inlineStr">
        <is>
          <t>财通资管</t>
        </is>
      </c>
      <c r="H1549" s="172" t="inlineStr">
        <is>
          <t>国泰海通</t>
        </is>
      </c>
      <c r="I1549" s="172" t="inlineStr">
        <is>
          <t>广发银行</t>
        </is>
      </c>
      <c r="J1549" s="172" t="n">
        <v>9</v>
      </c>
      <c r="K1549" s="172" t="inlineStr">
        <is>
          <t>11+24</t>
        </is>
      </c>
      <c r="L1549" s="200" t="n">
        <v>46185</v>
      </c>
      <c r="M1549" s="175" t="n">
        <v>0.0147</v>
      </c>
      <c r="N1549" s="176" t="n">
        <v>0.01942</v>
      </c>
      <c r="O1549" s="172" t="n">
        <v>2.2</v>
      </c>
      <c r="P1549" s="172" t="inlineStr">
        <is>
          <t>优先A</t>
        </is>
      </c>
      <c r="Q1549" s="175" t="n">
        <v>0.9</v>
      </c>
      <c r="R1549" s="172">
        <f>Q1061*J1061</f>
        <v/>
      </c>
      <c r="S1549" s="172" t="inlineStr">
        <is>
          <t>AAA</t>
        </is>
      </c>
      <c r="T1549" s="175" t="n">
        <v>0.0162</v>
      </c>
      <c r="U1549" s="172" t="n"/>
      <c r="V1549" s="172" t="n"/>
      <c r="W1549" s="175" t="n">
        <v>0.0163</v>
      </c>
      <c r="X1549" s="172" t="inlineStr">
        <is>
          <t>渝农商理财</t>
        </is>
      </c>
      <c r="Y1549" s="191" t="n">
        <v>0.4</v>
      </c>
    </row>
    <row r="1550">
      <c r="A1550" s="172" t="n">
        <v>87</v>
      </c>
      <c r="B1550" s="172" t="inlineStr">
        <is>
          <t>6月</t>
        </is>
      </c>
      <c r="C1550" s="172" t="inlineStr">
        <is>
          <t>消金</t>
        </is>
      </c>
      <c r="D1550" s="172" t="inlineStr">
        <is>
          <t>信托金条</t>
        </is>
      </c>
      <c r="E1550" s="172" t="inlineStr">
        <is>
          <t>耘睿24-10</t>
        </is>
      </c>
      <c r="F1550" s="172" t="inlineStr">
        <is>
          <t>上交所</t>
        </is>
      </c>
      <c r="G1550" s="172" t="inlineStr">
        <is>
          <t>财通资管</t>
        </is>
      </c>
      <c r="H1550" s="172" t="inlineStr">
        <is>
          <t>国泰海通</t>
        </is>
      </c>
      <c r="I1550" s="172" t="inlineStr">
        <is>
          <t>广发银行</t>
        </is>
      </c>
      <c r="J1550" s="172" t="n">
        <v>9</v>
      </c>
      <c r="K1550" s="172" t="inlineStr">
        <is>
          <t>11+24</t>
        </is>
      </c>
      <c r="L1550" s="200" t="n">
        <v>46185</v>
      </c>
      <c r="M1550" s="175" t="n">
        <v>0.0147</v>
      </c>
      <c r="N1550" s="176" t="n">
        <v>0.01942</v>
      </c>
      <c r="O1550" s="172" t="n">
        <v>2.2</v>
      </c>
      <c r="P1550" s="172" t="inlineStr">
        <is>
          <t>优先A</t>
        </is>
      </c>
      <c r="Q1550" s="175" t="n">
        <v>0.9</v>
      </c>
      <c r="R1550" s="172">
        <f>Q1061*J1061</f>
        <v/>
      </c>
      <c r="S1550" s="172" t="inlineStr">
        <is>
          <t>AAA</t>
        </is>
      </c>
      <c r="T1550" s="175" t="n">
        <v>0.0162</v>
      </c>
      <c r="U1550" s="172" t="n"/>
      <c r="V1550" s="172" t="n"/>
      <c r="W1550" s="175" t="n">
        <v>0.0165</v>
      </c>
      <c r="X1550" s="172" t="inlineStr">
        <is>
          <t>渝农商理财</t>
        </is>
      </c>
      <c r="Y1550" s="191" t="n">
        <v>0.2</v>
      </c>
    </row>
    <row r="1551">
      <c r="A1551" s="172" t="n">
        <v>87</v>
      </c>
      <c r="B1551" s="173" t="inlineStr">
        <is>
          <t>6月</t>
        </is>
      </c>
      <c r="C1551" s="173" t="inlineStr">
        <is>
          <t>消金</t>
        </is>
      </c>
      <c r="D1551" s="173" t="inlineStr">
        <is>
          <t>信托金条</t>
        </is>
      </c>
      <c r="E1551" s="173" t="inlineStr">
        <is>
          <t>耘睿24-10</t>
        </is>
      </c>
      <c r="F1551" s="173" t="inlineStr">
        <is>
          <t>上交所</t>
        </is>
      </c>
      <c r="G1551" s="173" t="inlineStr">
        <is>
          <t>财通资管</t>
        </is>
      </c>
      <c r="H1551" s="173" t="inlineStr">
        <is>
          <t>国泰海通</t>
        </is>
      </c>
      <c r="I1551" s="173" t="inlineStr">
        <is>
          <t>广发银行</t>
        </is>
      </c>
      <c r="J1551" s="172" t="n">
        <v>9</v>
      </c>
      <c r="K1551" s="173" t="inlineStr">
        <is>
          <t>11+24</t>
        </is>
      </c>
      <c r="L1551" s="202" t="n">
        <v>46185</v>
      </c>
      <c r="M1551" s="175" t="n">
        <v>0.0147</v>
      </c>
      <c r="N1551" s="176" t="n">
        <v>0.01942</v>
      </c>
      <c r="O1551" s="172" t="n">
        <v>2.2</v>
      </c>
      <c r="P1551" s="172" t="inlineStr">
        <is>
          <t>优先A</t>
        </is>
      </c>
      <c r="Q1551" s="204" t="n">
        <v>0.9</v>
      </c>
      <c r="R1551" s="205">
        <f>Q1061*J1061</f>
        <v/>
      </c>
      <c r="S1551" s="203" t="inlineStr">
        <is>
          <t>AAA</t>
        </is>
      </c>
      <c r="T1551" s="204" t="n">
        <v>0.0162</v>
      </c>
      <c r="U1551" s="203" t="inlineStr">
        <is>
          <t>上银理财</t>
        </is>
      </c>
      <c r="V1551" s="192" t="n">
        <v>1.18</v>
      </c>
      <c r="W1551" s="175" t="n">
        <v>0.016</v>
      </c>
      <c r="X1551" s="172" t="inlineStr">
        <is>
          <t>上银理财</t>
        </is>
      </c>
      <c r="Y1551" s="191" t="n">
        <v>1.08</v>
      </c>
    </row>
    <row r="1552">
      <c r="A1552" s="172" t="n">
        <v>87</v>
      </c>
      <c r="B1552" s="172" t="inlineStr">
        <is>
          <t>6月</t>
        </is>
      </c>
      <c r="C1552" s="172" t="inlineStr">
        <is>
          <t>消金</t>
        </is>
      </c>
      <c r="D1552" s="172" t="inlineStr">
        <is>
          <t>信托金条</t>
        </is>
      </c>
      <c r="E1552" s="172" t="inlineStr">
        <is>
          <t>耘睿24-10</t>
        </is>
      </c>
      <c r="F1552" s="172" t="inlineStr">
        <is>
          <t>上交所</t>
        </is>
      </c>
      <c r="G1552" s="172" t="inlineStr">
        <is>
          <t>财通资管</t>
        </is>
      </c>
      <c r="H1552" s="172" t="inlineStr">
        <is>
          <t>国泰海通</t>
        </is>
      </c>
      <c r="I1552" s="172" t="inlineStr">
        <is>
          <t>广发银行</t>
        </is>
      </c>
      <c r="J1552" s="172" t="n">
        <v>9</v>
      </c>
      <c r="K1552" s="172" t="inlineStr">
        <is>
          <t>11+24</t>
        </is>
      </c>
      <c r="L1552" s="200" t="n">
        <v>46185</v>
      </c>
      <c r="M1552" s="175" t="n">
        <v>0.0147</v>
      </c>
      <c r="N1552" s="176" t="n">
        <v>0.01942</v>
      </c>
      <c r="O1552" s="172" t="n">
        <v>2.2</v>
      </c>
      <c r="P1552" s="172" t="inlineStr">
        <is>
          <t>优先A</t>
        </is>
      </c>
      <c r="Q1552" s="175" t="n">
        <v>0.9</v>
      </c>
      <c r="R1552" s="172">
        <f>Q1061*J1061</f>
        <v/>
      </c>
      <c r="S1552" s="172" t="inlineStr">
        <is>
          <t>AAA</t>
        </is>
      </c>
      <c r="T1552" s="175" t="n">
        <v>0.0162</v>
      </c>
      <c r="U1552" s="172" t="n"/>
      <c r="V1552" s="172" t="n"/>
      <c r="W1552" s="175" t="n">
        <v>0.0162</v>
      </c>
      <c r="X1552" s="172" t="inlineStr">
        <is>
          <t>上银理财</t>
        </is>
      </c>
      <c r="Y1552" s="191" t="n">
        <v>0.1</v>
      </c>
    </row>
    <row r="1553">
      <c r="A1553" s="172" t="n">
        <v>87</v>
      </c>
      <c r="B1553" s="172" t="inlineStr">
        <is>
          <t>6月</t>
        </is>
      </c>
      <c r="C1553" s="172" t="inlineStr">
        <is>
          <t>消金</t>
        </is>
      </c>
      <c r="D1553" s="172" t="inlineStr">
        <is>
          <t>信托金条</t>
        </is>
      </c>
      <c r="E1553" s="172" t="inlineStr">
        <is>
          <t>耘睿24-10</t>
        </is>
      </c>
      <c r="F1553" s="172" t="inlineStr">
        <is>
          <t>上交所</t>
        </is>
      </c>
      <c r="G1553" s="172" t="inlineStr">
        <is>
          <t>财通资管</t>
        </is>
      </c>
      <c r="H1553" s="172" t="inlineStr">
        <is>
          <t>国泰海通</t>
        </is>
      </c>
      <c r="I1553" s="172" t="inlineStr">
        <is>
          <t>广发银行</t>
        </is>
      </c>
      <c r="J1553" s="172" t="n">
        <v>9</v>
      </c>
      <c r="K1553" s="172" t="inlineStr">
        <is>
          <t>11+24</t>
        </is>
      </c>
      <c r="L1553" s="200" t="n">
        <v>46185</v>
      </c>
      <c r="M1553" s="175" t="n">
        <v>0.0147</v>
      </c>
      <c r="N1553" s="176" t="n">
        <v>0.01942</v>
      </c>
      <c r="O1553" s="172" t="n">
        <v>2.2</v>
      </c>
      <c r="P1553" s="172" t="inlineStr">
        <is>
          <t>优先A</t>
        </is>
      </c>
      <c r="Q1553" s="175" t="n">
        <v>0.9</v>
      </c>
      <c r="R1553" s="172">
        <f>Q1061*J1061</f>
        <v/>
      </c>
      <c r="S1553" s="172" t="inlineStr">
        <is>
          <t>AAA</t>
        </is>
      </c>
      <c r="T1553" s="175" t="n">
        <v>0.0162</v>
      </c>
      <c r="U1553" s="172" t="n"/>
      <c r="V1553" s="172" t="n"/>
      <c r="W1553" s="175" t="n">
        <v>0.0163</v>
      </c>
      <c r="X1553" s="172" t="inlineStr">
        <is>
          <t>上银理财</t>
        </is>
      </c>
      <c r="Y1553" s="191" t="n">
        <v>0.1</v>
      </c>
    </row>
    <row r="1554">
      <c r="A1554" s="172" t="n">
        <v>87</v>
      </c>
      <c r="B1554" s="172" t="inlineStr">
        <is>
          <t>6月</t>
        </is>
      </c>
      <c r="C1554" s="172" t="inlineStr">
        <is>
          <t>消金</t>
        </is>
      </c>
      <c r="D1554" s="172" t="inlineStr">
        <is>
          <t>信托金条</t>
        </is>
      </c>
      <c r="E1554" s="172" t="inlineStr">
        <is>
          <t>耘睿24-10</t>
        </is>
      </c>
      <c r="F1554" s="172" t="inlineStr">
        <is>
          <t>上交所</t>
        </is>
      </c>
      <c r="G1554" s="172" t="inlineStr">
        <is>
          <t>财通资管</t>
        </is>
      </c>
      <c r="H1554" s="172" t="inlineStr">
        <is>
          <t>国泰海通</t>
        </is>
      </c>
      <c r="I1554" s="172" t="inlineStr">
        <is>
          <t>广发银行</t>
        </is>
      </c>
      <c r="J1554" s="172" t="n">
        <v>9</v>
      </c>
      <c r="K1554" s="172" t="inlineStr">
        <is>
          <t>11+24</t>
        </is>
      </c>
      <c r="L1554" s="200" t="n">
        <v>46185</v>
      </c>
      <c r="M1554" s="175" t="n">
        <v>0.0147</v>
      </c>
      <c r="N1554" s="176" t="n">
        <v>0.01942</v>
      </c>
      <c r="O1554" s="172" t="n">
        <v>2.2</v>
      </c>
      <c r="P1554" s="172" t="inlineStr">
        <is>
          <t>优先A</t>
        </is>
      </c>
      <c r="Q1554" s="175" t="n">
        <v>0.9</v>
      </c>
      <c r="R1554" s="172">
        <f>Q1061*J1061</f>
        <v/>
      </c>
      <c r="S1554" s="172" t="inlineStr">
        <is>
          <t>AAA</t>
        </is>
      </c>
      <c r="T1554" s="175" t="n">
        <v>0.0162</v>
      </c>
      <c r="U1554" s="172" t="n"/>
      <c r="V1554" s="172" t="n"/>
      <c r="W1554" s="175" t="n">
        <v>0.0164</v>
      </c>
      <c r="X1554" s="172" t="inlineStr">
        <is>
          <t>上银理财</t>
        </is>
      </c>
      <c r="Y1554" s="191" t="n">
        <v>0.1</v>
      </c>
    </row>
    <row r="1555">
      <c r="A1555" s="172" t="n">
        <v>87</v>
      </c>
      <c r="B1555" s="172" t="inlineStr">
        <is>
          <t>6月</t>
        </is>
      </c>
      <c r="C1555" s="172" t="inlineStr">
        <is>
          <t>消金</t>
        </is>
      </c>
      <c r="D1555" s="172" t="inlineStr">
        <is>
          <t>信托金条</t>
        </is>
      </c>
      <c r="E1555" s="172" t="inlineStr">
        <is>
          <t>耘睿24-10</t>
        </is>
      </c>
      <c r="F1555" s="172" t="inlineStr">
        <is>
          <t>上交所</t>
        </is>
      </c>
      <c r="G1555" s="172" t="inlineStr">
        <is>
          <t>财通资管</t>
        </is>
      </c>
      <c r="H1555" s="172" t="inlineStr">
        <is>
          <t>国泰海通</t>
        </is>
      </c>
      <c r="I1555" s="172" t="inlineStr">
        <is>
          <t>广发银行</t>
        </is>
      </c>
      <c r="J1555" s="172" t="n">
        <v>9</v>
      </c>
      <c r="K1555" s="172" t="inlineStr">
        <is>
          <t>11+24</t>
        </is>
      </c>
      <c r="L1555" s="200" t="n">
        <v>46185</v>
      </c>
      <c r="M1555" s="175" t="n">
        <v>0.0147</v>
      </c>
      <c r="N1555" s="176" t="n">
        <v>0.01942</v>
      </c>
      <c r="O1555" s="172" t="n">
        <v>2.2</v>
      </c>
      <c r="P1555" s="172" t="inlineStr">
        <is>
          <t>优先A</t>
        </is>
      </c>
      <c r="Q1555" s="175" t="n">
        <v>0.9</v>
      </c>
      <c r="R1555" s="172">
        <f>Q1061*J1061</f>
        <v/>
      </c>
      <c r="S1555" s="172" t="inlineStr">
        <is>
          <t>AAA</t>
        </is>
      </c>
      <c r="T1555" s="175" t="n">
        <v>0.0162</v>
      </c>
      <c r="U1555" s="172" t="n"/>
      <c r="V1555" s="172" t="n"/>
      <c r="W1555" s="175" t="n">
        <v>0.0165</v>
      </c>
      <c r="X1555" s="172" t="inlineStr">
        <is>
          <t>上银理财</t>
        </is>
      </c>
      <c r="Y1555" s="191" t="n">
        <v>0.38</v>
      </c>
    </row>
    <row r="1556">
      <c r="A1556" s="172" t="n">
        <v>87</v>
      </c>
      <c r="B1556" s="172" t="inlineStr">
        <is>
          <t>6月</t>
        </is>
      </c>
      <c r="C1556" s="172" t="inlineStr">
        <is>
          <t>消金</t>
        </is>
      </c>
      <c r="D1556" s="172" t="inlineStr">
        <is>
          <t>信托金条</t>
        </is>
      </c>
      <c r="E1556" s="172" t="inlineStr">
        <is>
          <t>耘睿24-10</t>
        </is>
      </c>
      <c r="F1556" s="172" t="inlineStr">
        <is>
          <t>上交所</t>
        </is>
      </c>
      <c r="G1556" s="172" t="inlineStr">
        <is>
          <t>财通资管</t>
        </is>
      </c>
      <c r="H1556" s="172" t="inlineStr">
        <is>
          <t>国泰海通</t>
        </is>
      </c>
      <c r="I1556" s="172" t="inlineStr">
        <is>
          <t>广发银行</t>
        </is>
      </c>
      <c r="J1556" s="172" t="n">
        <v>9</v>
      </c>
      <c r="K1556" s="172" t="inlineStr">
        <is>
          <t>11+24</t>
        </is>
      </c>
      <c r="L1556" s="200" t="n">
        <v>46185</v>
      </c>
      <c r="M1556" s="175" t="n">
        <v>0.0147</v>
      </c>
      <c r="N1556" s="176" t="n">
        <v>0.01942</v>
      </c>
      <c r="O1556" s="172" t="n">
        <v>2.2</v>
      </c>
      <c r="P1556" s="172" t="inlineStr">
        <is>
          <t>优先A</t>
        </is>
      </c>
      <c r="Q1556" s="175" t="n">
        <v>0.9</v>
      </c>
      <c r="R1556" s="172">
        <f>Q1061*J1061</f>
        <v/>
      </c>
      <c r="S1556" s="172" t="inlineStr">
        <is>
          <t>AAA</t>
        </is>
      </c>
      <c r="T1556" s="175" t="n">
        <v>0.0162</v>
      </c>
      <c r="U1556" s="172" t="n"/>
      <c r="V1556" s="172" t="n"/>
      <c r="W1556" s="175" t="n">
        <v>0.017</v>
      </c>
      <c r="X1556" s="172" t="inlineStr">
        <is>
          <t>上银理财</t>
        </is>
      </c>
      <c r="Y1556" s="191" t="n">
        <v>0.67</v>
      </c>
    </row>
    <row r="1557">
      <c r="A1557" s="172" t="n">
        <v>87</v>
      </c>
      <c r="B1557" s="173" t="inlineStr">
        <is>
          <t>6月</t>
        </is>
      </c>
      <c r="C1557" s="173" t="inlineStr">
        <is>
          <t>消金</t>
        </is>
      </c>
      <c r="D1557" s="173" t="inlineStr">
        <is>
          <t>信托金条</t>
        </is>
      </c>
      <c r="E1557" s="173" t="inlineStr">
        <is>
          <t>耘睿24-10</t>
        </is>
      </c>
      <c r="F1557" s="173" t="inlineStr">
        <is>
          <t>上交所</t>
        </is>
      </c>
      <c r="G1557" s="173" t="inlineStr">
        <is>
          <t>财通资管</t>
        </is>
      </c>
      <c r="H1557" s="173" t="inlineStr">
        <is>
          <t>国泰海通</t>
        </is>
      </c>
      <c r="I1557" s="173" t="inlineStr">
        <is>
          <t>广发银行</t>
        </is>
      </c>
      <c r="J1557" s="172" t="n">
        <v>9</v>
      </c>
      <c r="K1557" s="173" t="inlineStr">
        <is>
          <t>11+24</t>
        </is>
      </c>
      <c r="L1557" s="202" t="n">
        <v>46185</v>
      </c>
      <c r="M1557" s="175" t="n">
        <v>0.0147</v>
      </c>
      <c r="N1557" s="176" t="n">
        <v>0.01942</v>
      </c>
      <c r="O1557" s="172" t="n">
        <v>2.2</v>
      </c>
      <c r="P1557" s="172" t="inlineStr">
        <is>
          <t>优先A</t>
        </is>
      </c>
      <c r="Q1557" s="204" t="n">
        <v>0.9</v>
      </c>
      <c r="R1557" s="205">
        <f>Q1061*J1061</f>
        <v/>
      </c>
      <c r="S1557" s="203" t="inlineStr">
        <is>
          <t>AAA</t>
        </is>
      </c>
      <c r="T1557" s="204" t="n">
        <v>0.0162</v>
      </c>
      <c r="U1557" s="203" t="inlineStr">
        <is>
          <t>中邮理财</t>
        </is>
      </c>
      <c r="V1557" s="192" t="n">
        <v>1</v>
      </c>
      <c r="W1557" s="175" t="n">
        <v>0.0162</v>
      </c>
      <c r="X1557" s="172" t="inlineStr">
        <is>
          <t>中邮理财</t>
        </is>
      </c>
      <c r="Y1557" s="191" t="n">
        <v>1</v>
      </c>
    </row>
    <row r="1558">
      <c r="A1558" s="172" t="n">
        <v>87</v>
      </c>
      <c r="B1558" s="172" t="inlineStr">
        <is>
          <t>6月</t>
        </is>
      </c>
      <c r="C1558" s="172" t="inlineStr">
        <is>
          <t>消金</t>
        </is>
      </c>
      <c r="D1558" s="172" t="inlineStr">
        <is>
          <t>信托金条</t>
        </is>
      </c>
      <c r="E1558" s="172" t="inlineStr">
        <is>
          <t>耘睿24-10</t>
        </is>
      </c>
      <c r="F1558" s="172" t="inlineStr">
        <is>
          <t>上交所</t>
        </is>
      </c>
      <c r="G1558" s="172" t="inlineStr">
        <is>
          <t>财通资管</t>
        </is>
      </c>
      <c r="H1558" s="172" t="inlineStr">
        <is>
          <t>国泰海通</t>
        </is>
      </c>
      <c r="I1558" s="172" t="inlineStr">
        <is>
          <t>广发银行</t>
        </is>
      </c>
      <c r="J1558" s="172" t="n">
        <v>9</v>
      </c>
      <c r="K1558" s="172" t="inlineStr">
        <is>
          <t>11+24</t>
        </is>
      </c>
      <c r="L1558" s="200" t="n">
        <v>46185</v>
      </c>
      <c r="M1558" s="175" t="n">
        <v>0.0147</v>
      </c>
      <c r="N1558" s="176" t="n">
        <v>0.01942</v>
      </c>
      <c r="O1558" s="172" t="n">
        <v>2.2</v>
      </c>
      <c r="P1558" s="172" t="inlineStr">
        <is>
          <t>优先A</t>
        </is>
      </c>
      <c r="Q1558" s="175" t="n">
        <v>0.9</v>
      </c>
      <c r="R1558" s="172">
        <f>Q1061*J1061</f>
        <v/>
      </c>
      <c r="S1558" s="172" t="inlineStr">
        <is>
          <t>AAA</t>
        </is>
      </c>
      <c r="T1558" s="175" t="n">
        <v>0.0162</v>
      </c>
      <c r="U1558" s="172" t="n"/>
      <c r="V1558" s="172" t="n"/>
      <c r="W1558" s="175" t="n">
        <v>0.0164</v>
      </c>
      <c r="X1558" s="172" t="inlineStr">
        <is>
          <t>中邮理财</t>
        </is>
      </c>
      <c r="Y1558" s="191" t="n">
        <v>1.4</v>
      </c>
    </row>
    <row r="1559">
      <c r="A1559" s="172" t="n">
        <v>87</v>
      </c>
      <c r="B1559" s="172" t="inlineStr">
        <is>
          <t>6月</t>
        </is>
      </c>
      <c r="C1559" s="172" t="inlineStr">
        <is>
          <t>消金</t>
        </is>
      </c>
      <c r="D1559" s="172" t="inlineStr">
        <is>
          <t>信托金条</t>
        </is>
      </c>
      <c r="E1559" s="172" t="inlineStr">
        <is>
          <t>耘睿24-10</t>
        </is>
      </c>
      <c r="F1559" s="172" t="inlineStr">
        <is>
          <t>上交所</t>
        </is>
      </c>
      <c r="G1559" s="172" t="inlineStr">
        <is>
          <t>财通资管</t>
        </is>
      </c>
      <c r="H1559" s="172" t="inlineStr">
        <is>
          <t>国泰海通</t>
        </is>
      </c>
      <c r="I1559" s="172" t="inlineStr">
        <is>
          <t>广发银行</t>
        </is>
      </c>
      <c r="J1559" s="172" t="n">
        <v>9</v>
      </c>
      <c r="K1559" s="172" t="inlineStr">
        <is>
          <t>11+24</t>
        </is>
      </c>
      <c r="L1559" s="200" t="n">
        <v>46185</v>
      </c>
      <c r="M1559" s="175" t="n">
        <v>0.0147</v>
      </c>
      <c r="N1559" s="176" t="n">
        <v>0.01942</v>
      </c>
      <c r="O1559" s="172" t="n">
        <v>2.2</v>
      </c>
      <c r="P1559" s="172" t="inlineStr">
        <is>
          <t>优先A</t>
        </is>
      </c>
      <c r="Q1559" s="175" t="n">
        <v>0.9</v>
      </c>
      <c r="R1559" s="172">
        <f>Q1061*J1061</f>
        <v/>
      </c>
      <c r="S1559" s="172" t="inlineStr">
        <is>
          <t>AAA</t>
        </is>
      </c>
      <c r="T1559" s="175" t="n">
        <v>0.0162</v>
      </c>
      <c r="U1559" s="172" t="n"/>
      <c r="V1559" s="172" t="n"/>
      <c r="W1559" s="175" t="n">
        <v>0.0165</v>
      </c>
      <c r="X1559" s="172" t="inlineStr">
        <is>
          <t>中邮理财</t>
        </is>
      </c>
      <c r="Y1559" s="191" t="n">
        <v>0.03</v>
      </c>
    </row>
    <row r="1560">
      <c r="A1560" s="172" t="n">
        <v>87</v>
      </c>
      <c r="B1560" s="173" t="inlineStr">
        <is>
          <t>6月</t>
        </is>
      </c>
      <c r="C1560" s="173" t="inlineStr">
        <is>
          <t>消金</t>
        </is>
      </c>
      <c r="D1560" s="173" t="inlineStr">
        <is>
          <t>信托金条</t>
        </is>
      </c>
      <c r="E1560" s="173" t="inlineStr">
        <is>
          <t>耘睿24-10</t>
        </is>
      </c>
      <c r="F1560" s="173" t="inlineStr">
        <is>
          <t>上交所</t>
        </is>
      </c>
      <c r="G1560" s="173" t="inlineStr">
        <is>
          <t>财通资管</t>
        </is>
      </c>
      <c r="H1560" s="173" t="inlineStr">
        <is>
          <t>国泰海通</t>
        </is>
      </c>
      <c r="I1560" s="173" t="inlineStr">
        <is>
          <t>广发银行</t>
        </is>
      </c>
      <c r="J1560" s="172" t="n">
        <v>9</v>
      </c>
      <c r="K1560" s="173" t="inlineStr">
        <is>
          <t>11+24</t>
        </is>
      </c>
      <c r="L1560" s="202" t="n">
        <v>46185</v>
      </c>
      <c r="M1560" s="175" t="n">
        <v>0.0147</v>
      </c>
      <c r="N1560" s="176" t="n">
        <v>0.01942</v>
      </c>
      <c r="O1560" s="172" t="n">
        <v>2.2</v>
      </c>
      <c r="P1560" s="172" t="inlineStr">
        <is>
          <t>优先A</t>
        </is>
      </c>
      <c r="Q1560" s="204" t="n">
        <v>0.9</v>
      </c>
      <c r="R1560" s="205">
        <f>Q1061*J1061</f>
        <v/>
      </c>
      <c r="S1560" s="203" t="inlineStr">
        <is>
          <t>AAA</t>
        </is>
      </c>
      <c r="T1560" s="204" t="n">
        <v>0.0162</v>
      </c>
      <c r="U1560" s="203" t="inlineStr">
        <is>
          <t>财通资管</t>
        </is>
      </c>
      <c r="V1560" s="192" t="n">
        <v>0.32</v>
      </c>
      <c r="W1560" s="175" t="n">
        <v>0.0162</v>
      </c>
      <c r="X1560" s="172" t="inlineStr">
        <is>
          <t>财通资管</t>
        </is>
      </c>
      <c r="Y1560" s="191" t="n">
        <v>0.32</v>
      </c>
    </row>
    <row r="1561">
      <c r="A1561" s="172" t="n">
        <v>87</v>
      </c>
      <c r="B1561" s="172" t="inlineStr">
        <is>
          <t>6月</t>
        </is>
      </c>
      <c r="C1561" s="172" t="inlineStr">
        <is>
          <t>消金</t>
        </is>
      </c>
      <c r="D1561" s="172" t="inlineStr">
        <is>
          <t>信托金条</t>
        </is>
      </c>
      <c r="E1561" s="172" t="inlineStr">
        <is>
          <t>耘睿24-10</t>
        </is>
      </c>
      <c r="F1561" s="172" t="inlineStr">
        <is>
          <t>上交所</t>
        </is>
      </c>
      <c r="G1561" s="172" t="inlineStr">
        <is>
          <t>财通资管</t>
        </is>
      </c>
      <c r="H1561" s="172" t="inlineStr">
        <is>
          <t>国泰海通</t>
        </is>
      </c>
      <c r="I1561" s="172" t="inlineStr">
        <is>
          <t>广发银行</t>
        </is>
      </c>
      <c r="J1561" s="172" t="n">
        <v>9</v>
      </c>
      <c r="K1561" s="172" t="inlineStr">
        <is>
          <t>11+24</t>
        </is>
      </c>
      <c r="L1561" s="200" t="n">
        <v>46185</v>
      </c>
      <c r="M1561" s="175" t="n">
        <v>0.0147</v>
      </c>
      <c r="N1561" s="176" t="n">
        <v>0.01942</v>
      </c>
      <c r="O1561" s="172" t="n">
        <v>2.2</v>
      </c>
      <c r="P1561" s="172" t="inlineStr">
        <is>
          <t>优先A</t>
        </is>
      </c>
      <c r="Q1561" s="175" t="n">
        <v>0.9</v>
      </c>
      <c r="R1561" s="172">
        <f>Q1061*J1061</f>
        <v/>
      </c>
      <c r="S1561" s="172" t="inlineStr">
        <is>
          <t>AAA</t>
        </is>
      </c>
      <c r="T1561" s="175" t="n">
        <v>0.0162</v>
      </c>
      <c r="U1561" s="172" t="n"/>
      <c r="V1561" s="172" t="n"/>
      <c r="W1561" s="175" t="n">
        <v>0.017</v>
      </c>
      <c r="X1561" s="172" t="inlineStr">
        <is>
          <t>财通资管</t>
        </is>
      </c>
      <c r="Y1561" s="191" t="n">
        <v>1</v>
      </c>
    </row>
    <row r="1562">
      <c r="A1562" s="172" t="n">
        <v>87</v>
      </c>
      <c r="B1562" s="173" t="inlineStr">
        <is>
          <t>6月</t>
        </is>
      </c>
      <c r="C1562" s="173" t="inlineStr">
        <is>
          <t>消金</t>
        </is>
      </c>
      <c r="D1562" s="173" t="inlineStr">
        <is>
          <t>信托金条</t>
        </is>
      </c>
      <c r="E1562" s="173" t="inlineStr">
        <is>
          <t>耘睿24-10</t>
        </is>
      </c>
      <c r="F1562" s="173" t="inlineStr">
        <is>
          <t>上交所</t>
        </is>
      </c>
      <c r="G1562" s="173" t="inlineStr">
        <is>
          <t>财通资管</t>
        </is>
      </c>
      <c r="H1562" s="173" t="inlineStr">
        <is>
          <t>国泰海通</t>
        </is>
      </c>
      <c r="I1562" s="173" t="inlineStr">
        <is>
          <t>广发银行</t>
        </is>
      </c>
      <c r="J1562" s="172" t="n">
        <v>9</v>
      </c>
      <c r="K1562" s="173" t="inlineStr">
        <is>
          <t>11+24</t>
        </is>
      </c>
      <c r="L1562" s="202" t="n">
        <v>46185</v>
      </c>
      <c r="M1562" s="175" t="n">
        <v>0.0147</v>
      </c>
      <c r="N1562" s="176" t="n">
        <v>0.01942</v>
      </c>
      <c r="O1562" s="172" t="n">
        <v>2.2</v>
      </c>
      <c r="P1562" s="172" t="inlineStr">
        <is>
          <t>优先A</t>
        </is>
      </c>
      <c r="Q1562" s="204" t="n">
        <v>0.9</v>
      </c>
      <c r="R1562" s="205">
        <f>Q1061*J1061</f>
        <v/>
      </c>
      <c r="S1562" s="203" t="inlineStr">
        <is>
          <t>AAA</t>
        </is>
      </c>
      <c r="T1562" s="204" t="n">
        <v>0.0162</v>
      </c>
      <c r="U1562" s="203" t="inlineStr">
        <is>
          <t>国泰海通投行</t>
        </is>
      </c>
      <c r="V1562" s="192" t="n">
        <v>0.2</v>
      </c>
      <c r="W1562" s="175" t="n">
        <v>0.0162</v>
      </c>
      <c r="X1562" s="172" t="inlineStr">
        <is>
          <t>国泰海通</t>
        </is>
      </c>
      <c r="Y1562" s="191" t="n">
        <v>0.2</v>
      </c>
    </row>
    <row r="1563">
      <c r="A1563" s="172" t="n">
        <v>87</v>
      </c>
      <c r="B1563" s="172" t="inlineStr">
        <is>
          <t>6月</t>
        </is>
      </c>
      <c r="C1563" s="172" t="inlineStr">
        <is>
          <t>消金</t>
        </is>
      </c>
      <c r="D1563" s="172" t="inlineStr">
        <is>
          <t>信托金条</t>
        </is>
      </c>
      <c r="E1563" s="172" t="inlineStr">
        <is>
          <t>耘睿24-10</t>
        </is>
      </c>
      <c r="F1563" s="172" t="inlineStr">
        <is>
          <t>上交所</t>
        </is>
      </c>
      <c r="G1563" s="172" t="inlineStr">
        <is>
          <t>财通资管</t>
        </is>
      </c>
      <c r="H1563" s="172" t="inlineStr">
        <is>
          <t>国泰海通</t>
        </is>
      </c>
      <c r="I1563" s="172" t="inlineStr">
        <is>
          <t>广发银行</t>
        </is>
      </c>
      <c r="J1563" s="172" t="n">
        <v>9</v>
      </c>
      <c r="K1563" s="172" t="inlineStr">
        <is>
          <t>11+24</t>
        </is>
      </c>
      <c r="L1563" s="200" t="n">
        <v>46185</v>
      </c>
      <c r="M1563" s="175" t="n">
        <v>0.0147</v>
      </c>
      <c r="N1563" s="176" t="n">
        <v>0.01942</v>
      </c>
      <c r="O1563" s="172" t="n">
        <v>2.2</v>
      </c>
      <c r="P1563" s="172" t="inlineStr">
        <is>
          <t>优先A</t>
        </is>
      </c>
      <c r="Q1563" s="175" t="n">
        <v>0.9</v>
      </c>
      <c r="R1563" s="172">
        <f>Q1061*J1061</f>
        <v/>
      </c>
      <c r="S1563" s="172" t="inlineStr">
        <is>
          <t>AAA</t>
        </is>
      </c>
      <c r="T1563" s="175" t="n">
        <v>0.0162</v>
      </c>
      <c r="U1563" s="172" t="n"/>
      <c r="V1563" s="172" t="n"/>
      <c r="W1563" s="175" t="n">
        <v>0.017</v>
      </c>
      <c r="X1563" s="172" t="inlineStr">
        <is>
          <t>国泰海通</t>
        </is>
      </c>
      <c r="Y1563" s="191" t="n">
        <v>1.08</v>
      </c>
    </row>
    <row r="1564">
      <c r="A1564" s="172" t="n">
        <v>87</v>
      </c>
      <c r="B1564" s="173" t="inlineStr">
        <is>
          <t>6月</t>
        </is>
      </c>
      <c r="C1564" s="173" t="inlineStr">
        <is>
          <t>消金</t>
        </is>
      </c>
      <c r="D1564" s="173" t="inlineStr">
        <is>
          <t>信托金条</t>
        </is>
      </c>
      <c r="E1564" s="173" t="inlineStr">
        <is>
          <t>耘睿24-10</t>
        </is>
      </c>
      <c r="F1564" s="173" t="inlineStr">
        <is>
          <t>上交所</t>
        </is>
      </c>
      <c r="G1564" s="173" t="inlineStr">
        <is>
          <t>财通资管</t>
        </is>
      </c>
      <c r="H1564" s="173" t="inlineStr">
        <is>
          <t>国泰海通</t>
        </is>
      </c>
      <c r="I1564" s="173" t="inlineStr">
        <is>
          <t>广发银行</t>
        </is>
      </c>
      <c r="J1564" s="172" t="n">
        <v>9</v>
      </c>
      <c r="K1564" s="173" t="inlineStr">
        <is>
          <t>11+24</t>
        </is>
      </c>
      <c r="L1564" s="202" t="n">
        <v>46185</v>
      </c>
      <c r="M1564" s="175" t="n">
        <v>0.0147</v>
      </c>
      <c r="N1564" s="176" t="n">
        <v>0.01942</v>
      </c>
      <c r="O1564" s="172" t="n">
        <v>2.2</v>
      </c>
      <c r="P1564" s="172" t="inlineStr">
        <is>
          <t>优先A</t>
        </is>
      </c>
      <c r="Q1564" s="204" t="n">
        <v>0.9</v>
      </c>
      <c r="R1564" s="205">
        <f>Q1061*J1061</f>
        <v/>
      </c>
      <c r="S1564" s="203" t="inlineStr">
        <is>
          <t>AAA</t>
        </is>
      </c>
      <c r="T1564" s="204" t="n">
        <v>0.0162</v>
      </c>
      <c r="U1564" s="203" t="inlineStr">
        <is>
          <t>利曦基金</t>
        </is>
      </c>
      <c r="V1564" s="192" t="n">
        <v>0.2</v>
      </c>
      <c r="W1564" s="175" t="n">
        <v>0.0162</v>
      </c>
      <c r="X1564" s="172" t="inlineStr">
        <is>
          <t>利曦基金</t>
        </is>
      </c>
      <c r="Y1564" s="191" t="n">
        <v>0.2</v>
      </c>
    </row>
    <row r="1565">
      <c r="A1565" s="172" t="n">
        <v>87</v>
      </c>
      <c r="B1565" s="172" t="inlineStr">
        <is>
          <t>6月</t>
        </is>
      </c>
      <c r="C1565" s="172" t="inlineStr">
        <is>
          <t>消金</t>
        </is>
      </c>
      <c r="D1565" s="172" t="inlineStr">
        <is>
          <t>信托金条</t>
        </is>
      </c>
      <c r="E1565" s="172" t="inlineStr">
        <is>
          <t>耘睿24-10</t>
        </is>
      </c>
      <c r="F1565" s="172" t="inlineStr">
        <is>
          <t>上交所</t>
        </is>
      </c>
      <c r="G1565" s="172" t="inlineStr">
        <is>
          <t>财通资管</t>
        </is>
      </c>
      <c r="H1565" s="172" t="inlineStr">
        <is>
          <t>国泰海通</t>
        </is>
      </c>
      <c r="I1565" s="172" t="inlineStr">
        <is>
          <t>广发银行</t>
        </is>
      </c>
      <c r="J1565" s="172" t="n">
        <v>9</v>
      </c>
      <c r="K1565" s="172" t="inlineStr">
        <is>
          <t>11+24</t>
        </is>
      </c>
      <c r="L1565" s="200" t="n">
        <v>46185</v>
      </c>
      <c r="M1565" s="175" t="n">
        <v>0.0147</v>
      </c>
      <c r="N1565" s="176" t="n">
        <v>0.01942</v>
      </c>
      <c r="O1565" s="172" t="n">
        <v>2.2</v>
      </c>
      <c r="P1565" s="172" t="inlineStr">
        <is>
          <t>优先A</t>
        </is>
      </c>
      <c r="Q1565" s="175" t="n">
        <v>0.9</v>
      </c>
      <c r="R1565" s="172">
        <f>Q1061*J1061</f>
        <v/>
      </c>
      <c r="S1565" s="172" t="inlineStr">
        <is>
          <t>AAA</t>
        </is>
      </c>
      <c r="T1565" s="175" t="n">
        <v>0.0162</v>
      </c>
      <c r="U1565" s="172" t="n"/>
      <c r="V1565" s="172" t="n"/>
      <c r="W1565" s="175" t="n">
        <v>0.017</v>
      </c>
      <c r="X1565" s="172" t="inlineStr">
        <is>
          <t>利曦基金</t>
        </is>
      </c>
      <c r="Y1565" s="191" t="n">
        <v>1.8</v>
      </c>
    </row>
    <row r="1566">
      <c r="A1566" s="172" t="n">
        <v>87</v>
      </c>
      <c r="B1566" s="172" t="inlineStr">
        <is>
          <t>6月</t>
        </is>
      </c>
      <c r="C1566" s="172" t="inlineStr">
        <is>
          <t>消金</t>
        </is>
      </c>
      <c r="D1566" s="172" t="inlineStr">
        <is>
          <t>信托金条</t>
        </is>
      </c>
      <c r="E1566" s="172" t="inlineStr">
        <is>
          <t>耘睿24-10</t>
        </is>
      </c>
      <c r="F1566" s="172" t="inlineStr">
        <is>
          <t>上交所</t>
        </is>
      </c>
      <c r="G1566" s="172" t="inlineStr">
        <is>
          <t>财通资管</t>
        </is>
      </c>
      <c r="H1566" s="172" t="inlineStr">
        <is>
          <t>国泰海通</t>
        </is>
      </c>
      <c r="I1566" s="172" t="inlineStr">
        <is>
          <t>广发银行</t>
        </is>
      </c>
      <c r="J1566" s="172" t="n">
        <v>9</v>
      </c>
      <c r="K1566" s="172" t="inlineStr">
        <is>
          <t>11+24</t>
        </is>
      </c>
      <c r="L1566" s="200" t="n">
        <v>46185</v>
      </c>
      <c r="M1566" s="175" t="n">
        <v>0.0147</v>
      </c>
      <c r="N1566" s="176" t="n">
        <v>0.01942</v>
      </c>
      <c r="O1566" s="172" t="n">
        <v>2.2</v>
      </c>
      <c r="P1566" s="172" t="inlineStr">
        <is>
          <t>优先A</t>
        </is>
      </c>
      <c r="Q1566" s="175" t="n">
        <v>0.9</v>
      </c>
      <c r="R1566" s="172">
        <f>Q1061*J1061</f>
        <v/>
      </c>
      <c r="S1566" s="172" t="inlineStr">
        <is>
          <t>AAA</t>
        </is>
      </c>
      <c r="T1566" s="175" t="n">
        <v>0.0162</v>
      </c>
      <c r="U1566" s="172" t="n"/>
      <c r="V1566" s="172" t="n"/>
      <c r="W1566" s="175" t="n">
        <v>0.0165</v>
      </c>
      <c r="X1566" s="172" t="inlineStr">
        <is>
          <t>工银瑞信基金</t>
        </is>
      </c>
      <c r="Y1566" s="191" t="n">
        <v>0.15</v>
      </c>
    </row>
    <row r="1567">
      <c r="A1567" s="172" t="n">
        <v>87</v>
      </c>
      <c r="B1567" s="172" t="inlineStr">
        <is>
          <t>6月</t>
        </is>
      </c>
      <c r="C1567" s="172" t="inlineStr">
        <is>
          <t>消金</t>
        </is>
      </c>
      <c r="D1567" s="172" t="inlineStr">
        <is>
          <t>信托金条</t>
        </is>
      </c>
      <c r="E1567" s="172" t="inlineStr">
        <is>
          <t>耘睿24-10</t>
        </is>
      </c>
      <c r="F1567" s="172" t="inlineStr">
        <is>
          <t>上交所</t>
        </is>
      </c>
      <c r="G1567" s="172" t="inlineStr">
        <is>
          <t>财通资管</t>
        </is>
      </c>
      <c r="H1567" s="172" t="inlineStr">
        <is>
          <t>国泰海通</t>
        </is>
      </c>
      <c r="I1567" s="172" t="inlineStr">
        <is>
          <t>广发银行</t>
        </is>
      </c>
      <c r="J1567" s="172" t="n">
        <v>9</v>
      </c>
      <c r="K1567" s="172" t="inlineStr">
        <is>
          <t>11+24</t>
        </is>
      </c>
      <c r="L1567" s="200" t="n">
        <v>46185</v>
      </c>
      <c r="M1567" s="175" t="n">
        <v>0.0147</v>
      </c>
      <c r="N1567" s="176" t="n">
        <v>0.01942</v>
      </c>
      <c r="O1567" s="172" t="n">
        <v>2.2</v>
      </c>
      <c r="P1567" s="172" t="inlineStr">
        <is>
          <t>优先A</t>
        </is>
      </c>
      <c r="Q1567" s="175" t="n">
        <v>0.9</v>
      </c>
      <c r="R1567" s="172">
        <f>Q1061*J1061</f>
        <v/>
      </c>
      <c r="S1567" s="172" t="inlineStr">
        <is>
          <t>AAA</t>
        </is>
      </c>
      <c r="T1567" s="175" t="n">
        <v>0.0162</v>
      </c>
      <c r="U1567" s="172" t="n"/>
      <c r="V1567" s="172" t="n"/>
      <c r="W1567" s="175" t="n">
        <v>0.0168</v>
      </c>
      <c r="X1567" s="172" t="inlineStr">
        <is>
          <t>工银瑞信基金</t>
        </is>
      </c>
      <c r="Y1567" s="191" t="n">
        <v>0.6</v>
      </c>
    </row>
    <row r="1568">
      <c r="A1568" s="172" t="n">
        <v>87</v>
      </c>
      <c r="B1568" s="172" t="inlineStr">
        <is>
          <t>6月</t>
        </is>
      </c>
      <c r="C1568" s="172" t="inlineStr">
        <is>
          <t>消金</t>
        </is>
      </c>
      <c r="D1568" s="172" t="inlineStr">
        <is>
          <t>信托金条</t>
        </is>
      </c>
      <c r="E1568" s="172" t="inlineStr">
        <is>
          <t>耘睿24-10</t>
        </is>
      </c>
      <c r="F1568" s="172" t="inlineStr">
        <is>
          <t>上交所</t>
        </is>
      </c>
      <c r="G1568" s="172" t="inlineStr">
        <is>
          <t>财通资管</t>
        </is>
      </c>
      <c r="H1568" s="172" t="inlineStr">
        <is>
          <t>国泰海通</t>
        </is>
      </c>
      <c r="I1568" s="172" t="inlineStr">
        <is>
          <t>广发银行</t>
        </is>
      </c>
      <c r="J1568" s="172" t="n">
        <v>9</v>
      </c>
      <c r="K1568" s="172" t="inlineStr">
        <is>
          <t>11+24</t>
        </is>
      </c>
      <c r="L1568" s="200" t="n">
        <v>46185</v>
      </c>
      <c r="M1568" s="175" t="n">
        <v>0.0147</v>
      </c>
      <c r="N1568" s="176" t="n">
        <v>0.01942</v>
      </c>
      <c r="O1568" s="172" t="n">
        <v>2.2</v>
      </c>
      <c r="P1568" s="172" t="inlineStr">
        <is>
          <t>优先A</t>
        </is>
      </c>
      <c r="Q1568" s="175" t="n">
        <v>0.9</v>
      </c>
      <c r="R1568" s="172">
        <f>Q1061*J1061</f>
        <v/>
      </c>
      <c r="S1568" s="172" t="inlineStr">
        <is>
          <t>AAA</t>
        </is>
      </c>
      <c r="T1568" s="175" t="n">
        <v>0.0162</v>
      </c>
      <c r="U1568" s="172" t="n"/>
      <c r="V1568" s="172" t="n"/>
      <c r="W1568" s="175" t="n">
        <v>0.0165</v>
      </c>
      <c r="X1568" s="172" t="inlineStr">
        <is>
          <t>建信理财</t>
        </is>
      </c>
      <c r="Y1568" s="191" t="n">
        <v>0.8</v>
      </c>
    </row>
    <row r="1569">
      <c r="A1569" s="172" t="n">
        <v>87</v>
      </c>
      <c r="B1569" s="172" t="inlineStr">
        <is>
          <t>6月</t>
        </is>
      </c>
      <c r="C1569" s="172" t="inlineStr">
        <is>
          <t>消金</t>
        </is>
      </c>
      <c r="D1569" s="172" t="inlineStr">
        <is>
          <t>信托金条</t>
        </is>
      </c>
      <c r="E1569" s="172" t="inlineStr">
        <is>
          <t>耘睿24-10</t>
        </is>
      </c>
      <c r="F1569" s="172" t="inlineStr">
        <is>
          <t>上交所</t>
        </is>
      </c>
      <c r="G1569" s="172" t="inlineStr">
        <is>
          <t>财通资管</t>
        </is>
      </c>
      <c r="H1569" s="172" t="inlineStr">
        <is>
          <t>国泰海通</t>
        </is>
      </c>
      <c r="I1569" s="172" t="inlineStr">
        <is>
          <t>广发银行</t>
        </is>
      </c>
      <c r="J1569" s="172" t="n">
        <v>9</v>
      </c>
      <c r="K1569" s="172" t="inlineStr">
        <is>
          <t>11+24</t>
        </is>
      </c>
      <c r="L1569" s="200" t="n">
        <v>46185</v>
      </c>
      <c r="M1569" s="175" t="n">
        <v>0.0147</v>
      </c>
      <c r="N1569" s="176" t="n">
        <v>0.01942</v>
      </c>
      <c r="O1569" s="172" t="n">
        <v>2.2</v>
      </c>
      <c r="P1569" s="172" t="inlineStr">
        <is>
          <t>优先A</t>
        </is>
      </c>
      <c r="Q1569" s="175" t="n">
        <v>0.9</v>
      </c>
      <c r="R1569" s="172">
        <f>Q1061*J1061</f>
        <v/>
      </c>
      <c r="S1569" s="172" t="inlineStr">
        <is>
          <t>AAA</t>
        </is>
      </c>
      <c r="T1569" s="175" t="n">
        <v>0.0162</v>
      </c>
      <c r="U1569" s="172" t="n"/>
      <c r="V1569" s="172" t="n"/>
      <c r="W1569" s="175" t="n">
        <v>0.0168</v>
      </c>
      <c r="X1569" s="172" t="inlineStr">
        <is>
          <t>中金自营</t>
        </is>
      </c>
      <c r="Y1569" s="191" t="n">
        <v>0.5</v>
      </c>
    </row>
    <row r="1570">
      <c r="A1570" s="172" t="n">
        <v>87</v>
      </c>
      <c r="B1570" s="172" t="inlineStr">
        <is>
          <t>6月</t>
        </is>
      </c>
      <c r="C1570" s="172" t="inlineStr">
        <is>
          <t>消金</t>
        </is>
      </c>
      <c r="D1570" s="172" t="inlineStr">
        <is>
          <t>信托金条</t>
        </is>
      </c>
      <c r="E1570" s="172" t="inlineStr">
        <is>
          <t>耘睿24-10</t>
        </is>
      </c>
      <c r="F1570" s="172" t="inlineStr">
        <is>
          <t>上交所</t>
        </is>
      </c>
      <c r="G1570" s="172" t="inlineStr">
        <is>
          <t>财通资管</t>
        </is>
      </c>
      <c r="H1570" s="172" t="inlineStr">
        <is>
          <t>国泰海通</t>
        </is>
      </c>
      <c r="I1570" s="172" t="inlineStr">
        <is>
          <t>广发银行</t>
        </is>
      </c>
      <c r="J1570" s="172" t="n">
        <v>9</v>
      </c>
      <c r="K1570" s="172" t="inlineStr">
        <is>
          <t>11+24</t>
        </is>
      </c>
      <c r="L1570" s="200" t="n">
        <v>46185</v>
      </c>
      <c r="M1570" s="175" t="n">
        <v>0.0147</v>
      </c>
      <c r="N1570" s="176" t="n">
        <v>0.01942</v>
      </c>
      <c r="O1570" s="172" t="n">
        <v>2.2</v>
      </c>
      <c r="P1570" s="172" t="inlineStr">
        <is>
          <t>优先A</t>
        </is>
      </c>
      <c r="Q1570" s="175" t="n">
        <v>0.9</v>
      </c>
      <c r="R1570" s="172">
        <f>Q1061*J1061</f>
        <v/>
      </c>
      <c r="S1570" s="172" t="inlineStr">
        <is>
          <t>AAA</t>
        </is>
      </c>
      <c r="T1570" s="175" t="n">
        <v>0.0162</v>
      </c>
      <c r="U1570" s="172" t="n"/>
      <c r="V1570" s="172" t="n"/>
      <c r="W1570" s="175" t="n">
        <v>0.017</v>
      </c>
      <c r="X1570" s="172" t="inlineStr">
        <is>
          <t>杭州联合</t>
        </is>
      </c>
      <c r="Y1570" s="191" t="n">
        <v>0.1</v>
      </c>
    </row>
    <row r="1571">
      <c r="A1571" s="172" t="n">
        <v>87</v>
      </c>
      <c r="B1571" s="173" t="inlineStr">
        <is>
          <t>6月</t>
        </is>
      </c>
      <c r="C1571" s="173" t="inlineStr">
        <is>
          <t>消金</t>
        </is>
      </c>
      <c r="D1571" s="173" t="inlineStr">
        <is>
          <t>信托金条</t>
        </is>
      </c>
      <c r="E1571" s="173" t="inlineStr">
        <is>
          <t>耘睿24-10</t>
        </is>
      </c>
      <c r="F1571" s="173" t="inlineStr">
        <is>
          <t>上交所</t>
        </is>
      </c>
      <c r="G1571" s="173" t="inlineStr">
        <is>
          <t>财通资管</t>
        </is>
      </c>
      <c r="H1571" s="173" t="inlineStr">
        <is>
          <t>国泰海通</t>
        </is>
      </c>
      <c r="I1571" s="173" t="inlineStr">
        <is>
          <t>广发银行</t>
        </is>
      </c>
      <c r="J1571" s="172" t="n">
        <v>9</v>
      </c>
      <c r="K1571" s="173" t="inlineStr">
        <is>
          <t>11+24</t>
        </is>
      </c>
      <c r="L1571" s="202" t="n">
        <v>46185</v>
      </c>
      <c r="M1571" s="175" t="n">
        <v>0.0147</v>
      </c>
      <c r="N1571" s="176" t="n">
        <v>0.01942</v>
      </c>
      <c r="O1571" s="172" t="n">
        <v>2.2</v>
      </c>
      <c r="P1571" s="203" t="inlineStr">
        <is>
          <t>优先B</t>
        </is>
      </c>
      <c r="Q1571" s="204" t="n">
        <v>0.03</v>
      </c>
      <c r="R1571" s="205">
        <f>Q1069*J1061</f>
        <v/>
      </c>
      <c r="S1571" s="203" t="inlineStr">
        <is>
          <t>AA+</t>
        </is>
      </c>
      <c r="T1571" s="204" t="n">
        <v>0.017</v>
      </c>
      <c r="U1571" s="203" t="inlineStr">
        <is>
          <t>交银理财</t>
        </is>
      </c>
      <c r="V1571" s="192" t="n">
        <v>0.08</v>
      </c>
      <c r="W1571" s="175" t="n">
        <v>0.0165</v>
      </c>
      <c r="X1571" s="172" t="inlineStr">
        <is>
          <t>交银理财</t>
        </is>
      </c>
      <c r="Y1571" s="191" t="n">
        <v>0.08</v>
      </c>
    </row>
    <row r="1572">
      <c r="A1572" s="172" t="n">
        <v>87</v>
      </c>
      <c r="B1572" s="173" t="inlineStr">
        <is>
          <t>6月</t>
        </is>
      </c>
      <c r="C1572" s="173" t="inlineStr">
        <is>
          <t>消金</t>
        </is>
      </c>
      <c r="D1572" s="173" t="inlineStr">
        <is>
          <t>信托金条</t>
        </is>
      </c>
      <c r="E1572" s="173" t="inlineStr">
        <is>
          <t>耘睿24-10</t>
        </is>
      </c>
      <c r="F1572" s="173" t="inlineStr">
        <is>
          <t>上交所</t>
        </is>
      </c>
      <c r="G1572" s="173" t="inlineStr">
        <is>
          <t>财通资管</t>
        </is>
      </c>
      <c r="H1572" s="173" t="inlineStr">
        <is>
          <t>国泰海通</t>
        </is>
      </c>
      <c r="I1572" s="173" t="inlineStr">
        <is>
          <t>广发银行</t>
        </is>
      </c>
      <c r="J1572" s="172" t="n">
        <v>9</v>
      </c>
      <c r="K1572" s="173" t="inlineStr">
        <is>
          <t>11+24</t>
        </is>
      </c>
      <c r="L1572" s="202" t="n">
        <v>46185</v>
      </c>
      <c r="M1572" s="175" t="n">
        <v>0.0147</v>
      </c>
      <c r="N1572" s="176" t="n">
        <v>0.01942</v>
      </c>
      <c r="O1572" s="172" t="n">
        <v>2.2</v>
      </c>
      <c r="P1572" s="172" t="inlineStr">
        <is>
          <t>优先B</t>
        </is>
      </c>
      <c r="Q1572" s="204" t="n">
        <v>0.03</v>
      </c>
      <c r="R1572" s="205">
        <f>Q1069*J1061</f>
        <v/>
      </c>
      <c r="S1572" s="203" t="inlineStr">
        <is>
          <t>AA+</t>
        </is>
      </c>
      <c r="T1572" s="204" t="n">
        <v>0.017</v>
      </c>
      <c r="U1572" s="203" t="inlineStr">
        <is>
          <t>渝农商理财</t>
        </is>
      </c>
      <c r="V1572" s="192" t="n">
        <v>0.08</v>
      </c>
      <c r="W1572" s="175" t="n">
        <v>0.017</v>
      </c>
      <c r="X1572" s="172" t="inlineStr">
        <is>
          <t>渝农商理财</t>
        </is>
      </c>
      <c r="Y1572" s="191" t="n">
        <v>0.08</v>
      </c>
    </row>
    <row r="1573">
      <c r="A1573" s="172" t="n">
        <v>87</v>
      </c>
      <c r="B1573" s="173" t="inlineStr">
        <is>
          <t>6月</t>
        </is>
      </c>
      <c r="C1573" s="173" t="inlineStr">
        <is>
          <t>消金</t>
        </is>
      </c>
      <c r="D1573" s="173" t="inlineStr">
        <is>
          <t>信托金条</t>
        </is>
      </c>
      <c r="E1573" s="173" t="inlineStr">
        <is>
          <t>耘睿24-10</t>
        </is>
      </c>
      <c r="F1573" s="173" t="inlineStr">
        <is>
          <t>上交所</t>
        </is>
      </c>
      <c r="G1573" s="173" t="inlineStr">
        <is>
          <t>财通资管</t>
        </is>
      </c>
      <c r="H1573" s="173" t="inlineStr">
        <is>
          <t>国泰海通</t>
        </is>
      </c>
      <c r="I1573" s="173" t="inlineStr">
        <is>
          <t>广发银行</t>
        </is>
      </c>
      <c r="J1573" s="172" t="n">
        <v>9</v>
      </c>
      <c r="K1573" s="173" t="inlineStr">
        <is>
          <t>11+24</t>
        </is>
      </c>
      <c r="L1573" s="202" t="n">
        <v>46185</v>
      </c>
      <c r="M1573" s="175" t="n">
        <v>0.0147</v>
      </c>
      <c r="N1573" s="176" t="n">
        <v>0.01942</v>
      </c>
      <c r="O1573" s="172" t="n">
        <v>2.2</v>
      </c>
      <c r="P1573" s="172" t="inlineStr">
        <is>
          <t>优先B</t>
        </is>
      </c>
      <c r="Q1573" s="204" t="n">
        <v>0.03</v>
      </c>
      <c r="R1573" s="205">
        <f>Q1069*J1061</f>
        <v/>
      </c>
      <c r="S1573" s="203" t="inlineStr">
        <is>
          <t>AA+</t>
        </is>
      </c>
      <c r="T1573" s="204" t="n">
        <v>0.017</v>
      </c>
      <c r="U1573" s="203" t="inlineStr">
        <is>
          <t>中泰证券自营</t>
        </is>
      </c>
      <c r="V1573" s="192" t="n">
        <v>0.11</v>
      </c>
      <c r="W1573" s="175" t="n">
        <v>0.017</v>
      </c>
      <c r="X1573" s="172" t="inlineStr">
        <is>
          <t>中泰证券</t>
        </is>
      </c>
      <c r="Y1573" s="191" t="n">
        <v>0.11</v>
      </c>
    </row>
    <row r="1574">
      <c r="A1574" s="172" t="n">
        <v>87</v>
      </c>
      <c r="B1574" s="172" t="inlineStr">
        <is>
          <t>6月</t>
        </is>
      </c>
      <c r="C1574" s="172" t="inlineStr">
        <is>
          <t>消金</t>
        </is>
      </c>
      <c r="D1574" s="172" t="inlineStr">
        <is>
          <t>信托金条</t>
        </is>
      </c>
      <c r="E1574" s="172" t="inlineStr">
        <is>
          <t>耘睿24-10</t>
        </is>
      </c>
      <c r="F1574" s="172" t="inlineStr">
        <is>
          <t>上交所</t>
        </is>
      </c>
      <c r="G1574" s="172" t="inlineStr">
        <is>
          <t>财通资管</t>
        </is>
      </c>
      <c r="H1574" s="172" t="inlineStr">
        <is>
          <t>国泰海通</t>
        </is>
      </c>
      <c r="I1574" s="172" t="inlineStr">
        <is>
          <t>广发银行</t>
        </is>
      </c>
      <c r="J1574" s="172" t="n">
        <v>9</v>
      </c>
      <c r="K1574" s="172" t="inlineStr">
        <is>
          <t>11+24</t>
        </is>
      </c>
      <c r="L1574" s="200" t="n">
        <v>46185</v>
      </c>
      <c r="M1574" s="175" t="n">
        <v>0.0147</v>
      </c>
      <c r="N1574" s="176" t="n">
        <v>0.01942</v>
      </c>
      <c r="O1574" s="172" t="n">
        <v>2.2</v>
      </c>
      <c r="P1574" s="172" t="inlineStr">
        <is>
          <t>优先B</t>
        </is>
      </c>
      <c r="Q1574" s="175" t="n">
        <v>0.03</v>
      </c>
      <c r="R1574" s="172">
        <f>Q1069*J1061</f>
        <v/>
      </c>
      <c r="S1574" s="172" t="inlineStr">
        <is>
          <t>AA+</t>
        </is>
      </c>
      <c r="T1574" s="175" t="n">
        <v>0.017</v>
      </c>
      <c r="U1574" s="172" t="n"/>
      <c r="V1574" s="172" t="n"/>
      <c r="W1574" s="175" t="n">
        <v>0.0177</v>
      </c>
      <c r="X1574" s="172" t="inlineStr">
        <is>
          <t>杭州联合</t>
        </is>
      </c>
      <c r="Y1574" s="191" t="n">
        <v>0.08</v>
      </c>
    </row>
    <row r="1575">
      <c r="A1575" s="172" t="n">
        <v>87</v>
      </c>
      <c r="B1575" s="172" t="inlineStr">
        <is>
          <t>6月</t>
        </is>
      </c>
      <c r="C1575" s="172" t="inlineStr">
        <is>
          <t>消金</t>
        </is>
      </c>
      <c r="D1575" s="172" t="inlineStr">
        <is>
          <t>信托金条</t>
        </is>
      </c>
      <c r="E1575" s="172" t="inlineStr">
        <is>
          <t>耘睿24-10</t>
        </is>
      </c>
      <c r="F1575" s="172" t="inlineStr">
        <is>
          <t>上交所</t>
        </is>
      </c>
      <c r="G1575" s="172" t="inlineStr">
        <is>
          <t>财通资管</t>
        </is>
      </c>
      <c r="H1575" s="172" t="inlineStr">
        <is>
          <t>国泰海通</t>
        </is>
      </c>
      <c r="I1575" s="172" t="inlineStr">
        <is>
          <t>广发银行</t>
        </is>
      </c>
      <c r="J1575" s="172" t="n">
        <v>9</v>
      </c>
      <c r="K1575" s="172" t="inlineStr">
        <is>
          <t>11+24</t>
        </is>
      </c>
      <c r="L1575" s="200" t="n">
        <v>46185</v>
      </c>
      <c r="M1575" s="175" t="n">
        <v>0.0147</v>
      </c>
      <c r="N1575" s="176" t="n">
        <v>0.01942</v>
      </c>
      <c r="O1575" s="172" t="n">
        <v>2.2</v>
      </c>
      <c r="P1575" s="172" t="inlineStr">
        <is>
          <t>优先B</t>
        </is>
      </c>
      <c r="Q1575" s="175" t="n">
        <v>0.03</v>
      </c>
      <c r="R1575" s="172">
        <f>Q1069*J1061</f>
        <v/>
      </c>
      <c r="S1575" s="172" t="inlineStr">
        <is>
          <t>AA+</t>
        </is>
      </c>
      <c r="T1575" s="175" t="n">
        <v>0.017</v>
      </c>
      <c r="U1575" s="172" t="n"/>
      <c r="V1575" s="172" t="n"/>
      <c r="W1575" s="175" t="n">
        <v>0.019</v>
      </c>
      <c r="X1575" s="172" t="inlineStr">
        <is>
          <t>财通资管</t>
        </is>
      </c>
      <c r="Y1575" s="191" t="n">
        <v>0.14</v>
      </c>
    </row>
    <row r="1576">
      <c r="A1576" s="172" t="n">
        <v>87</v>
      </c>
      <c r="B1576" s="172" t="inlineStr">
        <is>
          <t>6月</t>
        </is>
      </c>
      <c r="C1576" s="172" t="inlineStr">
        <is>
          <t>消金</t>
        </is>
      </c>
      <c r="D1576" s="172" t="inlineStr">
        <is>
          <t>信托金条</t>
        </is>
      </c>
      <c r="E1576" s="172" t="inlineStr">
        <is>
          <t>耘睿24-10</t>
        </is>
      </c>
      <c r="F1576" s="172" t="inlineStr">
        <is>
          <t>上交所</t>
        </is>
      </c>
      <c r="G1576" s="172" t="inlineStr">
        <is>
          <t>财通资管</t>
        </is>
      </c>
      <c r="H1576" s="172" t="inlineStr">
        <is>
          <t>国泰海通</t>
        </is>
      </c>
      <c r="I1576" s="172" t="inlineStr">
        <is>
          <t>广发银行</t>
        </is>
      </c>
      <c r="J1576" s="172" t="n">
        <v>9</v>
      </c>
      <c r="K1576" s="172" t="inlineStr">
        <is>
          <t>11+24</t>
        </is>
      </c>
      <c r="L1576" s="200" t="n">
        <v>46185</v>
      </c>
      <c r="M1576" s="175" t="n">
        <v>0.0147</v>
      </c>
      <c r="N1576" s="176" t="n">
        <v>0.01942</v>
      </c>
      <c r="O1576" s="172" t="n">
        <v>2.2</v>
      </c>
      <c r="P1576" s="172" t="inlineStr">
        <is>
          <t>优先B</t>
        </is>
      </c>
      <c r="Q1576" s="175" t="n">
        <v>0.03</v>
      </c>
      <c r="R1576" s="172">
        <f>Q1069*J1061</f>
        <v/>
      </c>
      <c r="S1576" s="172" t="inlineStr">
        <is>
          <t>AA+</t>
        </is>
      </c>
      <c r="T1576" s="175" t="n">
        <v>0.017</v>
      </c>
      <c r="U1576" s="172" t="n"/>
      <c r="V1576" s="172" t="n"/>
      <c r="W1576" s="175" t="n">
        <v>0.019</v>
      </c>
      <c r="X1576" s="172" t="inlineStr">
        <is>
          <t>中金自营</t>
        </is>
      </c>
      <c r="Y1576" s="191" t="n">
        <v>0.2</v>
      </c>
    </row>
    <row r="1577">
      <c r="A1577" s="172" t="n">
        <v>87</v>
      </c>
      <c r="B1577" s="173" t="inlineStr">
        <is>
          <t>6月</t>
        </is>
      </c>
      <c r="C1577" s="173" t="inlineStr">
        <is>
          <t>消金</t>
        </is>
      </c>
      <c r="D1577" s="173" t="inlineStr">
        <is>
          <t>信托金条</t>
        </is>
      </c>
      <c r="E1577" s="173" t="inlineStr">
        <is>
          <t>耘睿24-10</t>
        </is>
      </c>
      <c r="F1577" s="173" t="inlineStr">
        <is>
          <t>上交所</t>
        </is>
      </c>
      <c r="G1577" s="173" t="inlineStr">
        <is>
          <t>财通资管</t>
        </is>
      </c>
      <c r="H1577" s="173" t="inlineStr">
        <is>
          <t>国泰海通</t>
        </is>
      </c>
      <c r="I1577" s="173" t="inlineStr">
        <is>
          <t>广发银行</t>
        </is>
      </c>
      <c r="J1577" s="172" t="n">
        <v>9</v>
      </c>
      <c r="K1577" s="173" t="inlineStr">
        <is>
          <t>11+24</t>
        </is>
      </c>
      <c r="L1577" s="202" t="n">
        <v>46185</v>
      </c>
      <c r="M1577" s="175" t="n">
        <v>0.0147</v>
      </c>
      <c r="N1577" s="176" t="n">
        <v>0.01942</v>
      </c>
      <c r="O1577" s="172" t="n">
        <v>2.2</v>
      </c>
      <c r="P1577" s="203" t="inlineStr">
        <is>
          <t>中间级</t>
        </is>
      </c>
      <c r="Q1577" s="204" t="n">
        <v>0.02</v>
      </c>
      <c r="R1577" s="205">
        <f>Q1072*J1061</f>
        <v/>
      </c>
      <c r="S1577" s="203" t="inlineStr">
        <is>
          <t>A+</t>
        </is>
      </c>
      <c r="T1577" s="204" t="n">
        <v>0.031</v>
      </c>
      <c r="U1577" s="203" t="inlineStr">
        <is>
          <t>中信建投衍生品</t>
        </is>
      </c>
      <c r="V1577" s="192" t="n">
        <v>0.1</v>
      </c>
      <c r="W1577" s="172" t="n"/>
      <c r="X1577" s="172" t="n"/>
      <c r="Y1577" s="172" t="n"/>
    </row>
    <row r="1578">
      <c r="A1578" s="172" t="n">
        <v>87</v>
      </c>
      <c r="B1578" s="173" t="inlineStr">
        <is>
          <t>6月</t>
        </is>
      </c>
      <c r="C1578" s="173" t="inlineStr">
        <is>
          <t>消金</t>
        </is>
      </c>
      <c r="D1578" s="173" t="inlineStr">
        <is>
          <t>信托金条</t>
        </is>
      </c>
      <c r="E1578" s="173" t="inlineStr">
        <is>
          <t>耘睿24-10</t>
        </is>
      </c>
      <c r="F1578" s="173" t="inlineStr">
        <is>
          <t>上交所</t>
        </is>
      </c>
      <c r="G1578" s="173" t="inlineStr">
        <is>
          <t>财通资管</t>
        </is>
      </c>
      <c r="H1578" s="173" t="inlineStr">
        <is>
          <t>国泰海通</t>
        </is>
      </c>
      <c r="I1578" s="173" t="inlineStr">
        <is>
          <t>广发银行</t>
        </is>
      </c>
      <c r="J1578" s="172" t="n">
        <v>9</v>
      </c>
      <c r="K1578" s="173" t="inlineStr">
        <is>
          <t>11+24</t>
        </is>
      </c>
      <c r="L1578" s="202" t="n">
        <v>46185</v>
      </c>
      <c r="M1578" s="175" t="n">
        <v>0.0147</v>
      </c>
      <c r="N1578" s="176" t="n">
        <v>0.01942</v>
      </c>
      <c r="O1578" s="172" t="n">
        <v>2.2</v>
      </c>
      <c r="P1578" s="172" t="inlineStr">
        <is>
          <t>中间级</t>
        </is>
      </c>
      <c r="Q1578" s="204" t="n">
        <v>0.02</v>
      </c>
      <c r="R1578" s="205">
        <f>Q1072*J1061</f>
        <v/>
      </c>
      <c r="S1578" s="203" t="inlineStr">
        <is>
          <t>A+</t>
        </is>
      </c>
      <c r="T1578" s="204" t="n">
        <v>0.031</v>
      </c>
      <c r="U1578" s="203" t="inlineStr">
        <is>
          <t>利曦基金</t>
        </is>
      </c>
      <c r="V1578" s="192" t="n">
        <v>0.08</v>
      </c>
      <c r="W1578" s="172" t="n"/>
      <c r="X1578" s="172" t="n"/>
      <c r="Y1578" s="172" t="n"/>
    </row>
    <row r="1579">
      <c r="A1579" s="172" t="n">
        <v>87</v>
      </c>
      <c r="B1579" s="173" t="inlineStr">
        <is>
          <t>6月</t>
        </is>
      </c>
      <c r="C1579" s="173" t="inlineStr">
        <is>
          <t>消金</t>
        </is>
      </c>
      <c r="D1579" s="173" t="inlineStr">
        <is>
          <t>信托金条</t>
        </is>
      </c>
      <c r="E1579" s="173" t="inlineStr">
        <is>
          <t>耘睿24-10</t>
        </is>
      </c>
      <c r="F1579" s="173" t="inlineStr">
        <is>
          <t>上交所</t>
        </is>
      </c>
      <c r="G1579" s="173" t="inlineStr">
        <is>
          <t>财通资管</t>
        </is>
      </c>
      <c r="H1579" s="173" t="inlineStr">
        <is>
          <t>国泰海通</t>
        </is>
      </c>
      <c r="I1579" s="173" t="inlineStr">
        <is>
          <t>广发银行</t>
        </is>
      </c>
      <c r="J1579" s="172" t="n">
        <v>9</v>
      </c>
      <c r="K1579" s="173" t="inlineStr">
        <is>
          <t>11+24</t>
        </is>
      </c>
      <c r="L1579" s="202" t="n">
        <v>46185</v>
      </c>
      <c r="M1579" s="175" t="n">
        <v>0.0147</v>
      </c>
      <c r="N1579" s="176" t="n">
        <v>0.01942</v>
      </c>
      <c r="O1579" s="172" t="n">
        <v>2.2</v>
      </c>
      <c r="P1579" s="203" t="inlineStr">
        <is>
          <t>次级</t>
        </is>
      </c>
      <c r="Q1579" s="204" t="n">
        <v>0.05</v>
      </c>
      <c r="R1579" s="205">
        <f>Q1074*J1061</f>
        <v/>
      </c>
      <c r="S1579" s="203" t="inlineStr">
        <is>
          <t>无</t>
        </is>
      </c>
      <c r="T1579" s="204" t="n">
        <v>0.0495</v>
      </c>
      <c r="U1579" s="203" t="inlineStr">
        <is>
          <t>国泰海通自营</t>
        </is>
      </c>
      <c r="V1579" s="195" t="n">
        <v>0.315</v>
      </c>
      <c r="W1579" s="172" t="n"/>
      <c r="X1579" s="172" t="n"/>
      <c r="Y1579" s="172" t="n"/>
    </row>
    <row r="1580">
      <c r="A1580" s="172" t="n">
        <v>87</v>
      </c>
      <c r="B1580" s="173" t="inlineStr">
        <is>
          <t>6月</t>
        </is>
      </c>
      <c r="C1580" s="173" t="inlineStr">
        <is>
          <t>消金</t>
        </is>
      </c>
      <c r="D1580" s="173" t="inlineStr">
        <is>
          <t>信托金条</t>
        </is>
      </c>
      <c r="E1580" s="173" t="inlineStr">
        <is>
          <t>耘睿24-10</t>
        </is>
      </c>
      <c r="F1580" s="173" t="inlineStr">
        <is>
          <t>上交所</t>
        </is>
      </c>
      <c r="G1580" s="173" t="inlineStr">
        <is>
          <t>财通资管</t>
        </is>
      </c>
      <c r="H1580" s="173" t="inlineStr">
        <is>
          <t>国泰海通</t>
        </is>
      </c>
      <c r="I1580" s="173" t="inlineStr">
        <is>
          <t>广发银行</t>
        </is>
      </c>
      <c r="J1580" s="172" t="n">
        <v>9</v>
      </c>
      <c r="K1580" s="173" t="inlineStr">
        <is>
          <t>11+24</t>
        </is>
      </c>
      <c r="L1580" s="202" t="n">
        <v>46185</v>
      </c>
      <c r="M1580" s="175" t="n">
        <v>0.0147</v>
      </c>
      <c r="N1580" s="176" t="n">
        <v>0.01942</v>
      </c>
      <c r="O1580" s="172" t="n">
        <v>2.2</v>
      </c>
      <c r="P1580" s="172" t="inlineStr">
        <is>
          <t>次级</t>
        </is>
      </c>
      <c r="Q1580" s="204" t="n">
        <v>0.05</v>
      </c>
      <c r="R1580" s="205">
        <f>Q1074*J1061</f>
        <v/>
      </c>
      <c r="S1580" s="203" t="inlineStr">
        <is>
          <t>无</t>
        </is>
      </c>
      <c r="T1580" s="204" t="n">
        <v>0.0495</v>
      </c>
      <c r="U1580" s="203" t="inlineStr">
        <is>
          <t>中金自营</t>
        </is>
      </c>
      <c r="V1580" s="206" t="n">
        <v>0.0675</v>
      </c>
      <c r="W1580" s="172" t="n"/>
      <c r="X1580" s="172" t="n"/>
      <c r="Y1580" s="172" t="n"/>
    </row>
    <row r="1581">
      <c r="A1581" s="172" t="n">
        <v>87</v>
      </c>
      <c r="B1581" s="173" t="inlineStr">
        <is>
          <t>6月</t>
        </is>
      </c>
      <c r="C1581" s="173" t="inlineStr">
        <is>
          <t>消金</t>
        </is>
      </c>
      <c r="D1581" s="173" t="inlineStr">
        <is>
          <t>信托金条</t>
        </is>
      </c>
      <c r="E1581" s="173" t="inlineStr">
        <is>
          <t>耘睿24-10</t>
        </is>
      </c>
      <c r="F1581" s="173" t="inlineStr">
        <is>
          <t>上交所</t>
        </is>
      </c>
      <c r="G1581" s="173" t="inlineStr">
        <is>
          <t>财通资管</t>
        </is>
      </c>
      <c r="H1581" s="173" t="inlineStr">
        <is>
          <t>国泰海通</t>
        </is>
      </c>
      <c r="I1581" s="173" t="inlineStr">
        <is>
          <t>广发银行</t>
        </is>
      </c>
      <c r="J1581" s="172" t="n">
        <v>9</v>
      </c>
      <c r="K1581" s="173" t="inlineStr">
        <is>
          <t>11+24</t>
        </is>
      </c>
      <c r="L1581" s="202" t="n">
        <v>46185</v>
      </c>
      <c r="M1581" s="175" t="n">
        <v>0.0147</v>
      </c>
      <c r="N1581" s="176" t="n">
        <v>0.01942</v>
      </c>
      <c r="O1581" s="172" t="n">
        <v>2.2</v>
      </c>
      <c r="P1581" s="172" t="inlineStr">
        <is>
          <t>次级</t>
        </is>
      </c>
      <c r="Q1581" s="204" t="n">
        <v>0.05</v>
      </c>
      <c r="R1581" s="205">
        <f>Q1074*J1061</f>
        <v/>
      </c>
      <c r="S1581" s="203" t="inlineStr">
        <is>
          <t>无</t>
        </is>
      </c>
      <c r="T1581" s="204" t="n">
        <v>0.0495</v>
      </c>
      <c r="U1581" s="203" t="inlineStr">
        <is>
          <t>中信证券自营</t>
        </is>
      </c>
      <c r="V1581" s="206" t="n">
        <v>0.0675</v>
      </c>
      <c r="W1581" s="172" t="n"/>
      <c r="X1581" s="172" t="n"/>
      <c r="Y1581" s="172" t="n"/>
    </row>
    <row r="1582">
      <c r="A1582" s="172" t="n">
        <v>83</v>
      </c>
      <c r="B1582" s="172" t="inlineStr">
        <is>
          <t>8月</t>
        </is>
      </c>
      <c r="C1582" s="172" t="inlineStr">
        <is>
          <t>企金</t>
        </is>
      </c>
      <c r="D1582" s="172" t="inlineStr">
        <is>
          <t>金采</t>
        </is>
      </c>
      <c r="E1582" s="172" t="inlineStr">
        <is>
          <t>金采8-2</t>
        </is>
      </c>
      <c r="F1582" s="172" t="inlineStr">
        <is>
          <t>上交所</t>
        </is>
      </c>
      <c r="G1582" s="172" t="inlineStr">
        <is>
          <t>天风资管</t>
        </is>
      </c>
      <c r="H1582" s="172" t="inlineStr">
        <is>
          <t>国信证券</t>
        </is>
      </c>
      <c r="I1582" s="172" t="inlineStr">
        <is>
          <t>中行北分</t>
        </is>
      </c>
      <c r="J1582" s="172" t="n">
        <v>10</v>
      </c>
      <c r="K1582" s="172" t="inlineStr">
        <is>
          <t>7+12</t>
        </is>
      </c>
      <c r="L1582" s="202" t="n">
        <v>46181</v>
      </c>
      <c r="M1582" s="175" t="n">
        <v>0.0144</v>
      </c>
      <c r="N1582" s="176" t="n">
        <v>0.0187</v>
      </c>
      <c r="O1582" s="191" t="n">
        <v>1.58</v>
      </c>
      <c r="P1582" s="172" t="inlineStr">
        <is>
          <t>优先级</t>
        </is>
      </c>
      <c r="Q1582" s="175" t="n">
        <v>0.9</v>
      </c>
      <c r="R1582" s="192" t="n">
        <v>9</v>
      </c>
      <c r="S1582" s="172" t="inlineStr">
        <is>
          <t>AAA</t>
        </is>
      </c>
      <c r="T1582" s="175" t="n">
        <v>0.016</v>
      </c>
      <c r="U1582" s="172" t="inlineStr">
        <is>
          <t>邦汇保理</t>
        </is>
      </c>
      <c r="V1582" s="191" t="n">
        <v>0.45</v>
      </c>
      <c r="W1582" s="175" t="n">
        <v>0.014</v>
      </c>
      <c r="X1582" s="172" t="inlineStr">
        <is>
          <t>邦汇保理</t>
        </is>
      </c>
      <c r="Y1582" s="191" t="n">
        <v>0.45</v>
      </c>
    </row>
    <row r="1583">
      <c r="A1583" s="172" t="n">
        <v>83</v>
      </c>
      <c r="B1583" s="172" t="inlineStr">
        <is>
          <t>8月</t>
        </is>
      </c>
      <c r="C1583" s="172" t="inlineStr">
        <is>
          <t>企金</t>
        </is>
      </c>
      <c r="D1583" s="172" t="inlineStr">
        <is>
          <t>金采</t>
        </is>
      </c>
      <c r="E1583" s="172" t="inlineStr">
        <is>
          <t>金采8-2</t>
        </is>
      </c>
      <c r="F1583" s="172" t="inlineStr">
        <is>
          <t>上交所</t>
        </is>
      </c>
      <c r="G1583" s="172" t="inlineStr">
        <is>
          <t>天风资管</t>
        </is>
      </c>
      <c r="H1583" s="172" t="inlineStr">
        <is>
          <t>国信证券</t>
        </is>
      </c>
      <c r="I1583" s="172" t="inlineStr">
        <is>
          <t>中行北分</t>
        </is>
      </c>
      <c r="J1583" s="172" t="n">
        <v>10</v>
      </c>
      <c r="K1583" s="172" t="inlineStr">
        <is>
          <t>7+12</t>
        </is>
      </c>
      <c r="L1583" s="202" t="n">
        <v>46181</v>
      </c>
      <c r="M1583" s="175" t="n">
        <v>0.0144</v>
      </c>
      <c r="N1583" s="176" t="n">
        <v>0.0187</v>
      </c>
      <c r="O1583" s="191" t="n">
        <v>1.58</v>
      </c>
      <c r="P1583" s="172" t="inlineStr">
        <is>
          <t>优先级</t>
        </is>
      </c>
      <c r="Q1583" s="175" t="n">
        <v>0.9</v>
      </c>
      <c r="R1583" s="192" t="n">
        <v>9</v>
      </c>
      <c r="S1583" s="172" t="inlineStr">
        <is>
          <t>AAA</t>
        </is>
      </c>
      <c r="T1583" s="175" t="n">
        <v>0.016</v>
      </c>
      <c r="U1583" s="172" t="inlineStr">
        <is>
          <t>工银理财</t>
        </is>
      </c>
      <c r="V1583" s="191" t="n">
        <v>1.5</v>
      </c>
      <c r="W1583" s="175" t="n">
        <v>0.0153</v>
      </c>
      <c r="X1583" s="172" t="inlineStr">
        <is>
          <t>工银理财</t>
        </is>
      </c>
      <c r="Y1583" s="191" t="n">
        <v>1.5</v>
      </c>
    </row>
    <row r="1584">
      <c r="A1584" s="172" t="n">
        <v>83</v>
      </c>
      <c r="B1584" s="172" t="inlineStr">
        <is>
          <t>8月</t>
        </is>
      </c>
      <c r="C1584" s="172" t="inlineStr">
        <is>
          <t>企金</t>
        </is>
      </c>
      <c r="D1584" s="172" t="inlineStr">
        <is>
          <t>金采</t>
        </is>
      </c>
      <c r="E1584" s="172" t="inlineStr">
        <is>
          <t>金采8-2</t>
        </is>
      </c>
      <c r="F1584" s="172" t="inlineStr">
        <is>
          <t>上交所</t>
        </is>
      </c>
      <c r="G1584" s="172" t="inlineStr">
        <is>
          <t>天风资管</t>
        </is>
      </c>
      <c r="H1584" s="172" t="inlineStr">
        <is>
          <t>国信证券</t>
        </is>
      </c>
      <c r="I1584" s="172" t="inlineStr">
        <is>
          <t>中行北分</t>
        </is>
      </c>
      <c r="J1584" s="172" t="n">
        <v>10</v>
      </c>
      <c r="K1584" s="172" t="inlineStr">
        <is>
          <t>7+12</t>
        </is>
      </c>
      <c r="L1584" s="202" t="n">
        <v>46181</v>
      </c>
      <c r="M1584" s="175" t="n">
        <v>0.0144</v>
      </c>
      <c r="N1584" s="176" t="n">
        <v>0.0187</v>
      </c>
      <c r="O1584" s="191" t="n">
        <v>1.58</v>
      </c>
      <c r="P1584" s="172" t="inlineStr">
        <is>
          <t>优先级</t>
        </is>
      </c>
      <c r="Q1584" s="175" t="n">
        <v>0.9</v>
      </c>
      <c r="R1584" s="192" t="n">
        <v>9</v>
      </c>
      <c r="S1584" s="172" t="inlineStr">
        <is>
          <t>AAA</t>
        </is>
      </c>
      <c r="T1584" s="175" t="n">
        <v>0.016</v>
      </c>
      <c r="U1584" s="172" t="inlineStr">
        <is>
          <t>建信理财</t>
        </is>
      </c>
      <c r="V1584" s="191" t="n">
        <v>2.7</v>
      </c>
      <c r="W1584" s="175" t="n">
        <v>0.0155</v>
      </c>
      <c r="X1584" s="172" t="inlineStr">
        <is>
          <t>建信理财</t>
        </is>
      </c>
      <c r="Y1584" s="191" t="n">
        <v>2.5</v>
      </c>
    </row>
    <row r="1585">
      <c r="A1585" s="172" t="n">
        <v>83</v>
      </c>
      <c r="B1585" s="172" t="inlineStr">
        <is>
          <t>8月</t>
        </is>
      </c>
      <c r="C1585" s="172" t="inlineStr">
        <is>
          <t>企金</t>
        </is>
      </c>
      <c r="D1585" s="172" t="inlineStr">
        <is>
          <t>金采</t>
        </is>
      </c>
      <c r="E1585" s="172" t="inlineStr">
        <is>
          <t>金采8-2</t>
        </is>
      </c>
      <c r="F1585" s="172" t="inlineStr">
        <is>
          <t>上交所</t>
        </is>
      </c>
      <c r="G1585" s="172" t="inlineStr">
        <is>
          <t>天风资管</t>
        </is>
      </c>
      <c r="H1585" s="172" t="inlineStr">
        <is>
          <t>国信证券</t>
        </is>
      </c>
      <c r="I1585" s="172" t="inlineStr">
        <is>
          <t>中行北分</t>
        </is>
      </c>
      <c r="J1585" s="172" t="n">
        <v>10</v>
      </c>
      <c r="K1585" s="172" t="inlineStr">
        <is>
          <t>7+12</t>
        </is>
      </c>
      <c r="L1585" s="202" t="n">
        <v>46181</v>
      </c>
      <c r="M1585" s="175" t="n">
        <v>0.0144</v>
      </c>
      <c r="N1585" s="176" t="n">
        <v>0.0187</v>
      </c>
      <c r="O1585" s="191" t="n">
        <v>1.58</v>
      </c>
      <c r="P1585" s="172" t="inlineStr">
        <is>
          <t>优先级</t>
        </is>
      </c>
      <c r="Q1585" s="175" t="n">
        <v>0.9</v>
      </c>
      <c r="R1585" s="192" t="n">
        <v>9</v>
      </c>
      <c r="S1585" s="172" t="inlineStr">
        <is>
          <t>AAA</t>
        </is>
      </c>
      <c r="T1585" s="175" t="n">
        <v>0.016</v>
      </c>
      <c r="U1585" s="172" t="inlineStr">
        <is>
          <t>华夏基金</t>
        </is>
      </c>
      <c r="V1585" s="191" t="n">
        <v>0.9</v>
      </c>
      <c r="W1585" s="175" t="n">
        <v>0.0158</v>
      </c>
      <c r="X1585" s="172" t="inlineStr">
        <is>
          <t>华夏基金</t>
        </is>
      </c>
      <c r="Y1585" s="191" t="n">
        <v>0.9</v>
      </c>
    </row>
    <row r="1586">
      <c r="A1586" s="172" t="n">
        <v>83</v>
      </c>
      <c r="B1586" s="172" t="inlineStr">
        <is>
          <t>8月</t>
        </is>
      </c>
      <c r="C1586" s="172" t="inlineStr">
        <is>
          <t>企金</t>
        </is>
      </c>
      <c r="D1586" s="172" t="inlineStr">
        <is>
          <t>金采</t>
        </is>
      </c>
      <c r="E1586" s="172" t="inlineStr">
        <is>
          <t>金采8-2</t>
        </is>
      </c>
      <c r="F1586" s="172" t="inlineStr">
        <is>
          <t>上交所</t>
        </is>
      </c>
      <c r="G1586" s="172" t="inlineStr">
        <is>
          <t>天风资管</t>
        </is>
      </c>
      <c r="H1586" s="172" t="inlineStr">
        <is>
          <t>国信证券</t>
        </is>
      </c>
      <c r="I1586" s="172" t="inlineStr">
        <is>
          <t>中行北分</t>
        </is>
      </c>
      <c r="J1586" s="172" t="n">
        <v>10</v>
      </c>
      <c r="K1586" s="172" t="inlineStr">
        <is>
          <t>7+12</t>
        </is>
      </c>
      <c r="L1586" s="202" t="n">
        <v>46181</v>
      </c>
      <c r="M1586" s="175" t="n">
        <v>0.0144</v>
      </c>
      <c r="N1586" s="176" t="n">
        <v>0.0187</v>
      </c>
      <c r="O1586" s="191" t="n">
        <v>1.58</v>
      </c>
      <c r="P1586" s="172" t="inlineStr">
        <is>
          <t>优先级</t>
        </is>
      </c>
      <c r="Q1586" s="175" t="n">
        <v>0.9</v>
      </c>
      <c r="R1586" s="192" t="n">
        <v>9</v>
      </c>
      <c r="S1586" s="172" t="inlineStr">
        <is>
          <t>AAA</t>
        </is>
      </c>
      <c r="T1586" s="175" t="n">
        <v>0.016</v>
      </c>
      <c r="U1586" s="172" t="inlineStr">
        <is>
          <t>华夏理财</t>
        </is>
      </c>
      <c r="V1586" s="191" t="n">
        <v>1.16</v>
      </c>
      <c r="W1586" s="175" t="n">
        <v>0.016</v>
      </c>
      <c r="X1586" s="172" t="inlineStr">
        <is>
          <t>华夏理财</t>
        </is>
      </c>
      <c r="Y1586" s="191" t="n">
        <v>2.7</v>
      </c>
    </row>
    <row r="1587">
      <c r="A1587" s="172" t="n">
        <v>83</v>
      </c>
      <c r="B1587" s="172" t="inlineStr">
        <is>
          <t>8月</t>
        </is>
      </c>
      <c r="C1587" s="172" t="inlineStr">
        <is>
          <t>企金</t>
        </is>
      </c>
      <c r="D1587" s="172" t="inlineStr">
        <is>
          <t>金采</t>
        </is>
      </c>
      <c r="E1587" s="172" t="inlineStr">
        <is>
          <t>金采8-2</t>
        </is>
      </c>
      <c r="F1587" s="172" t="inlineStr">
        <is>
          <t>上交所</t>
        </is>
      </c>
      <c r="G1587" s="172" t="inlineStr">
        <is>
          <t>天风资管</t>
        </is>
      </c>
      <c r="H1587" s="172" t="inlineStr">
        <is>
          <t>国信证券</t>
        </is>
      </c>
      <c r="I1587" s="172" t="inlineStr">
        <is>
          <t>中行北分</t>
        </is>
      </c>
      <c r="J1587" s="172" t="n">
        <v>10</v>
      </c>
      <c r="K1587" s="172" t="inlineStr">
        <is>
          <t>7+12</t>
        </is>
      </c>
      <c r="L1587" s="202" t="n">
        <v>46181</v>
      </c>
      <c r="M1587" s="175" t="n">
        <v>0.0144</v>
      </c>
      <c r="N1587" s="176" t="n">
        <v>0.0187</v>
      </c>
      <c r="O1587" s="191" t="n">
        <v>1.58</v>
      </c>
      <c r="P1587" s="172" t="inlineStr">
        <is>
          <t>优先级</t>
        </is>
      </c>
      <c r="Q1587" s="175" t="n">
        <v>0.9</v>
      </c>
      <c r="R1587" s="192" t="n">
        <v>9</v>
      </c>
      <c r="S1587" s="172" t="inlineStr">
        <is>
          <t>AAA</t>
        </is>
      </c>
      <c r="T1587" s="175" t="n">
        <v>0.016</v>
      </c>
      <c r="U1587" s="172" t="inlineStr">
        <is>
          <t>交银理财</t>
        </is>
      </c>
      <c r="V1587" s="191" t="n">
        <v>2.29</v>
      </c>
      <c r="W1587" s="175" t="n">
        <v>0.015</v>
      </c>
      <c r="X1587" s="172" t="inlineStr">
        <is>
          <t>交银理财</t>
        </is>
      </c>
      <c r="Y1587" s="191" t="n">
        <v>0.3</v>
      </c>
    </row>
    <row r="1588">
      <c r="A1588" s="172" t="n">
        <v>83</v>
      </c>
      <c r="B1588" s="172" t="inlineStr">
        <is>
          <t>8月</t>
        </is>
      </c>
      <c r="C1588" s="172" t="inlineStr">
        <is>
          <t>企金</t>
        </is>
      </c>
      <c r="D1588" s="172" t="inlineStr">
        <is>
          <t>金采</t>
        </is>
      </c>
      <c r="E1588" s="172" t="inlineStr">
        <is>
          <t>金采8-2</t>
        </is>
      </c>
      <c r="F1588" s="172" t="inlineStr">
        <is>
          <t>上交所</t>
        </is>
      </c>
      <c r="G1588" s="172" t="inlineStr">
        <is>
          <t>天风资管</t>
        </is>
      </c>
      <c r="H1588" s="172" t="inlineStr">
        <is>
          <t>国信证券</t>
        </is>
      </c>
      <c r="I1588" s="172" t="inlineStr">
        <is>
          <t>中行北分</t>
        </is>
      </c>
      <c r="J1588" s="172" t="n">
        <v>10</v>
      </c>
      <c r="K1588" s="172" t="inlineStr">
        <is>
          <t>7+12</t>
        </is>
      </c>
      <c r="L1588" s="200" t="n">
        <v>46181</v>
      </c>
      <c r="M1588" s="175" t="n">
        <v>0.0144</v>
      </c>
      <c r="N1588" s="176" t="n">
        <v>0.0187</v>
      </c>
      <c r="O1588" s="172" t="n">
        <v>1.58</v>
      </c>
      <c r="P1588" s="172" t="inlineStr">
        <is>
          <t>优先级</t>
        </is>
      </c>
      <c r="Q1588" s="175" t="n">
        <v>0.9</v>
      </c>
      <c r="R1588" s="192" t="n">
        <v>9</v>
      </c>
      <c r="S1588" s="172" t="inlineStr">
        <is>
          <t>AAA</t>
        </is>
      </c>
      <c r="T1588" s="175" t="n">
        <v>0.016</v>
      </c>
      <c r="U1588" s="172" t="n"/>
      <c r="V1588" s="172" t="n"/>
      <c r="W1588" s="175" t="n">
        <v>0.0156</v>
      </c>
      <c r="X1588" s="172" t="inlineStr">
        <is>
          <t>交银理财</t>
        </is>
      </c>
      <c r="Y1588" s="191" t="n">
        <v>0.48</v>
      </c>
    </row>
    <row r="1589">
      <c r="A1589" s="172" t="n">
        <v>83</v>
      </c>
      <c r="B1589" s="172" t="inlineStr">
        <is>
          <t>8月</t>
        </is>
      </c>
      <c r="C1589" s="172" t="inlineStr">
        <is>
          <t>企金</t>
        </is>
      </c>
      <c r="D1589" s="172" t="inlineStr">
        <is>
          <t>金采</t>
        </is>
      </c>
      <c r="E1589" s="172" t="inlineStr">
        <is>
          <t>金采8-2</t>
        </is>
      </c>
      <c r="F1589" s="172" t="inlineStr">
        <is>
          <t>上交所</t>
        </is>
      </c>
      <c r="G1589" s="172" t="inlineStr">
        <is>
          <t>天风资管</t>
        </is>
      </c>
      <c r="H1589" s="172" t="inlineStr">
        <is>
          <t>国信证券</t>
        </is>
      </c>
      <c r="I1589" s="172" t="inlineStr">
        <is>
          <t>中行北分</t>
        </is>
      </c>
      <c r="J1589" s="172" t="n">
        <v>10</v>
      </c>
      <c r="K1589" s="172" t="inlineStr">
        <is>
          <t>7+12</t>
        </is>
      </c>
      <c r="L1589" s="200" t="n">
        <v>46181</v>
      </c>
      <c r="M1589" s="175" t="n">
        <v>0.0144</v>
      </c>
      <c r="N1589" s="176" t="n">
        <v>0.0187</v>
      </c>
      <c r="O1589" s="172" t="n">
        <v>1.58</v>
      </c>
      <c r="P1589" s="172" t="inlineStr">
        <is>
          <t>优先级</t>
        </is>
      </c>
      <c r="Q1589" s="175" t="n">
        <v>0.9</v>
      </c>
      <c r="R1589" s="192" t="n">
        <v>9</v>
      </c>
      <c r="S1589" s="172" t="inlineStr">
        <is>
          <t>AAA</t>
        </is>
      </c>
      <c r="T1589" s="175" t="n">
        <v>0.016</v>
      </c>
      <c r="U1589" s="172" t="n"/>
      <c r="V1589" s="172" t="n"/>
      <c r="W1589" s="175" t="n">
        <v>0.0158</v>
      </c>
      <c r="X1589" s="172" t="inlineStr">
        <is>
          <t>建信理财</t>
        </is>
      </c>
      <c r="Y1589" s="191" t="n">
        <v>0.2</v>
      </c>
    </row>
    <row r="1590">
      <c r="A1590" s="172" t="n">
        <v>83</v>
      </c>
      <c r="B1590" s="172" t="inlineStr">
        <is>
          <t>8月</t>
        </is>
      </c>
      <c r="C1590" s="172" t="inlineStr">
        <is>
          <t>企金</t>
        </is>
      </c>
      <c r="D1590" s="172" t="inlineStr">
        <is>
          <t>金采</t>
        </is>
      </c>
      <c r="E1590" s="172" t="inlineStr">
        <is>
          <t>金采8-2</t>
        </is>
      </c>
      <c r="F1590" s="172" t="inlineStr">
        <is>
          <t>上交所</t>
        </is>
      </c>
      <c r="G1590" s="172" t="inlineStr">
        <is>
          <t>天风资管</t>
        </is>
      </c>
      <c r="H1590" s="172" t="inlineStr">
        <is>
          <t>国信证券</t>
        </is>
      </c>
      <c r="I1590" s="172" t="inlineStr">
        <is>
          <t>中行北分</t>
        </is>
      </c>
      <c r="J1590" s="172" t="n">
        <v>10</v>
      </c>
      <c r="K1590" s="172" t="inlineStr">
        <is>
          <t>7+12</t>
        </is>
      </c>
      <c r="L1590" s="200" t="n">
        <v>46181</v>
      </c>
      <c r="M1590" s="175" t="n">
        <v>0.0144</v>
      </c>
      <c r="N1590" s="176" t="n">
        <v>0.0187</v>
      </c>
      <c r="O1590" s="172" t="n">
        <v>1.58</v>
      </c>
      <c r="P1590" s="172" t="inlineStr">
        <is>
          <t>优先级</t>
        </is>
      </c>
      <c r="Q1590" s="175" t="n">
        <v>0.9</v>
      </c>
      <c r="R1590" s="192" t="n">
        <v>9</v>
      </c>
      <c r="S1590" s="172" t="inlineStr">
        <is>
          <t>AAA</t>
        </is>
      </c>
      <c r="T1590" s="175" t="n">
        <v>0.016</v>
      </c>
      <c r="U1590" s="172" t="n"/>
      <c r="V1590" s="172" t="n"/>
      <c r="W1590" s="175" t="n">
        <v>0.0159</v>
      </c>
      <c r="X1590" s="172" t="inlineStr">
        <is>
          <t>交银理财</t>
        </is>
      </c>
      <c r="Y1590" s="191" t="n">
        <v>1.2</v>
      </c>
    </row>
    <row r="1591">
      <c r="A1591" s="172" t="n">
        <v>83</v>
      </c>
      <c r="B1591" s="172" t="inlineStr">
        <is>
          <t>8月</t>
        </is>
      </c>
      <c r="C1591" s="172" t="inlineStr">
        <is>
          <t>企金</t>
        </is>
      </c>
      <c r="D1591" s="172" t="inlineStr">
        <is>
          <t>金采</t>
        </is>
      </c>
      <c r="E1591" s="172" t="inlineStr">
        <is>
          <t>金采8-2</t>
        </is>
      </c>
      <c r="F1591" s="172" t="inlineStr">
        <is>
          <t>上交所</t>
        </is>
      </c>
      <c r="G1591" s="172" t="inlineStr">
        <is>
          <t>天风资管</t>
        </is>
      </c>
      <c r="H1591" s="172" t="inlineStr">
        <is>
          <t>国信证券</t>
        </is>
      </c>
      <c r="I1591" s="172" t="inlineStr">
        <is>
          <t>中行北分</t>
        </is>
      </c>
      <c r="J1591" s="172" t="n">
        <v>10</v>
      </c>
      <c r="K1591" s="172" t="inlineStr">
        <is>
          <t>7+12</t>
        </is>
      </c>
      <c r="L1591" s="200" t="n">
        <v>46181</v>
      </c>
      <c r="M1591" s="175" t="n">
        <v>0.0144</v>
      </c>
      <c r="N1591" s="176" t="n">
        <v>0.0187</v>
      </c>
      <c r="O1591" s="172" t="n">
        <v>1.58</v>
      </c>
      <c r="P1591" s="172" t="inlineStr">
        <is>
          <t>优先级</t>
        </is>
      </c>
      <c r="Q1591" s="175" t="n">
        <v>0.9</v>
      </c>
      <c r="R1591" s="192" t="n">
        <v>9</v>
      </c>
      <c r="S1591" s="172" t="inlineStr">
        <is>
          <t>AAA</t>
        </is>
      </c>
      <c r="T1591" s="175" t="n">
        <v>0.016</v>
      </c>
      <c r="U1591" s="172" t="n"/>
      <c r="V1591" s="172" t="n"/>
      <c r="W1591" s="175" t="n">
        <v>0.016</v>
      </c>
      <c r="X1591" s="172" t="inlineStr">
        <is>
          <t>交银理财</t>
        </is>
      </c>
      <c r="Y1591" s="191" t="n">
        <v>0.72</v>
      </c>
    </row>
    <row r="1592">
      <c r="A1592" s="172" t="n">
        <v>83</v>
      </c>
      <c r="B1592" s="172" t="inlineStr">
        <is>
          <t>8月</t>
        </is>
      </c>
      <c r="C1592" s="172" t="inlineStr">
        <is>
          <t>企金</t>
        </is>
      </c>
      <c r="D1592" s="172" t="inlineStr">
        <is>
          <t>金采</t>
        </is>
      </c>
      <c r="E1592" s="172" t="inlineStr">
        <is>
          <t>金采8-2</t>
        </is>
      </c>
      <c r="F1592" s="172" t="inlineStr">
        <is>
          <t>上交所</t>
        </is>
      </c>
      <c r="G1592" s="172" t="inlineStr">
        <is>
          <t>天风资管</t>
        </is>
      </c>
      <c r="H1592" s="172" t="inlineStr">
        <is>
          <t>国信证券</t>
        </is>
      </c>
      <c r="I1592" s="172" t="inlineStr">
        <is>
          <t>中行北分</t>
        </is>
      </c>
      <c r="J1592" s="172" t="n">
        <v>10</v>
      </c>
      <c r="K1592" s="172" t="inlineStr">
        <is>
          <t>7+12</t>
        </is>
      </c>
      <c r="L1592" s="200" t="n">
        <v>46181</v>
      </c>
      <c r="M1592" s="175" t="n">
        <v>0.0144</v>
      </c>
      <c r="N1592" s="176" t="n">
        <v>0.0187</v>
      </c>
      <c r="O1592" s="172" t="n">
        <v>1.58</v>
      </c>
      <c r="P1592" s="172" t="inlineStr">
        <is>
          <t>优先级</t>
        </is>
      </c>
      <c r="Q1592" s="175" t="n">
        <v>0.9</v>
      </c>
      <c r="R1592" s="192" t="n">
        <v>9</v>
      </c>
      <c r="S1592" s="172" t="inlineStr">
        <is>
          <t>AAA</t>
        </is>
      </c>
      <c r="T1592" s="175" t="n">
        <v>0.016</v>
      </c>
      <c r="U1592" s="172" t="n"/>
      <c r="V1592" s="172" t="n"/>
      <c r="W1592" s="175" t="n">
        <v>0.017</v>
      </c>
      <c r="X1592" s="172" t="inlineStr">
        <is>
          <t>国信证券</t>
        </is>
      </c>
      <c r="Y1592" s="191" t="n">
        <v>1.3</v>
      </c>
    </row>
    <row r="1593">
      <c r="A1593" s="172" t="n">
        <v>83</v>
      </c>
      <c r="B1593" s="172" t="inlineStr">
        <is>
          <t>8月</t>
        </is>
      </c>
      <c r="C1593" s="172" t="inlineStr">
        <is>
          <t>企金</t>
        </is>
      </c>
      <c r="D1593" s="172" t="inlineStr">
        <is>
          <t>金采</t>
        </is>
      </c>
      <c r="E1593" s="172" t="inlineStr">
        <is>
          <t>金采8-2</t>
        </is>
      </c>
      <c r="F1593" s="172" t="inlineStr">
        <is>
          <t>上交所</t>
        </is>
      </c>
      <c r="G1593" s="172" t="inlineStr">
        <is>
          <t>天风资管</t>
        </is>
      </c>
      <c r="H1593" s="172" t="inlineStr">
        <is>
          <t>国信证券</t>
        </is>
      </c>
      <c r="I1593" s="172" t="inlineStr">
        <is>
          <t>中行北分</t>
        </is>
      </c>
      <c r="J1593" s="172" t="n">
        <v>10</v>
      </c>
      <c r="K1593" s="172" t="inlineStr">
        <is>
          <t>7+12</t>
        </is>
      </c>
      <c r="L1593" s="200" t="n">
        <v>46181</v>
      </c>
      <c r="M1593" s="175" t="n">
        <v>0.0144</v>
      </c>
      <c r="N1593" s="176" t="n">
        <v>0.0187</v>
      </c>
      <c r="O1593" s="172" t="n">
        <v>1.58</v>
      </c>
      <c r="P1593" s="172" t="inlineStr">
        <is>
          <t>优先级</t>
        </is>
      </c>
      <c r="Q1593" s="175" t="n">
        <v>0.9</v>
      </c>
      <c r="R1593" s="192" t="n">
        <v>9</v>
      </c>
      <c r="S1593" s="172" t="inlineStr">
        <is>
          <t>AAA</t>
        </is>
      </c>
      <c r="T1593" s="175" t="n">
        <v>0.016</v>
      </c>
      <c r="U1593" s="172" t="n"/>
      <c r="V1593" s="172" t="n"/>
      <c r="W1593" s="175" t="n">
        <v>0.024</v>
      </c>
      <c r="X1593" s="172" t="inlineStr">
        <is>
          <t>利曦基金</t>
        </is>
      </c>
      <c r="Y1593" s="191" t="n">
        <v>2</v>
      </c>
    </row>
    <row r="1594">
      <c r="A1594" s="172" t="n">
        <v>83</v>
      </c>
      <c r="B1594" s="172" t="inlineStr">
        <is>
          <t>8月</t>
        </is>
      </c>
      <c r="C1594" s="172" t="inlineStr">
        <is>
          <t>企金</t>
        </is>
      </c>
      <c r="D1594" s="172" t="inlineStr">
        <is>
          <t>金采</t>
        </is>
      </c>
      <c r="E1594" s="172" t="inlineStr">
        <is>
          <t>金采8-2</t>
        </is>
      </c>
      <c r="F1594" s="172" t="inlineStr">
        <is>
          <t>上交所</t>
        </is>
      </c>
      <c r="G1594" s="172" t="inlineStr">
        <is>
          <t>天风资管</t>
        </is>
      </c>
      <c r="H1594" s="172" t="inlineStr">
        <is>
          <t>国信证券</t>
        </is>
      </c>
      <c r="I1594" s="172" t="inlineStr">
        <is>
          <t>中行北分</t>
        </is>
      </c>
      <c r="J1594" s="172" t="n">
        <v>10</v>
      </c>
      <c r="K1594" s="172" t="inlineStr">
        <is>
          <t>7+12</t>
        </is>
      </c>
      <c r="L1594" s="202" t="n">
        <v>46181</v>
      </c>
      <c r="M1594" s="175" t="n">
        <v>0.0144</v>
      </c>
      <c r="N1594" s="176" t="n">
        <v>0.0187</v>
      </c>
      <c r="O1594" s="191" t="n">
        <v>1.58</v>
      </c>
      <c r="P1594" s="172" t="inlineStr">
        <is>
          <t>中间级</t>
        </is>
      </c>
      <c r="Q1594" s="175" t="n">
        <v>0.05</v>
      </c>
      <c r="R1594" s="192" t="n">
        <v>0.5</v>
      </c>
      <c r="S1594" s="175" t="inlineStr">
        <is>
          <t>AA</t>
        </is>
      </c>
      <c r="T1594" s="175" t="n">
        <v>0.031</v>
      </c>
      <c r="U1594" s="172" t="inlineStr">
        <is>
          <t>邦汇保理</t>
        </is>
      </c>
      <c r="V1594" s="193" t="n">
        <v>0.025</v>
      </c>
      <c r="W1594" s="172" t="n"/>
      <c r="X1594" s="172" t="n"/>
      <c r="Y1594" s="172" t="n"/>
    </row>
    <row r="1595">
      <c r="A1595" s="172" t="n">
        <v>83</v>
      </c>
      <c r="B1595" s="172" t="inlineStr">
        <is>
          <t>8月</t>
        </is>
      </c>
      <c r="C1595" s="172" t="inlineStr">
        <is>
          <t>企金</t>
        </is>
      </c>
      <c r="D1595" s="172" t="inlineStr">
        <is>
          <t>金采</t>
        </is>
      </c>
      <c r="E1595" s="172" t="inlineStr">
        <is>
          <t>金采8-2</t>
        </is>
      </c>
      <c r="F1595" s="172" t="inlineStr">
        <is>
          <t>上交所</t>
        </is>
      </c>
      <c r="G1595" s="172" t="inlineStr">
        <is>
          <t>天风资管</t>
        </is>
      </c>
      <c r="H1595" s="172" t="inlineStr">
        <is>
          <t>国信证券</t>
        </is>
      </c>
      <c r="I1595" s="172" t="inlineStr">
        <is>
          <t>中行北分</t>
        </is>
      </c>
      <c r="J1595" s="172" t="n">
        <v>10</v>
      </c>
      <c r="K1595" s="172" t="inlineStr">
        <is>
          <t>7+12</t>
        </is>
      </c>
      <c r="L1595" s="202" t="n">
        <v>46181</v>
      </c>
      <c r="M1595" s="175" t="n">
        <v>0.0144</v>
      </c>
      <c r="N1595" s="176" t="n">
        <v>0.0187</v>
      </c>
      <c r="O1595" s="191" t="n">
        <v>1.58</v>
      </c>
      <c r="P1595" s="172" t="inlineStr">
        <is>
          <t>中间级</t>
        </is>
      </c>
      <c r="Q1595" s="175" t="n">
        <v>0.05</v>
      </c>
      <c r="R1595" s="192" t="n">
        <v>0.5</v>
      </c>
      <c r="S1595" s="175" t="inlineStr">
        <is>
          <t>AA</t>
        </is>
      </c>
      <c r="T1595" s="175" t="n">
        <v>0.031</v>
      </c>
      <c r="U1595" s="172" t="inlineStr">
        <is>
          <t>华宝证券资管</t>
        </is>
      </c>
      <c r="V1595" s="193" t="n">
        <v>0.175</v>
      </c>
      <c r="W1595" s="172" t="n"/>
      <c r="X1595" s="172" t="n"/>
      <c r="Y1595" s="172" t="n"/>
    </row>
    <row r="1596">
      <c r="A1596" s="172" t="n">
        <v>83</v>
      </c>
      <c r="B1596" s="172" t="inlineStr">
        <is>
          <t>8月</t>
        </is>
      </c>
      <c r="C1596" s="172" t="inlineStr">
        <is>
          <t>企金</t>
        </is>
      </c>
      <c r="D1596" s="172" t="inlineStr">
        <is>
          <t>金采</t>
        </is>
      </c>
      <c r="E1596" s="172" t="inlineStr">
        <is>
          <t>金采8-2</t>
        </is>
      </c>
      <c r="F1596" s="172" t="inlineStr">
        <is>
          <t>上交所</t>
        </is>
      </c>
      <c r="G1596" s="172" t="inlineStr">
        <is>
          <t>天风资管</t>
        </is>
      </c>
      <c r="H1596" s="172" t="inlineStr">
        <is>
          <t>国信证券</t>
        </is>
      </c>
      <c r="I1596" s="172" t="inlineStr">
        <is>
          <t>中行北分</t>
        </is>
      </c>
      <c r="J1596" s="172" t="n">
        <v>10</v>
      </c>
      <c r="K1596" s="172" t="inlineStr">
        <is>
          <t>7+12</t>
        </is>
      </c>
      <c r="L1596" s="202" t="n">
        <v>46181</v>
      </c>
      <c r="M1596" s="175" t="n">
        <v>0.0144</v>
      </c>
      <c r="N1596" s="176" t="n">
        <v>0.0187</v>
      </c>
      <c r="O1596" s="191" t="n">
        <v>1.58</v>
      </c>
      <c r="P1596" s="172" t="inlineStr">
        <is>
          <t>中间级</t>
        </is>
      </c>
      <c r="Q1596" s="175" t="n">
        <v>0.05</v>
      </c>
      <c r="R1596" s="192" t="n">
        <v>0.5</v>
      </c>
      <c r="S1596" s="175" t="inlineStr">
        <is>
          <t>AA</t>
        </is>
      </c>
      <c r="T1596" s="175" t="n">
        <v>0.031</v>
      </c>
      <c r="U1596" s="172" t="inlineStr">
        <is>
          <t>德邦证券自营</t>
        </is>
      </c>
      <c r="V1596" s="191" t="n">
        <v>0.1</v>
      </c>
      <c r="W1596" s="172" t="n"/>
      <c r="X1596" s="172" t="n"/>
      <c r="Y1596" s="172" t="n"/>
    </row>
    <row r="1597">
      <c r="A1597" s="172" t="n">
        <v>83</v>
      </c>
      <c r="B1597" s="172" t="inlineStr">
        <is>
          <t>8月</t>
        </is>
      </c>
      <c r="C1597" s="172" t="inlineStr">
        <is>
          <t>企金</t>
        </is>
      </c>
      <c r="D1597" s="172" t="inlineStr">
        <is>
          <t>金采</t>
        </is>
      </c>
      <c r="E1597" s="172" t="inlineStr">
        <is>
          <t>金采8-2</t>
        </is>
      </c>
      <c r="F1597" s="172" t="inlineStr">
        <is>
          <t>上交所</t>
        </is>
      </c>
      <c r="G1597" s="172" t="inlineStr">
        <is>
          <t>天风资管</t>
        </is>
      </c>
      <c r="H1597" s="172" t="inlineStr">
        <is>
          <t>国信证券</t>
        </is>
      </c>
      <c r="I1597" s="172" t="inlineStr">
        <is>
          <t>中行北分</t>
        </is>
      </c>
      <c r="J1597" s="172" t="n">
        <v>10</v>
      </c>
      <c r="K1597" s="172" t="inlineStr">
        <is>
          <t>7+12</t>
        </is>
      </c>
      <c r="L1597" s="202" t="n">
        <v>46181</v>
      </c>
      <c r="M1597" s="175" t="n">
        <v>0.0144</v>
      </c>
      <c r="N1597" s="176" t="n">
        <v>0.0187</v>
      </c>
      <c r="O1597" s="191" t="n">
        <v>1.58</v>
      </c>
      <c r="P1597" s="172" t="inlineStr">
        <is>
          <t>中间级</t>
        </is>
      </c>
      <c r="Q1597" s="175" t="n">
        <v>0.05</v>
      </c>
      <c r="R1597" s="192" t="n">
        <v>0.5</v>
      </c>
      <c r="S1597" s="175" t="inlineStr">
        <is>
          <t>AA</t>
        </is>
      </c>
      <c r="T1597" s="175" t="n">
        <v>0.031</v>
      </c>
      <c r="U1597" s="172" t="inlineStr">
        <is>
          <t>沛轩投资</t>
        </is>
      </c>
      <c r="V1597" s="191" t="n">
        <v>0.2</v>
      </c>
      <c r="W1597" s="172" t="n"/>
      <c r="X1597" s="172" t="n"/>
      <c r="Y1597" s="172" t="n"/>
    </row>
    <row r="1598">
      <c r="A1598" s="172" t="n">
        <v>83</v>
      </c>
      <c r="B1598" s="172" t="inlineStr">
        <is>
          <t>8月</t>
        </is>
      </c>
      <c r="C1598" s="172" t="inlineStr">
        <is>
          <t>企金</t>
        </is>
      </c>
      <c r="D1598" s="172" t="inlineStr">
        <is>
          <t>金采</t>
        </is>
      </c>
      <c r="E1598" s="172" t="inlineStr">
        <is>
          <t>金采8-2</t>
        </is>
      </c>
      <c r="F1598" s="172" t="inlineStr">
        <is>
          <t>上交所</t>
        </is>
      </c>
      <c r="G1598" s="172" t="inlineStr">
        <is>
          <t>天风资管</t>
        </is>
      </c>
      <c r="H1598" s="172" t="inlineStr">
        <is>
          <t>国信证券</t>
        </is>
      </c>
      <c r="I1598" s="172" t="inlineStr">
        <is>
          <t>中行北分</t>
        </is>
      </c>
      <c r="J1598" s="172" t="n">
        <v>10</v>
      </c>
      <c r="K1598" s="172" t="inlineStr">
        <is>
          <t>7+12</t>
        </is>
      </c>
      <c r="L1598" s="202" t="n">
        <v>46181</v>
      </c>
      <c r="M1598" s="175" t="n">
        <v>0.0144</v>
      </c>
      <c r="N1598" s="176" t="n">
        <v>0.0187</v>
      </c>
      <c r="O1598" s="191" t="n">
        <v>1.58</v>
      </c>
      <c r="P1598" s="172" t="inlineStr">
        <is>
          <t>次级</t>
        </is>
      </c>
      <c r="Q1598" s="175" t="n">
        <v>0.05</v>
      </c>
      <c r="R1598" s="192" t="n">
        <v>0.5</v>
      </c>
      <c r="S1598" s="175" t="inlineStr">
        <is>
          <t>无</t>
        </is>
      </c>
      <c r="T1598" s="175" t="n">
        <v>0.0455</v>
      </c>
      <c r="U1598" s="172" t="inlineStr">
        <is>
          <t>华宝证券资管</t>
        </is>
      </c>
      <c r="V1598" s="191" t="n">
        <v>0.13</v>
      </c>
      <c r="W1598" s="172" t="n"/>
      <c r="X1598" s="172" t="n"/>
      <c r="Y1598" s="172" t="n"/>
    </row>
    <row r="1599">
      <c r="A1599" s="172" t="n">
        <v>83</v>
      </c>
      <c r="B1599" s="172" t="inlineStr">
        <is>
          <t>8月</t>
        </is>
      </c>
      <c r="C1599" s="172" t="inlineStr">
        <is>
          <t>企金</t>
        </is>
      </c>
      <c r="D1599" s="172" t="inlineStr">
        <is>
          <t>金采</t>
        </is>
      </c>
      <c r="E1599" s="172" t="inlineStr">
        <is>
          <t>金采8-2</t>
        </is>
      </c>
      <c r="F1599" s="172" t="inlineStr">
        <is>
          <t>上交所</t>
        </is>
      </c>
      <c r="G1599" s="172" t="inlineStr">
        <is>
          <t>天风资管</t>
        </is>
      </c>
      <c r="H1599" s="172" t="inlineStr">
        <is>
          <t>国信证券</t>
        </is>
      </c>
      <c r="I1599" s="172" t="inlineStr">
        <is>
          <t>中行北分</t>
        </is>
      </c>
      <c r="J1599" s="172" t="n">
        <v>10</v>
      </c>
      <c r="K1599" s="172" t="inlineStr">
        <is>
          <t>7+12</t>
        </is>
      </c>
      <c r="L1599" s="202" t="n">
        <v>46181</v>
      </c>
      <c r="M1599" s="175" t="n">
        <v>0.0144</v>
      </c>
      <c r="N1599" s="176" t="n">
        <v>0.0187</v>
      </c>
      <c r="O1599" s="191" t="n">
        <v>1.58</v>
      </c>
      <c r="P1599" s="172" t="inlineStr">
        <is>
          <t>次级</t>
        </is>
      </c>
      <c r="Q1599" s="175" t="n">
        <v>0.05</v>
      </c>
      <c r="R1599" s="192" t="n">
        <v>0.5</v>
      </c>
      <c r="S1599" s="175" t="inlineStr">
        <is>
          <t>无</t>
        </is>
      </c>
      <c r="T1599" s="175" t="n">
        <v>0.0455</v>
      </c>
      <c r="U1599" s="172" t="inlineStr">
        <is>
          <t>申万宏源自营</t>
        </is>
      </c>
      <c r="V1599" s="191" t="n">
        <v>0.07000000000000001</v>
      </c>
      <c r="W1599" s="172" t="n"/>
      <c r="X1599" s="172" t="n"/>
      <c r="Y1599" s="172" t="n"/>
    </row>
    <row r="1600">
      <c r="A1600" s="172" t="n">
        <v>83</v>
      </c>
      <c r="B1600" s="172" t="inlineStr">
        <is>
          <t>8月</t>
        </is>
      </c>
      <c r="C1600" s="172" t="inlineStr">
        <is>
          <t>企金</t>
        </is>
      </c>
      <c r="D1600" s="172" t="inlineStr">
        <is>
          <t>金采</t>
        </is>
      </c>
      <c r="E1600" s="172" t="inlineStr">
        <is>
          <t>金采8-2</t>
        </is>
      </c>
      <c r="F1600" s="172" t="inlineStr">
        <is>
          <t>上交所</t>
        </is>
      </c>
      <c r="G1600" s="172" t="inlineStr">
        <is>
          <t>天风资管</t>
        </is>
      </c>
      <c r="H1600" s="172" t="inlineStr">
        <is>
          <t>国信证券</t>
        </is>
      </c>
      <c r="I1600" s="172" t="inlineStr">
        <is>
          <t>中行北分</t>
        </is>
      </c>
      <c r="J1600" s="172" t="n">
        <v>10</v>
      </c>
      <c r="K1600" s="172" t="inlineStr">
        <is>
          <t>7+12</t>
        </is>
      </c>
      <c r="L1600" s="202" t="n">
        <v>46181</v>
      </c>
      <c r="M1600" s="175" t="n">
        <v>0.0144</v>
      </c>
      <c r="N1600" s="176" t="n">
        <v>0.0187</v>
      </c>
      <c r="O1600" s="191" t="n">
        <v>1.58</v>
      </c>
      <c r="P1600" s="172" t="inlineStr">
        <is>
          <t>次级</t>
        </is>
      </c>
      <c r="Q1600" s="175" t="n">
        <v>0.05</v>
      </c>
      <c r="R1600" s="192" t="n">
        <v>0.5</v>
      </c>
      <c r="S1600" s="175" t="inlineStr">
        <is>
          <t>无</t>
        </is>
      </c>
      <c r="T1600" s="175" t="n">
        <v>0.0455</v>
      </c>
      <c r="U1600" s="172" t="inlineStr">
        <is>
          <t>东家铂睿</t>
        </is>
      </c>
      <c r="V1600" s="193" t="n">
        <v>0.075</v>
      </c>
      <c r="W1600" s="172" t="n"/>
      <c r="X1600" s="172" t="n"/>
      <c r="Y1600" s="172" t="n"/>
    </row>
    <row r="1601">
      <c r="A1601" s="172" t="n">
        <v>83</v>
      </c>
      <c r="B1601" s="172" t="inlineStr">
        <is>
          <t>8月</t>
        </is>
      </c>
      <c r="C1601" s="172" t="inlineStr">
        <is>
          <t>企金</t>
        </is>
      </c>
      <c r="D1601" s="172" t="inlineStr">
        <is>
          <t>金采</t>
        </is>
      </c>
      <c r="E1601" s="172" t="inlineStr">
        <is>
          <t>金采8-2</t>
        </is>
      </c>
      <c r="F1601" s="172" t="inlineStr">
        <is>
          <t>上交所</t>
        </is>
      </c>
      <c r="G1601" s="172" t="inlineStr">
        <is>
          <t>天风资管</t>
        </is>
      </c>
      <c r="H1601" s="172" t="inlineStr">
        <is>
          <t>国信证券</t>
        </is>
      </c>
      <c r="I1601" s="172" t="inlineStr">
        <is>
          <t>中行北分</t>
        </is>
      </c>
      <c r="J1601" s="172" t="n">
        <v>10</v>
      </c>
      <c r="K1601" s="172" t="inlineStr">
        <is>
          <t>7+12</t>
        </is>
      </c>
      <c r="L1601" s="202" t="n">
        <v>46181</v>
      </c>
      <c r="M1601" s="175" t="n">
        <v>0.0144</v>
      </c>
      <c r="N1601" s="176" t="n">
        <v>0.0187</v>
      </c>
      <c r="O1601" s="191" t="n">
        <v>1.58</v>
      </c>
      <c r="P1601" s="172" t="inlineStr">
        <is>
          <t>次级</t>
        </is>
      </c>
      <c r="Q1601" s="175" t="n">
        <v>0.05</v>
      </c>
      <c r="R1601" s="192" t="n">
        <v>0.5</v>
      </c>
      <c r="S1601" s="175" t="inlineStr">
        <is>
          <t>无</t>
        </is>
      </c>
      <c r="T1601" s="175" t="n">
        <v>0.0455</v>
      </c>
      <c r="U1601" s="172" t="inlineStr">
        <is>
          <t>德邦证券自营</t>
        </is>
      </c>
      <c r="V1601" s="191" t="n">
        <v>0.2</v>
      </c>
      <c r="W1601" s="172" t="n"/>
      <c r="X1601" s="172" t="n"/>
      <c r="Y1601" s="172" t="n"/>
    </row>
    <row r="1602">
      <c r="A1602" s="172" t="n">
        <v>83</v>
      </c>
      <c r="B1602" s="172" t="inlineStr">
        <is>
          <t>8月</t>
        </is>
      </c>
      <c r="C1602" s="172" t="inlineStr">
        <is>
          <t>企金</t>
        </is>
      </c>
      <c r="D1602" s="172" t="inlineStr">
        <is>
          <t>金采</t>
        </is>
      </c>
      <c r="E1602" s="172" t="inlineStr">
        <is>
          <t>金采8-2</t>
        </is>
      </c>
      <c r="F1602" s="172" t="inlineStr">
        <is>
          <t>上交所</t>
        </is>
      </c>
      <c r="G1602" s="172" t="inlineStr">
        <is>
          <t>天风资管</t>
        </is>
      </c>
      <c r="H1602" s="172" t="inlineStr">
        <is>
          <t>国信证券</t>
        </is>
      </c>
      <c r="I1602" s="172" t="inlineStr">
        <is>
          <t>中行北分</t>
        </is>
      </c>
      <c r="J1602" s="172" t="n">
        <v>10</v>
      </c>
      <c r="K1602" s="172" t="inlineStr">
        <is>
          <t>7+12</t>
        </is>
      </c>
      <c r="L1602" s="202" t="n">
        <v>46181</v>
      </c>
      <c r="M1602" s="175" t="n">
        <v>0.0144</v>
      </c>
      <c r="N1602" s="176" t="n">
        <v>0.0187</v>
      </c>
      <c r="O1602" s="191" t="n">
        <v>1.58</v>
      </c>
      <c r="P1602" s="172" t="inlineStr">
        <is>
          <t>次级</t>
        </is>
      </c>
      <c r="Q1602" s="175" t="n">
        <v>0.05</v>
      </c>
      <c r="R1602" s="192" t="n">
        <v>0.5</v>
      </c>
      <c r="S1602" s="175" t="inlineStr">
        <is>
          <t>无</t>
        </is>
      </c>
      <c r="T1602" s="175" t="n">
        <v>0.0455</v>
      </c>
      <c r="U1602" s="172" t="inlineStr">
        <is>
          <t>邦汇保理</t>
        </is>
      </c>
      <c r="V1602" s="193" t="n">
        <v>0.025</v>
      </c>
      <c r="W1602" s="172" t="n"/>
      <c r="X1602" s="172" t="n"/>
      <c r="Y1602" s="172" t="n"/>
    </row>
    <row r="1603">
      <c r="A1603" s="172" t="n">
        <v>88</v>
      </c>
      <c r="B1603" s="173" t="inlineStr">
        <is>
          <t>6月</t>
        </is>
      </c>
      <c r="C1603" s="173" t="inlineStr">
        <is>
          <t>消金</t>
        </is>
      </c>
      <c r="D1603" s="173" t="inlineStr">
        <is>
          <t>信托白条</t>
        </is>
      </c>
      <c r="E1603" s="173" t="inlineStr">
        <is>
          <t>钰泽3号1期</t>
        </is>
      </c>
      <c r="F1603" s="173" t="inlineStr">
        <is>
          <t>非标</t>
        </is>
      </c>
      <c r="G1603" s="173" t="inlineStr">
        <is>
          <t>西藏信托</t>
        </is>
      </c>
      <c r="H1603" s="173" t="inlineStr">
        <is>
          <t>-</t>
        </is>
      </c>
      <c r="I1603" s="173" t="inlineStr">
        <is>
          <t>中行北分</t>
        </is>
      </c>
      <c r="J1603" s="172" t="n">
        <v>5</v>
      </c>
      <c r="K1603" s="173" t="inlineStr">
        <is>
          <t>3+21</t>
        </is>
      </c>
      <c r="L1603" s="202" t="n">
        <v>46185</v>
      </c>
      <c r="M1603" s="175" t="n">
        <v>0.0147</v>
      </c>
      <c r="N1603" s="176" t="n">
        <v>0.02555</v>
      </c>
      <c r="O1603" s="172" t="inlineStr">
        <is>
          <t>-</t>
        </is>
      </c>
      <c r="P1603" s="177" t="inlineStr">
        <is>
          <t>平层</t>
        </is>
      </c>
      <c r="Q1603" s="178" t="inlineStr">
        <is>
          <t>-</t>
        </is>
      </c>
      <c r="R1603" s="192" t="n">
        <v>5</v>
      </c>
      <c r="S1603" s="177" t="inlineStr">
        <is>
          <t>无</t>
        </is>
      </c>
      <c r="T1603" s="178" t="n">
        <v>0.0225</v>
      </c>
      <c r="U1603" s="177" t="inlineStr">
        <is>
          <t>中邮理财</t>
        </is>
      </c>
      <c r="V1603" s="191" t="n">
        <v>5</v>
      </c>
      <c r="W1603" s="172" t="n"/>
      <c r="X1603" s="172" t="n"/>
      <c r="Y1603" s="172" t="n"/>
    </row>
    <row r="1604">
      <c r="A1604" s="172" t="n">
        <v>89</v>
      </c>
      <c r="B1604" s="173" t="inlineStr">
        <is>
          <t>6月</t>
        </is>
      </c>
      <c r="C1604" s="173" t="inlineStr">
        <is>
          <t>消金</t>
        </is>
      </c>
      <c r="D1604" s="173" t="inlineStr">
        <is>
          <t>信托白条</t>
        </is>
      </c>
      <c r="E1604" s="173" t="inlineStr">
        <is>
          <t>钰泽3号2期</t>
        </is>
      </c>
      <c r="F1604" s="173" t="inlineStr">
        <is>
          <t>非标</t>
        </is>
      </c>
      <c r="G1604" s="173" t="inlineStr">
        <is>
          <t>西藏信托</t>
        </is>
      </c>
      <c r="H1604" s="173" t="inlineStr">
        <is>
          <t>-</t>
        </is>
      </c>
      <c r="I1604" s="173" t="inlineStr">
        <is>
          <t>中行北分</t>
        </is>
      </c>
      <c r="J1604" s="172" t="n">
        <v>5</v>
      </c>
      <c r="K1604" s="173" t="inlineStr">
        <is>
          <t>3+21</t>
        </is>
      </c>
      <c r="L1604" s="202" t="n">
        <v>46185</v>
      </c>
      <c r="M1604" s="175" t="n">
        <v>0.0147</v>
      </c>
      <c r="N1604" s="176" t="n">
        <v>0.02555</v>
      </c>
      <c r="O1604" s="172" t="inlineStr">
        <is>
          <t>-</t>
        </is>
      </c>
      <c r="P1604" s="177" t="inlineStr">
        <is>
          <t>平层</t>
        </is>
      </c>
      <c r="Q1604" s="178" t="inlineStr">
        <is>
          <t>-</t>
        </is>
      </c>
      <c r="R1604" s="192" t="n">
        <v>5</v>
      </c>
      <c r="S1604" s="177" t="inlineStr">
        <is>
          <t>无</t>
        </is>
      </c>
      <c r="T1604" s="178" t="n">
        <v>0.0225</v>
      </c>
      <c r="U1604" s="177" t="inlineStr">
        <is>
          <t>中邮理财</t>
        </is>
      </c>
      <c r="V1604" s="191" t="n">
        <v>5</v>
      </c>
      <c r="W1604" s="172" t="n"/>
      <c r="X1604" s="172" t="n"/>
      <c r="Y1604" s="172" t="n"/>
    </row>
    <row r="1605">
      <c r="A1605" s="172" t="n">
        <v>90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保理</t>
        </is>
      </c>
      <c r="E1605" s="172" t="inlineStr">
        <is>
          <t>京诚14-11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申万宏源资管</t>
        </is>
      </c>
      <c r="I1605" s="172" t="inlineStr">
        <is>
          <t>建行北分</t>
        </is>
      </c>
      <c r="J1605" s="172" t="n">
        <v>10</v>
      </c>
      <c r="K1605" s="172" t="inlineStr">
        <is>
          <t>2+4</t>
        </is>
      </c>
      <c r="L1605" s="202" t="n">
        <v>46188</v>
      </c>
      <c r="M1605" s="175" t="n">
        <v>0.0149</v>
      </c>
      <c r="N1605" s="176" t="n">
        <v>0.0163</v>
      </c>
      <c r="O1605" s="191" t="n">
        <v>2.84</v>
      </c>
      <c r="P1605" s="172" t="inlineStr">
        <is>
          <t>优先级</t>
        </is>
      </c>
      <c r="Q1605" s="175" t="n">
        <v>0.99</v>
      </c>
      <c r="R1605" s="192" t="n">
        <v>9.9</v>
      </c>
      <c r="S1605" s="172" t="inlineStr">
        <is>
          <t>AAA</t>
        </is>
      </c>
      <c r="T1605" s="175" t="n">
        <v>0.0156</v>
      </c>
      <c r="U1605" s="172" t="inlineStr">
        <is>
          <t>信银理财</t>
        </is>
      </c>
      <c r="V1605" s="191" t="n">
        <v>2.97</v>
      </c>
      <c r="W1605" s="175" t="n">
        <v>0.0155</v>
      </c>
      <c r="X1605" s="172" t="inlineStr">
        <is>
          <t>信银理财</t>
        </is>
      </c>
      <c r="Y1605" s="191" t="n">
        <v>2.97</v>
      </c>
    </row>
    <row r="1606">
      <c r="A1606" s="172" t="n">
        <v>90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保理</t>
        </is>
      </c>
      <c r="E1606" s="172" t="inlineStr">
        <is>
          <t>京诚14-11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申万宏源资管</t>
        </is>
      </c>
      <c r="I1606" s="172" t="inlineStr">
        <is>
          <t>建行北分</t>
        </is>
      </c>
      <c r="J1606" s="172" t="n">
        <v>10</v>
      </c>
      <c r="K1606" s="172" t="inlineStr">
        <is>
          <t>2+4</t>
        </is>
      </c>
      <c r="L1606" s="202" t="n">
        <v>46188</v>
      </c>
      <c r="M1606" s="175" t="n">
        <v>0.0149</v>
      </c>
      <c r="N1606" s="176" t="n">
        <v>0.0163</v>
      </c>
      <c r="O1606" s="191" t="n">
        <v>2.84</v>
      </c>
      <c r="P1606" s="172" t="inlineStr">
        <is>
          <t>优先级</t>
        </is>
      </c>
      <c r="Q1606" s="175" t="n">
        <v>0.99</v>
      </c>
      <c r="R1606" s="192" t="n">
        <v>9.9</v>
      </c>
      <c r="S1606" s="172" t="inlineStr">
        <is>
          <t>AAA</t>
        </is>
      </c>
      <c r="T1606" s="175" t="n">
        <v>0.0156</v>
      </c>
      <c r="U1606" s="172" t="inlineStr">
        <is>
          <t>平安理财</t>
        </is>
      </c>
      <c r="V1606" s="191" t="n">
        <v>2.47</v>
      </c>
      <c r="W1606" s="175" t="n">
        <v>0.0154</v>
      </c>
      <c r="X1606" s="172" t="inlineStr">
        <is>
          <t>平安理财</t>
        </is>
      </c>
      <c r="Y1606" s="191" t="n">
        <v>2.47</v>
      </c>
    </row>
    <row r="1607">
      <c r="A1607" s="172" t="n">
        <v>90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保理</t>
        </is>
      </c>
      <c r="E1607" s="172" t="inlineStr">
        <is>
          <t>京诚14-11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申万宏源资管</t>
        </is>
      </c>
      <c r="I1607" s="172" t="inlineStr">
        <is>
          <t>建行北分</t>
        </is>
      </c>
      <c r="J1607" s="172" t="n">
        <v>10</v>
      </c>
      <c r="K1607" s="172" t="inlineStr">
        <is>
          <t>2+4</t>
        </is>
      </c>
      <c r="L1607" s="202" t="n">
        <v>46188</v>
      </c>
      <c r="M1607" s="175" t="n">
        <v>0.0149</v>
      </c>
      <c r="N1607" s="176" t="n">
        <v>0.0163</v>
      </c>
      <c r="O1607" s="191" t="n">
        <v>2.84</v>
      </c>
      <c r="P1607" s="172" t="inlineStr">
        <is>
          <t>优先级</t>
        </is>
      </c>
      <c r="Q1607" s="175" t="n">
        <v>0.99</v>
      </c>
      <c r="R1607" s="192" t="n">
        <v>9.9</v>
      </c>
      <c r="S1607" s="172" t="inlineStr">
        <is>
          <t>AAA</t>
        </is>
      </c>
      <c r="T1607" s="175" t="n">
        <v>0.0156</v>
      </c>
      <c r="U1607" s="172" t="inlineStr">
        <is>
          <t>光大理财</t>
        </is>
      </c>
      <c r="V1607" s="191" t="n">
        <v>2.15</v>
      </c>
      <c r="W1607" s="175" t="n">
        <v>0.0154</v>
      </c>
      <c r="X1607" s="172" t="inlineStr">
        <is>
          <t>光大理财</t>
        </is>
      </c>
      <c r="Y1607" s="191" t="n">
        <v>0.9</v>
      </c>
    </row>
    <row r="1608">
      <c r="A1608" s="172" t="n">
        <v>90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保理</t>
        </is>
      </c>
      <c r="E1608" s="172" t="inlineStr">
        <is>
          <t>京诚14-11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申万宏源资管</t>
        </is>
      </c>
      <c r="I1608" s="172" t="inlineStr">
        <is>
          <t>建行北分</t>
        </is>
      </c>
      <c r="J1608" s="172" t="n">
        <v>10</v>
      </c>
      <c r="K1608" s="172" t="inlineStr">
        <is>
          <t>2+4</t>
        </is>
      </c>
      <c r="L1608" s="200" t="n">
        <v>46188</v>
      </c>
      <c r="M1608" s="175" t="n">
        <v>0.0149</v>
      </c>
      <c r="N1608" s="176" t="n">
        <v>0.0163</v>
      </c>
      <c r="O1608" s="172" t="n">
        <v>2.84</v>
      </c>
      <c r="P1608" s="172" t="inlineStr">
        <is>
          <t>优先级</t>
        </is>
      </c>
      <c r="Q1608" s="175" t="n">
        <v>0.99</v>
      </c>
      <c r="R1608" s="192" t="n">
        <v>9.9</v>
      </c>
      <c r="S1608" s="172" t="inlineStr">
        <is>
          <t>AAA</t>
        </is>
      </c>
      <c r="T1608" s="175" t="n">
        <v>0.0156</v>
      </c>
      <c r="U1608" s="172" t="n"/>
      <c r="V1608" s="172" t="n"/>
      <c r="W1608" s="175" t="n">
        <v>0.0155</v>
      </c>
      <c r="X1608" s="172" t="inlineStr">
        <is>
          <t>光大理财</t>
        </is>
      </c>
      <c r="Y1608" s="191" t="n">
        <v>1.25</v>
      </c>
    </row>
    <row r="1609">
      <c r="A1609" s="172" t="n">
        <v>90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保理</t>
        </is>
      </c>
      <c r="E1609" s="172" t="inlineStr">
        <is>
          <t>京诚14-11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申万宏源资管</t>
        </is>
      </c>
      <c r="I1609" s="172" t="inlineStr">
        <is>
          <t>建行北分</t>
        </is>
      </c>
      <c r="J1609" s="172" t="n">
        <v>10</v>
      </c>
      <c r="K1609" s="172" t="inlineStr">
        <is>
          <t>2+4</t>
        </is>
      </c>
      <c r="L1609" s="200" t="n">
        <v>46188</v>
      </c>
      <c r="M1609" s="175" t="n">
        <v>0.0149</v>
      </c>
      <c r="N1609" s="176" t="n">
        <v>0.0163</v>
      </c>
      <c r="O1609" s="172" t="n">
        <v>2.84</v>
      </c>
      <c r="P1609" s="172" t="inlineStr">
        <is>
          <t>优先级</t>
        </is>
      </c>
      <c r="Q1609" s="175" t="n">
        <v>0.99</v>
      </c>
      <c r="R1609" s="192" t="n">
        <v>9.9</v>
      </c>
      <c r="S1609" s="172" t="inlineStr">
        <is>
          <t>AAA</t>
        </is>
      </c>
      <c r="T1609" s="175" t="n">
        <v>0.0156</v>
      </c>
      <c r="U1609" s="172" t="n"/>
      <c r="V1609" s="172" t="n"/>
      <c r="W1609" s="175" t="n">
        <v>0.016</v>
      </c>
      <c r="X1609" s="172" t="inlineStr">
        <is>
          <t>光大理财</t>
        </is>
      </c>
      <c r="Y1609" s="191" t="n">
        <v>0.8</v>
      </c>
    </row>
    <row r="1610">
      <c r="A1610" s="172" t="n">
        <v>90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保理</t>
        </is>
      </c>
      <c r="E1610" s="172" t="inlineStr">
        <is>
          <t>京诚14-11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申万宏源资管</t>
        </is>
      </c>
      <c r="I1610" s="172" t="inlineStr">
        <is>
          <t>建行北分</t>
        </is>
      </c>
      <c r="J1610" s="172" t="n">
        <v>10</v>
      </c>
      <c r="K1610" s="172" t="inlineStr">
        <is>
          <t>2+4</t>
        </is>
      </c>
      <c r="L1610" s="202" t="n">
        <v>46188</v>
      </c>
      <c r="M1610" s="175" t="n">
        <v>0.0149</v>
      </c>
      <c r="N1610" s="176" t="n">
        <v>0.0163</v>
      </c>
      <c r="O1610" s="191" t="n">
        <v>2.84</v>
      </c>
      <c r="P1610" s="172" t="inlineStr">
        <is>
          <t>优先级</t>
        </is>
      </c>
      <c r="Q1610" s="175" t="n">
        <v>0.99</v>
      </c>
      <c r="R1610" s="192" t="n">
        <v>9.9</v>
      </c>
      <c r="S1610" s="172" t="inlineStr">
        <is>
          <t>AAA</t>
        </is>
      </c>
      <c r="T1610" s="175" t="n">
        <v>0.0156</v>
      </c>
      <c r="U1610" s="172" t="inlineStr">
        <is>
          <t>工银理财</t>
        </is>
      </c>
      <c r="V1610" s="191" t="n">
        <v>1.81</v>
      </c>
      <c r="W1610" s="175" t="n">
        <v>0.0155</v>
      </c>
      <c r="X1610" s="172" t="inlineStr">
        <is>
          <t>工银理财</t>
        </is>
      </c>
      <c r="Y1610" s="191" t="n">
        <v>1</v>
      </c>
    </row>
    <row r="1611">
      <c r="A1611" s="172" t="n">
        <v>90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保理</t>
        </is>
      </c>
      <c r="E1611" s="172" t="inlineStr">
        <is>
          <t>京诚14-11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申万宏源资管</t>
        </is>
      </c>
      <c r="I1611" s="172" t="inlineStr">
        <is>
          <t>建行北分</t>
        </is>
      </c>
      <c r="J1611" s="172" t="n">
        <v>10</v>
      </c>
      <c r="K1611" s="172" t="inlineStr">
        <is>
          <t>2+4</t>
        </is>
      </c>
      <c r="L1611" s="200" t="n">
        <v>46188</v>
      </c>
      <c r="M1611" s="175" t="n">
        <v>0.0149</v>
      </c>
      <c r="N1611" s="176" t="n">
        <v>0.0163</v>
      </c>
      <c r="O1611" s="172" t="n">
        <v>2.84</v>
      </c>
      <c r="P1611" s="172" t="inlineStr">
        <is>
          <t>优先级</t>
        </is>
      </c>
      <c r="Q1611" s="175" t="n">
        <v>0.99</v>
      </c>
      <c r="R1611" s="192" t="n">
        <v>9.9</v>
      </c>
      <c r="S1611" s="172" t="inlineStr">
        <is>
          <t>AAA</t>
        </is>
      </c>
      <c r="T1611" s="175" t="n">
        <v>0.0156</v>
      </c>
      <c r="U1611" s="172" t="n"/>
      <c r="V1611" s="172" t="n"/>
      <c r="W1611" s="175" t="n">
        <v>0.0156</v>
      </c>
      <c r="X1611" s="172" t="inlineStr">
        <is>
          <t>工银理财</t>
        </is>
      </c>
      <c r="Y1611" s="191" t="n">
        <v>1.5</v>
      </c>
    </row>
    <row r="1612">
      <c r="A1612" s="172" t="n">
        <v>90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保理</t>
        </is>
      </c>
      <c r="E1612" s="172" t="inlineStr">
        <is>
          <t>京诚14-11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申万宏源资管</t>
        </is>
      </c>
      <c r="I1612" s="172" t="inlineStr">
        <is>
          <t>建行北分</t>
        </is>
      </c>
      <c r="J1612" s="172" t="n">
        <v>10</v>
      </c>
      <c r="K1612" s="172" t="inlineStr">
        <is>
          <t>2+4</t>
        </is>
      </c>
      <c r="L1612" s="202" t="n">
        <v>46188</v>
      </c>
      <c r="M1612" s="175" t="n">
        <v>0.0149</v>
      </c>
      <c r="N1612" s="176" t="n">
        <v>0.0163</v>
      </c>
      <c r="O1612" s="191" t="n">
        <v>2.84</v>
      </c>
      <c r="P1612" s="172" t="inlineStr">
        <is>
          <t>优先级</t>
        </is>
      </c>
      <c r="Q1612" s="175" t="n">
        <v>0.99</v>
      </c>
      <c r="R1612" s="192" t="n">
        <v>9.9</v>
      </c>
      <c r="S1612" s="172" t="inlineStr">
        <is>
          <t>AAA</t>
        </is>
      </c>
      <c r="T1612" s="175" t="n">
        <v>0.0156</v>
      </c>
      <c r="U1612" s="172" t="inlineStr">
        <is>
          <t>兴银理财</t>
        </is>
      </c>
      <c r="V1612" s="191" t="n">
        <v>0.5</v>
      </c>
      <c r="W1612" s="175" t="n">
        <v>0.0154</v>
      </c>
      <c r="X1612" s="172" t="inlineStr">
        <is>
          <t>兴银理财</t>
        </is>
      </c>
      <c r="Y1612" s="191" t="n">
        <v>0.5</v>
      </c>
    </row>
    <row r="1613">
      <c r="A1613" s="172" t="n">
        <v>90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保理</t>
        </is>
      </c>
      <c r="E1613" s="172" t="inlineStr">
        <is>
          <t>京诚14-11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申万宏源资管</t>
        </is>
      </c>
      <c r="I1613" s="172" t="inlineStr">
        <is>
          <t>建行北分</t>
        </is>
      </c>
      <c r="J1613" s="172" t="n">
        <v>10</v>
      </c>
      <c r="K1613" s="172" t="inlineStr">
        <is>
          <t>2+4</t>
        </is>
      </c>
      <c r="L1613" s="200" t="n">
        <v>46188</v>
      </c>
      <c r="M1613" s="175" t="n">
        <v>0.0149</v>
      </c>
      <c r="N1613" s="176" t="n">
        <v>0.0163</v>
      </c>
      <c r="O1613" s="172" t="n">
        <v>2.84</v>
      </c>
      <c r="P1613" s="172" t="inlineStr">
        <is>
          <t>优先级</t>
        </is>
      </c>
      <c r="Q1613" s="175" t="n">
        <v>0.99</v>
      </c>
      <c r="R1613" s="192" t="n">
        <v>9.9</v>
      </c>
      <c r="S1613" s="172" t="inlineStr">
        <is>
          <t>AAA</t>
        </is>
      </c>
      <c r="T1613" s="175" t="n">
        <v>0.0156</v>
      </c>
      <c r="U1613" s="172" t="n"/>
      <c r="V1613" s="172" t="n"/>
      <c r="W1613" s="175" t="n">
        <v>0.016</v>
      </c>
      <c r="X1613" s="172" t="inlineStr">
        <is>
          <t>兴银理财</t>
        </is>
      </c>
      <c r="Y1613" s="191" t="n">
        <v>1.8</v>
      </c>
    </row>
    <row r="1614">
      <c r="A1614" s="172" t="n">
        <v>90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保理</t>
        </is>
      </c>
      <c r="E1614" s="172" t="inlineStr">
        <is>
          <t>京诚14-11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申万宏源资管</t>
        </is>
      </c>
      <c r="I1614" s="172" t="inlineStr">
        <is>
          <t>建行北分</t>
        </is>
      </c>
      <c r="J1614" s="172" t="n">
        <v>10</v>
      </c>
      <c r="K1614" s="172" t="inlineStr">
        <is>
          <t>2+4</t>
        </is>
      </c>
      <c r="L1614" s="200" t="n">
        <v>46188</v>
      </c>
      <c r="M1614" s="175" t="n">
        <v>0.0149</v>
      </c>
      <c r="N1614" s="176" t="n">
        <v>0.0163</v>
      </c>
      <c r="O1614" s="172" t="n">
        <v>2.84</v>
      </c>
      <c r="P1614" s="172" t="inlineStr">
        <is>
          <t>优先级</t>
        </is>
      </c>
      <c r="Q1614" s="175" t="n">
        <v>0.99</v>
      </c>
      <c r="R1614" s="192" t="n">
        <v>9.9</v>
      </c>
      <c r="S1614" s="172" t="inlineStr">
        <is>
          <t>AAA</t>
        </is>
      </c>
      <c r="T1614" s="175" t="n">
        <v>0.0156</v>
      </c>
      <c r="U1614" s="172" t="n"/>
      <c r="V1614" s="172" t="n"/>
      <c r="W1614" s="175" t="n">
        <v>0.0157</v>
      </c>
      <c r="X1614" s="172" t="inlineStr">
        <is>
          <t>浦银理财</t>
        </is>
      </c>
      <c r="Y1614" s="191" t="n">
        <v>0.64</v>
      </c>
    </row>
    <row r="1615">
      <c r="A1615" s="172" t="n">
        <v>90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保理</t>
        </is>
      </c>
      <c r="E1615" s="172" t="inlineStr">
        <is>
          <t>京诚14-11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申万宏源资管</t>
        </is>
      </c>
      <c r="I1615" s="172" t="inlineStr">
        <is>
          <t>建行北分</t>
        </is>
      </c>
      <c r="J1615" s="172" t="n">
        <v>10</v>
      </c>
      <c r="K1615" s="172" t="inlineStr">
        <is>
          <t>2+4</t>
        </is>
      </c>
      <c r="L1615" s="200" t="n">
        <v>46188</v>
      </c>
      <c r="M1615" s="175" t="n">
        <v>0.0149</v>
      </c>
      <c r="N1615" s="176" t="n">
        <v>0.0163</v>
      </c>
      <c r="O1615" s="172" t="n">
        <v>2.84</v>
      </c>
      <c r="P1615" s="172" t="inlineStr">
        <is>
          <t>优先级</t>
        </is>
      </c>
      <c r="Q1615" s="175" t="n">
        <v>0.99</v>
      </c>
      <c r="R1615" s="192" t="n">
        <v>9.9</v>
      </c>
      <c r="S1615" s="172" t="inlineStr">
        <is>
          <t>AAA</t>
        </is>
      </c>
      <c r="T1615" s="175" t="n">
        <v>0.0156</v>
      </c>
      <c r="U1615" s="172" t="n"/>
      <c r="V1615" s="172" t="n"/>
      <c r="W1615" s="175" t="n">
        <v>0.0158</v>
      </c>
      <c r="X1615" s="172" t="inlineStr">
        <is>
          <t>浦银理财</t>
        </is>
      </c>
      <c r="Y1615" s="191" t="n">
        <v>1.24</v>
      </c>
    </row>
    <row r="1616">
      <c r="A1616" s="172" t="n">
        <v>90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保理</t>
        </is>
      </c>
      <c r="E1616" s="172" t="inlineStr">
        <is>
          <t>京诚14-11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申万宏源资管</t>
        </is>
      </c>
      <c r="I1616" s="172" t="inlineStr">
        <is>
          <t>建行北分</t>
        </is>
      </c>
      <c r="J1616" s="172" t="n">
        <v>10</v>
      </c>
      <c r="K1616" s="172" t="inlineStr">
        <is>
          <t>2+4</t>
        </is>
      </c>
      <c r="L1616" s="200" t="n">
        <v>46188</v>
      </c>
      <c r="M1616" s="175" t="n">
        <v>0.0149</v>
      </c>
      <c r="N1616" s="176" t="n">
        <v>0.0163</v>
      </c>
      <c r="O1616" s="172" t="n">
        <v>2.84</v>
      </c>
      <c r="P1616" s="172" t="inlineStr">
        <is>
          <t>优先级</t>
        </is>
      </c>
      <c r="Q1616" s="175" t="n">
        <v>0.99</v>
      </c>
      <c r="R1616" s="192" t="n">
        <v>9.9</v>
      </c>
      <c r="S1616" s="172" t="inlineStr">
        <is>
          <t>AAA</t>
        </is>
      </c>
      <c r="T1616" s="175" t="n">
        <v>0.0156</v>
      </c>
      <c r="U1616" s="172" t="n"/>
      <c r="V1616" s="172" t="n"/>
      <c r="W1616" s="175" t="n">
        <v>0.016</v>
      </c>
      <c r="X1616" s="172" t="inlineStr">
        <is>
          <t>浦银理财</t>
        </is>
      </c>
      <c r="Y1616" s="191" t="n">
        <v>0.88</v>
      </c>
    </row>
    <row r="1617">
      <c r="A1617" s="172" t="n">
        <v>90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保理</t>
        </is>
      </c>
      <c r="E1617" s="172" t="inlineStr">
        <is>
          <t>京诚14-11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申万宏源资管</t>
        </is>
      </c>
      <c r="I1617" s="172" t="inlineStr">
        <is>
          <t>建行北分</t>
        </is>
      </c>
      <c r="J1617" s="172" t="n">
        <v>10</v>
      </c>
      <c r="K1617" s="172" t="inlineStr">
        <is>
          <t>2+4</t>
        </is>
      </c>
      <c r="L1617" s="200" t="n">
        <v>46188</v>
      </c>
      <c r="M1617" s="175" t="n">
        <v>0.0149</v>
      </c>
      <c r="N1617" s="176" t="n">
        <v>0.0163</v>
      </c>
      <c r="O1617" s="172" t="n">
        <v>2.84</v>
      </c>
      <c r="P1617" s="172" t="inlineStr">
        <is>
          <t>优先级</t>
        </is>
      </c>
      <c r="Q1617" s="175" t="n">
        <v>0.99</v>
      </c>
      <c r="R1617" s="192" t="n">
        <v>9.9</v>
      </c>
      <c r="S1617" s="172" t="inlineStr">
        <is>
          <t>AAA</t>
        </is>
      </c>
      <c r="T1617" s="175" t="n">
        <v>0.0156</v>
      </c>
      <c r="U1617" s="172" t="n"/>
      <c r="V1617" s="172" t="n"/>
      <c r="W1617" s="175" t="n">
        <v>0.0159</v>
      </c>
      <c r="X1617" s="172" t="inlineStr">
        <is>
          <t>中银理财</t>
        </is>
      </c>
      <c r="Y1617" s="191" t="n">
        <v>1</v>
      </c>
    </row>
    <row r="1618">
      <c r="A1618" s="172" t="n">
        <v>90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保理</t>
        </is>
      </c>
      <c r="E1618" s="172" t="inlineStr">
        <is>
          <t>京诚14-11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申万宏源资管</t>
        </is>
      </c>
      <c r="I1618" s="172" t="inlineStr">
        <is>
          <t>建行北分</t>
        </is>
      </c>
      <c r="J1618" s="172" t="n">
        <v>10</v>
      </c>
      <c r="K1618" s="172" t="inlineStr">
        <is>
          <t>2+4</t>
        </is>
      </c>
      <c r="L1618" s="200" t="n">
        <v>46188</v>
      </c>
      <c r="M1618" s="175" t="n">
        <v>0.0149</v>
      </c>
      <c r="N1618" s="176" t="n">
        <v>0.0163</v>
      </c>
      <c r="O1618" s="172" t="n">
        <v>2.84</v>
      </c>
      <c r="P1618" s="172" t="inlineStr">
        <is>
          <t>优先级</t>
        </is>
      </c>
      <c r="Q1618" s="175" t="n">
        <v>0.99</v>
      </c>
      <c r="R1618" s="192" t="n">
        <v>9.9</v>
      </c>
      <c r="S1618" s="172" t="inlineStr">
        <is>
          <t>AAA</t>
        </is>
      </c>
      <c r="T1618" s="175" t="n">
        <v>0.0156</v>
      </c>
      <c r="U1618" s="172" t="n"/>
      <c r="V1618" s="172" t="n"/>
      <c r="W1618" s="175" t="n">
        <v>0.016</v>
      </c>
      <c r="X1618" s="172" t="inlineStr">
        <is>
          <t>中银理财</t>
        </is>
      </c>
      <c r="Y1618" s="191" t="n">
        <v>1.9</v>
      </c>
    </row>
    <row r="1619">
      <c r="A1619" s="172" t="n">
        <v>90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保理</t>
        </is>
      </c>
      <c r="E1619" s="172" t="inlineStr">
        <is>
          <t>京诚14-11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申万宏源资管</t>
        </is>
      </c>
      <c r="I1619" s="172" t="inlineStr">
        <is>
          <t>建行北分</t>
        </is>
      </c>
      <c r="J1619" s="172" t="n">
        <v>10</v>
      </c>
      <c r="K1619" s="172" t="inlineStr">
        <is>
          <t>2+4</t>
        </is>
      </c>
      <c r="L1619" s="200" t="n">
        <v>46188</v>
      </c>
      <c r="M1619" s="175" t="n">
        <v>0.0149</v>
      </c>
      <c r="N1619" s="176" t="n">
        <v>0.0163</v>
      </c>
      <c r="O1619" s="172" t="n">
        <v>2.84</v>
      </c>
      <c r="P1619" s="172" t="inlineStr">
        <is>
          <t>优先级</t>
        </is>
      </c>
      <c r="Q1619" s="175" t="n">
        <v>0.99</v>
      </c>
      <c r="R1619" s="192" t="n">
        <v>9.9</v>
      </c>
      <c r="S1619" s="172" t="inlineStr">
        <is>
          <t>AAA</t>
        </is>
      </c>
      <c r="T1619" s="175" t="n">
        <v>0.0156</v>
      </c>
      <c r="U1619" s="172" t="n"/>
      <c r="V1619" s="172" t="n"/>
      <c r="W1619" s="175" t="n">
        <v>0.016</v>
      </c>
      <c r="X1619" s="172" t="inlineStr">
        <is>
          <t>交银理财</t>
        </is>
      </c>
      <c r="Y1619" s="191" t="n">
        <v>0.5</v>
      </c>
    </row>
    <row r="1620">
      <c r="A1620" s="172" t="n">
        <v>90</v>
      </c>
      <c r="B1620" s="172" t="inlineStr">
        <is>
          <t>6月</t>
        </is>
      </c>
      <c r="C1620" s="172" t="inlineStr">
        <is>
          <t>企金</t>
        </is>
      </c>
      <c r="D1620" s="172" t="inlineStr">
        <is>
          <t>保理</t>
        </is>
      </c>
      <c r="E1620" s="172" t="inlineStr">
        <is>
          <t>京诚14-11</t>
        </is>
      </c>
      <c r="F1620" s="172" t="inlineStr">
        <is>
          <t>上交所</t>
        </is>
      </c>
      <c r="G1620" s="172" t="inlineStr">
        <is>
          <t>中信证券</t>
        </is>
      </c>
      <c r="H1620" s="172" t="inlineStr">
        <is>
          <t>申万宏源资管</t>
        </is>
      </c>
      <c r="I1620" s="172" t="inlineStr">
        <is>
          <t>建行北分</t>
        </is>
      </c>
      <c r="J1620" s="172" t="n">
        <v>10</v>
      </c>
      <c r="K1620" s="172" t="inlineStr">
        <is>
          <t>2+4</t>
        </is>
      </c>
      <c r="L1620" s="200" t="n">
        <v>46188</v>
      </c>
      <c r="M1620" s="175" t="n">
        <v>0.0149</v>
      </c>
      <c r="N1620" s="176" t="n">
        <v>0.0163</v>
      </c>
      <c r="O1620" s="172" t="n">
        <v>2.84</v>
      </c>
      <c r="P1620" s="172" t="inlineStr">
        <is>
          <t>优先级</t>
        </is>
      </c>
      <c r="Q1620" s="175" t="n">
        <v>0.99</v>
      </c>
      <c r="R1620" s="192" t="n">
        <v>9.9</v>
      </c>
      <c r="S1620" s="172" t="inlineStr">
        <is>
          <t>AAA</t>
        </is>
      </c>
      <c r="T1620" s="175" t="n">
        <v>0.0156</v>
      </c>
      <c r="U1620" s="172" t="n"/>
      <c r="V1620" s="172" t="n"/>
      <c r="W1620" s="175" t="n">
        <v>0.016</v>
      </c>
      <c r="X1620" s="172" t="inlineStr">
        <is>
          <t>平安银行（金融同业部）</t>
        </is>
      </c>
      <c r="Y1620" s="191" t="n">
        <v>3.9</v>
      </c>
    </row>
    <row r="1621">
      <c r="A1621" s="172" t="n">
        <v>90</v>
      </c>
      <c r="B1621" s="172" t="inlineStr">
        <is>
          <t>6月</t>
        </is>
      </c>
      <c r="C1621" s="172" t="inlineStr">
        <is>
          <t>企金</t>
        </is>
      </c>
      <c r="D1621" s="172" t="inlineStr">
        <is>
          <t>保理</t>
        </is>
      </c>
      <c r="E1621" s="172" t="inlineStr">
        <is>
          <t>京诚14-11</t>
        </is>
      </c>
      <c r="F1621" s="172" t="inlineStr">
        <is>
          <t>上交所</t>
        </is>
      </c>
      <c r="G1621" s="172" t="inlineStr">
        <is>
          <t>中信证券</t>
        </is>
      </c>
      <c r="H1621" s="172" t="inlineStr">
        <is>
          <t>申万宏源资管</t>
        </is>
      </c>
      <c r="I1621" s="172" t="inlineStr">
        <is>
          <t>建行北分</t>
        </is>
      </c>
      <c r="J1621" s="172" t="n">
        <v>10</v>
      </c>
      <c r="K1621" s="172" t="inlineStr">
        <is>
          <t>2+4</t>
        </is>
      </c>
      <c r="L1621" s="200" t="n">
        <v>46188</v>
      </c>
      <c r="M1621" s="175" t="n">
        <v>0.0149</v>
      </c>
      <c r="N1621" s="176" t="n">
        <v>0.0163</v>
      </c>
      <c r="O1621" s="172" t="n">
        <v>2.84</v>
      </c>
      <c r="P1621" s="172" t="inlineStr">
        <is>
          <t>优先级</t>
        </is>
      </c>
      <c r="Q1621" s="175" t="n">
        <v>0.99</v>
      </c>
      <c r="R1621" s="192" t="n">
        <v>9.9</v>
      </c>
      <c r="S1621" s="172" t="inlineStr">
        <is>
          <t>AAA</t>
        </is>
      </c>
      <c r="T1621" s="175" t="n">
        <v>0.0156</v>
      </c>
      <c r="U1621" s="172" t="n"/>
      <c r="V1621" s="172" t="n"/>
      <c r="W1621" s="175" t="n">
        <v>0.016</v>
      </c>
      <c r="X1621" s="172" t="inlineStr">
        <is>
          <t>申万宏源</t>
        </is>
      </c>
      <c r="Y1621" s="191" t="n">
        <v>1</v>
      </c>
    </row>
    <row r="1622">
      <c r="A1622" s="172" t="n">
        <v>90</v>
      </c>
      <c r="B1622" s="172" t="inlineStr">
        <is>
          <t>6月</t>
        </is>
      </c>
      <c r="C1622" s="172" t="inlineStr">
        <is>
          <t>企金</t>
        </is>
      </c>
      <c r="D1622" s="172" t="inlineStr">
        <is>
          <t>保理</t>
        </is>
      </c>
      <c r="E1622" s="172" t="inlineStr">
        <is>
          <t>京诚14-11</t>
        </is>
      </c>
      <c r="F1622" s="172" t="inlineStr">
        <is>
          <t>上交所</t>
        </is>
      </c>
      <c r="G1622" s="172" t="inlineStr">
        <is>
          <t>中信证券</t>
        </is>
      </c>
      <c r="H1622" s="172" t="inlineStr">
        <is>
          <t>申万宏源资管</t>
        </is>
      </c>
      <c r="I1622" s="172" t="inlineStr">
        <is>
          <t>建行北分</t>
        </is>
      </c>
      <c r="J1622" s="172" t="n">
        <v>10</v>
      </c>
      <c r="K1622" s="172" t="inlineStr">
        <is>
          <t>2+4</t>
        </is>
      </c>
      <c r="L1622" s="200" t="n">
        <v>46188</v>
      </c>
      <c r="M1622" s="175" t="n">
        <v>0.0149</v>
      </c>
      <c r="N1622" s="176" t="n">
        <v>0.0163</v>
      </c>
      <c r="O1622" s="172" t="n">
        <v>2.84</v>
      </c>
      <c r="P1622" s="172" t="inlineStr">
        <is>
          <t>优先级</t>
        </is>
      </c>
      <c r="Q1622" s="175" t="n">
        <v>0.99</v>
      </c>
      <c r="R1622" s="192" t="n">
        <v>9.9</v>
      </c>
      <c r="S1622" s="172" t="inlineStr">
        <is>
          <t>AAA</t>
        </is>
      </c>
      <c r="T1622" s="175" t="n">
        <v>0.0156</v>
      </c>
      <c r="U1622" s="172" t="n"/>
      <c r="V1622" s="172" t="n"/>
      <c r="W1622" s="175" t="n">
        <v>0.0175</v>
      </c>
      <c r="X1622" s="172" t="inlineStr">
        <is>
          <t>中金资管</t>
        </is>
      </c>
      <c r="Y1622" s="191" t="n">
        <v>0.5</v>
      </c>
    </row>
    <row r="1623">
      <c r="A1623" s="172" t="n">
        <v>90</v>
      </c>
      <c r="B1623" s="172" t="inlineStr">
        <is>
          <t>6月</t>
        </is>
      </c>
      <c r="C1623" s="172" t="inlineStr">
        <is>
          <t>企金</t>
        </is>
      </c>
      <c r="D1623" s="172" t="inlineStr">
        <is>
          <t>保理</t>
        </is>
      </c>
      <c r="E1623" s="172" t="inlineStr">
        <is>
          <t>京诚14-11</t>
        </is>
      </c>
      <c r="F1623" s="172" t="inlineStr">
        <is>
          <t>上交所</t>
        </is>
      </c>
      <c r="G1623" s="172" t="inlineStr">
        <is>
          <t>中信证券</t>
        </is>
      </c>
      <c r="H1623" s="172" t="inlineStr">
        <is>
          <t>申万宏源资管</t>
        </is>
      </c>
      <c r="I1623" s="172" t="inlineStr">
        <is>
          <t>建行北分</t>
        </is>
      </c>
      <c r="J1623" s="172" t="n">
        <v>10</v>
      </c>
      <c r="K1623" s="172" t="inlineStr">
        <is>
          <t>2+4</t>
        </is>
      </c>
      <c r="L1623" s="200" t="n">
        <v>46188</v>
      </c>
      <c r="M1623" s="175" t="n">
        <v>0.0149</v>
      </c>
      <c r="N1623" s="176" t="n">
        <v>0.0163</v>
      </c>
      <c r="O1623" s="172" t="n">
        <v>2.84</v>
      </c>
      <c r="P1623" s="172" t="inlineStr">
        <is>
          <t>优先级</t>
        </is>
      </c>
      <c r="Q1623" s="175" t="n">
        <v>0.99</v>
      </c>
      <c r="R1623" s="192" t="n">
        <v>9.9</v>
      </c>
      <c r="S1623" s="172" t="inlineStr">
        <is>
          <t>AAA</t>
        </is>
      </c>
      <c r="T1623" s="175" t="n">
        <v>0.0156</v>
      </c>
      <c r="U1623" s="172" t="n"/>
      <c r="V1623" s="172" t="n"/>
      <c r="W1623" s="175" t="n">
        <v>0.018</v>
      </c>
      <c r="X1623" s="172" t="inlineStr">
        <is>
          <t>中信证券（投行上报）</t>
        </is>
      </c>
      <c r="Y1623" s="191" t="n">
        <v>1.4</v>
      </c>
    </row>
    <row r="1624">
      <c r="A1624" s="172" t="n">
        <v>90</v>
      </c>
      <c r="B1624" s="172" t="inlineStr">
        <is>
          <t>6月</t>
        </is>
      </c>
      <c r="C1624" s="172" t="inlineStr">
        <is>
          <t>企金</t>
        </is>
      </c>
      <c r="D1624" s="172" t="inlineStr">
        <is>
          <t>保理</t>
        </is>
      </c>
      <c r="E1624" s="172" t="inlineStr">
        <is>
          <t>京诚14-11</t>
        </is>
      </c>
      <c r="F1624" s="172" t="inlineStr">
        <is>
          <t>上交所</t>
        </is>
      </c>
      <c r="G1624" s="172" t="inlineStr">
        <is>
          <t>中信证券</t>
        </is>
      </c>
      <c r="H1624" s="172" t="inlineStr">
        <is>
          <t>申万宏源资管</t>
        </is>
      </c>
      <c r="I1624" s="172" t="inlineStr">
        <is>
          <t>建行北分</t>
        </is>
      </c>
      <c r="J1624" s="172" t="n">
        <v>10</v>
      </c>
      <c r="K1624" s="172" t="inlineStr">
        <is>
          <t>2+4</t>
        </is>
      </c>
      <c r="L1624" s="200" t="n">
        <v>46188</v>
      </c>
      <c r="M1624" s="175" t="n">
        <v>0.0149</v>
      </c>
      <c r="N1624" s="176" t="n">
        <v>0.0163</v>
      </c>
      <c r="O1624" s="172" t="n">
        <v>2.84</v>
      </c>
      <c r="P1624" s="172" t="inlineStr">
        <is>
          <t>优先级</t>
        </is>
      </c>
      <c r="Q1624" s="175" t="n">
        <v>0.99</v>
      </c>
      <c r="R1624" s="192" t="n">
        <v>9.9</v>
      </c>
      <c r="S1624" s="172" t="inlineStr">
        <is>
          <t>AAA</t>
        </is>
      </c>
      <c r="T1624" s="175" t="n">
        <v>0.0156</v>
      </c>
      <c r="U1624" s="172" t="n"/>
      <c r="V1624" s="172" t="n"/>
      <c r="W1624" s="175" t="n">
        <v>0.024</v>
      </c>
      <c r="X1624" s="172" t="inlineStr">
        <is>
          <t>上海利曦私募</t>
        </is>
      </c>
      <c r="Y1624" s="191" t="n">
        <v>2</v>
      </c>
    </row>
    <row r="1625">
      <c r="A1625" s="172" t="n">
        <v>90</v>
      </c>
      <c r="B1625" s="172" t="inlineStr">
        <is>
          <t>6月</t>
        </is>
      </c>
      <c r="C1625" s="172" t="inlineStr">
        <is>
          <t>企金</t>
        </is>
      </c>
      <c r="D1625" s="172" t="inlineStr">
        <is>
          <t>保理</t>
        </is>
      </c>
      <c r="E1625" s="172" t="inlineStr">
        <is>
          <t>京诚14-11</t>
        </is>
      </c>
      <c r="F1625" s="172" t="inlineStr">
        <is>
          <t>上交所</t>
        </is>
      </c>
      <c r="G1625" s="172" t="inlineStr">
        <is>
          <t>中信证券</t>
        </is>
      </c>
      <c r="H1625" s="172" t="inlineStr">
        <is>
          <t>申万宏源资管</t>
        </is>
      </c>
      <c r="I1625" s="172" t="inlineStr">
        <is>
          <t>建行北分</t>
        </is>
      </c>
      <c r="J1625" s="172" t="n">
        <v>10</v>
      </c>
      <c r="K1625" s="172" t="inlineStr">
        <is>
          <t>2+4</t>
        </is>
      </c>
      <c r="L1625" s="202" t="n">
        <v>46188</v>
      </c>
      <c r="M1625" s="175" t="n">
        <v>0.0149</v>
      </c>
      <c r="N1625" s="176" t="n">
        <v>0.0163</v>
      </c>
      <c r="O1625" s="191" t="n">
        <v>2.84</v>
      </c>
      <c r="P1625" s="172" t="inlineStr">
        <is>
          <t>次级</t>
        </is>
      </c>
      <c r="Q1625" s="175" t="n">
        <v>0.01</v>
      </c>
      <c r="R1625" s="192" t="n">
        <v>0.1</v>
      </c>
      <c r="S1625" s="175" t="inlineStr">
        <is>
          <t>无</t>
        </is>
      </c>
      <c r="T1625" s="175" t="n">
        <v>0.043</v>
      </c>
      <c r="U1625" s="172" t="inlineStr">
        <is>
          <t>利曦基金</t>
        </is>
      </c>
      <c r="V1625" s="191" t="n">
        <v>0.1</v>
      </c>
      <c r="W1625" s="172" t="n"/>
      <c r="X1625" s="172" t="n"/>
      <c r="Y1625" s="172" t="n"/>
    </row>
    <row r="1626">
      <c r="A1626" s="172" t="n">
        <v>91</v>
      </c>
      <c r="B1626" s="172" t="inlineStr">
        <is>
          <t>6月</t>
        </is>
      </c>
      <c r="C1626" s="172" t="inlineStr">
        <is>
          <t>企金</t>
        </is>
      </c>
      <c r="D1626" s="172" t="inlineStr">
        <is>
          <t>小贷企业主贷</t>
        </is>
      </c>
      <c r="E1626" s="172" t="inlineStr">
        <is>
          <t>盛赢3-8</t>
        </is>
      </c>
      <c r="F1626" s="172" t="inlineStr">
        <is>
          <t>上交所</t>
        </is>
      </c>
      <c r="G1626" s="172" t="inlineStr">
        <is>
          <t>中信证券</t>
        </is>
      </c>
      <c r="H1626" s="172" t="inlineStr">
        <is>
          <t>国联证券</t>
        </is>
      </c>
      <c r="I1626" s="172" t="inlineStr">
        <is>
          <t>工银天津</t>
        </is>
      </c>
      <c r="J1626" s="172" t="n">
        <v>10</v>
      </c>
      <c r="K1626" s="172" t="inlineStr">
        <is>
          <t>9+12</t>
        </is>
      </c>
      <c r="L1626" s="202" t="n">
        <v>46188</v>
      </c>
      <c r="M1626" s="175" t="n">
        <v>0.0149</v>
      </c>
      <c r="N1626" s="176" t="n">
        <v>0.0195</v>
      </c>
      <c r="O1626" s="191" t="n">
        <v>2.11</v>
      </c>
      <c r="P1626" s="172" t="inlineStr">
        <is>
          <t>优先A</t>
        </is>
      </c>
      <c r="Q1626" s="175" t="n">
        <v>0.83</v>
      </c>
      <c r="R1626" s="192" t="n">
        <v>8.300000000000001</v>
      </c>
      <c r="S1626" s="172" t="inlineStr">
        <is>
          <t>AAA</t>
        </is>
      </c>
      <c r="T1626" s="175" t="n">
        <v>0.0165</v>
      </c>
      <c r="U1626" s="172" t="inlineStr">
        <is>
          <t>东莞农村商业银行</t>
        </is>
      </c>
      <c r="V1626" s="191" t="n">
        <v>1</v>
      </c>
      <c r="W1626" s="172" t="n"/>
      <c r="X1626" s="172" t="n"/>
      <c r="Y1626" s="172" t="n"/>
    </row>
    <row r="1627">
      <c r="A1627" s="172" t="n">
        <v>91</v>
      </c>
      <c r="B1627" s="172" t="inlineStr">
        <is>
          <t>6月</t>
        </is>
      </c>
      <c r="C1627" s="172" t="inlineStr">
        <is>
          <t>企金</t>
        </is>
      </c>
      <c r="D1627" s="172" t="inlineStr">
        <is>
          <t>小贷企业主贷</t>
        </is>
      </c>
      <c r="E1627" s="172" t="inlineStr">
        <is>
          <t>盛赢3-8</t>
        </is>
      </c>
      <c r="F1627" s="172" t="inlineStr">
        <is>
          <t>上交所</t>
        </is>
      </c>
      <c r="G1627" s="172" t="inlineStr">
        <is>
          <t>中信证券</t>
        </is>
      </c>
      <c r="H1627" s="172" t="inlineStr">
        <is>
          <t>国联证券</t>
        </is>
      </c>
      <c r="I1627" s="172" t="inlineStr">
        <is>
          <t>工银天津</t>
        </is>
      </c>
      <c r="J1627" s="172" t="n">
        <v>10</v>
      </c>
      <c r="K1627" s="172" t="inlineStr">
        <is>
          <t>9+12</t>
        </is>
      </c>
      <c r="L1627" s="202" t="n">
        <v>46188</v>
      </c>
      <c r="M1627" s="175" t="n">
        <v>0.0149</v>
      </c>
      <c r="N1627" s="176" t="n">
        <v>0.0195</v>
      </c>
      <c r="O1627" s="191" t="n">
        <v>2.11</v>
      </c>
      <c r="P1627" s="172" t="inlineStr">
        <is>
          <t>优先A</t>
        </is>
      </c>
      <c r="Q1627" s="175" t="n">
        <v>0.83</v>
      </c>
      <c r="R1627" s="192" t="n">
        <v>8.300000000000001</v>
      </c>
      <c r="S1627" s="172" t="inlineStr">
        <is>
          <t>AAA</t>
        </is>
      </c>
      <c r="T1627" s="175" t="n">
        <v>0.0165</v>
      </c>
      <c r="U1627" s="172" t="inlineStr">
        <is>
          <t>工银理财</t>
        </is>
      </c>
      <c r="V1627" s="191" t="n">
        <v>1.3</v>
      </c>
      <c r="W1627" s="175" t="n">
        <v>0.0165</v>
      </c>
      <c r="X1627" s="172" t="inlineStr">
        <is>
          <t>工银理财</t>
        </is>
      </c>
      <c r="Y1627" s="191" t="n">
        <v>1.5</v>
      </c>
    </row>
    <row r="1628">
      <c r="A1628" s="172" t="n">
        <v>91</v>
      </c>
      <c r="B1628" s="172" t="inlineStr">
        <is>
          <t>6月</t>
        </is>
      </c>
      <c r="C1628" s="172" t="inlineStr">
        <is>
          <t>企金</t>
        </is>
      </c>
      <c r="D1628" s="172" t="inlineStr">
        <is>
          <t>小贷企业主贷</t>
        </is>
      </c>
      <c r="E1628" s="172" t="inlineStr">
        <is>
          <t>盛赢3-8</t>
        </is>
      </c>
      <c r="F1628" s="172" t="inlineStr">
        <is>
          <t>上交所</t>
        </is>
      </c>
      <c r="G1628" s="172" t="inlineStr">
        <is>
          <t>中信证券</t>
        </is>
      </c>
      <c r="H1628" s="172" t="inlineStr">
        <is>
          <t>国联证券</t>
        </is>
      </c>
      <c r="I1628" s="172" t="inlineStr">
        <is>
          <t>工银天津</t>
        </is>
      </c>
      <c r="J1628" s="172" t="n">
        <v>10</v>
      </c>
      <c r="K1628" s="172" t="inlineStr">
        <is>
          <t>9+12</t>
        </is>
      </c>
      <c r="L1628" s="202" t="n">
        <v>46188</v>
      </c>
      <c r="M1628" s="175" t="n">
        <v>0.0149</v>
      </c>
      <c r="N1628" s="176" t="n">
        <v>0.0195</v>
      </c>
      <c r="O1628" s="191" t="n">
        <v>2.11</v>
      </c>
      <c r="P1628" s="172" t="inlineStr">
        <is>
          <t>优先A</t>
        </is>
      </c>
      <c r="Q1628" s="175" t="n">
        <v>0.83</v>
      </c>
      <c r="R1628" s="192" t="n">
        <v>8.300000000000001</v>
      </c>
      <c r="S1628" s="172" t="inlineStr">
        <is>
          <t>AAA</t>
        </is>
      </c>
      <c r="T1628" s="175" t="n">
        <v>0.0165</v>
      </c>
      <c r="U1628" s="172" t="inlineStr">
        <is>
          <t>中邮理财</t>
        </is>
      </c>
      <c r="V1628" s="191" t="n">
        <v>2.49</v>
      </c>
      <c r="W1628" s="175" t="n">
        <v>0.0162</v>
      </c>
      <c r="X1628" s="172" t="inlineStr">
        <is>
          <t>中邮理财</t>
        </is>
      </c>
      <c r="Y1628" s="191" t="n">
        <v>1.4</v>
      </c>
    </row>
    <row r="1629">
      <c r="A1629" s="172" t="n">
        <v>91</v>
      </c>
      <c r="B1629" s="172" t="inlineStr">
        <is>
          <t>6月</t>
        </is>
      </c>
      <c r="C1629" s="172" t="inlineStr">
        <is>
          <t>企金</t>
        </is>
      </c>
      <c r="D1629" s="172" t="inlineStr">
        <is>
          <t>小贷企业主贷</t>
        </is>
      </c>
      <c r="E1629" s="172" t="inlineStr">
        <is>
          <t>盛赢3-8</t>
        </is>
      </c>
      <c r="F1629" s="172" t="inlineStr">
        <is>
          <t>上交所</t>
        </is>
      </c>
      <c r="G1629" s="172" t="inlineStr">
        <is>
          <t>中信证券</t>
        </is>
      </c>
      <c r="H1629" s="172" t="inlineStr">
        <is>
          <t>国联证券</t>
        </is>
      </c>
      <c r="I1629" s="172" t="inlineStr">
        <is>
          <t>工银天津</t>
        </is>
      </c>
      <c r="J1629" s="172" t="n">
        <v>10</v>
      </c>
      <c r="K1629" s="172" t="inlineStr">
        <is>
          <t>9+12</t>
        </is>
      </c>
      <c r="L1629" s="200" t="n">
        <v>46188</v>
      </c>
      <c r="M1629" s="175" t="n">
        <v>0.0149</v>
      </c>
      <c r="N1629" s="176" t="n">
        <v>0.0195</v>
      </c>
      <c r="O1629" s="172" t="n">
        <v>2.11</v>
      </c>
      <c r="P1629" s="172" t="inlineStr">
        <is>
          <t>优先A</t>
        </is>
      </c>
      <c r="Q1629" s="175" t="n">
        <v>0.83</v>
      </c>
      <c r="R1629" s="192" t="n">
        <v>8.300000000000001</v>
      </c>
      <c r="S1629" s="172" t="inlineStr">
        <is>
          <t>AAA</t>
        </is>
      </c>
      <c r="T1629" s="175" t="n">
        <v>0.0165</v>
      </c>
      <c r="U1629" s="172" t="n"/>
      <c r="V1629" s="172" t="n"/>
      <c r="W1629" s="175" t="n">
        <v>0.0164</v>
      </c>
      <c r="X1629" s="172" t="inlineStr">
        <is>
          <t>中邮理财</t>
        </is>
      </c>
      <c r="Y1629" s="191" t="n">
        <v>1.09</v>
      </c>
    </row>
    <row r="1630">
      <c r="A1630" s="172" t="n">
        <v>91</v>
      </c>
      <c r="B1630" s="172" t="inlineStr">
        <is>
          <t>6月</t>
        </is>
      </c>
      <c r="C1630" s="172" t="inlineStr">
        <is>
          <t>企金</t>
        </is>
      </c>
      <c r="D1630" s="172" t="inlineStr">
        <is>
          <t>小贷企业主贷</t>
        </is>
      </c>
      <c r="E1630" s="172" t="inlineStr">
        <is>
          <t>盛赢3-8</t>
        </is>
      </c>
      <c r="F1630" s="172" t="inlineStr">
        <is>
          <t>上交所</t>
        </is>
      </c>
      <c r="G1630" s="172" t="inlineStr">
        <is>
          <t>中信证券</t>
        </is>
      </c>
      <c r="H1630" s="172" t="inlineStr">
        <is>
          <t>国联证券</t>
        </is>
      </c>
      <c r="I1630" s="172" t="inlineStr">
        <is>
          <t>工银天津</t>
        </is>
      </c>
      <c r="J1630" s="172" t="n">
        <v>10</v>
      </c>
      <c r="K1630" s="172" t="inlineStr">
        <is>
          <t>9+12</t>
        </is>
      </c>
      <c r="L1630" s="202" t="n">
        <v>46188</v>
      </c>
      <c r="M1630" s="175" t="n">
        <v>0.0149</v>
      </c>
      <c r="N1630" s="176" t="n">
        <v>0.0195</v>
      </c>
      <c r="O1630" s="191" t="n">
        <v>2.11</v>
      </c>
      <c r="P1630" s="172" t="inlineStr">
        <is>
          <t>优先A</t>
        </is>
      </c>
      <c r="Q1630" s="175" t="n">
        <v>0.83</v>
      </c>
      <c r="R1630" s="192" t="n">
        <v>8.300000000000001</v>
      </c>
      <c r="S1630" s="172" t="inlineStr">
        <is>
          <t>AAA</t>
        </is>
      </c>
      <c r="T1630" s="175" t="n">
        <v>0.0165</v>
      </c>
      <c r="U1630" s="172" t="inlineStr">
        <is>
          <t>交银理财</t>
        </is>
      </c>
      <c r="V1630" s="191" t="n">
        <v>2.23</v>
      </c>
      <c r="W1630" s="175" t="n">
        <v>0.016</v>
      </c>
      <c r="X1630" s="172" t="inlineStr">
        <is>
          <t>交银理财</t>
        </is>
      </c>
      <c r="Y1630" s="191" t="n">
        <v>0.5</v>
      </c>
    </row>
    <row r="1631">
      <c r="A1631" s="172" t="n">
        <v>91</v>
      </c>
      <c r="B1631" s="172" t="inlineStr">
        <is>
          <t>6月</t>
        </is>
      </c>
      <c r="C1631" s="172" t="inlineStr">
        <is>
          <t>企金</t>
        </is>
      </c>
      <c r="D1631" s="172" t="inlineStr">
        <is>
          <t>小贷企业主贷</t>
        </is>
      </c>
      <c r="E1631" s="172" t="inlineStr">
        <is>
          <t>盛赢3-8</t>
        </is>
      </c>
      <c r="F1631" s="172" t="inlineStr">
        <is>
          <t>上交所</t>
        </is>
      </c>
      <c r="G1631" s="172" t="inlineStr">
        <is>
          <t>中信证券</t>
        </is>
      </c>
      <c r="H1631" s="172" t="inlineStr">
        <is>
          <t>国联证券</t>
        </is>
      </c>
      <c r="I1631" s="172" t="inlineStr">
        <is>
          <t>工银天津</t>
        </is>
      </c>
      <c r="J1631" s="172" t="n">
        <v>10</v>
      </c>
      <c r="K1631" s="172" t="inlineStr">
        <is>
          <t>9+12</t>
        </is>
      </c>
      <c r="L1631" s="200" t="n">
        <v>46188</v>
      </c>
      <c r="M1631" s="175" t="n">
        <v>0.0149</v>
      </c>
      <c r="N1631" s="176" t="n">
        <v>0.0195</v>
      </c>
      <c r="O1631" s="172" t="n">
        <v>2.11</v>
      </c>
      <c r="P1631" s="172" t="inlineStr">
        <is>
          <t>优先A</t>
        </is>
      </c>
      <c r="Q1631" s="175" t="n">
        <v>0.83</v>
      </c>
      <c r="R1631" s="192" t="n">
        <v>8.300000000000001</v>
      </c>
      <c r="S1631" s="172" t="inlineStr">
        <is>
          <t>AAA</t>
        </is>
      </c>
      <c r="T1631" s="175" t="n">
        <v>0.0165</v>
      </c>
      <c r="U1631" s="172" t="n"/>
      <c r="V1631" s="172" t="n"/>
      <c r="W1631" s="175" t="n">
        <v>0.0165</v>
      </c>
      <c r="X1631" s="172" t="inlineStr">
        <is>
          <t>交银理财</t>
        </is>
      </c>
      <c r="Y1631" s="191" t="n">
        <v>1.99</v>
      </c>
    </row>
    <row r="1632">
      <c r="A1632" s="172" t="n">
        <v>91</v>
      </c>
      <c r="B1632" s="172" t="inlineStr">
        <is>
          <t>6月</t>
        </is>
      </c>
      <c r="C1632" s="172" t="inlineStr">
        <is>
          <t>企金</t>
        </is>
      </c>
      <c r="D1632" s="172" t="inlineStr">
        <is>
          <t>小贷企业主贷</t>
        </is>
      </c>
      <c r="E1632" s="172" t="inlineStr">
        <is>
          <t>盛赢3-8</t>
        </is>
      </c>
      <c r="F1632" s="172" t="inlineStr">
        <is>
          <t>上交所</t>
        </is>
      </c>
      <c r="G1632" s="172" t="inlineStr">
        <is>
          <t>中信证券</t>
        </is>
      </c>
      <c r="H1632" s="172" t="inlineStr">
        <is>
          <t>国联证券</t>
        </is>
      </c>
      <c r="I1632" s="172" t="inlineStr">
        <is>
          <t>工银天津</t>
        </is>
      </c>
      <c r="J1632" s="172" t="n">
        <v>10</v>
      </c>
      <c r="K1632" s="172" t="inlineStr">
        <is>
          <t>9+12</t>
        </is>
      </c>
      <c r="L1632" s="202" t="n">
        <v>46188</v>
      </c>
      <c r="M1632" s="175" t="n">
        <v>0.0149</v>
      </c>
      <c r="N1632" s="176" t="n">
        <v>0.0195</v>
      </c>
      <c r="O1632" s="191" t="n">
        <v>2.11</v>
      </c>
      <c r="P1632" s="172" t="inlineStr">
        <is>
          <t>优先A</t>
        </is>
      </c>
      <c r="Q1632" s="175" t="n">
        <v>0.83</v>
      </c>
      <c r="R1632" s="192" t="n">
        <v>8.300000000000001</v>
      </c>
      <c r="S1632" s="172" t="inlineStr">
        <is>
          <t>AAA</t>
        </is>
      </c>
      <c r="T1632" s="175" t="n">
        <v>0.0165</v>
      </c>
      <c r="U1632" s="172" t="inlineStr">
        <is>
          <t>建信信托</t>
        </is>
      </c>
      <c r="V1632" s="193" t="n">
        <v>0.865</v>
      </c>
      <c r="W1632" s="175" t="n">
        <v>0.0165</v>
      </c>
      <c r="X1632" s="172" t="inlineStr">
        <is>
          <t>建信信托</t>
        </is>
      </c>
      <c r="Y1632" s="191" t="n">
        <v>1</v>
      </c>
    </row>
    <row r="1633">
      <c r="A1633" s="172" t="n">
        <v>91</v>
      </c>
      <c r="B1633" s="172" t="inlineStr">
        <is>
          <t>6月</t>
        </is>
      </c>
      <c r="C1633" s="172" t="inlineStr">
        <is>
          <t>企金</t>
        </is>
      </c>
      <c r="D1633" s="172" t="inlineStr">
        <is>
          <t>小贷企业主贷</t>
        </is>
      </c>
      <c r="E1633" s="172" t="inlineStr">
        <is>
          <t>盛赢3-8</t>
        </is>
      </c>
      <c r="F1633" s="172" t="inlineStr">
        <is>
          <t>上交所</t>
        </is>
      </c>
      <c r="G1633" s="172" t="inlineStr">
        <is>
          <t>中信证券</t>
        </is>
      </c>
      <c r="H1633" s="172" t="inlineStr">
        <is>
          <t>国联证券</t>
        </is>
      </c>
      <c r="I1633" s="172" t="inlineStr">
        <is>
          <t>工银天津</t>
        </is>
      </c>
      <c r="J1633" s="172" t="n">
        <v>10</v>
      </c>
      <c r="K1633" s="172" t="inlineStr">
        <is>
          <t>9+12</t>
        </is>
      </c>
      <c r="L1633" s="202" t="n">
        <v>46188</v>
      </c>
      <c r="M1633" s="175" t="n">
        <v>0.0149</v>
      </c>
      <c r="N1633" s="176" t="n">
        <v>0.0195</v>
      </c>
      <c r="O1633" s="191" t="n">
        <v>2.11</v>
      </c>
      <c r="P1633" s="172" t="inlineStr">
        <is>
          <t>优先A</t>
        </is>
      </c>
      <c r="Q1633" s="175" t="n">
        <v>0.83</v>
      </c>
      <c r="R1633" s="192" t="n">
        <v>8.300000000000001</v>
      </c>
      <c r="S1633" s="172" t="inlineStr">
        <is>
          <t>AAA</t>
        </is>
      </c>
      <c r="T1633" s="175" t="n">
        <v>0.0165</v>
      </c>
      <c r="U1633" s="172" t="inlineStr">
        <is>
          <t>盛际小贷</t>
        </is>
      </c>
      <c r="V1633" s="193" t="n">
        <v>0.415</v>
      </c>
      <c r="W1633" s="172" t="inlineStr">
        <is>
          <t>自持</t>
        </is>
      </c>
      <c r="X1633" s="172" t="inlineStr">
        <is>
          <t>盛际小贷</t>
        </is>
      </c>
      <c r="Y1633" s="191" t="n">
        <v>0.415</v>
      </c>
    </row>
    <row r="1634">
      <c r="A1634" s="172" t="n">
        <v>91</v>
      </c>
      <c r="B1634" s="172" t="inlineStr">
        <is>
          <t>6月</t>
        </is>
      </c>
      <c r="C1634" s="172" t="inlineStr">
        <is>
          <t>企金</t>
        </is>
      </c>
      <c r="D1634" s="172" t="inlineStr">
        <is>
          <t>小贷企业主贷</t>
        </is>
      </c>
      <c r="E1634" s="172" t="inlineStr">
        <is>
          <t>盛赢3-8</t>
        </is>
      </c>
      <c r="F1634" s="172" t="inlineStr">
        <is>
          <t>上交所</t>
        </is>
      </c>
      <c r="G1634" s="172" t="inlineStr">
        <is>
          <t>中信证券</t>
        </is>
      </c>
      <c r="H1634" s="172" t="inlineStr">
        <is>
          <t>国联证券</t>
        </is>
      </c>
      <c r="I1634" s="172" t="inlineStr">
        <is>
          <t>工银天津</t>
        </is>
      </c>
      <c r="J1634" s="172" t="n">
        <v>10</v>
      </c>
      <c r="K1634" s="172" t="inlineStr">
        <is>
          <t>9+12</t>
        </is>
      </c>
      <c r="L1634" s="200" t="n">
        <v>46188</v>
      </c>
      <c r="M1634" s="175" t="n">
        <v>0.0149</v>
      </c>
      <c r="N1634" s="176" t="n">
        <v>0.0195</v>
      </c>
      <c r="O1634" s="172" t="n">
        <v>2.11</v>
      </c>
      <c r="P1634" s="172" t="inlineStr">
        <is>
          <t>优先A</t>
        </is>
      </c>
      <c r="Q1634" s="175" t="n">
        <v>0.83</v>
      </c>
      <c r="R1634" s="192" t="n">
        <v>8.300000000000001</v>
      </c>
      <c r="S1634" s="172" t="inlineStr">
        <is>
          <t>AAA</t>
        </is>
      </c>
      <c r="T1634" s="175" t="n">
        <v>0.0165</v>
      </c>
      <c r="U1634" s="172" t="n"/>
      <c r="V1634" s="172" t="n"/>
      <c r="W1634" s="175" t="n">
        <v>0.0164</v>
      </c>
      <c r="X1634" s="172" t="inlineStr">
        <is>
          <t>东莞农商行</t>
        </is>
      </c>
      <c r="Y1634" s="191" t="n">
        <v>1</v>
      </c>
    </row>
    <row r="1635">
      <c r="A1635" s="172" t="n">
        <v>91</v>
      </c>
      <c r="B1635" s="172" t="inlineStr">
        <is>
          <t>6月</t>
        </is>
      </c>
      <c r="C1635" s="172" t="inlineStr">
        <is>
          <t>企金</t>
        </is>
      </c>
      <c r="D1635" s="172" t="inlineStr">
        <is>
          <t>小贷企业主贷</t>
        </is>
      </c>
      <c r="E1635" s="172" t="inlineStr">
        <is>
          <t>盛赢3-8</t>
        </is>
      </c>
      <c r="F1635" s="172" t="inlineStr">
        <is>
          <t>上交所</t>
        </is>
      </c>
      <c r="G1635" s="172" t="inlineStr">
        <is>
          <t>中信证券</t>
        </is>
      </c>
      <c r="H1635" s="172" t="inlineStr">
        <is>
          <t>国联证券</t>
        </is>
      </c>
      <c r="I1635" s="172" t="inlineStr">
        <is>
          <t>工银天津</t>
        </is>
      </c>
      <c r="J1635" s="172" t="n">
        <v>10</v>
      </c>
      <c r="K1635" s="172" t="inlineStr">
        <is>
          <t>9+12</t>
        </is>
      </c>
      <c r="L1635" s="200" t="n">
        <v>46188</v>
      </c>
      <c r="M1635" s="175" t="n">
        <v>0.0149</v>
      </c>
      <c r="N1635" s="176" t="n">
        <v>0.0195</v>
      </c>
      <c r="O1635" s="172" t="n">
        <v>2.11</v>
      </c>
      <c r="P1635" s="172" t="inlineStr">
        <is>
          <t>优先A</t>
        </is>
      </c>
      <c r="Q1635" s="175" t="n">
        <v>0.83</v>
      </c>
      <c r="R1635" s="192" t="n">
        <v>8.300000000000001</v>
      </c>
      <c r="S1635" s="172" t="inlineStr">
        <is>
          <t>AAA</t>
        </is>
      </c>
      <c r="T1635" s="175" t="n">
        <v>0.0165</v>
      </c>
      <c r="U1635" s="172" t="n"/>
      <c r="V1635" s="172" t="n"/>
      <c r="W1635" s="175" t="n">
        <v>0.0168</v>
      </c>
      <c r="X1635" s="172" t="inlineStr">
        <is>
          <t>易方达基金</t>
        </is>
      </c>
      <c r="Y1635" s="191" t="n">
        <v>0.8</v>
      </c>
    </row>
    <row r="1636">
      <c r="A1636" s="172" t="n">
        <v>91</v>
      </c>
      <c r="B1636" s="172" t="inlineStr">
        <is>
          <t>6月</t>
        </is>
      </c>
      <c r="C1636" s="172" t="inlineStr">
        <is>
          <t>企金</t>
        </is>
      </c>
      <c r="D1636" s="172" t="inlineStr">
        <is>
          <t>小贷企业主贷</t>
        </is>
      </c>
      <c r="E1636" s="172" t="inlineStr">
        <is>
          <t>盛赢3-8</t>
        </is>
      </c>
      <c r="F1636" s="172" t="inlineStr">
        <is>
          <t>上交所</t>
        </is>
      </c>
      <c r="G1636" s="172" t="inlineStr">
        <is>
          <t>中信证券</t>
        </is>
      </c>
      <c r="H1636" s="172" t="inlineStr">
        <is>
          <t>国联证券</t>
        </is>
      </c>
      <c r="I1636" s="172" t="inlineStr">
        <is>
          <t>工银天津</t>
        </is>
      </c>
      <c r="J1636" s="172" t="n">
        <v>10</v>
      </c>
      <c r="K1636" s="172" t="inlineStr">
        <is>
          <t>9+12</t>
        </is>
      </c>
      <c r="L1636" s="200" t="n">
        <v>46188</v>
      </c>
      <c r="M1636" s="175" t="n">
        <v>0.0149</v>
      </c>
      <c r="N1636" s="176" t="n">
        <v>0.0195</v>
      </c>
      <c r="O1636" s="172" t="n">
        <v>2.11</v>
      </c>
      <c r="P1636" s="172" t="inlineStr">
        <is>
          <t>优先A</t>
        </is>
      </c>
      <c r="Q1636" s="175" t="n">
        <v>0.83</v>
      </c>
      <c r="R1636" s="192" t="n">
        <v>8.300000000000001</v>
      </c>
      <c r="S1636" s="172" t="inlineStr">
        <is>
          <t>AAA</t>
        </is>
      </c>
      <c r="T1636" s="175" t="n">
        <v>0.0165</v>
      </c>
      <c r="U1636" s="172" t="n"/>
      <c r="V1636" s="172" t="n"/>
      <c r="W1636" s="175" t="n">
        <v>0.017</v>
      </c>
      <c r="X1636" s="172" t="inlineStr">
        <is>
          <t>易方达基金</t>
        </is>
      </c>
      <c r="Y1636" s="191" t="n">
        <v>0.83</v>
      </c>
    </row>
    <row r="1637">
      <c r="A1637" s="172" t="n">
        <v>91</v>
      </c>
      <c r="B1637" s="172" t="inlineStr">
        <is>
          <t>6月</t>
        </is>
      </c>
      <c r="C1637" s="172" t="inlineStr">
        <is>
          <t>企金</t>
        </is>
      </c>
      <c r="D1637" s="172" t="inlineStr">
        <is>
          <t>小贷企业主贷</t>
        </is>
      </c>
      <c r="E1637" s="172" t="inlineStr">
        <is>
          <t>盛赢3-8</t>
        </is>
      </c>
      <c r="F1637" s="172" t="inlineStr">
        <is>
          <t>上交所</t>
        </is>
      </c>
      <c r="G1637" s="172" t="inlineStr">
        <is>
          <t>中信证券</t>
        </is>
      </c>
      <c r="H1637" s="172" t="inlineStr">
        <is>
          <t>国联证券</t>
        </is>
      </c>
      <c r="I1637" s="172" t="inlineStr">
        <is>
          <t>工银天津</t>
        </is>
      </c>
      <c r="J1637" s="172" t="n">
        <v>10</v>
      </c>
      <c r="K1637" s="172" t="inlineStr">
        <is>
          <t>9+12</t>
        </is>
      </c>
      <c r="L1637" s="200" t="n">
        <v>46188</v>
      </c>
      <c r="M1637" s="175" t="n">
        <v>0.0149</v>
      </c>
      <c r="N1637" s="176" t="n">
        <v>0.0195</v>
      </c>
      <c r="O1637" s="172" t="n">
        <v>2.11</v>
      </c>
      <c r="P1637" s="172" t="inlineStr">
        <is>
          <t>优先A</t>
        </is>
      </c>
      <c r="Q1637" s="175" t="n">
        <v>0.83</v>
      </c>
      <c r="R1637" s="192" t="n">
        <v>8.300000000000001</v>
      </c>
      <c r="S1637" s="172" t="inlineStr">
        <is>
          <t>AAA</t>
        </is>
      </c>
      <c r="T1637" s="175" t="n">
        <v>0.0165</v>
      </c>
      <c r="U1637" s="172" t="n"/>
      <c r="V1637" s="172" t="n"/>
      <c r="W1637" s="175" t="n">
        <v>0.0169</v>
      </c>
      <c r="X1637" s="172" t="inlineStr">
        <is>
          <t>中金公司</t>
        </is>
      </c>
      <c r="Y1637" s="191" t="n">
        <v>0.3</v>
      </c>
    </row>
    <row r="1638">
      <c r="A1638" s="172" t="n">
        <v>91</v>
      </c>
      <c r="B1638" s="172" t="inlineStr">
        <is>
          <t>6月</t>
        </is>
      </c>
      <c r="C1638" s="172" t="inlineStr">
        <is>
          <t>企金</t>
        </is>
      </c>
      <c r="D1638" s="172" t="inlineStr">
        <is>
          <t>小贷企业主贷</t>
        </is>
      </c>
      <c r="E1638" s="172" t="inlineStr">
        <is>
          <t>盛赢3-8</t>
        </is>
      </c>
      <c r="F1638" s="172" t="inlineStr">
        <is>
          <t>上交所</t>
        </is>
      </c>
      <c r="G1638" s="172" t="inlineStr">
        <is>
          <t>中信证券</t>
        </is>
      </c>
      <c r="H1638" s="172" t="inlineStr">
        <is>
          <t>国联证券</t>
        </is>
      </c>
      <c r="I1638" s="172" t="inlineStr">
        <is>
          <t>工银天津</t>
        </is>
      </c>
      <c r="J1638" s="172" t="n">
        <v>10</v>
      </c>
      <c r="K1638" s="172" t="inlineStr">
        <is>
          <t>9+12</t>
        </is>
      </c>
      <c r="L1638" s="200" t="n">
        <v>46188</v>
      </c>
      <c r="M1638" s="175" t="n">
        <v>0.0149</v>
      </c>
      <c r="N1638" s="176" t="n">
        <v>0.0195</v>
      </c>
      <c r="O1638" s="172" t="n">
        <v>2.11</v>
      </c>
      <c r="P1638" s="172" t="inlineStr">
        <is>
          <t>优先A</t>
        </is>
      </c>
      <c r="Q1638" s="175" t="n">
        <v>0.83</v>
      </c>
      <c r="R1638" s="192" t="n">
        <v>8.300000000000001</v>
      </c>
      <c r="S1638" s="172" t="inlineStr">
        <is>
          <t>AAA</t>
        </is>
      </c>
      <c r="T1638" s="175" t="n">
        <v>0.0165</v>
      </c>
      <c r="U1638" s="172" t="n"/>
      <c r="V1638" s="172" t="n"/>
      <c r="W1638" s="175" t="n">
        <v>0.017</v>
      </c>
      <c r="X1638" s="172" t="inlineStr">
        <is>
          <t>中金公司</t>
        </is>
      </c>
      <c r="Y1638" s="191" t="n">
        <v>0.5</v>
      </c>
    </row>
    <row r="1639">
      <c r="A1639" s="172" t="n">
        <v>91</v>
      </c>
      <c r="B1639" s="172" t="inlineStr">
        <is>
          <t>6月</t>
        </is>
      </c>
      <c r="C1639" s="172" t="inlineStr">
        <is>
          <t>企金</t>
        </is>
      </c>
      <c r="D1639" s="172" t="inlineStr">
        <is>
          <t>小贷企业主贷</t>
        </is>
      </c>
      <c r="E1639" s="172" t="inlineStr">
        <is>
          <t>盛赢3-8</t>
        </is>
      </c>
      <c r="F1639" s="172" t="inlineStr">
        <is>
          <t>上交所</t>
        </is>
      </c>
      <c r="G1639" s="172" t="inlineStr">
        <is>
          <t>中信证券</t>
        </is>
      </c>
      <c r="H1639" s="172" t="inlineStr">
        <is>
          <t>国联证券</t>
        </is>
      </c>
      <c r="I1639" s="172" t="inlineStr">
        <is>
          <t>工银天津</t>
        </is>
      </c>
      <c r="J1639" s="172" t="n">
        <v>10</v>
      </c>
      <c r="K1639" s="172" t="inlineStr">
        <is>
          <t>9+12</t>
        </is>
      </c>
      <c r="L1639" s="200" t="n">
        <v>46188</v>
      </c>
      <c r="M1639" s="175" t="n">
        <v>0.0149</v>
      </c>
      <c r="N1639" s="176" t="n">
        <v>0.0195</v>
      </c>
      <c r="O1639" s="172" t="n">
        <v>2.11</v>
      </c>
      <c r="P1639" s="172" t="inlineStr">
        <is>
          <t>优先A</t>
        </is>
      </c>
      <c r="Q1639" s="175" t="n">
        <v>0.83</v>
      </c>
      <c r="R1639" s="192" t="n">
        <v>8.300000000000001</v>
      </c>
      <c r="S1639" s="172" t="inlineStr">
        <is>
          <t>AAA</t>
        </is>
      </c>
      <c r="T1639" s="175" t="n">
        <v>0.0165</v>
      </c>
      <c r="U1639" s="172" t="n"/>
      <c r="V1639" s="172" t="n"/>
      <c r="W1639" s="175" t="n">
        <v>0.017</v>
      </c>
      <c r="X1639" s="172" t="inlineStr">
        <is>
          <t>华夏理财</t>
        </is>
      </c>
      <c r="Y1639" s="191" t="n">
        <v>2.49</v>
      </c>
    </row>
    <row r="1640">
      <c r="A1640" s="172" t="n">
        <v>91</v>
      </c>
      <c r="B1640" s="172" t="inlineStr">
        <is>
          <t>6月</t>
        </is>
      </c>
      <c r="C1640" s="172" t="inlineStr">
        <is>
          <t>企金</t>
        </is>
      </c>
      <c r="D1640" s="172" t="inlineStr">
        <is>
          <t>小贷企业主贷</t>
        </is>
      </c>
      <c r="E1640" s="172" t="inlineStr">
        <is>
          <t>盛赢3-8</t>
        </is>
      </c>
      <c r="F1640" s="172" t="inlineStr">
        <is>
          <t>上交所</t>
        </is>
      </c>
      <c r="G1640" s="172" t="inlineStr">
        <is>
          <t>中信证券</t>
        </is>
      </c>
      <c r="H1640" s="172" t="inlineStr">
        <is>
          <t>国联证券</t>
        </is>
      </c>
      <c r="I1640" s="172" t="inlineStr">
        <is>
          <t>工银天津</t>
        </is>
      </c>
      <c r="J1640" s="172" t="n">
        <v>10</v>
      </c>
      <c r="K1640" s="172" t="inlineStr">
        <is>
          <t>9+12</t>
        </is>
      </c>
      <c r="L1640" s="200" t="n">
        <v>46188</v>
      </c>
      <c r="M1640" s="175" t="n">
        <v>0.0149</v>
      </c>
      <c r="N1640" s="176" t="n">
        <v>0.0195</v>
      </c>
      <c r="O1640" s="172" t="n">
        <v>2.11</v>
      </c>
      <c r="P1640" s="172" t="inlineStr">
        <is>
          <t>优先A</t>
        </is>
      </c>
      <c r="Q1640" s="175" t="n">
        <v>0.83</v>
      </c>
      <c r="R1640" s="192" t="n">
        <v>8.300000000000001</v>
      </c>
      <c r="S1640" s="172" t="inlineStr">
        <is>
          <t>AAA</t>
        </is>
      </c>
      <c r="T1640" s="175" t="n">
        <v>0.0165</v>
      </c>
      <c r="U1640" s="172" t="n"/>
      <c r="V1640" s="172" t="n"/>
      <c r="W1640" s="175" t="n">
        <v>0.0175</v>
      </c>
      <c r="X1640" s="172" t="inlineStr">
        <is>
          <t>中金资管</t>
        </is>
      </c>
      <c r="Y1640" s="191" t="n">
        <v>0.5</v>
      </c>
    </row>
    <row r="1641">
      <c r="A1641" s="172" t="n">
        <v>91</v>
      </c>
      <c r="B1641" s="172" t="inlineStr">
        <is>
          <t>6月</t>
        </is>
      </c>
      <c r="C1641" s="172" t="inlineStr">
        <is>
          <t>企金</t>
        </is>
      </c>
      <c r="D1641" s="172" t="inlineStr">
        <is>
          <t>小贷企业主贷</t>
        </is>
      </c>
      <c r="E1641" s="172" t="inlineStr">
        <is>
          <t>盛赢3-8</t>
        </is>
      </c>
      <c r="F1641" s="172" t="inlineStr">
        <is>
          <t>上交所</t>
        </is>
      </c>
      <c r="G1641" s="172" t="inlineStr">
        <is>
          <t>中信证券</t>
        </is>
      </c>
      <c r="H1641" s="172" t="inlineStr">
        <is>
          <t>国联证券</t>
        </is>
      </c>
      <c r="I1641" s="172" t="inlineStr">
        <is>
          <t>工银天津</t>
        </is>
      </c>
      <c r="J1641" s="172" t="n">
        <v>10</v>
      </c>
      <c r="K1641" s="172" t="inlineStr">
        <is>
          <t>9+12</t>
        </is>
      </c>
      <c r="L1641" s="200" t="n">
        <v>46188</v>
      </c>
      <c r="M1641" s="175" t="n">
        <v>0.0149</v>
      </c>
      <c r="N1641" s="176" t="n">
        <v>0.0195</v>
      </c>
      <c r="O1641" s="172" t="n">
        <v>2.11</v>
      </c>
      <c r="P1641" s="172" t="inlineStr">
        <is>
          <t>优先A</t>
        </is>
      </c>
      <c r="Q1641" s="175" t="n">
        <v>0.83</v>
      </c>
      <c r="R1641" s="192" t="n">
        <v>8.300000000000001</v>
      </c>
      <c r="S1641" s="172" t="inlineStr">
        <is>
          <t>AAA</t>
        </is>
      </c>
      <c r="T1641" s="175" t="n">
        <v>0.0165</v>
      </c>
      <c r="U1641" s="172" t="n"/>
      <c r="V1641" s="172" t="n"/>
      <c r="W1641" s="175" t="n">
        <v>0.018</v>
      </c>
      <c r="X1641" s="172" t="inlineStr">
        <is>
          <t>中信证券（投行上报）</t>
        </is>
      </c>
      <c r="Y1641" s="191" t="n">
        <v>1.2</v>
      </c>
    </row>
    <row r="1642">
      <c r="A1642" s="172" t="n">
        <v>91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小贷企业主贷</t>
        </is>
      </c>
      <c r="E1642" s="172" t="inlineStr">
        <is>
          <t>盛赢3-8</t>
        </is>
      </c>
      <c r="F1642" s="172" t="inlineStr">
        <is>
          <t>上交所</t>
        </is>
      </c>
      <c r="G1642" s="172" t="inlineStr">
        <is>
          <t>中信证券</t>
        </is>
      </c>
      <c r="H1642" s="172" t="inlineStr">
        <is>
          <t>国联证券</t>
        </is>
      </c>
      <c r="I1642" s="172" t="inlineStr">
        <is>
          <t>工银天津</t>
        </is>
      </c>
      <c r="J1642" s="172" t="n">
        <v>10</v>
      </c>
      <c r="K1642" s="172" t="inlineStr">
        <is>
          <t>9+12</t>
        </is>
      </c>
      <c r="L1642" s="200" t="n">
        <v>46188</v>
      </c>
      <c r="M1642" s="175" t="n">
        <v>0.0149</v>
      </c>
      <c r="N1642" s="176" t="n">
        <v>0.0195</v>
      </c>
      <c r="O1642" s="172" t="n">
        <v>2.11</v>
      </c>
      <c r="P1642" s="172" t="inlineStr">
        <is>
          <t>优先A</t>
        </is>
      </c>
      <c r="Q1642" s="175" t="n">
        <v>0.83</v>
      </c>
      <c r="R1642" s="192" t="n">
        <v>8.300000000000001</v>
      </c>
      <c r="S1642" s="172" t="inlineStr">
        <is>
          <t>AAA</t>
        </is>
      </c>
      <c r="T1642" s="175" t="n">
        <v>0.0165</v>
      </c>
      <c r="U1642" s="172" t="n"/>
      <c r="V1642" s="172" t="n"/>
      <c r="W1642" s="175" t="n">
        <v>0.024</v>
      </c>
      <c r="X1642" s="172" t="inlineStr">
        <is>
          <t>上海利曦私募</t>
        </is>
      </c>
      <c r="Y1642" s="191" t="n">
        <v>2</v>
      </c>
    </row>
    <row r="1643">
      <c r="A1643" s="172" t="n">
        <v>91</v>
      </c>
      <c r="B1643" s="172" t="inlineStr">
        <is>
          <t>6月</t>
        </is>
      </c>
      <c r="C1643" s="172" t="inlineStr">
        <is>
          <t>企金</t>
        </is>
      </c>
      <c r="D1643" s="172" t="inlineStr">
        <is>
          <t>小贷企业主贷</t>
        </is>
      </c>
      <c r="E1643" s="172" t="inlineStr">
        <is>
          <t>盛赢3-8</t>
        </is>
      </c>
      <c r="F1643" s="172" t="inlineStr">
        <is>
          <t>上交所</t>
        </is>
      </c>
      <c r="G1643" s="172" t="inlineStr">
        <is>
          <t>中信证券</t>
        </is>
      </c>
      <c r="H1643" s="172" t="inlineStr">
        <is>
          <t>国联证券</t>
        </is>
      </c>
      <c r="I1643" s="172" t="inlineStr">
        <is>
          <t>工银天津</t>
        </is>
      </c>
      <c r="J1643" s="172" t="n">
        <v>10</v>
      </c>
      <c r="K1643" s="172" t="inlineStr">
        <is>
          <t>9+12</t>
        </is>
      </c>
      <c r="L1643" s="202" t="n">
        <v>46188</v>
      </c>
      <c r="M1643" s="175" t="n">
        <v>0.0149</v>
      </c>
      <c r="N1643" s="176" t="n">
        <v>0.0195</v>
      </c>
      <c r="O1643" s="191" t="n">
        <v>2.11</v>
      </c>
      <c r="P1643" s="172" t="inlineStr">
        <is>
          <t>优先B</t>
        </is>
      </c>
      <c r="Q1643" s="175" t="n">
        <v>0.05</v>
      </c>
      <c r="R1643" s="192" t="n">
        <v>0.5</v>
      </c>
      <c r="S1643" s="175" t="inlineStr">
        <is>
          <t>AA+</t>
        </is>
      </c>
      <c r="T1643" s="175" t="n">
        <v>0.0185</v>
      </c>
      <c r="U1643" s="172" t="inlineStr">
        <is>
          <t>交银理财</t>
        </is>
      </c>
      <c r="V1643" s="191" t="n">
        <v>0.15</v>
      </c>
      <c r="W1643" s="175" t="n">
        <v>0.017</v>
      </c>
      <c r="X1643" s="172" t="inlineStr">
        <is>
          <t>交银理财</t>
        </is>
      </c>
      <c r="Y1643" s="191" t="n">
        <v>0.15</v>
      </c>
    </row>
    <row r="1644">
      <c r="A1644" s="172" t="n">
        <v>91</v>
      </c>
      <c r="B1644" s="172" t="inlineStr">
        <is>
          <t>6月</t>
        </is>
      </c>
      <c r="C1644" s="172" t="inlineStr">
        <is>
          <t>企金</t>
        </is>
      </c>
      <c r="D1644" s="172" t="inlineStr">
        <is>
          <t>小贷企业主贷</t>
        </is>
      </c>
      <c r="E1644" s="172" t="inlineStr">
        <is>
          <t>盛赢3-8</t>
        </is>
      </c>
      <c r="F1644" s="172" t="inlineStr">
        <is>
          <t>上交所</t>
        </is>
      </c>
      <c r="G1644" s="172" t="inlineStr">
        <is>
          <t>中信证券</t>
        </is>
      </c>
      <c r="H1644" s="172" t="inlineStr">
        <is>
          <t>国联证券</t>
        </is>
      </c>
      <c r="I1644" s="172" t="inlineStr">
        <is>
          <t>工银天津</t>
        </is>
      </c>
      <c r="J1644" s="172" t="n">
        <v>10</v>
      </c>
      <c r="K1644" s="172" t="inlineStr">
        <is>
          <t>9+12</t>
        </is>
      </c>
      <c r="L1644" s="202" t="n">
        <v>46188</v>
      </c>
      <c r="M1644" s="175" t="n">
        <v>0.0149</v>
      </c>
      <c r="N1644" s="176" t="n">
        <v>0.0195</v>
      </c>
      <c r="O1644" s="191" t="n">
        <v>2.11</v>
      </c>
      <c r="P1644" s="172" t="inlineStr">
        <is>
          <t>优先B</t>
        </is>
      </c>
      <c r="Q1644" s="175" t="n">
        <v>0.05</v>
      </c>
      <c r="R1644" s="192" t="n">
        <v>0.5</v>
      </c>
      <c r="S1644" s="175" t="inlineStr">
        <is>
          <t>AA+</t>
        </is>
      </c>
      <c r="T1644" s="175" t="n">
        <v>0.0185</v>
      </c>
      <c r="U1644" s="172" t="inlineStr">
        <is>
          <t>中金自营</t>
        </is>
      </c>
      <c r="V1644" s="193" t="n">
        <v>0.125</v>
      </c>
      <c r="W1644" s="172" t="n"/>
      <c r="X1644" s="172" t="n"/>
      <c r="Y1644" s="172" t="n"/>
    </row>
    <row r="1645">
      <c r="A1645" s="172" t="n">
        <v>91</v>
      </c>
      <c r="B1645" s="172" t="inlineStr">
        <is>
          <t>6月</t>
        </is>
      </c>
      <c r="C1645" s="172" t="inlineStr">
        <is>
          <t>企金</t>
        </is>
      </c>
      <c r="D1645" s="172" t="inlineStr">
        <is>
          <t>小贷企业主贷</t>
        </is>
      </c>
      <c r="E1645" s="172" t="inlineStr">
        <is>
          <t>盛赢3-8</t>
        </is>
      </c>
      <c r="F1645" s="172" t="inlineStr">
        <is>
          <t>上交所</t>
        </is>
      </c>
      <c r="G1645" s="172" t="inlineStr">
        <is>
          <t>中信证券</t>
        </is>
      </c>
      <c r="H1645" s="172" t="inlineStr">
        <is>
          <t>国联证券</t>
        </is>
      </c>
      <c r="I1645" s="172" t="inlineStr">
        <is>
          <t>工银天津</t>
        </is>
      </c>
      <c r="J1645" s="172" t="n">
        <v>10</v>
      </c>
      <c r="K1645" s="172" t="inlineStr">
        <is>
          <t>9+12</t>
        </is>
      </c>
      <c r="L1645" s="202" t="n">
        <v>46188</v>
      </c>
      <c r="M1645" s="175" t="n">
        <v>0.0149</v>
      </c>
      <c r="N1645" s="176" t="n">
        <v>0.0195</v>
      </c>
      <c r="O1645" s="191" t="n">
        <v>2.11</v>
      </c>
      <c r="P1645" s="172" t="inlineStr">
        <is>
          <t>优先B</t>
        </is>
      </c>
      <c r="Q1645" s="175" t="n">
        <v>0.05</v>
      </c>
      <c r="R1645" s="192" t="n">
        <v>0.5</v>
      </c>
      <c r="S1645" s="175" t="inlineStr">
        <is>
          <t>AA+</t>
        </is>
      </c>
      <c r="T1645" s="175" t="n">
        <v>0.0185</v>
      </c>
      <c r="U1645" s="172" t="inlineStr">
        <is>
          <t>中金资管</t>
        </is>
      </c>
      <c r="V1645" s="191" t="n">
        <v>0.1</v>
      </c>
      <c r="W1645" s="175" t="n">
        <v>0.018</v>
      </c>
      <c r="X1645" s="172" t="inlineStr">
        <is>
          <t>中金资管</t>
        </is>
      </c>
      <c r="Y1645" s="191" t="n">
        <v>0.1</v>
      </c>
    </row>
    <row r="1646">
      <c r="A1646" s="172" t="n">
        <v>91</v>
      </c>
      <c r="B1646" s="172" t="inlineStr">
        <is>
          <t>6月</t>
        </is>
      </c>
      <c r="C1646" s="172" t="inlineStr">
        <is>
          <t>企金</t>
        </is>
      </c>
      <c r="D1646" s="172" t="inlineStr">
        <is>
          <t>小贷企业主贷</t>
        </is>
      </c>
      <c r="E1646" s="172" t="inlineStr">
        <is>
          <t>盛赢3-8</t>
        </is>
      </c>
      <c r="F1646" s="172" t="inlineStr">
        <is>
          <t>上交所</t>
        </is>
      </c>
      <c r="G1646" s="172" t="inlineStr">
        <is>
          <t>中信证券</t>
        </is>
      </c>
      <c r="H1646" s="172" t="inlineStr">
        <is>
          <t>国联证券</t>
        </is>
      </c>
      <c r="I1646" s="172" t="inlineStr">
        <is>
          <t>工银天津</t>
        </is>
      </c>
      <c r="J1646" s="172" t="n">
        <v>10</v>
      </c>
      <c r="K1646" s="172" t="inlineStr">
        <is>
          <t>9+12</t>
        </is>
      </c>
      <c r="L1646" s="202" t="n">
        <v>46188</v>
      </c>
      <c r="M1646" s="175" t="n">
        <v>0.0149</v>
      </c>
      <c r="N1646" s="176" t="n">
        <v>0.0195</v>
      </c>
      <c r="O1646" s="191" t="n">
        <v>2.11</v>
      </c>
      <c r="P1646" s="172" t="inlineStr">
        <is>
          <t>优先B</t>
        </is>
      </c>
      <c r="Q1646" s="175" t="n">
        <v>0.05</v>
      </c>
      <c r="R1646" s="192" t="n">
        <v>0.5</v>
      </c>
      <c r="S1646" s="175" t="inlineStr">
        <is>
          <t>AA+</t>
        </is>
      </c>
      <c r="T1646" s="175" t="n">
        <v>0.0185</v>
      </c>
      <c r="U1646" s="172" t="inlineStr">
        <is>
          <t>建信信托</t>
        </is>
      </c>
      <c r="V1646" s="191" t="n">
        <v>0.1</v>
      </c>
      <c r="W1646" s="175" t="n">
        <v>0.0185</v>
      </c>
      <c r="X1646" s="172" t="inlineStr">
        <is>
          <t>建信信托</t>
        </is>
      </c>
      <c r="Y1646" s="191" t="n">
        <v>0.15</v>
      </c>
    </row>
    <row r="1647">
      <c r="A1647" s="172" t="n">
        <v>91</v>
      </c>
      <c r="B1647" s="172" t="inlineStr">
        <is>
          <t>6月</t>
        </is>
      </c>
      <c r="C1647" s="172" t="inlineStr">
        <is>
          <t>企金</t>
        </is>
      </c>
      <c r="D1647" s="172" t="inlineStr">
        <is>
          <t>小贷企业主贷</t>
        </is>
      </c>
      <c r="E1647" s="172" t="inlineStr">
        <is>
          <t>盛赢3-8</t>
        </is>
      </c>
      <c r="F1647" s="172" t="inlineStr">
        <is>
          <t>上交所</t>
        </is>
      </c>
      <c r="G1647" s="172" t="inlineStr">
        <is>
          <t>中信证券</t>
        </is>
      </c>
      <c r="H1647" s="172" t="inlineStr">
        <is>
          <t>国联证券</t>
        </is>
      </c>
      <c r="I1647" s="172" t="inlineStr">
        <is>
          <t>工银天津</t>
        </is>
      </c>
      <c r="J1647" s="172" t="n">
        <v>10</v>
      </c>
      <c r="K1647" s="172" t="inlineStr">
        <is>
          <t>9+12</t>
        </is>
      </c>
      <c r="L1647" s="202" t="n">
        <v>46188</v>
      </c>
      <c r="M1647" s="175" t="n">
        <v>0.0149</v>
      </c>
      <c r="N1647" s="176" t="n">
        <v>0.0195</v>
      </c>
      <c r="O1647" s="191" t="n">
        <v>2.11</v>
      </c>
      <c r="P1647" s="172" t="inlineStr">
        <is>
          <t>优先B</t>
        </is>
      </c>
      <c r="Q1647" s="175" t="n">
        <v>0.05</v>
      </c>
      <c r="R1647" s="192" t="n">
        <v>0.5</v>
      </c>
      <c r="S1647" s="175" t="inlineStr">
        <is>
          <t>AA+</t>
        </is>
      </c>
      <c r="T1647" s="175" t="n">
        <v>0.0185</v>
      </c>
      <c r="U1647" s="172" t="inlineStr">
        <is>
          <t>盛际小贷</t>
        </is>
      </c>
      <c r="V1647" s="193" t="n">
        <v>0.025</v>
      </c>
      <c r="W1647" s="172" t="inlineStr">
        <is>
          <t>自持</t>
        </is>
      </c>
      <c r="X1647" s="172" t="inlineStr">
        <is>
          <t>盛际小贷</t>
        </is>
      </c>
      <c r="Y1647" s="191" t="n">
        <v>0.025</v>
      </c>
    </row>
    <row r="1648">
      <c r="A1648" s="172" t="n">
        <v>91</v>
      </c>
      <c r="B1648" s="172" t="inlineStr">
        <is>
          <t>6月</t>
        </is>
      </c>
      <c r="C1648" s="172" t="inlineStr">
        <is>
          <t>企金</t>
        </is>
      </c>
      <c r="D1648" s="172" t="inlineStr">
        <is>
          <t>小贷企业主贷</t>
        </is>
      </c>
      <c r="E1648" s="172" t="inlineStr">
        <is>
          <t>盛赢3-8</t>
        </is>
      </c>
      <c r="F1648" s="172" t="inlineStr">
        <is>
          <t>上交所</t>
        </is>
      </c>
      <c r="G1648" s="172" t="inlineStr">
        <is>
          <t>中信证券</t>
        </is>
      </c>
      <c r="H1648" s="172" t="inlineStr">
        <is>
          <t>国联证券</t>
        </is>
      </c>
      <c r="I1648" s="172" t="inlineStr">
        <is>
          <t>工银天津</t>
        </is>
      </c>
      <c r="J1648" s="172" t="n">
        <v>10</v>
      </c>
      <c r="K1648" s="172" t="inlineStr">
        <is>
          <t>9+12</t>
        </is>
      </c>
      <c r="L1648" s="200" t="n">
        <v>46188</v>
      </c>
      <c r="M1648" s="175" t="n">
        <v>0.0149</v>
      </c>
      <c r="N1648" s="176" t="n">
        <v>0.0195</v>
      </c>
      <c r="O1648" s="172" t="n">
        <v>2.11</v>
      </c>
      <c r="P1648" s="172" t="inlineStr">
        <is>
          <t>优先B</t>
        </is>
      </c>
      <c r="Q1648" s="175" t="n">
        <v>0.05</v>
      </c>
      <c r="R1648" s="192" t="n">
        <v>0.5</v>
      </c>
      <c r="S1648" s="172" t="inlineStr">
        <is>
          <t>AA+</t>
        </is>
      </c>
      <c r="T1648" s="175" t="n">
        <v>0.0185</v>
      </c>
      <c r="U1648" s="172" t="n"/>
      <c r="V1648" s="172" t="n"/>
      <c r="W1648" s="175" t="n">
        <v>0.0185</v>
      </c>
      <c r="X1648" s="172" t="inlineStr">
        <is>
          <t>中金公司</t>
        </is>
      </c>
      <c r="Y1648" s="191" t="n">
        <v>0.2</v>
      </c>
    </row>
    <row r="1649">
      <c r="A1649" s="172" t="n">
        <v>91</v>
      </c>
      <c r="B1649" s="172" t="inlineStr">
        <is>
          <t>6月</t>
        </is>
      </c>
      <c r="C1649" s="172" t="inlineStr">
        <is>
          <t>企金</t>
        </is>
      </c>
      <c r="D1649" s="172" t="inlineStr">
        <is>
          <t>小贷企业主贷</t>
        </is>
      </c>
      <c r="E1649" s="172" t="inlineStr">
        <is>
          <t>盛赢3-8</t>
        </is>
      </c>
      <c r="F1649" s="172" t="inlineStr">
        <is>
          <t>上交所</t>
        </is>
      </c>
      <c r="G1649" s="172" t="inlineStr">
        <is>
          <t>中信证券</t>
        </is>
      </c>
      <c r="H1649" s="172" t="inlineStr">
        <is>
          <t>国联证券</t>
        </is>
      </c>
      <c r="I1649" s="172" t="inlineStr">
        <is>
          <t>工银天津</t>
        </is>
      </c>
      <c r="J1649" s="172" t="n">
        <v>10</v>
      </c>
      <c r="K1649" s="172" t="inlineStr">
        <is>
          <t>9+12</t>
        </is>
      </c>
      <c r="L1649" s="202" t="n">
        <v>46188</v>
      </c>
      <c r="M1649" s="175" t="n">
        <v>0.0149</v>
      </c>
      <c r="N1649" s="176" t="n">
        <v>0.0195</v>
      </c>
      <c r="O1649" s="191" t="n">
        <v>2.11</v>
      </c>
      <c r="P1649" s="172" t="inlineStr">
        <is>
          <t>中间级</t>
        </is>
      </c>
      <c r="Q1649" s="175" t="n">
        <v>0.07000000000000001</v>
      </c>
      <c r="R1649" s="192" t="n">
        <v>0.7</v>
      </c>
      <c r="S1649" s="175" t="inlineStr">
        <is>
          <t>AA-</t>
        </is>
      </c>
      <c r="T1649" s="175" t="n">
        <v>0.031</v>
      </c>
      <c r="U1649" s="172" t="inlineStr">
        <is>
          <t>申万宏源自营</t>
        </is>
      </c>
      <c r="V1649" s="193" t="n">
        <v>0.115</v>
      </c>
      <c r="W1649" s="172" t="n"/>
      <c r="X1649" s="172" t="n"/>
      <c r="Y1649" s="172" t="n"/>
    </row>
    <row r="1650">
      <c r="A1650" s="172" t="n">
        <v>91</v>
      </c>
      <c r="B1650" s="172" t="inlineStr">
        <is>
          <t>6月</t>
        </is>
      </c>
      <c r="C1650" s="172" t="inlineStr">
        <is>
          <t>企金</t>
        </is>
      </c>
      <c r="D1650" s="172" t="inlineStr">
        <is>
          <t>小贷企业主贷</t>
        </is>
      </c>
      <c r="E1650" s="172" t="inlineStr">
        <is>
          <t>盛赢3-8</t>
        </is>
      </c>
      <c r="F1650" s="172" t="inlineStr">
        <is>
          <t>上交所</t>
        </is>
      </c>
      <c r="G1650" s="172" t="inlineStr">
        <is>
          <t>中信证券</t>
        </is>
      </c>
      <c r="H1650" s="172" t="inlineStr">
        <is>
          <t>国联证券</t>
        </is>
      </c>
      <c r="I1650" s="172" t="inlineStr">
        <is>
          <t>工银天津</t>
        </is>
      </c>
      <c r="J1650" s="172" t="n">
        <v>10</v>
      </c>
      <c r="K1650" s="172" t="inlineStr">
        <is>
          <t>9+12</t>
        </is>
      </c>
      <c r="L1650" s="202" t="n">
        <v>46188</v>
      </c>
      <c r="M1650" s="175" t="n">
        <v>0.0149</v>
      </c>
      <c r="N1650" s="176" t="n">
        <v>0.0195</v>
      </c>
      <c r="O1650" s="191" t="n">
        <v>2.11</v>
      </c>
      <c r="P1650" s="172" t="inlineStr">
        <is>
          <t>中间级</t>
        </is>
      </c>
      <c r="Q1650" s="175" t="n">
        <v>0.07000000000000001</v>
      </c>
      <c r="R1650" s="192" t="n">
        <v>0.7</v>
      </c>
      <c r="S1650" s="175" t="inlineStr">
        <is>
          <t>AA-</t>
        </is>
      </c>
      <c r="T1650" s="175" t="n">
        <v>0.031</v>
      </c>
      <c r="U1650" s="172" t="inlineStr">
        <is>
          <t>中金投顾</t>
        </is>
      </c>
      <c r="V1650" s="191" t="n">
        <v>0.15</v>
      </c>
      <c r="W1650" s="172" t="n"/>
      <c r="X1650" s="172" t="n"/>
      <c r="Y1650" s="172" t="n"/>
    </row>
    <row r="1651">
      <c r="A1651" s="172" t="n">
        <v>91</v>
      </c>
      <c r="B1651" s="172" t="inlineStr">
        <is>
          <t>6月</t>
        </is>
      </c>
      <c r="C1651" s="172" t="inlineStr">
        <is>
          <t>企金</t>
        </is>
      </c>
      <c r="D1651" s="172" t="inlineStr">
        <is>
          <t>小贷企业主贷</t>
        </is>
      </c>
      <c r="E1651" s="172" t="inlineStr">
        <is>
          <t>盛赢3-8</t>
        </is>
      </c>
      <c r="F1651" s="172" t="inlineStr">
        <is>
          <t>上交所</t>
        </is>
      </c>
      <c r="G1651" s="172" t="inlineStr">
        <is>
          <t>中信证券</t>
        </is>
      </c>
      <c r="H1651" s="172" t="inlineStr">
        <is>
          <t>国联证券</t>
        </is>
      </c>
      <c r="I1651" s="172" t="inlineStr">
        <is>
          <t>工银天津</t>
        </is>
      </c>
      <c r="J1651" s="172" t="n">
        <v>10</v>
      </c>
      <c r="K1651" s="172" t="inlineStr">
        <is>
          <t>9+12</t>
        </is>
      </c>
      <c r="L1651" s="202" t="n">
        <v>46188</v>
      </c>
      <c r="M1651" s="175" t="n">
        <v>0.0149</v>
      </c>
      <c r="N1651" s="176" t="n">
        <v>0.0195</v>
      </c>
      <c r="O1651" s="191" t="n">
        <v>2.11</v>
      </c>
      <c r="P1651" s="172" t="inlineStr">
        <is>
          <t>中间级</t>
        </is>
      </c>
      <c r="Q1651" s="175" t="n">
        <v>0.07000000000000001</v>
      </c>
      <c r="R1651" s="192" t="n">
        <v>0.7</v>
      </c>
      <c r="S1651" s="175" t="inlineStr">
        <is>
          <t>AA-</t>
        </is>
      </c>
      <c r="T1651" s="175" t="n">
        <v>0.031</v>
      </c>
      <c r="U1651" s="172" t="inlineStr">
        <is>
          <t>中金自营</t>
        </is>
      </c>
      <c r="V1651" s="191" t="n">
        <v>0.2</v>
      </c>
      <c r="W1651" s="172" t="n"/>
      <c r="X1651" s="172" t="n"/>
      <c r="Y1651" s="172" t="n"/>
    </row>
    <row r="1652">
      <c r="A1652" s="172" t="n">
        <v>91</v>
      </c>
      <c r="B1652" s="172" t="inlineStr">
        <is>
          <t>6月</t>
        </is>
      </c>
      <c r="C1652" s="172" t="inlineStr">
        <is>
          <t>企金</t>
        </is>
      </c>
      <c r="D1652" s="172" t="inlineStr">
        <is>
          <t>小贷企业主贷</t>
        </is>
      </c>
      <c r="E1652" s="172" t="inlineStr">
        <is>
          <t>盛赢3-8</t>
        </is>
      </c>
      <c r="F1652" s="172" t="inlineStr">
        <is>
          <t>上交所</t>
        </is>
      </c>
      <c r="G1652" s="172" t="inlineStr">
        <is>
          <t>中信证券</t>
        </is>
      </c>
      <c r="H1652" s="172" t="inlineStr">
        <is>
          <t>国联证券</t>
        </is>
      </c>
      <c r="I1652" s="172" t="inlineStr">
        <is>
          <t>工银天津</t>
        </is>
      </c>
      <c r="J1652" s="172" t="n">
        <v>10</v>
      </c>
      <c r="K1652" s="172" t="inlineStr">
        <is>
          <t>9+12</t>
        </is>
      </c>
      <c r="L1652" s="202" t="n">
        <v>46188</v>
      </c>
      <c r="M1652" s="175" t="n">
        <v>0.0149</v>
      </c>
      <c r="N1652" s="176" t="n">
        <v>0.0195</v>
      </c>
      <c r="O1652" s="191" t="n">
        <v>2.11</v>
      </c>
      <c r="P1652" s="172" t="inlineStr">
        <is>
          <t>中间级</t>
        </is>
      </c>
      <c r="Q1652" s="175" t="n">
        <v>0.07000000000000001</v>
      </c>
      <c r="R1652" s="192" t="n">
        <v>0.7</v>
      </c>
      <c r="S1652" s="175" t="inlineStr">
        <is>
          <t>AA-</t>
        </is>
      </c>
      <c r="T1652" s="175" t="n">
        <v>0.031</v>
      </c>
      <c r="U1652" s="172" t="inlineStr">
        <is>
          <t>盛际小贷</t>
        </is>
      </c>
      <c r="V1652" s="193" t="n">
        <v>0.035</v>
      </c>
      <c r="W1652" s="172" t="n"/>
      <c r="X1652" s="172" t="n"/>
      <c r="Y1652" s="172" t="n"/>
    </row>
    <row r="1653">
      <c r="A1653" s="172" t="n">
        <v>91</v>
      </c>
      <c r="B1653" s="172" t="inlineStr">
        <is>
          <t>6月</t>
        </is>
      </c>
      <c r="C1653" s="172" t="inlineStr">
        <is>
          <t>企金</t>
        </is>
      </c>
      <c r="D1653" s="172" t="inlineStr">
        <is>
          <t>小贷企业主贷</t>
        </is>
      </c>
      <c r="E1653" s="172" t="inlineStr">
        <is>
          <t>盛赢3-8</t>
        </is>
      </c>
      <c r="F1653" s="172" t="inlineStr">
        <is>
          <t>上交所</t>
        </is>
      </c>
      <c r="G1653" s="172" t="inlineStr">
        <is>
          <t>中信证券</t>
        </is>
      </c>
      <c r="H1653" s="172" t="inlineStr">
        <is>
          <t>国联证券</t>
        </is>
      </c>
      <c r="I1653" s="172" t="inlineStr">
        <is>
          <t>工银天津</t>
        </is>
      </c>
      <c r="J1653" s="172" t="n">
        <v>10</v>
      </c>
      <c r="K1653" s="172" t="inlineStr">
        <is>
          <t>9+12</t>
        </is>
      </c>
      <c r="L1653" s="202" t="n">
        <v>46188</v>
      </c>
      <c r="M1653" s="175" t="n">
        <v>0.0149</v>
      </c>
      <c r="N1653" s="176" t="n">
        <v>0.0195</v>
      </c>
      <c r="O1653" s="191" t="n">
        <v>2.11</v>
      </c>
      <c r="P1653" s="172" t="inlineStr">
        <is>
          <t>中间级</t>
        </is>
      </c>
      <c r="Q1653" s="175" t="n">
        <v>0.07000000000000001</v>
      </c>
      <c r="R1653" s="192" t="n">
        <v>0.7</v>
      </c>
      <c r="S1653" s="175" t="inlineStr">
        <is>
          <t>AA-</t>
        </is>
      </c>
      <c r="T1653" s="175" t="n">
        <v>0.031</v>
      </c>
      <c r="U1653" s="172" t="inlineStr">
        <is>
          <t>中金财富</t>
        </is>
      </c>
      <c r="V1653" s="191" t="n">
        <v>0.2</v>
      </c>
      <c r="W1653" s="172" t="n"/>
      <c r="X1653" s="172" t="n"/>
      <c r="Y1653" s="172" t="n"/>
    </row>
    <row r="1654">
      <c r="A1654" s="172" t="n">
        <v>91</v>
      </c>
      <c r="B1654" s="172" t="inlineStr">
        <is>
          <t>6月</t>
        </is>
      </c>
      <c r="C1654" s="172" t="inlineStr">
        <is>
          <t>企金</t>
        </is>
      </c>
      <c r="D1654" s="172" t="inlineStr">
        <is>
          <t>小贷企业主贷</t>
        </is>
      </c>
      <c r="E1654" s="172" t="inlineStr">
        <is>
          <t>盛赢3-8</t>
        </is>
      </c>
      <c r="F1654" s="172" t="inlineStr">
        <is>
          <t>上交所</t>
        </is>
      </c>
      <c r="G1654" s="172" t="inlineStr">
        <is>
          <t>中信证券</t>
        </is>
      </c>
      <c r="H1654" s="172" t="inlineStr">
        <is>
          <t>国联证券</t>
        </is>
      </c>
      <c r="I1654" s="172" t="inlineStr">
        <is>
          <t>工银天津</t>
        </is>
      </c>
      <c r="J1654" s="172" t="n">
        <v>10</v>
      </c>
      <c r="K1654" s="172" t="inlineStr">
        <is>
          <t>9+12</t>
        </is>
      </c>
      <c r="L1654" s="202" t="n">
        <v>46188</v>
      </c>
      <c r="M1654" s="175" t="n">
        <v>0.0149</v>
      </c>
      <c r="N1654" s="176" t="n">
        <v>0.0195</v>
      </c>
      <c r="O1654" s="191" t="n">
        <v>2.11</v>
      </c>
      <c r="P1654" s="172" t="inlineStr">
        <is>
          <t>次级</t>
        </is>
      </c>
      <c r="Q1654" s="175" t="n">
        <v>0.05</v>
      </c>
      <c r="R1654" s="192" t="n">
        <v>0.5</v>
      </c>
      <c r="S1654" s="175" t="inlineStr">
        <is>
          <t>无</t>
        </is>
      </c>
      <c r="T1654" s="175" t="inlineStr">
        <is>
          <t>-</t>
        </is>
      </c>
      <c r="U1654" s="172" t="inlineStr">
        <is>
          <t>员工理财</t>
        </is>
      </c>
      <c r="V1654" s="191" t="n">
        <v>0.5</v>
      </c>
      <c r="W1654" s="172" t="n"/>
      <c r="X1654" s="172" t="n"/>
      <c r="Y1654" s="172" t="n"/>
    </row>
    <row r="1655">
      <c r="A1655" s="172" t="n">
        <v>92</v>
      </c>
      <c r="B1655" s="173" t="inlineStr">
        <is>
          <t>6月</t>
        </is>
      </c>
      <c r="C1655" s="173" t="inlineStr">
        <is>
          <t>消金</t>
        </is>
      </c>
      <c r="D1655" s="173" t="inlineStr">
        <is>
          <t>赊销白条</t>
        </is>
      </c>
      <c r="E1655" s="173" t="inlineStr">
        <is>
          <t>东裕9号春裕</t>
        </is>
      </c>
      <c r="F1655" s="173" t="inlineStr">
        <is>
          <t>银行间</t>
        </is>
      </c>
      <c r="G1655" s="173" t="inlineStr">
        <is>
          <t>兴业证券</t>
        </is>
      </c>
      <c r="H1655" s="173" t="inlineStr">
        <is>
          <t>杭州银行/南京银行/江苏银行/中信证券</t>
        </is>
      </c>
      <c r="I1655" s="173" t="inlineStr">
        <is>
          <t>平安北分</t>
        </is>
      </c>
      <c r="J1655" s="172" t="n">
        <v>10</v>
      </c>
      <c r="K1655" s="173" t="inlineStr">
        <is>
          <t>10+10+9+3</t>
        </is>
      </c>
      <c r="L1655" s="202" t="n">
        <v>46188</v>
      </c>
      <c r="M1655" s="175" t="n">
        <v>0.0149</v>
      </c>
      <c r="N1655" s="176" t="n">
        <v>0.0182</v>
      </c>
      <c r="O1655" s="191" t="n">
        <v>1.86</v>
      </c>
      <c r="P1655" s="177" t="inlineStr">
        <is>
          <t>优先A</t>
        </is>
      </c>
      <c r="Q1655" s="178" t="n">
        <v>0.9</v>
      </c>
      <c r="R1655" s="179" t="n">
        <v>9</v>
      </c>
      <c r="S1655" s="177" t="inlineStr">
        <is>
          <t>AAA</t>
        </is>
      </c>
      <c r="T1655" s="178" t="n">
        <v>0.016</v>
      </c>
      <c r="U1655" s="177" t="inlineStr">
        <is>
          <t>中邮理财</t>
        </is>
      </c>
      <c r="V1655" s="192" t="n">
        <v>2.7</v>
      </c>
      <c r="W1655" s="175" t="n">
        <v>0.016</v>
      </c>
      <c r="X1655" s="172" t="inlineStr">
        <is>
          <t>中邮理财有限责任公司</t>
        </is>
      </c>
      <c r="Y1655" s="191" t="n">
        <v>2.7</v>
      </c>
    </row>
    <row r="1656">
      <c r="A1656" s="172" t="n">
        <v>92</v>
      </c>
      <c r="B1656" s="173" t="inlineStr">
        <is>
          <t>6月</t>
        </is>
      </c>
      <c r="C1656" s="173" t="inlineStr">
        <is>
          <t>消金</t>
        </is>
      </c>
      <c r="D1656" s="173" t="inlineStr">
        <is>
          <t>赊销白条</t>
        </is>
      </c>
      <c r="E1656" s="173" t="inlineStr">
        <is>
          <t>东裕9号春裕</t>
        </is>
      </c>
      <c r="F1656" s="173" t="inlineStr">
        <is>
          <t>银行间</t>
        </is>
      </c>
      <c r="G1656" s="173" t="inlineStr">
        <is>
          <t>兴业证券</t>
        </is>
      </c>
      <c r="H1656" s="173" t="inlineStr">
        <is>
          <t>杭州银行/南京银行/江苏银行/中信证券</t>
        </is>
      </c>
      <c r="I1656" s="173" t="inlineStr">
        <is>
          <t>平安北分</t>
        </is>
      </c>
      <c r="J1656" s="172" t="n">
        <v>10</v>
      </c>
      <c r="K1656" s="173" t="inlineStr">
        <is>
          <t>10+10+9+3</t>
        </is>
      </c>
      <c r="L1656" s="202" t="n">
        <v>46188</v>
      </c>
      <c r="M1656" s="175" t="n">
        <v>0.0149</v>
      </c>
      <c r="N1656" s="176" t="n">
        <v>0.0182</v>
      </c>
      <c r="O1656" s="191" t="n">
        <v>1.86</v>
      </c>
      <c r="P1656" s="172" t="inlineStr">
        <is>
          <t>优先A</t>
        </is>
      </c>
      <c r="Q1656" s="178" t="n">
        <v>0.9</v>
      </c>
      <c r="R1656" s="179" t="n">
        <v>9</v>
      </c>
      <c r="S1656" s="177" t="inlineStr">
        <is>
          <t>AAA</t>
        </is>
      </c>
      <c r="T1656" s="178" t="n">
        <v>0.016</v>
      </c>
      <c r="U1656" s="177" t="inlineStr">
        <is>
          <t>中银理财</t>
        </is>
      </c>
      <c r="V1656" s="192" t="n">
        <v>1.8</v>
      </c>
      <c r="W1656" s="175" t="n">
        <v>0.0155</v>
      </c>
      <c r="X1656" s="172" t="inlineStr">
        <is>
          <t>中银理财有限责任公司</t>
        </is>
      </c>
      <c r="Y1656" s="191" t="n">
        <v>0.3</v>
      </c>
    </row>
    <row r="1657">
      <c r="A1657" s="172" t="n">
        <v>92</v>
      </c>
      <c r="B1657" s="172" t="inlineStr">
        <is>
          <t>6月</t>
        </is>
      </c>
      <c r="C1657" s="172" t="inlineStr">
        <is>
          <t>消金</t>
        </is>
      </c>
      <c r="D1657" s="172" t="inlineStr">
        <is>
          <t>赊销白条</t>
        </is>
      </c>
      <c r="E1657" s="172" t="inlineStr">
        <is>
          <t>东裕9号春裕</t>
        </is>
      </c>
      <c r="F1657" s="172" t="inlineStr">
        <is>
          <t>银行间</t>
        </is>
      </c>
      <c r="G1657" s="172" t="inlineStr">
        <is>
          <t>兴业证券</t>
        </is>
      </c>
      <c r="H1657" s="172" t="inlineStr">
        <is>
          <t>杭州银行/南京银行/江苏银行/中信证券</t>
        </is>
      </c>
      <c r="I1657" s="172" t="inlineStr">
        <is>
          <t>平安北分</t>
        </is>
      </c>
      <c r="J1657" s="172" t="n">
        <v>10</v>
      </c>
      <c r="K1657" s="172" t="inlineStr">
        <is>
          <t>10+10+9+3</t>
        </is>
      </c>
      <c r="L1657" s="208" t="n">
        <v>46188</v>
      </c>
      <c r="M1657" s="175" t="n">
        <v>0.0149</v>
      </c>
      <c r="N1657" s="176" t="n">
        <v>0.0182</v>
      </c>
      <c r="O1657" s="172" t="n">
        <v>1.86</v>
      </c>
      <c r="P1657" s="172" t="inlineStr">
        <is>
          <t>优先A</t>
        </is>
      </c>
      <c r="Q1657" s="175" t="n">
        <v>0.9</v>
      </c>
      <c r="R1657" s="192" t="n">
        <v>9</v>
      </c>
      <c r="S1657" s="172" t="inlineStr">
        <is>
          <t>AAA</t>
        </is>
      </c>
      <c r="T1657" s="175" t="n">
        <v>0.016</v>
      </c>
      <c r="U1657" s="172" t="n"/>
      <c r="V1657" s="172" t="n"/>
      <c r="W1657" s="175" t="n">
        <v>0.016</v>
      </c>
      <c r="X1657" s="172" t="inlineStr">
        <is>
          <t>中银理财有限责任公司</t>
        </is>
      </c>
      <c r="Y1657" s="191" t="n">
        <v>1.5</v>
      </c>
    </row>
    <row r="1658">
      <c r="A1658" s="172" t="n">
        <v>92</v>
      </c>
      <c r="B1658" s="172" t="inlineStr">
        <is>
          <t>6月</t>
        </is>
      </c>
      <c r="C1658" s="172" t="inlineStr">
        <is>
          <t>消金</t>
        </is>
      </c>
      <c r="D1658" s="172" t="inlineStr">
        <is>
          <t>赊销白条</t>
        </is>
      </c>
      <c r="E1658" s="172" t="inlineStr">
        <is>
          <t>东裕9号春裕</t>
        </is>
      </c>
      <c r="F1658" s="172" t="inlineStr">
        <is>
          <t>银行间</t>
        </is>
      </c>
      <c r="G1658" s="172" t="inlineStr">
        <is>
          <t>兴业证券</t>
        </is>
      </c>
      <c r="H1658" s="172" t="inlineStr">
        <is>
          <t>杭州银行/南京银行/江苏银行/中信证券</t>
        </is>
      </c>
      <c r="I1658" s="172" t="inlineStr">
        <is>
          <t>平安北分</t>
        </is>
      </c>
      <c r="J1658" s="172" t="n">
        <v>10</v>
      </c>
      <c r="K1658" s="172" t="inlineStr">
        <is>
          <t>10+10+9+3</t>
        </is>
      </c>
      <c r="L1658" s="208" t="n">
        <v>46188</v>
      </c>
      <c r="M1658" s="175" t="n">
        <v>0.0149</v>
      </c>
      <c r="N1658" s="176" t="n">
        <v>0.0182</v>
      </c>
      <c r="O1658" s="172" t="n">
        <v>1.86</v>
      </c>
      <c r="P1658" s="172" t="inlineStr">
        <is>
          <t>优先A</t>
        </is>
      </c>
      <c r="Q1658" s="175" t="n">
        <v>0.9</v>
      </c>
      <c r="R1658" s="192" t="n">
        <v>9</v>
      </c>
      <c r="S1658" s="172" t="inlineStr">
        <is>
          <t>AAA</t>
        </is>
      </c>
      <c r="T1658" s="175" t="n">
        <v>0.016</v>
      </c>
      <c r="U1658" s="172" t="n"/>
      <c r="V1658" s="172" t="n"/>
      <c r="W1658" s="175" t="n">
        <v>0.0164</v>
      </c>
      <c r="X1658" s="172" t="inlineStr">
        <is>
          <t>中银理财有限责任公司</t>
        </is>
      </c>
      <c r="Y1658" s="191" t="n">
        <v>0.9</v>
      </c>
    </row>
    <row r="1659">
      <c r="A1659" s="172" t="n">
        <v>92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东裕9号春裕</t>
        </is>
      </c>
      <c r="F1659" s="173" t="inlineStr">
        <is>
          <t>银行间</t>
        </is>
      </c>
      <c r="G1659" s="173" t="inlineStr">
        <is>
          <t>兴业证券</t>
        </is>
      </c>
      <c r="H1659" s="173" t="inlineStr">
        <is>
          <t>杭州银行/南京银行/江苏银行/中信证券</t>
        </is>
      </c>
      <c r="I1659" s="173" t="inlineStr">
        <is>
          <t>平安北分</t>
        </is>
      </c>
      <c r="J1659" s="172" t="n">
        <v>10</v>
      </c>
      <c r="K1659" s="173" t="inlineStr">
        <is>
          <t>10+10+9+3</t>
        </is>
      </c>
      <c r="L1659" s="202" t="n">
        <v>46188</v>
      </c>
      <c r="M1659" s="175" t="n">
        <v>0.0149</v>
      </c>
      <c r="N1659" s="176" t="n">
        <v>0.0182</v>
      </c>
      <c r="O1659" s="191" t="n">
        <v>1.86</v>
      </c>
      <c r="P1659" s="172" t="inlineStr">
        <is>
          <t>优先A</t>
        </is>
      </c>
      <c r="Q1659" s="178" t="n">
        <v>0.9</v>
      </c>
      <c r="R1659" s="179" t="n">
        <v>9</v>
      </c>
      <c r="S1659" s="177" t="inlineStr">
        <is>
          <t>AAA</t>
        </is>
      </c>
      <c r="T1659" s="178" t="n">
        <v>0.016</v>
      </c>
      <c r="U1659" s="177" t="inlineStr">
        <is>
          <t>交银理财</t>
        </is>
      </c>
      <c r="V1659" s="192" t="n">
        <v>1</v>
      </c>
      <c r="W1659" s="175" t="n">
        <v>0.016</v>
      </c>
      <c r="X1659" s="172" t="inlineStr">
        <is>
          <t>交银理财有限责任公司</t>
        </is>
      </c>
      <c r="Y1659" s="191" t="n">
        <v>1</v>
      </c>
    </row>
    <row r="1660">
      <c r="A1660" s="172" t="n">
        <v>92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东裕9号春裕</t>
        </is>
      </c>
      <c r="F1660" s="173" t="inlineStr">
        <is>
          <t>银行间</t>
        </is>
      </c>
      <c r="G1660" s="173" t="inlineStr">
        <is>
          <t>兴业证券</t>
        </is>
      </c>
      <c r="H1660" s="173" t="inlineStr">
        <is>
          <t>杭州银行/南京银行/江苏银行/中信证券</t>
        </is>
      </c>
      <c r="I1660" s="173" t="inlineStr">
        <is>
          <t>平安北分</t>
        </is>
      </c>
      <c r="J1660" s="172" t="n">
        <v>10</v>
      </c>
      <c r="K1660" s="173" t="inlineStr">
        <is>
          <t>10+10+9+3</t>
        </is>
      </c>
      <c r="L1660" s="202" t="n">
        <v>46188</v>
      </c>
      <c r="M1660" s="175" t="n">
        <v>0.0149</v>
      </c>
      <c r="N1660" s="176" t="n">
        <v>0.0182</v>
      </c>
      <c r="O1660" s="191" t="n">
        <v>1.86</v>
      </c>
      <c r="P1660" s="172" t="inlineStr">
        <is>
          <t>优先A</t>
        </is>
      </c>
      <c r="Q1660" s="178" t="n">
        <v>0.9</v>
      </c>
      <c r="R1660" s="179" t="n">
        <v>9</v>
      </c>
      <c r="S1660" s="177" t="inlineStr">
        <is>
          <t>AAA</t>
        </is>
      </c>
      <c r="T1660" s="178" t="n">
        <v>0.016</v>
      </c>
      <c r="U1660" s="177" t="inlineStr">
        <is>
          <t>平安养老</t>
        </is>
      </c>
      <c r="V1660" s="192" t="n">
        <v>0.9</v>
      </c>
      <c r="W1660" s="175" t="n">
        <v>0.0158</v>
      </c>
      <c r="X1660" s="172" t="inlineStr">
        <is>
          <t>平安养老保险股份有限公司</t>
        </is>
      </c>
      <c r="Y1660" s="191" t="n">
        <v>0.9</v>
      </c>
    </row>
    <row r="1661">
      <c r="A1661" s="172" t="n">
        <v>92</v>
      </c>
      <c r="B1661" s="173" t="inlineStr">
        <is>
          <t>6月</t>
        </is>
      </c>
      <c r="C1661" s="173" t="inlineStr">
        <is>
          <t>消金</t>
        </is>
      </c>
      <c r="D1661" s="173" t="inlineStr">
        <is>
          <t>赊销白条</t>
        </is>
      </c>
      <c r="E1661" s="173" t="inlineStr">
        <is>
          <t>东裕9号春裕</t>
        </is>
      </c>
      <c r="F1661" s="173" t="inlineStr">
        <is>
          <t>银行间</t>
        </is>
      </c>
      <c r="G1661" s="173" t="inlineStr">
        <is>
          <t>兴业证券</t>
        </is>
      </c>
      <c r="H1661" s="173" t="inlineStr">
        <is>
          <t>杭州银行/南京银行/江苏银行/中信证券</t>
        </is>
      </c>
      <c r="I1661" s="173" t="inlineStr">
        <is>
          <t>平安北分</t>
        </is>
      </c>
      <c r="J1661" s="172" t="n">
        <v>10</v>
      </c>
      <c r="K1661" s="173" t="inlineStr">
        <is>
          <t>10+10+9+3</t>
        </is>
      </c>
      <c r="L1661" s="202" t="n">
        <v>46188</v>
      </c>
      <c r="M1661" s="175" t="n">
        <v>0.0149</v>
      </c>
      <c r="N1661" s="176" t="n">
        <v>0.0182</v>
      </c>
      <c r="O1661" s="191" t="n">
        <v>1.86</v>
      </c>
      <c r="P1661" s="172" t="inlineStr">
        <is>
          <t>优先A</t>
        </is>
      </c>
      <c r="Q1661" s="178" t="n">
        <v>0.9</v>
      </c>
      <c r="R1661" s="179" t="n">
        <v>9</v>
      </c>
      <c r="S1661" s="177" t="inlineStr">
        <is>
          <t>AAA</t>
        </is>
      </c>
      <c r="T1661" s="178" t="n">
        <v>0.016</v>
      </c>
      <c r="U1661" s="177" t="inlineStr">
        <is>
          <t>平安理财</t>
        </is>
      </c>
      <c r="V1661" s="192" t="n">
        <v>0.37</v>
      </c>
      <c r="W1661" s="175" t="n">
        <v>0.016</v>
      </c>
      <c r="X1661" s="172" t="inlineStr">
        <is>
          <t>平安理财有限责任公司</t>
        </is>
      </c>
      <c r="Y1661" s="191" t="n">
        <v>0.37</v>
      </c>
    </row>
    <row r="1662">
      <c r="A1662" s="172" t="n">
        <v>92</v>
      </c>
      <c r="B1662" s="173" t="inlineStr">
        <is>
          <t>6月</t>
        </is>
      </c>
      <c r="C1662" s="173" t="inlineStr">
        <is>
          <t>消金</t>
        </is>
      </c>
      <c r="D1662" s="173" t="inlineStr">
        <is>
          <t>赊销白条</t>
        </is>
      </c>
      <c r="E1662" s="173" t="inlineStr">
        <is>
          <t>东裕9号春裕</t>
        </is>
      </c>
      <c r="F1662" s="173" t="inlineStr">
        <is>
          <t>银行间</t>
        </is>
      </c>
      <c r="G1662" s="173" t="inlineStr">
        <is>
          <t>兴业证券</t>
        </is>
      </c>
      <c r="H1662" s="173" t="inlineStr">
        <is>
          <t>杭州银行/南京银行/江苏银行/中信证券</t>
        </is>
      </c>
      <c r="I1662" s="173" t="inlineStr">
        <is>
          <t>平安北分</t>
        </is>
      </c>
      <c r="J1662" s="172" t="n">
        <v>10</v>
      </c>
      <c r="K1662" s="173" t="inlineStr">
        <is>
          <t>10+10+9+3</t>
        </is>
      </c>
      <c r="L1662" s="202" t="n">
        <v>46188</v>
      </c>
      <c r="M1662" s="175" t="n">
        <v>0.0149</v>
      </c>
      <c r="N1662" s="176" t="n">
        <v>0.0182</v>
      </c>
      <c r="O1662" s="191" t="n">
        <v>1.86</v>
      </c>
      <c r="P1662" s="172" t="inlineStr">
        <is>
          <t>优先A</t>
        </is>
      </c>
      <c r="Q1662" s="178" t="n">
        <v>0.9</v>
      </c>
      <c r="R1662" s="179" t="n">
        <v>9</v>
      </c>
      <c r="S1662" s="177" t="inlineStr">
        <is>
          <t>AAA</t>
        </is>
      </c>
      <c r="T1662" s="178" t="n">
        <v>0.016</v>
      </c>
      <c r="U1662" s="177" t="inlineStr">
        <is>
          <t>杭银理财</t>
        </is>
      </c>
      <c r="V1662" s="192" t="n">
        <v>0.45</v>
      </c>
      <c r="W1662" s="175" t="n">
        <v>0.016</v>
      </c>
      <c r="X1662" s="172" t="inlineStr">
        <is>
          <t>杭银理财有限责任公司</t>
        </is>
      </c>
      <c r="Y1662" s="191" t="n">
        <v>0.45</v>
      </c>
    </row>
    <row r="1663">
      <c r="A1663" s="172" t="n">
        <v>92</v>
      </c>
      <c r="B1663" s="173" t="inlineStr">
        <is>
          <t>6月</t>
        </is>
      </c>
      <c r="C1663" s="173" t="inlineStr">
        <is>
          <t>消金</t>
        </is>
      </c>
      <c r="D1663" s="173" t="inlineStr">
        <is>
          <t>赊销白条</t>
        </is>
      </c>
      <c r="E1663" s="173" t="inlineStr">
        <is>
          <t>东裕9号春裕</t>
        </is>
      </c>
      <c r="F1663" s="173" t="inlineStr">
        <is>
          <t>银行间</t>
        </is>
      </c>
      <c r="G1663" s="173" t="inlineStr">
        <is>
          <t>兴业证券</t>
        </is>
      </c>
      <c r="H1663" s="173" t="inlineStr">
        <is>
          <t>杭州银行/南京银行/江苏银行/中信证券</t>
        </is>
      </c>
      <c r="I1663" s="173" t="inlineStr">
        <is>
          <t>平安北分</t>
        </is>
      </c>
      <c r="J1663" s="172" t="n">
        <v>10</v>
      </c>
      <c r="K1663" s="173" t="inlineStr">
        <is>
          <t>10+10+9+3</t>
        </is>
      </c>
      <c r="L1663" s="202" t="n">
        <v>46188</v>
      </c>
      <c r="M1663" s="175" t="n">
        <v>0.0149</v>
      </c>
      <c r="N1663" s="176" t="n">
        <v>0.0182</v>
      </c>
      <c r="O1663" s="191" t="n">
        <v>1.86</v>
      </c>
      <c r="P1663" s="172" t="inlineStr">
        <is>
          <t>优先A</t>
        </is>
      </c>
      <c r="Q1663" s="178" t="n">
        <v>0.9</v>
      </c>
      <c r="R1663" s="179" t="n">
        <v>9</v>
      </c>
      <c r="S1663" s="177" t="inlineStr">
        <is>
          <t>AAA</t>
        </is>
      </c>
      <c r="T1663" s="178" t="n">
        <v>0.016</v>
      </c>
      <c r="U1663" s="177" t="inlineStr">
        <is>
          <t>江苏银行</t>
        </is>
      </c>
      <c r="V1663" s="192" t="n">
        <v>1.28</v>
      </c>
      <c r="W1663" s="175" t="n">
        <v>0.0155</v>
      </c>
      <c r="X1663" s="172" t="inlineStr">
        <is>
          <t>江苏银行股份有限公司</t>
        </is>
      </c>
      <c r="Y1663" s="191" t="n">
        <v>1.8</v>
      </c>
    </row>
    <row r="1664">
      <c r="A1664" s="172" t="n">
        <v>92</v>
      </c>
      <c r="B1664" s="173" t="inlineStr">
        <is>
          <t>6月</t>
        </is>
      </c>
      <c r="C1664" s="173" t="inlineStr">
        <is>
          <t>消金</t>
        </is>
      </c>
      <c r="D1664" s="173" t="inlineStr">
        <is>
          <t>赊销白条</t>
        </is>
      </c>
      <c r="E1664" s="173" t="inlineStr">
        <is>
          <t>东裕9号春裕</t>
        </is>
      </c>
      <c r="F1664" s="173" t="inlineStr">
        <is>
          <t>银行间</t>
        </is>
      </c>
      <c r="G1664" s="173" t="inlineStr">
        <is>
          <t>兴业证券</t>
        </is>
      </c>
      <c r="H1664" s="173" t="inlineStr">
        <is>
          <t>杭州银行/南京银行/江苏银行/中信证券</t>
        </is>
      </c>
      <c r="I1664" s="173" t="inlineStr">
        <is>
          <t>平安北分</t>
        </is>
      </c>
      <c r="J1664" s="172" t="n">
        <v>10</v>
      </c>
      <c r="K1664" s="173" t="inlineStr">
        <is>
          <t>10+10+9+3</t>
        </is>
      </c>
      <c r="L1664" s="202" t="n">
        <v>46188</v>
      </c>
      <c r="M1664" s="175" t="n">
        <v>0.0149</v>
      </c>
      <c r="N1664" s="176" t="n">
        <v>0.0182</v>
      </c>
      <c r="O1664" s="191" t="n">
        <v>1.86</v>
      </c>
      <c r="P1664" s="172" t="inlineStr">
        <is>
          <t>优先A</t>
        </is>
      </c>
      <c r="Q1664" s="178" t="n">
        <v>0.9</v>
      </c>
      <c r="R1664" s="179" t="n">
        <v>9</v>
      </c>
      <c r="S1664" s="177" t="inlineStr">
        <is>
          <t>AAA</t>
        </is>
      </c>
      <c r="T1664" s="178" t="n">
        <v>0.016</v>
      </c>
      <c r="U1664" s="177" t="inlineStr">
        <is>
          <t>杭州银行</t>
        </is>
      </c>
      <c r="V1664" s="192" t="n">
        <v>0.5</v>
      </c>
      <c r="W1664" s="175" t="n">
        <v>0.0155</v>
      </c>
      <c r="X1664" s="172" t="inlineStr">
        <is>
          <t>杭州银行股份有限公司</t>
        </is>
      </c>
      <c r="Y1664" s="191" t="n">
        <v>0.5</v>
      </c>
    </row>
    <row r="1665">
      <c r="A1665" s="172" t="n">
        <v>92</v>
      </c>
      <c r="B1665" s="172" t="inlineStr">
        <is>
          <t>6月</t>
        </is>
      </c>
      <c r="C1665" s="172" t="inlineStr">
        <is>
          <t>消金</t>
        </is>
      </c>
      <c r="D1665" s="172" t="inlineStr">
        <is>
          <t>赊销白条</t>
        </is>
      </c>
      <c r="E1665" s="172" t="inlineStr">
        <is>
          <t>东裕9号春裕</t>
        </is>
      </c>
      <c r="F1665" s="172" t="inlineStr">
        <is>
          <t>银行间</t>
        </is>
      </c>
      <c r="G1665" s="172" t="inlineStr">
        <is>
          <t>兴业证券</t>
        </is>
      </c>
      <c r="H1665" s="172" t="inlineStr">
        <is>
          <t>杭州银行/南京银行/江苏银行/中信证券</t>
        </is>
      </c>
      <c r="I1665" s="172" t="inlineStr">
        <is>
          <t>平安北分</t>
        </is>
      </c>
      <c r="J1665" s="172" t="n">
        <v>10</v>
      </c>
      <c r="K1665" s="172" t="inlineStr">
        <is>
          <t>10+10+9+3</t>
        </is>
      </c>
      <c r="L1665" s="208" t="n">
        <v>46188</v>
      </c>
      <c r="M1665" s="175" t="n">
        <v>0.0149</v>
      </c>
      <c r="N1665" s="176" t="n">
        <v>0.0182</v>
      </c>
      <c r="O1665" s="172" t="n">
        <v>1.86</v>
      </c>
      <c r="P1665" s="172" t="inlineStr">
        <is>
          <t>优先A</t>
        </is>
      </c>
      <c r="Q1665" s="175" t="n">
        <v>0.9</v>
      </c>
      <c r="R1665" s="192" t="n">
        <v>9</v>
      </c>
      <c r="S1665" s="172" t="inlineStr">
        <is>
          <t>AAA</t>
        </is>
      </c>
      <c r="T1665" s="175" t="n">
        <v>0.016</v>
      </c>
      <c r="U1665" s="172" t="n"/>
      <c r="V1665" s="172" t="n"/>
      <c r="W1665" s="175" t="n">
        <v>0.016</v>
      </c>
      <c r="X1665" s="172" t="inlineStr">
        <is>
          <t>杭州银行股份有限公司</t>
        </is>
      </c>
      <c r="Y1665" s="191" t="n">
        <v>0.85</v>
      </c>
    </row>
    <row r="1666">
      <c r="A1666" s="172" t="n">
        <v>92</v>
      </c>
      <c r="B1666" s="172" t="inlineStr">
        <is>
          <t>6月</t>
        </is>
      </c>
      <c r="C1666" s="172" t="inlineStr">
        <is>
          <t>消金</t>
        </is>
      </c>
      <c r="D1666" s="172" t="inlineStr">
        <is>
          <t>赊销白条</t>
        </is>
      </c>
      <c r="E1666" s="172" t="inlineStr">
        <is>
          <t>东裕9号春裕</t>
        </is>
      </c>
      <c r="F1666" s="172" t="inlineStr">
        <is>
          <t>银行间</t>
        </is>
      </c>
      <c r="G1666" s="172" t="inlineStr">
        <is>
          <t>兴业证券</t>
        </is>
      </c>
      <c r="H1666" s="172" t="inlineStr">
        <is>
          <t>杭州银行/南京银行/江苏银行/中信证券</t>
        </is>
      </c>
      <c r="I1666" s="172" t="inlineStr">
        <is>
          <t>平安北分</t>
        </is>
      </c>
      <c r="J1666" s="172" t="n">
        <v>10</v>
      </c>
      <c r="K1666" s="172" t="inlineStr">
        <is>
          <t>10+10+9+3</t>
        </is>
      </c>
      <c r="L1666" s="208" t="n">
        <v>46188</v>
      </c>
      <c r="M1666" s="175" t="n">
        <v>0.0149</v>
      </c>
      <c r="N1666" s="176" t="n">
        <v>0.0182</v>
      </c>
      <c r="O1666" s="172" t="n">
        <v>1.86</v>
      </c>
      <c r="P1666" s="172" t="inlineStr">
        <is>
          <t>优先A</t>
        </is>
      </c>
      <c r="Q1666" s="175" t="n">
        <v>0.9</v>
      </c>
      <c r="R1666" s="192" t="n">
        <v>9</v>
      </c>
      <c r="S1666" s="172" t="inlineStr">
        <is>
          <t>AAA</t>
        </is>
      </c>
      <c r="T1666" s="175" t="n">
        <v>0.016</v>
      </c>
      <c r="U1666" s="172" t="n"/>
      <c r="V1666" s="172" t="n"/>
      <c r="W1666" s="175" t="n">
        <v>0.0165</v>
      </c>
      <c r="X1666" s="172" t="inlineStr">
        <is>
          <t>工银理财有限责任公司</t>
        </is>
      </c>
      <c r="Y1666" s="191" t="n">
        <v>2.5</v>
      </c>
    </row>
    <row r="1667">
      <c r="A1667" s="172" t="n">
        <v>92</v>
      </c>
      <c r="B1667" s="172" t="inlineStr">
        <is>
          <t>6月</t>
        </is>
      </c>
      <c r="C1667" s="172" t="inlineStr">
        <is>
          <t>消金</t>
        </is>
      </c>
      <c r="D1667" s="172" t="inlineStr">
        <is>
          <t>赊销白条</t>
        </is>
      </c>
      <c r="E1667" s="172" t="inlineStr">
        <is>
          <t>东裕9号春裕</t>
        </is>
      </c>
      <c r="F1667" s="172" t="inlineStr">
        <is>
          <t>银行间</t>
        </is>
      </c>
      <c r="G1667" s="172" t="inlineStr">
        <is>
          <t>兴业证券</t>
        </is>
      </c>
      <c r="H1667" s="172" t="inlineStr">
        <is>
          <t>杭州银行/南京银行/江苏银行/中信证券</t>
        </is>
      </c>
      <c r="I1667" s="172" t="inlineStr">
        <is>
          <t>平安北分</t>
        </is>
      </c>
      <c r="J1667" s="172" t="n">
        <v>10</v>
      </c>
      <c r="K1667" s="172" t="inlineStr">
        <is>
          <t>10+10+9+3</t>
        </is>
      </c>
      <c r="L1667" s="208" t="n">
        <v>46188</v>
      </c>
      <c r="M1667" s="175" t="n">
        <v>0.0149</v>
      </c>
      <c r="N1667" s="176" t="n">
        <v>0.0182</v>
      </c>
      <c r="O1667" s="172" t="n">
        <v>1.86</v>
      </c>
      <c r="P1667" s="172" t="inlineStr">
        <is>
          <t>优先A</t>
        </is>
      </c>
      <c r="Q1667" s="175" t="n">
        <v>0.9</v>
      </c>
      <c r="R1667" s="192" t="n">
        <v>9</v>
      </c>
      <c r="S1667" s="172" t="inlineStr">
        <is>
          <t>AAA</t>
        </is>
      </c>
      <c r="T1667" s="175" t="n">
        <v>0.016</v>
      </c>
      <c r="U1667" s="172" t="n"/>
      <c r="V1667" s="172" t="n"/>
      <c r="W1667" s="175" t="n">
        <v>0.0165</v>
      </c>
      <c r="X1667" s="172" t="inlineStr">
        <is>
          <t>建信信托有限责任公司</t>
        </is>
      </c>
      <c r="Y1667" s="191" t="n">
        <v>1</v>
      </c>
    </row>
    <row r="1668">
      <c r="A1668" s="172" t="n">
        <v>92</v>
      </c>
      <c r="B1668" s="172" t="inlineStr">
        <is>
          <t>6月</t>
        </is>
      </c>
      <c r="C1668" s="172" t="inlineStr">
        <is>
          <t>消金</t>
        </is>
      </c>
      <c r="D1668" s="172" t="inlineStr">
        <is>
          <t>赊销白条</t>
        </is>
      </c>
      <c r="E1668" s="172" t="inlineStr">
        <is>
          <t>东裕9号春裕</t>
        </is>
      </c>
      <c r="F1668" s="172" t="inlineStr">
        <is>
          <t>银行间</t>
        </is>
      </c>
      <c r="G1668" s="172" t="inlineStr">
        <is>
          <t>兴业证券</t>
        </is>
      </c>
      <c r="H1668" s="172" t="inlineStr">
        <is>
          <t>杭州银行/南京银行/江苏银行/中信证券</t>
        </is>
      </c>
      <c r="I1668" s="172" t="inlineStr">
        <is>
          <t>平安北分</t>
        </is>
      </c>
      <c r="J1668" s="172" t="n">
        <v>10</v>
      </c>
      <c r="K1668" s="172" t="inlineStr">
        <is>
          <t>10+10+9+3</t>
        </is>
      </c>
      <c r="L1668" s="208" t="n">
        <v>46188</v>
      </c>
      <c r="M1668" s="175" t="n">
        <v>0.0149</v>
      </c>
      <c r="N1668" s="176" t="n">
        <v>0.0182</v>
      </c>
      <c r="O1668" s="172" t="n">
        <v>1.86</v>
      </c>
      <c r="P1668" s="172" t="inlineStr">
        <is>
          <t>优先A</t>
        </is>
      </c>
      <c r="Q1668" s="175" t="n">
        <v>0.9</v>
      </c>
      <c r="R1668" s="192" t="n">
        <v>9</v>
      </c>
      <c r="S1668" s="172" t="inlineStr">
        <is>
          <t>AAA</t>
        </is>
      </c>
      <c r="T1668" s="175" t="n">
        <v>0.016</v>
      </c>
      <c r="U1668" s="172" t="n"/>
      <c r="V1668" s="172" t="n"/>
      <c r="W1668" s="175" t="n">
        <v>0.024</v>
      </c>
      <c r="X1668" s="172" t="inlineStr">
        <is>
          <t>上海利曦私募基金管理合伙企业</t>
        </is>
      </c>
      <c r="Y1668" s="191" t="n">
        <v>2</v>
      </c>
    </row>
    <row r="1669">
      <c r="A1669" s="172" t="n">
        <v>92</v>
      </c>
      <c r="B1669" s="173" t="inlineStr">
        <is>
          <t>6月</t>
        </is>
      </c>
      <c r="C1669" s="173" t="inlineStr">
        <is>
          <t>消金</t>
        </is>
      </c>
      <c r="D1669" s="173" t="inlineStr">
        <is>
          <t>赊销白条</t>
        </is>
      </c>
      <c r="E1669" s="173" t="inlineStr">
        <is>
          <t>东裕9号春裕</t>
        </is>
      </c>
      <c r="F1669" s="173" t="inlineStr">
        <is>
          <t>银行间</t>
        </is>
      </c>
      <c r="G1669" s="173" t="inlineStr">
        <is>
          <t>兴业证券</t>
        </is>
      </c>
      <c r="H1669" s="173" t="inlineStr">
        <is>
          <t>杭州银行/南京银行/江苏银行/中信证券</t>
        </is>
      </c>
      <c r="I1669" s="173" t="inlineStr">
        <is>
          <t>平安北分</t>
        </is>
      </c>
      <c r="J1669" s="172" t="n">
        <v>10</v>
      </c>
      <c r="K1669" s="173" t="inlineStr">
        <is>
          <t>10+10+9+3</t>
        </is>
      </c>
      <c r="L1669" s="202" t="n">
        <v>46188</v>
      </c>
      <c r="M1669" s="175" t="n">
        <v>0.0149</v>
      </c>
      <c r="N1669" s="176" t="n">
        <v>0.0182</v>
      </c>
      <c r="O1669" s="191" t="n">
        <v>1.86</v>
      </c>
      <c r="P1669" s="177" t="inlineStr">
        <is>
          <t>优先B</t>
        </is>
      </c>
      <c r="Q1669" s="178" t="n">
        <v>0.03</v>
      </c>
      <c r="R1669" s="179" t="n">
        <v>0.3</v>
      </c>
      <c r="S1669" s="177" t="inlineStr">
        <is>
          <t>AA+</t>
        </is>
      </c>
      <c r="T1669" s="178" t="n">
        <v>0.0172</v>
      </c>
      <c r="U1669" s="177" t="inlineStr">
        <is>
          <t>交银理财</t>
        </is>
      </c>
      <c r="V1669" s="192" t="n">
        <v>0.09</v>
      </c>
      <c r="W1669" s="175" t="n">
        <v>0.017</v>
      </c>
      <c r="X1669" s="172" t="inlineStr">
        <is>
          <t>交银理财有限责任公司</t>
        </is>
      </c>
      <c r="Y1669" s="191" t="n">
        <v>0.09</v>
      </c>
    </row>
    <row r="1670">
      <c r="A1670" s="172" t="n">
        <v>92</v>
      </c>
      <c r="B1670" s="173" t="inlineStr">
        <is>
          <t>6月</t>
        </is>
      </c>
      <c r="C1670" s="173" t="inlineStr">
        <is>
          <t>消金</t>
        </is>
      </c>
      <c r="D1670" s="173" t="inlineStr">
        <is>
          <t>赊销白条</t>
        </is>
      </c>
      <c r="E1670" s="173" t="inlineStr">
        <is>
          <t>东裕9号春裕</t>
        </is>
      </c>
      <c r="F1670" s="173" t="inlineStr">
        <is>
          <t>银行间</t>
        </is>
      </c>
      <c r="G1670" s="173" t="inlineStr">
        <is>
          <t>兴业证券</t>
        </is>
      </c>
      <c r="H1670" s="173" t="inlineStr">
        <is>
          <t>杭州银行/南京银行/江苏银行/中信证券</t>
        </is>
      </c>
      <c r="I1670" s="173" t="inlineStr">
        <is>
          <t>平安北分</t>
        </is>
      </c>
      <c r="J1670" s="172" t="n">
        <v>10</v>
      </c>
      <c r="K1670" s="173" t="inlineStr">
        <is>
          <t>10+10+9+3</t>
        </is>
      </c>
      <c r="L1670" s="202" t="n">
        <v>46188</v>
      </c>
      <c r="M1670" s="175" t="n">
        <v>0.0149</v>
      </c>
      <c r="N1670" s="176" t="n">
        <v>0.0182</v>
      </c>
      <c r="O1670" s="191" t="n">
        <v>1.86</v>
      </c>
      <c r="P1670" s="172" t="inlineStr">
        <is>
          <t>优先B</t>
        </is>
      </c>
      <c r="Q1670" s="178" t="n">
        <v>0.03</v>
      </c>
      <c r="R1670" s="179" t="n">
        <v>0.3</v>
      </c>
      <c r="S1670" s="177" t="inlineStr">
        <is>
          <t>AA+</t>
        </is>
      </c>
      <c r="T1670" s="178" t="n">
        <v>0.0172</v>
      </c>
      <c r="U1670" s="177" t="inlineStr">
        <is>
          <t>建信信托</t>
        </is>
      </c>
      <c r="V1670" s="192" t="n">
        <v>0.12</v>
      </c>
      <c r="W1670" s="175" t="n">
        <v>0.0172</v>
      </c>
      <c r="X1670" s="172" t="inlineStr">
        <is>
          <t>建信信托有限责任公司</t>
        </is>
      </c>
      <c r="Y1670" s="191" t="n">
        <v>0.15</v>
      </c>
    </row>
    <row r="1671">
      <c r="A1671" s="172" t="n">
        <v>92</v>
      </c>
      <c r="B1671" s="173" t="inlineStr">
        <is>
          <t>6月</t>
        </is>
      </c>
      <c r="C1671" s="173" t="inlineStr">
        <is>
          <t>消金</t>
        </is>
      </c>
      <c r="D1671" s="173" t="inlineStr">
        <is>
          <t>赊销白条</t>
        </is>
      </c>
      <c r="E1671" s="173" t="inlineStr">
        <is>
          <t>东裕9号春裕</t>
        </is>
      </c>
      <c r="F1671" s="173" t="inlineStr">
        <is>
          <t>银行间</t>
        </is>
      </c>
      <c r="G1671" s="173" t="inlineStr">
        <is>
          <t>兴业证券</t>
        </is>
      </c>
      <c r="H1671" s="173" t="inlineStr">
        <is>
          <t>杭州银行/南京银行/江苏银行/中信证券</t>
        </is>
      </c>
      <c r="I1671" s="173" t="inlineStr">
        <is>
          <t>平安北分</t>
        </is>
      </c>
      <c r="J1671" s="172" t="n">
        <v>10</v>
      </c>
      <c r="K1671" s="173" t="inlineStr">
        <is>
          <t>10+10+9+3</t>
        </is>
      </c>
      <c r="L1671" s="202" t="n">
        <v>46188</v>
      </c>
      <c r="M1671" s="175" t="n">
        <v>0.0149</v>
      </c>
      <c r="N1671" s="176" t="n">
        <v>0.0182</v>
      </c>
      <c r="O1671" s="191" t="n">
        <v>1.86</v>
      </c>
      <c r="P1671" s="172" t="inlineStr">
        <is>
          <t>优先B</t>
        </is>
      </c>
      <c r="Q1671" s="178" t="n">
        <v>0.03</v>
      </c>
      <c r="R1671" s="179" t="n">
        <v>0.3</v>
      </c>
      <c r="S1671" s="177" t="inlineStr">
        <is>
          <t>AA+</t>
        </is>
      </c>
      <c r="T1671" s="178" t="n">
        <v>0.0172</v>
      </c>
      <c r="U1671" s="177" t="inlineStr">
        <is>
          <t>杭州联合银行</t>
        </is>
      </c>
      <c r="V1671" s="192" t="n">
        <v>0.09</v>
      </c>
      <c r="W1671" s="172" t="n"/>
      <c r="X1671" s="172" t="n"/>
      <c r="Y1671" s="172" t="n"/>
    </row>
    <row r="1672">
      <c r="A1672" s="172" t="n">
        <v>92</v>
      </c>
      <c r="B1672" s="172" t="inlineStr">
        <is>
          <t>6月</t>
        </is>
      </c>
      <c r="C1672" s="172" t="inlineStr">
        <is>
          <t>消金</t>
        </is>
      </c>
      <c r="D1672" s="172" t="inlineStr">
        <is>
          <t>赊销白条</t>
        </is>
      </c>
      <c r="E1672" s="172" t="inlineStr">
        <is>
          <t>东裕9号春裕</t>
        </is>
      </c>
      <c r="F1672" s="172" t="inlineStr">
        <is>
          <t>银行间</t>
        </is>
      </c>
      <c r="G1672" s="172" t="inlineStr">
        <is>
          <t>兴业证券</t>
        </is>
      </c>
      <c r="H1672" s="172" t="inlineStr">
        <is>
          <t>杭州银行/南京银行/江苏银行/中信证券</t>
        </is>
      </c>
      <c r="I1672" s="172" t="inlineStr">
        <is>
          <t>平安北分</t>
        </is>
      </c>
      <c r="J1672" s="172" t="n">
        <v>10</v>
      </c>
      <c r="K1672" s="172" t="inlineStr">
        <is>
          <t>10+10+9+3</t>
        </is>
      </c>
      <c r="L1672" s="208" t="n">
        <v>46188</v>
      </c>
      <c r="M1672" s="175" t="n">
        <v>0.0149</v>
      </c>
      <c r="N1672" s="176" t="n">
        <v>0.0182</v>
      </c>
      <c r="O1672" s="172" t="n">
        <v>1.86</v>
      </c>
      <c r="P1672" s="172" t="inlineStr">
        <is>
          <t>优先B</t>
        </is>
      </c>
      <c r="Q1672" s="175" t="n">
        <v>0.03</v>
      </c>
      <c r="R1672" s="192" t="n">
        <v>0.3</v>
      </c>
      <c r="S1672" s="172" t="inlineStr">
        <is>
          <t>AA+</t>
        </is>
      </c>
      <c r="T1672" s="175" t="n">
        <v>0.0172</v>
      </c>
      <c r="U1672" s="172" t="n"/>
      <c r="V1672" s="172" t="n"/>
      <c r="W1672" s="175" t="n">
        <v>0.0172</v>
      </c>
      <c r="X1672" s="172" t="inlineStr">
        <is>
          <t>杭州联合农村商业银行股份有限公司</t>
        </is>
      </c>
      <c r="Y1672" s="191" t="n">
        <v>0.09</v>
      </c>
    </row>
    <row r="1673">
      <c r="A1673" s="172" t="n">
        <v>92</v>
      </c>
      <c r="B1673" s="172" t="inlineStr">
        <is>
          <t>6月</t>
        </is>
      </c>
      <c r="C1673" s="172" t="inlineStr">
        <is>
          <t>消金</t>
        </is>
      </c>
      <c r="D1673" s="172" t="inlineStr">
        <is>
          <t>赊销白条</t>
        </is>
      </c>
      <c r="E1673" s="172" t="inlineStr">
        <is>
          <t>东裕9号春裕</t>
        </is>
      </c>
      <c r="F1673" s="172" t="inlineStr">
        <is>
          <t>银行间</t>
        </is>
      </c>
      <c r="G1673" s="172" t="inlineStr">
        <is>
          <t>兴业证券</t>
        </is>
      </c>
      <c r="H1673" s="172" t="inlineStr">
        <is>
          <t>杭州银行/南京银行/江苏银行/中信证券</t>
        </is>
      </c>
      <c r="I1673" s="172" t="inlineStr">
        <is>
          <t>平安北分</t>
        </is>
      </c>
      <c r="J1673" s="172" t="n">
        <v>10</v>
      </c>
      <c r="K1673" s="172" t="inlineStr">
        <is>
          <t>10+10+9+3</t>
        </is>
      </c>
      <c r="L1673" s="208" t="n">
        <v>46188</v>
      </c>
      <c r="M1673" s="175" t="n">
        <v>0.0149</v>
      </c>
      <c r="N1673" s="176" t="n">
        <v>0.0182</v>
      </c>
      <c r="O1673" s="172" t="n">
        <v>1.86</v>
      </c>
      <c r="P1673" s="172" t="inlineStr">
        <is>
          <t>优先B</t>
        </is>
      </c>
      <c r="Q1673" s="175" t="n">
        <v>0.03</v>
      </c>
      <c r="R1673" s="192" t="n">
        <v>0.3</v>
      </c>
      <c r="S1673" s="172" t="inlineStr">
        <is>
          <t>AA+</t>
        </is>
      </c>
      <c r="T1673" s="175" t="n">
        <v>0.0172</v>
      </c>
      <c r="U1673" s="172" t="n"/>
      <c r="V1673" s="172" t="n"/>
      <c r="W1673" s="175" t="n">
        <v>0.0187</v>
      </c>
      <c r="X1673" s="172" t="inlineStr">
        <is>
          <t>平安理财有限责任公司</t>
        </is>
      </c>
      <c r="Y1673" s="191" t="n">
        <v>0.07000000000000001</v>
      </c>
    </row>
    <row r="1674">
      <c r="A1674" s="172" t="n">
        <v>92</v>
      </c>
      <c r="B1674" s="173" t="inlineStr">
        <is>
          <t>6月</t>
        </is>
      </c>
      <c r="C1674" s="173" t="inlineStr">
        <is>
          <t>消金</t>
        </is>
      </c>
      <c r="D1674" s="173" t="inlineStr">
        <is>
          <t>赊销白条</t>
        </is>
      </c>
      <c r="E1674" s="173" t="inlineStr">
        <is>
          <t>东裕9号春裕</t>
        </is>
      </c>
      <c r="F1674" s="173" t="inlineStr">
        <is>
          <t>银行间</t>
        </is>
      </c>
      <c r="G1674" s="173" t="inlineStr">
        <is>
          <t>兴业证券</t>
        </is>
      </c>
      <c r="H1674" s="173" t="inlineStr">
        <is>
          <t>杭州银行/南京银行/江苏银行/中信证券</t>
        </is>
      </c>
      <c r="I1674" s="173" t="inlineStr">
        <is>
          <t>平安北分</t>
        </is>
      </c>
      <c r="J1674" s="172" t="n">
        <v>10</v>
      </c>
      <c r="K1674" s="173" t="inlineStr">
        <is>
          <t>10+10+9+3</t>
        </is>
      </c>
      <c r="L1674" s="202" t="n">
        <v>46188</v>
      </c>
      <c r="M1674" s="175" t="n">
        <v>0.0149</v>
      </c>
      <c r="N1674" s="176" t="n">
        <v>0.0182</v>
      </c>
      <c r="O1674" s="191" t="n">
        <v>1.86</v>
      </c>
      <c r="P1674" s="177" t="inlineStr">
        <is>
          <t>中间级</t>
        </is>
      </c>
      <c r="Q1674" s="178" t="n">
        <v>0.02</v>
      </c>
      <c r="R1674" s="179" t="n">
        <v>0.2</v>
      </c>
      <c r="S1674" s="177" t="inlineStr">
        <is>
          <t>A+</t>
        </is>
      </c>
      <c r="T1674" s="178" t="n">
        <v>0.031</v>
      </c>
      <c r="U1674" s="172" t="inlineStr">
        <is>
          <t>平安理财</t>
        </is>
      </c>
      <c r="V1674" s="192" t="n">
        <v>0.06</v>
      </c>
      <c r="W1674" s="172" t="n"/>
      <c r="X1674" s="172" t="n"/>
      <c r="Y1674" s="172" t="n"/>
    </row>
    <row r="1675">
      <c r="A1675" s="172" t="n">
        <v>92</v>
      </c>
      <c r="B1675" s="173" t="inlineStr">
        <is>
          <t>6月</t>
        </is>
      </c>
      <c r="C1675" s="173" t="inlineStr">
        <is>
          <t>消金</t>
        </is>
      </c>
      <c r="D1675" s="173" t="inlineStr">
        <is>
          <t>赊销白条</t>
        </is>
      </c>
      <c r="E1675" s="173" t="inlineStr">
        <is>
          <t>东裕9号春裕</t>
        </is>
      </c>
      <c r="F1675" s="173" t="inlineStr">
        <is>
          <t>银行间</t>
        </is>
      </c>
      <c r="G1675" s="173" t="inlineStr">
        <is>
          <t>兴业证券</t>
        </is>
      </c>
      <c r="H1675" s="173" t="inlineStr">
        <is>
          <t>杭州银行/南京银行/江苏银行/中信证券</t>
        </is>
      </c>
      <c r="I1675" s="173" t="inlineStr">
        <is>
          <t>平安北分</t>
        </is>
      </c>
      <c r="J1675" s="172" t="n">
        <v>10</v>
      </c>
      <c r="K1675" s="173" t="inlineStr">
        <is>
          <t>10+10+9+3</t>
        </is>
      </c>
      <c r="L1675" s="202" t="n">
        <v>46188</v>
      </c>
      <c r="M1675" s="175" t="n">
        <v>0.0149</v>
      </c>
      <c r="N1675" s="176" t="n">
        <v>0.0182</v>
      </c>
      <c r="O1675" s="191" t="n">
        <v>1.86</v>
      </c>
      <c r="P1675" s="172" t="inlineStr">
        <is>
          <t>中间级</t>
        </is>
      </c>
      <c r="Q1675" s="178" t="n">
        <v>0.02</v>
      </c>
      <c r="R1675" s="179" t="n">
        <v>0.2</v>
      </c>
      <c r="S1675" s="177" t="inlineStr">
        <is>
          <t>A+</t>
        </is>
      </c>
      <c r="T1675" s="178" t="n">
        <v>0.031</v>
      </c>
      <c r="U1675" s="172" t="inlineStr">
        <is>
          <t>建信信托</t>
        </is>
      </c>
      <c r="V1675" s="192" t="n">
        <v>0.08</v>
      </c>
      <c r="W1675" s="172" t="n"/>
      <c r="X1675" s="172" t="n"/>
      <c r="Y1675" s="172" t="n"/>
    </row>
    <row r="1676">
      <c r="A1676" s="172" t="n">
        <v>92</v>
      </c>
      <c r="B1676" s="173" t="inlineStr">
        <is>
          <t>6月</t>
        </is>
      </c>
      <c r="C1676" s="173" t="inlineStr">
        <is>
          <t>消金</t>
        </is>
      </c>
      <c r="D1676" s="173" t="inlineStr">
        <is>
          <t>赊销白条</t>
        </is>
      </c>
      <c r="E1676" s="173" t="inlineStr">
        <is>
          <t>东裕9号春裕</t>
        </is>
      </c>
      <c r="F1676" s="173" t="inlineStr">
        <is>
          <t>银行间</t>
        </is>
      </c>
      <c r="G1676" s="173" t="inlineStr">
        <is>
          <t>兴业证券</t>
        </is>
      </c>
      <c r="H1676" s="173" t="inlineStr">
        <is>
          <t>杭州银行/南京银行/江苏银行/中信证券</t>
        </is>
      </c>
      <c r="I1676" s="173" t="inlineStr">
        <is>
          <t>平安北分</t>
        </is>
      </c>
      <c r="J1676" s="172" t="n">
        <v>10</v>
      </c>
      <c r="K1676" s="173" t="inlineStr">
        <is>
          <t>10+10+9+3</t>
        </is>
      </c>
      <c r="L1676" s="202" t="n">
        <v>46188</v>
      </c>
      <c r="M1676" s="175" t="n">
        <v>0.0149</v>
      </c>
      <c r="N1676" s="176" t="n">
        <v>0.0182</v>
      </c>
      <c r="O1676" s="191" t="n">
        <v>1.86</v>
      </c>
      <c r="P1676" s="172" t="inlineStr">
        <is>
          <t>中间级</t>
        </is>
      </c>
      <c r="Q1676" s="178" t="n">
        <v>0.02</v>
      </c>
      <c r="R1676" s="179" t="n">
        <v>0.2</v>
      </c>
      <c r="S1676" s="177" t="inlineStr">
        <is>
          <t>A+</t>
        </is>
      </c>
      <c r="T1676" s="178" t="n">
        <v>0.031</v>
      </c>
      <c r="U1676" s="172" t="inlineStr">
        <is>
          <t>杭州联合银行</t>
        </is>
      </c>
      <c r="V1676" s="192" t="n">
        <v>0.06</v>
      </c>
      <c r="W1676" s="172" t="n"/>
      <c r="X1676" s="172" t="n"/>
      <c r="Y1676" s="172" t="n"/>
    </row>
    <row r="1677">
      <c r="A1677" s="172" t="n">
        <v>92</v>
      </c>
      <c r="B1677" s="173" t="inlineStr">
        <is>
          <t>6月</t>
        </is>
      </c>
      <c r="C1677" s="173" t="inlineStr">
        <is>
          <t>消金</t>
        </is>
      </c>
      <c r="D1677" s="173" t="inlineStr">
        <is>
          <t>赊销白条</t>
        </is>
      </c>
      <c r="E1677" s="173" t="inlineStr">
        <is>
          <t>东裕9号春裕</t>
        </is>
      </c>
      <c r="F1677" s="173" t="inlineStr">
        <is>
          <t>银行间</t>
        </is>
      </c>
      <c r="G1677" s="173" t="inlineStr">
        <is>
          <t>兴业证券</t>
        </is>
      </c>
      <c r="H1677" s="173" t="inlineStr">
        <is>
          <t>杭州银行/南京银行/江苏银行/中信证券</t>
        </is>
      </c>
      <c r="I1677" s="173" t="inlineStr">
        <is>
          <t>平安北分</t>
        </is>
      </c>
      <c r="J1677" s="172" t="n">
        <v>10</v>
      </c>
      <c r="K1677" s="173" t="inlineStr">
        <is>
          <t>10+10+9+3</t>
        </is>
      </c>
      <c r="L1677" s="202" t="n">
        <v>46188</v>
      </c>
      <c r="M1677" s="175" t="n">
        <v>0.0149</v>
      </c>
      <c r="N1677" s="176" t="n">
        <v>0.0182</v>
      </c>
      <c r="O1677" s="191" t="n">
        <v>1.86</v>
      </c>
      <c r="P1677" s="177" t="inlineStr">
        <is>
          <t>次级</t>
        </is>
      </c>
      <c r="Q1677" s="178" t="n">
        <v>0.05</v>
      </c>
      <c r="R1677" s="179" t="n">
        <v>0.5</v>
      </c>
      <c r="S1677" s="177" t="inlineStr">
        <is>
          <t>无</t>
        </is>
      </c>
      <c r="T1677" s="178" t="n">
        <v>0.045</v>
      </c>
      <c r="U1677" s="172" t="inlineStr">
        <is>
          <t>中金自营</t>
        </is>
      </c>
      <c r="V1677" s="195" t="n">
        <v>0.075</v>
      </c>
      <c r="W1677" s="172" t="n"/>
      <c r="X1677" s="172" t="n"/>
      <c r="Y1677" s="172" t="n"/>
    </row>
    <row r="1678">
      <c r="A1678" s="172" t="n">
        <v>92</v>
      </c>
      <c r="B1678" s="173" t="inlineStr">
        <is>
          <t>6月</t>
        </is>
      </c>
      <c r="C1678" s="173" t="inlineStr">
        <is>
          <t>消金</t>
        </is>
      </c>
      <c r="D1678" s="173" t="inlineStr">
        <is>
          <t>赊销白条</t>
        </is>
      </c>
      <c r="E1678" s="173" t="inlineStr">
        <is>
          <t>东裕9号春裕</t>
        </is>
      </c>
      <c r="F1678" s="173" t="inlineStr">
        <is>
          <t>银行间</t>
        </is>
      </c>
      <c r="G1678" s="173" t="inlineStr">
        <is>
          <t>兴业证券</t>
        </is>
      </c>
      <c r="H1678" s="173" t="inlineStr">
        <is>
          <t>杭州银行/南京银行/江苏银行/中信证券</t>
        </is>
      </c>
      <c r="I1678" s="173" t="inlineStr">
        <is>
          <t>平安北分</t>
        </is>
      </c>
      <c r="J1678" s="172" t="n">
        <v>10</v>
      </c>
      <c r="K1678" s="173" t="inlineStr">
        <is>
          <t>10+10+9+3</t>
        </is>
      </c>
      <c r="L1678" s="202" t="n">
        <v>46188</v>
      </c>
      <c r="M1678" s="175" t="n">
        <v>0.0149</v>
      </c>
      <c r="N1678" s="176" t="n">
        <v>0.0182</v>
      </c>
      <c r="O1678" s="191" t="n">
        <v>1.86</v>
      </c>
      <c r="P1678" s="172" t="inlineStr">
        <is>
          <t>次级</t>
        </is>
      </c>
      <c r="Q1678" s="178" t="n">
        <v>0.05</v>
      </c>
      <c r="R1678" s="179" t="n">
        <v>0.5</v>
      </c>
      <c r="S1678" s="177" t="inlineStr">
        <is>
          <t>无</t>
        </is>
      </c>
      <c r="T1678" s="178" t="n">
        <v>0.045</v>
      </c>
      <c r="U1678" s="172" t="inlineStr">
        <is>
          <t>申万宏源自营</t>
        </is>
      </c>
      <c r="V1678" s="192" t="n">
        <v>0.15</v>
      </c>
      <c r="W1678" s="172" t="n"/>
      <c r="X1678" s="172" t="n"/>
      <c r="Y1678" s="172" t="n"/>
    </row>
    <row r="1679">
      <c r="A1679" s="172" t="n">
        <v>92</v>
      </c>
      <c r="B1679" s="173" t="inlineStr">
        <is>
          <t>6月</t>
        </is>
      </c>
      <c r="C1679" s="173" t="inlineStr">
        <is>
          <t>消金</t>
        </is>
      </c>
      <c r="D1679" s="173" t="inlineStr">
        <is>
          <t>赊销白条</t>
        </is>
      </c>
      <c r="E1679" s="173" t="inlineStr">
        <is>
          <t>东裕9号春裕</t>
        </is>
      </c>
      <c r="F1679" s="173" t="inlineStr">
        <is>
          <t>银行间</t>
        </is>
      </c>
      <c r="G1679" s="173" t="inlineStr">
        <is>
          <t>兴业证券</t>
        </is>
      </c>
      <c r="H1679" s="173" t="inlineStr">
        <is>
          <t>杭州银行/南京银行/江苏银行/中信证券</t>
        </is>
      </c>
      <c r="I1679" s="173" t="inlineStr">
        <is>
          <t>平安北分</t>
        </is>
      </c>
      <c r="J1679" s="172" t="n">
        <v>10</v>
      </c>
      <c r="K1679" s="173" t="inlineStr">
        <is>
          <t>10+10+9+3</t>
        </is>
      </c>
      <c r="L1679" s="202" t="n">
        <v>46188</v>
      </c>
      <c r="M1679" s="175" t="n">
        <v>0.0149</v>
      </c>
      <c r="N1679" s="176" t="n">
        <v>0.0182</v>
      </c>
      <c r="O1679" s="191" t="n">
        <v>1.86</v>
      </c>
      <c r="P1679" s="172" t="inlineStr">
        <is>
          <t>次级</t>
        </is>
      </c>
      <c r="Q1679" s="178" t="n">
        <v>0.05</v>
      </c>
      <c r="R1679" s="179" t="n">
        <v>0.5</v>
      </c>
      <c r="S1679" s="177" t="inlineStr">
        <is>
          <t>无</t>
        </is>
      </c>
      <c r="T1679" s="178" t="n">
        <v>0.045</v>
      </c>
      <c r="U1679" s="172" t="inlineStr">
        <is>
          <t>东家铂睿</t>
        </is>
      </c>
      <c r="V1679" s="192" t="n">
        <v>0.2</v>
      </c>
      <c r="W1679" s="172" t="n"/>
      <c r="X1679" s="172" t="n"/>
      <c r="Y1679" s="172" t="n"/>
    </row>
    <row r="1680">
      <c r="A1680" s="172" t="n">
        <v>92</v>
      </c>
      <c r="B1680" s="173" t="inlineStr">
        <is>
          <t>6月</t>
        </is>
      </c>
      <c r="C1680" s="173" t="inlineStr">
        <is>
          <t>消金</t>
        </is>
      </c>
      <c r="D1680" s="173" t="inlineStr">
        <is>
          <t>赊销白条</t>
        </is>
      </c>
      <c r="E1680" s="173" t="inlineStr">
        <is>
          <t>东裕9号春裕</t>
        </is>
      </c>
      <c r="F1680" s="173" t="inlineStr">
        <is>
          <t>银行间</t>
        </is>
      </c>
      <c r="G1680" s="173" t="inlineStr">
        <is>
          <t>兴业证券</t>
        </is>
      </c>
      <c r="H1680" s="173" t="inlineStr">
        <is>
          <t>杭州银行/南京银行/江苏银行/中信证券</t>
        </is>
      </c>
      <c r="I1680" s="173" t="inlineStr">
        <is>
          <t>平安北分</t>
        </is>
      </c>
      <c r="J1680" s="172" t="n">
        <v>10</v>
      </c>
      <c r="K1680" s="173" t="inlineStr">
        <is>
          <t>10+10+9+3</t>
        </is>
      </c>
      <c r="L1680" s="202" t="n">
        <v>46188</v>
      </c>
      <c r="M1680" s="175" t="n">
        <v>0.0149</v>
      </c>
      <c r="N1680" s="176" t="n">
        <v>0.0182</v>
      </c>
      <c r="O1680" s="191" t="n">
        <v>1.86</v>
      </c>
      <c r="P1680" s="172" t="inlineStr">
        <is>
          <t>次级</t>
        </is>
      </c>
      <c r="Q1680" s="178" t="n">
        <v>0.05</v>
      </c>
      <c r="R1680" s="179" t="n">
        <v>0.5</v>
      </c>
      <c r="S1680" s="177" t="inlineStr">
        <is>
          <t>无</t>
        </is>
      </c>
      <c r="T1680" s="178" t="n">
        <v>0.045</v>
      </c>
      <c r="U1680" s="172" t="inlineStr">
        <is>
          <t>中信建投机构部</t>
        </is>
      </c>
      <c r="V1680" s="195" t="n">
        <v>0.075</v>
      </c>
      <c r="W1680" s="172" t="n"/>
      <c r="X1680" s="172" t="n"/>
      <c r="Y1680" s="172" t="n"/>
    </row>
    <row r="1681">
      <c r="A1681" s="172" t="n">
        <v>93</v>
      </c>
      <c r="B1681" s="172" t="inlineStr">
        <is>
          <t>6月</t>
        </is>
      </c>
      <c r="C1681" s="172" t="inlineStr">
        <is>
          <t>消金</t>
        </is>
      </c>
      <c r="D1681" s="172" t="inlineStr">
        <is>
          <t>金条&amp;白取&amp;白条混发</t>
        </is>
      </c>
      <c r="E1681" s="172" t="inlineStr">
        <is>
          <t>钰泽4号</t>
        </is>
      </c>
      <c r="F1681" s="172" t="inlineStr">
        <is>
          <t>结构化非标</t>
        </is>
      </c>
      <c r="G1681" s="172" t="inlineStr">
        <is>
          <t>西藏信托</t>
        </is>
      </c>
      <c r="H1681" s="172" t="inlineStr">
        <is>
          <t>-</t>
        </is>
      </c>
      <c r="I1681" s="172" t="inlineStr">
        <is>
          <t>建行北分</t>
        </is>
      </c>
      <c r="J1681" s="172" t="n">
        <v>15</v>
      </c>
      <c r="K1681" s="172" t="inlineStr">
        <is>
          <t>11+13</t>
        </is>
      </c>
      <c r="L1681" s="202" t="n">
        <v>46189</v>
      </c>
      <c r="M1681" s="175" t="n">
        <v>0.0149</v>
      </c>
      <c r="N1681" s="176" t="n">
        <v>0.03098</v>
      </c>
      <c r="O1681" s="191" t="inlineStr">
        <is>
          <t>-</t>
        </is>
      </c>
      <c r="P1681" s="172" t="inlineStr">
        <is>
          <t>结构化平层</t>
        </is>
      </c>
      <c r="Q1681" s="175" t="n">
        <v>0.75</v>
      </c>
      <c r="R1681" s="192" t="n">
        <v>11.25</v>
      </c>
      <c r="S1681" s="172" t="inlineStr">
        <is>
          <t>无</t>
        </is>
      </c>
      <c r="T1681" s="175" t="n">
        <v>0.0249</v>
      </c>
      <c r="U1681" s="172" t="inlineStr">
        <is>
          <t>摩根大通</t>
        </is>
      </c>
      <c r="V1681" s="172" t="n">
        <v>11.25</v>
      </c>
      <c r="W1681" s="172" t="n"/>
      <c r="X1681" s="172" t="n"/>
      <c r="Y1681" s="172" t="n"/>
    </row>
    <row r="1682">
      <c r="A1682" s="172" t="n">
        <v>93</v>
      </c>
      <c r="B1682" s="172" t="inlineStr">
        <is>
          <t>6月</t>
        </is>
      </c>
      <c r="C1682" s="172" t="inlineStr">
        <is>
          <t>消金</t>
        </is>
      </c>
      <c r="D1682" s="172" t="inlineStr">
        <is>
          <t>金条&amp;白取&amp;白条混发</t>
        </is>
      </c>
      <c r="E1682" s="172" t="inlineStr">
        <is>
          <t>钰泽4号</t>
        </is>
      </c>
      <c r="F1682" s="172" t="inlineStr">
        <is>
          <t>结构化非标</t>
        </is>
      </c>
      <c r="G1682" s="172" t="inlineStr">
        <is>
          <t>西藏信托</t>
        </is>
      </c>
      <c r="H1682" s="172" t="inlineStr">
        <is>
          <t>-</t>
        </is>
      </c>
      <c r="I1682" s="172" t="inlineStr">
        <is>
          <t>建行北分</t>
        </is>
      </c>
      <c r="J1682" s="172" t="n">
        <v>15</v>
      </c>
      <c r="K1682" s="172" t="inlineStr">
        <is>
          <t>11+13</t>
        </is>
      </c>
      <c r="L1682" s="202" t="n">
        <v>46189</v>
      </c>
      <c r="M1682" s="175" t="n">
        <v>0.0149</v>
      </c>
      <c r="N1682" s="176" t="n">
        <v>0.03098</v>
      </c>
      <c r="O1682" s="191" t="inlineStr">
        <is>
          <t>-</t>
        </is>
      </c>
      <c r="P1682" s="172" t="inlineStr">
        <is>
          <t>结构化平层</t>
        </is>
      </c>
      <c r="Q1682" s="175" t="n">
        <v>0.25</v>
      </c>
      <c r="R1682" s="192" t="n">
        <v>3.75</v>
      </c>
      <c r="S1682" s="172" t="inlineStr">
        <is>
          <t>无</t>
        </is>
      </c>
      <c r="T1682" s="175" t="n">
        <v>0.037</v>
      </c>
      <c r="U1682" s="172" t="inlineStr">
        <is>
          <t>中金自营</t>
        </is>
      </c>
      <c r="V1682" s="191" t="n">
        <v>0.8</v>
      </c>
      <c r="W1682" s="172" t="n"/>
      <c r="X1682" s="172" t="n"/>
      <c r="Y1682" s="172" t="n"/>
    </row>
    <row r="1683">
      <c r="A1683" s="172" t="n">
        <v>93</v>
      </c>
      <c r="B1683" s="172" t="inlineStr">
        <is>
          <t>6月</t>
        </is>
      </c>
      <c r="C1683" s="172" t="inlineStr">
        <is>
          <t>消金</t>
        </is>
      </c>
      <c r="D1683" s="172" t="inlineStr">
        <is>
          <t>金条&amp;白取&amp;白条混发</t>
        </is>
      </c>
      <c r="E1683" s="172" t="inlineStr">
        <is>
          <t>钰泽4号</t>
        </is>
      </c>
      <c r="F1683" s="172" t="inlineStr">
        <is>
          <t>结构化非标</t>
        </is>
      </c>
      <c r="G1683" s="172" t="inlineStr">
        <is>
          <t>西藏信托</t>
        </is>
      </c>
      <c r="H1683" s="172" t="inlineStr">
        <is>
          <t>-</t>
        </is>
      </c>
      <c r="I1683" s="172" t="inlineStr">
        <is>
          <t>建行北分</t>
        </is>
      </c>
      <c r="J1683" s="172" t="n">
        <v>15</v>
      </c>
      <c r="K1683" s="172" t="inlineStr">
        <is>
          <t>11+13</t>
        </is>
      </c>
      <c r="L1683" s="202" t="n">
        <v>46189</v>
      </c>
      <c r="M1683" s="175" t="n">
        <v>0.0149</v>
      </c>
      <c r="N1683" s="176" t="n">
        <v>0.03098</v>
      </c>
      <c r="O1683" s="191" t="inlineStr">
        <is>
          <t>-</t>
        </is>
      </c>
      <c r="P1683" s="172" t="inlineStr">
        <is>
          <t>结构化平层</t>
        </is>
      </c>
      <c r="Q1683" s="175" t="n">
        <v>0.25</v>
      </c>
      <c r="R1683" s="192" t="n">
        <v>3.75</v>
      </c>
      <c r="S1683" s="172" t="inlineStr">
        <is>
          <t>无</t>
        </is>
      </c>
      <c r="T1683" s="175" t="n">
        <v>0.037</v>
      </c>
      <c r="U1683" s="172" t="inlineStr">
        <is>
          <t>中信建投衍生品</t>
        </is>
      </c>
      <c r="V1683" s="191" t="n">
        <v>1.1</v>
      </c>
      <c r="W1683" s="172" t="n"/>
      <c r="X1683" s="172" t="n"/>
      <c r="Y1683" s="172" t="n"/>
    </row>
    <row r="1684">
      <c r="A1684" s="172" t="n">
        <v>93</v>
      </c>
      <c r="B1684" s="172" t="inlineStr">
        <is>
          <t>6月</t>
        </is>
      </c>
      <c r="C1684" s="172" t="inlineStr">
        <is>
          <t>消金</t>
        </is>
      </c>
      <c r="D1684" s="172" t="inlineStr">
        <is>
          <t>金条&amp;白取&amp;白条混发</t>
        </is>
      </c>
      <c r="E1684" s="172" t="inlineStr">
        <is>
          <t>钰泽4号</t>
        </is>
      </c>
      <c r="F1684" s="172" t="inlineStr">
        <is>
          <t>结构化非标</t>
        </is>
      </c>
      <c r="G1684" s="172" t="inlineStr">
        <is>
          <t>西藏信托</t>
        </is>
      </c>
      <c r="H1684" s="172" t="inlineStr">
        <is>
          <t>-</t>
        </is>
      </c>
      <c r="I1684" s="172" t="inlineStr">
        <is>
          <t>建行北分</t>
        </is>
      </c>
      <c r="J1684" s="172" t="n">
        <v>15</v>
      </c>
      <c r="K1684" s="172" t="inlineStr">
        <is>
          <t>11+13</t>
        </is>
      </c>
      <c r="L1684" s="202" t="n">
        <v>46189</v>
      </c>
      <c r="M1684" s="175" t="n">
        <v>0.0149</v>
      </c>
      <c r="N1684" s="176" t="n">
        <v>0.03098</v>
      </c>
      <c r="O1684" s="191" t="inlineStr">
        <is>
          <t>-</t>
        </is>
      </c>
      <c r="P1684" s="172" t="inlineStr">
        <is>
          <t>结构化平层</t>
        </is>
      </c>
      <c r="Q1684" s="175" t="n">
        <v>0.25</v>
      </c>
      <c r="R1684" s="192" t="n">
        <v>3.75</v>
      </c>
      <c r="S1684" s="172" t="inlineStr">
        <is>
          <t>无</t>
        </is>
      </c>
      <c r="T1684" s="175" t="n">
        <v>0.037</v>
      </c>
      <c r="U1684" s="172" t="inlineStr">
        <is>
          <t>中信证券自营</t>
        </is>
      </c>
      <c r="V1684" s="172" t="n">
        <v>1.85</v>
      </c>
      <c r="W1684" s="172" t="n"/>
      <c r="X1684" s="172" t="n"/>
      <c r="Y1684" s="172" t="n"/>
    </row>
    <row r="1685">
      <c r="A1685" s="172" t="n">
        <v>94</v>
      </c>
      <c r="B1685" s="172" t="inlineStr">
        <is>
          <t>6月</t>
        </is>
      </c>
      <c r="C1685" s="172" t="inlineStr">
        <is>
          <t>企金</t>
        </is>
      </c>
      <c r="D1685" s="172" t="inlineStr">
        <is>
          <t>金采</t>
        </is>
      </c>
      <c r="E1685" s="172" t="inlineStr">
        <is>
          <t>金采8-3</t>
        </is>
      </c>
      <c r="F1685" s="172" t="inlineStr">
        <is>
          <t>上交所</t>
        </is>
      </c>
      <c r="G1685" s="172" t="inlineStr">
        <is>
          <t>国泰海通</t>
        </is>
      </c>
      <c r="H1685" s="172" t="inlineStr">
        <is>
          <t>长城证券</t>
        </is>
      </c>
      <c r="I1685" s="172" t="inlineStr">
        <is>
          <t>光大北分</t>
        </is>
      </c>
      <c r="J1685" s="172" t="n">
        <v>10</v>
      </c>
      <c r="K1685" s="172" t="inlineStr">
        <is>
          <t>7+12</t>
        </is>
      </c>
      <c r="L1685" s="202" t="n">
        <v>46191</v>
      </c>
      <c r="M1685" s="175" t="n">
        <v>0.0148</v>
      </c>
      <c r="N1685" s="176" t="n">
        <v>0.0187</v>
      </c>
      <c r="O1685" s="191" t="n">
        <v>1.96</v>
      </c>
      <c r="P1685" s="172" t="inlineStr">
        <is>
          <t>优先级</t>
        </is>
      </c>
      <c r="Q1685" s="175" t="n">
        <v>0.9</v>
      </c>
      <c r="R1685" s="192" t="n">
        <v>9</v>
      </c>
      <c r="S1685" s="172" t="inlineStr">
        <is>
          <t>AAA</t>
        </is>
      </c>
      <c r="T1685" s="175" t="n">
        <v>0.016</v>
      </c>
      <c r="U1685" s="172" t="inlineStr">
        <is>
          <t>邦汇保理</t>
        </is>
      </c>
      <c r="V1685" s="191" t="n">
        <v>0.45</v>
      </c>
      <c r="W1685" s="172" t="n"/>
      <c r="X1685" s="172" t="n"/>
      <c r="Y1685" s="172" t="n"/>
    </row>
    <row r="1686">
      <c r="A1686" s="172" t="n">
        <v>94</v>
      </c>
      <c r="B1686" s="172" t="inlineStr">
        <is>
          <t>6月</t>
        </is>
      </c>
      <c r="C1686" s="172" t="inlineStr">
        <is>
          <t>企金</t>
        </is>
      </c>
      <c r="D1686" s="172" t="inlineStr">
        <is>
          <t>金采</t>
        </is>
      </c>
      <c r="E1686" s="172" t="inlineStr">
        <is>
          <t>金采8-3</t>
        </is>
      </c>
      <c r="F1686" s="172" t="inlineStr">
        <is>
          <t>上交所</t>
        </is>
      </c>
      <c r="G1686" s="172" t="inlineStr">
        <is>
          <t>国泰海通</t>
        </is>
      </c>
      <c r="H1686" s="172" t="inlineStr">
        <is>
          <t>长城证券</t>
        </is>
      </c>
      <c r="I1686" s="172" t="inlineStr">
        <is>
          <t>光大北分</t>
        </is>
      </c>
      <c r="J1686" s="172" t="n">
        <v>10</v>
      </c>
      <c r="K1686" s="172" t="inlineStr">
        <is>
          <t>7+12</t>
        </is>
      </c>
      <c r="L1686" s="202" t="n">
        <v>46191</v>
      </c>
      <c r="M1686" s="175" t="n">
        <v>0.0148</v>
      </c>
      <c r="N1686" s="176" t="n">
        <v>0.0187</v>
      </c>
      <c r="O1686" s="191" t="n">
        <v>1.96</v>
      </c>
      <c r="P1686" s="172" t="inlineStr">
        <is>
          <t>优先级</t>
        </is>
      </c>
      <c r="Q1686" s="175" t="n">
        <v>0.9</v>
      </c>
      <c r="R1686" s="192" t="n">
        <v>9</v>
      </c>
      <c r="S1686" s="172" t="inlineStr">
        <is>
          <t>AAA</t>
        </is>
      </c>
      <c r="T1686" s="175" t="n">
        <v>0.016</v>
      </c>
      <c r="U1686" s="172" t="inlineStr">
        <is>
          <t>宝武财务</t>
        </is>
      </c>
      <c r="V1686" s="191" t="n">
        <v>0.3</v>
      </c>
      <c r="W1686" s="175" t="n">
        <v>0.016</v>
      </c>
      <c r="X1686" s="172" t="inlineStr">
        <is>
          <t>宝武财务</t>
        </is>
      </c>
      <c r="Y1686" s="191" t="n">
        <v>0.5</v>
      </c>
    </row>
    <row r="1687">
      <c r="A1687" s="172" t="n">
        <v>94</v>
      </c>
      <c r="B1687" s="172" t="inlineStr">
        <is>
          <t>6月</t>
        </is>
      </c>
      <c r="C1687" s="172" t="inlineStr">
        <is>
          <t>企金</t>
        </is>
      </c>
      <c r="D1687" s="172" t="inlineStr">
        <is>
          <t>金采</t>
        </is>
      </c>
      <c r="E1687" s="172" t="inlineStr">
        <is>
          <t>金采8-3</t>
        </is>
      </c>
      <c r="F1687" s="172" t="inlineStr">
        <is>
          <t>上交所</t>
        </is>
      </c>
      <c r="G1687" s="172" t="inlineStr">
        <is>
          <t>国泰海通</t>
        </is>
      </c>
      <c r="H1687" s="172" t="inlineStr">
        <is>
          <t>长城证券</t>
        </is>
      </c>
      <c r="I1687" s="172" t="inlineStr">
        <is>
          <t>光大北分</t>
        </is>
      </c>
      <c r="J1687" s="172" t="n">
        <v>10</v>
      </c>
      <c r="K1687" s="172" t="inlineStr">
        <is>
          <t>7+12</t>
        </is>
      </c>
      <c r="L1687" s="208" t="n">
        <v>46191</v>
      </c>
      <c r="M1687" s="175" t="n">
        <v>0.0148</v>
      </c>
      <c r="N1687" s="176" t="n">
        <v>0.0187</v>
      </c>
      <c r="O1687" s="172" t="n">
        <v>1.96</v>
      </c>
      <c r="P1687" s="172" t="inlineStr">
        <is>
          <t>优先级</t>
        </is>
      </c>
      <c r="Q1687" s="175" t="n">
        <v>0.9</v>
      </c>
      <c r="R1687" s="192" t="n">
        <v>9</v>
      </c>
      <c r="S1687" s="172" t="inlineStr">
        <is>
          <t>AAA</t>
        </is>
      </c>
      <c r="T1687" s="175" t="n">
        <v>0.016</v>
      </c>
      <c r="U1687" s="172" t="n"/>
      <c r="V1687" s="172" t="n"/>
      <c r="W1687" s="175" t="n">
        <v>0.0164</v>
      </c>
      <c r="X1687" s="172" t="inlineStr">
        <is>
          <t>宝武财务</t>
        </is>
      </c>
      <c r="Y1687" s="191" t="n">
        <v>0.7</v>
      </c>
    </row>
    <row r="1688">
      <c r="A1688" s="172" t="n">
        <v>94</v>
      </c>
      <c r="B1688" s="172" t="inlineStr">
        <is>
          <t>6月</t>
        </is>
      </c>
      <c r="C1688" s="172" t="inlineStr">
        <is>
          <t>企金</t>
        </is>
      </c>
      <c r="D1688" s="172" t="inlineStr">
        <is>
          <t>金采</t>
        </is>
      </c>
      <c r="E1688" s="172" t="inlineStr">
        <is>
          <t>金采8-3</t>
        </is>
      </c>
      <c r="F1688" s="172" t="inlineStr">
        <is>
          <t>上交所</t>
        </is>
      </c>
      <c r="G1688" s="172" t="inlineStr">
        <is>
          <t>国泰海通</t>
        </is>
      </c>
      <c r="H1688" s="172" t="inlineStr">
        <is>
          <t>长城证券</t>
        </is>
      </c>
      <c r="I1688" s="172" t="inlineStr">
        <is>
          <t>光大北分</t>
        </is>
      </c>
      <c r="J1688" s="172" t="n">
        <v>10</v>
      </c>
      <c r="K1688" s="172" t="inlineStr">
        <is>
          <t>7+12</t>
        </is>
      </c>
      <c r="L1688" s="202" t="n">
        <v>46191</v>
      </c>
      <c r="M1688" s="175" t="n">
        <v>0.0148</v>
      </c>
      <c r="N1688" s="176" t="n">
        <v>0.0187</v>
      </c>
      <c r="O1688" s="191" t="n">
        <v>1.96</v>
      </c>
      <c r="P1688" s="172" t="inlineStr">
        <is>
          <t>优先级</t>
        </is>
      </c>
      <c r="Q1688" s="175" t="n">
        <v>0.9</v>
      </c>
      <c r="R1688" s="192" t="n">
        <v>9</v>
      </c>
      <c r="S1688" s="172" t="inlineStr">
        <is>
          <t>AAA</t>
        </is>
      </c>
      <c r="T1688" s="175" t="n">
        <v>0.016</v>
      </c>
      <c r="U1688" s="172" t="inlineStr">
        <is>
          <t>建信信托</t>
        </is>
      </c>
      <c r="V1688" s="191" t="n">
        <v>0.9</v>
      </c>
      <c r="W1688" s="175" t="n">
        <v>0.0158</v>
      </c>
      <c r="X1688" s="172" t="inlineStr">
        <is>
          <t>建信信托</t>
        </is>
      </c>
      <c r="Y1688" s="191" t="n">
        <v>0.9</v>
      </c>
    </row>
    <row r="1689">
      <c r="A1689" s="172" t="n">
        <v>94</v>
      </c>
      <c r="B1689" s="172" t="inlineStr">
        <is>
          <t>6月</t>
        </is>
      </c>
      <c r="C1689" s="172" t="inlineStr">
        <is>
          <t>企金</t>
        </is>
      </c>
      <c r="D1689" s="172" t="inlineStr">
        <is>
          <t>金采</t>
        </is>
      </c>
      <c r="E1689" s="172" t="inlineStr">
        <is>
          <t>金采8-3</t>
        </is>
      </c>
      <c r="F1689" s="172" t="inlineStr">
        <is>
          <t>上交所</t>
        </is>
      </c>
      <c r="G1689" s="172" t="inlineStr">
        <is>
          <t>国泰海通</t>
        </is>
      </c>
      <c r="H1689" s="172" t="inlineStr">
        <is>
          <t>长城证券</t>
        </is>
      </c>
      <c r="I1689" s="172" t="inlineStr">
        <is>
          <t>光大北分</t>
        </is>
      </c>
      <c r="J1689" s="172" t="n">
        <v>10</v>
      </c>
      <c r="K1689" s="172" t="inlineStr">
        <is>
          <t>7+12</t>
        </is>
      </c>
      <c r="L1689" s="202" t="n">
        <v>46191</v>
      </c>
      <c r="M1689" s="175" t="n">
        <v>0.0148</v>
      </c>
      <c r="N1689" s="176" t="n">
        <v>0.0187</v>
      </c>
      <c r="O1689" s="191" t="n">
        <v>1.96</v>
      </c>
      <c r="P1689" s="172" t="inlineStr">
        <is>
          <t>优先级</t>
        </is>
      </c>
      <c r="Q1689" s="175" t="n">
        <v>0.9</v>
      </c>
      <c r="R1689" s="192" t="n">
        <v>9</v>
      </c>
      <c r="S1689" s="172" t="inlineStr">
        <is>
          <t>AAA</t>
        </is>
      </c>
      <c r="T1689" s="175" t="n">
        <v>0.016</v>
      </c>
      <c r="U1689" s="172" t="inlineStr">
        <is>
          <t>民生理财</t>
        </is>
      </c>
      <c r="V1689" s="191" t="n">
        <v>2.7</v>
      </c>
      <c r="W1689" s="175" t="n">
        <v>0.015</v>
      </c>
      <c r="X1689" s="172" t="inlineStr">
        <is>
          <t>民生理财</t>
        </is>
      </c>
      <c r="Y1689" s="191" t="n">
        <v>2.7</v>
      </c>
    </row>
    <row r="1690">
      <c r="A1690" s="172" t="n">
        <v>94</v>
      </c>
      <c r="B1690" s="172" t="inlineStr">
        <is>
          <t>6月</t>
        </is>
      </c>
      <c r="C1690" s="172" t="inlineStr">
        <is>
          <t>企金</t>
        </is>
      </c>
      <c r="D1690" s="172" t="inlineStr">
        <is>
          <t>金采</t>
        </is>
      </c>
      <c r="E1690" s="172" t="inlineStr">
        <is>
          <t>金采8-3</t>
        </is>
      </c>
      <c r="F1690" s="172" t="inlineStr">
        <is>
          <t>上交所</t>
        </is>
      </c>
      <c r="G1690" s="172" t="inlineStr">
        <is>
          <t>国泰海通</t>
        </is>
      </c>
      <c r="H1690" s="172" t="inlineStr">
        <is>
          <t>长城证券</t>
        </is>
      </c>
      <c r="I1690" s="172" t="inlineStr">
        <is>
          <t>光大北分</t>
        </is>
      </c>
      <c r="J1690" s="172" t="n">
        <v>10</v>
      </c>
      <c r="K1690" s="172" t="inlineStr">
        <is>
          <t>7+12</t>
        </is>
      </c>
      <c r="L1690" s="202" t="n">
        <v>46191</v>
      </c>
      <c r="M1690" s="175" t="n">
        <v>0.0148</v>
      </c>
      <c r="N1690" s="176" t="n">
        <v>0.0187</v>
      </c>
      <c r="O1690" s="191" t="n">
        <v>1.96</v>
      </c>
      <c r="P1690" s="172" t="inlineStr">
        <is>
          <t>优先级</t>
        </is>
      </c>
      <c r="Q1690" s="175" t="n">
        <v>0.9</v>
      </c>
      <c r="R1690" s="192" t="n">
        <v>9</v>
      </c>
      <c r="S1690" s="172" t="inlineStr">
        <is>
          <t>AAA</t>
        </is>
      </c>
      <c r="T1690" s="175" t="n">
        <v>0.016</v>
      </c>
      <c r="U1690" s="172" t="inlineStr">
        <is>
          <t>招银理财</t>
        </is>
      </c>
      <c r="V1690" s="191" t="n">
        <v>2.7</v>
      </c>
      <c r="W1690" s="175" t="n">
        <v>0.0157</v>
      </c>
      <c r="X1690" s="172" t="inlineStr">
        <is>
          <t>招银理财</t>
        </is>
      </c>
      <c r="Y1690" s="191" t="n">
        <v>2.7</v>
      </c>
    </row>
    <row r="1691">
      <c r="A1691" s="172" t="n">
        <v>94</v>
      </c>
      <c r="B1691" s="172" t="inlineStr">
        <is>
          <t>6月</t>
        </is>
      </c>
      <c r="C1691" s="172" t="inlineStr">
        <is>
          <t>企金</t>
        </is>
      </c>
      <c r="D1691" s="172" t="inlineStr">
        <is>
          <t>金采</t>
        </is>
      </c>
      <c r="E1691" s="172" t="inlineStr">
        <is>
          <t>金采8-3</t>
        </is>
      </c>
      <c r="F1691" s="172" t="inlineStr">
        <is>
          <t>上交所</t>
        </is>
      </c>
      <c r="G1691" s="172" t="inlineStr">
        <is>
          <t>国泰海通</t>
        </is>
      </c>
      <c r="H1691" s="172" t="inlineStr">
        <is>
          <t>长城证券</t>
        </is>
      </c>
      <c r="I1691" s="172" t="inlineStr">
        <is>
          <t>光大北分</t>
        </is>
      </c>
      <c r="J1691" s="172" t="n">
        <v>10</v>
      </c>
      <c r="K1691" s="172" t="inlineStr">
        <is>
          <t>7+12</t>
        </is>
      </c>
      <c r="L1691" s="202" t="n">
        <v>46191</v>
      </c>
      <c r="M1691" s="175" t="n">
        <v>0.0148</v>
      </c>
      <c r="N1691" s="176" t="n">
        <v>0.0187</v>
      </c>
      <c r="O1691" s="191" t="n">
        <v>1.96</v>
      </c>
      <c r="P1691" s="172" t="inlineStr">
        <is>
          <t>优先级</t>
        </is>
      </c>
      <c r="Q1691" s="175" t="n">
        <v>0.9</v>
      </c>
      <c r="R1691" s="192" t="n">
        <v>9</v>
      </c>
      <c r="S1691" s="172" t="inlineStr">
        <is>
          <t>AAA</t>
        </is>
      </c>
      <c r="T1691" s="175" t="n">
        <v>0.016</v>
      </c>
      <c r="U1691" s="172" t="inlineStr">
        <is>
          <t>中邮理财</t>
        </is>
      </c>
      <c r="V1691" s="191" t="n">
        <v>1.65</v>
      </c>
      <c r="W1691" s="175" t="n">
        <v>0.016</v>
      </c>
      <c r="X1691" s="172" t="inlineStr">
        <is>
          <t>中邮理财</t>
        </is>
      </c>
      <c r="Y1691" s="191" t="n">
        <v>2.7</v>
      </c>
    </row>
    <row r="1692">
      <c r="A1692" s="172" t="n">
        <v>94</v>
      </c>
      <c r="B1692" s="172" t="inlineStr">
        <is>
          <t>6月</t>
        </is>
      </c>
      <c r="C1692" s="172" t="inlineStr">
        <is>
          <t>企金</t>
        </is>
      </c>
      <c r="D1692" s="172" t="inlineStr">
        <is>
          <t>金采</t>
        </is>
      </c>
      <c r="E1692" s="172" t="inlineStr">
        <is>
          <t>金采8-3</t>
        </is>
      </c>
      <c r="F1692" s="172" t="inlineStr">
        <is>
          <t>上交所</t>
        </is>
      </c>
      <c r="G1692" s="172" t="inlineStr">
        <is>
          <t>国泰海通</t>
        </is>
      </c>
      <c r="H1692" s="172" t="inlineStr">
        <is>
          <t>长城证券</t>
        </is>
      </c>
      <c r="I1692" s="172" t="inlineStr">
        <is>
          <t>光大北分</t>
        </is>
      </c>
      <c r="J1692" s="172" t="n">
        <v>10</v>
      </c>
      <c r="K1692" s="172" t="inlineStr">
        <is>
          <t>7+12</t>
        </is>
      </c>
      <c r="L1692" s="202" t="n">
        <v>46191</v>
      </c>
      <c r="M1692" s="175" t="n">
        <v>0.0148</v>
      </c>
      <c r="N1692" s="176" t="n">
        <v>0.0187</v>
      </c>
      <c r="O1692" s="191" t="n">
        <v>1.96</v>
      </c>
      <c r="P1692" s="172" t="inlineStr">
        <is>
          <t>优先级</t>
        </is>
      </c>
      <c r="Q1692" s="175" t="n">
        <v>0.9</v>
      </c>
      <c r="R1692" s="192" t="n">
        <v>9</v>
      </c>
      <c r="S1692" s="172" t="inlineStr">
        <is>
          <t>AAA</t>
        </is>
      </c>
      <c r="T1692" s="175" t="n">
        <v>0.016</v>
      </c>
      <c r="U1692" s="172" t="inlineStr">
        <is>
          <t>中金自营</t>
        </is>
      </c>
      <c r="V1692" s="191" t="n">
        <v>0.3</v>
      </c>
      <c r="W1692" s="172" t="n"/>
      <c r="X1692" s="172" t="n"/>
      <c r="Y1692" s="172" t="n"/>
    </row>
    <row r="1693">
      <c r="A1693" s="172" t="n">
        <v>94</v>
      </c>
      <c r="B1693" s="172" t="inlineStr">
        <is>
          <t>6月</t>
        </is>
      </c>
      <c r="C1693" s="172" t="inlineStr">
        <is>
          <t>企金</t>
        </is>
      </c>
      <c r="D1693" s="172" t="inlineStr">
        <is>
          <t>金采</t>
        </is>
      </c>
      <c r="E1693" s="172" t="inlineStr">
        <is>
          <t>金采8-3</t>
        </is>
      </c>
      <c r="F1693" s="172" t="inlineStr">
        <is>
          <t>上交所</t>
        </is>
      </c>
      <c r="G1693" s="172" t="inlineStr">
        <is>
          <t>国泰海通</t>
        </is>
      </c>
      <c r="H1693" s="172" t="inlineStr">
        <is>
          <t>长城证券</t>
        </is>
      </c>
      <c r="I1693" s="172" t="inlineStr">
        <is>
          <t>光大北分</t>
        </is>
      </c>
      <c r="J1693" s="172" t="n">
        <v>10</v>
      </c>
      <c r="K1693" s="172" t="inlineStr">
        <is>
          <t>7+12</t>
        </is>
      </c>
      <c r="L1693" s="208" t="n">
        <v>46191</v>
      </c>
      <c r="M1693" s="175" t="n">
        <v>0.0148</v>
      </c>
      <c r="N1693" s="176" t="n">
        <v>0.0187</v>
      </c>
      <c r="O1693" s="172" t="n">
        <v>1.96</v>
      </c>
      <c r="P1693" s="172" t="inlineStr">
        <is>
          <t>优先级</t>
        </is>
      </c>
      <c r="Q1693" s="175" t="n">
        <v>0.9</v>
      </c>
      <c r="R1693" s="192" t="n">
        <v>9</v>
      </c>
      <c r="S1693" s="172" t="inlineStr">
        <is>
          <t>AAA</t>
        </is>
      </c>
      <c r="T1693" s="175" t="n">
        <v>0.016</v>
      </c>
      <c r="U1693" s="172" t="n"/>
      <c r="V1693" s="172" t="n"/>
      <c r="W1693" s="175" t="n">
        <v>0.014</v>
      </c>
      <c r="X1693" s="172" t="inlineStr">
        <is>
          <t>厦门汇正</t>
        </is>
      </c>
      <c r="Y1693" s="191" t="n">
        <v>0.45</v>
      </c>
    </row>
    <row r="1694">
      <c r="A1694" s="172" t="n">
        <v>94</v>
      </c>
      <c r="B1694" s="172" t="inlineStr">
        <is>
          <t>6月</t>
        </is>
      </c>
      <c r="C1694" s="172" t="inlineStr">
        <is>
          <t>企金</t>
        </is>
      </c>
      <c r="D1694" s="172" t="inlineStr">
        <is>
          <t>金采</t>
        </is>
      </c>
      <c r="E1694" s="172" t="inlineStr">
        <is>
          <t>金采8-3</t>
        </is>
      </c>
      <c r="F1694" s="172" t="inlineStr">
        <is>
          <t>上交所</t>
        </is>
      </c>
      <c r="G1694" s="172" t="inlineStr">
        <is>
          <t>国泰海通</t>
        </is>
      </c>
      <c r="H1694" s="172" t="inlineStr">
        <is>
          <t>长城证券</t>
        </is>
      </c>
      <c r="I1694" s="172" t="inlineStr">
        <is>
          <t>光大北分</t>
        </is>
      </c>
      <c r="J1694" s="172" t="n">
        <v>10</v>
      </c>
      <c r="K1694" s="172" t="inlineStr">
        <is>
          <t>7+12</t>
        </is>
      </c>
      <c r="L1694" s="208" t="n">
        <v>46191</v>
      </c>
      <c r="M1694" s="175" t="n">
        <v>0.0148</v>
      </c>
      <c r="N1694" s="176" t="n">
        <v>0.0187</v>
      </c>
      <c r="O1694" s="172" t="n">
        <v>1.96</v>
      </c>
      <c r="P1694" s="172" t="inlineStr">
        <is>
          <t>优先级</t>
        </is>
      </c>
      <c r="Q1694" s="175" t="n">
        <v>0.9</v>
      </c>
      <c r="R1694" s="192" t="n">
        <v>9</v>
      </c>
      <c r="S1694" s="172" t="inlineStr">
        <is>
          <t>AAA</t>
        </is>
      </c>
      <c r="T1694" s="175" t="n">
        <v>0.016</v>
      </c>
      <c r="U1694" s="172" t="n"/>
      <c r="V1694" s="172" t="n"/>
      <c r="W1694" s="175" t="n">
        <v>0.016</v>
      </c>
      <c r="X1694" s="172" t="inlineStr">
        <is>
          <t>中金公司</t>
        </is>
      </c>
      <c r="Y1694" s="191" t="n">
        <v>0.5</v>
      </c>
    </row>
    <row r="1695">
      <c r="A1695" s="172" t="n">
        <v>94</v>
      </c>
      <c r="B1695" s="172" t="inlineStr">
        <is>
          <t>6月</t>
        </is>
      </c>
      <c r="C1695" s="172" t="inlineStr">
        <is>
          <t>企金</t>
        </is>
      </c>
      <c r="D1695" s="172" t="inlineStr">
        <is>
          <t>金采</t>
        </is>
      </c>
      <c r="E1695" s="172" t="inlineStr">
        <is>
          <t>金采8-3</t>
        </is>
      </c>
      <c r="F1695" s="172" t="inlineStr">
        <is>
          <t>上交所</t>
        </is>
      </c>
      <c r="G1695" s="172" t="inlineStr">
        <is>
          <t>国泰海通</t>
        </is>
      </c>
      <c r="H1695" s="172" t="inlineStr">
        <is>
          <t>长城证券</t>
        </is>
      </c>
      <c r="I1695" s="172" t="inlineStr">
        <is>
          <t>光大北分</t>
        </is>
      </c>
      <c r="J1695" s="172" t="n">
        <v>10</v>
      </c>
      <c r="K1695" s="172" t="inlineStr">
        <is>
          <t>7+12</t>
        </is>
      </c>
      <c r="L1695" s="208" t="n">
        <v>46191</v>
      </c>
      <c r="M1695" s="175" t="n">
        <v>0.0148</v>
      </c>
      <c r="N1695" s="176" t="n">
        <v>0.0187</v>
      </c>
      <c r="O1695" s="172" t="n">
        <v>1.96</v>
      </c>
      <c r="P1695" s="172" t="inlineStr">
        <is>
          <t>优先级</t>
        </is>
      </c>
      <c r="Q1695" s="175" t="n">
        <v>0.9</v>
      </c>
      <c r="R1695" s="192" t="n">
        <v>9</v>
      </c>
      <c r="S1695" s="172" t="inlineStr">
        <is>
          <t>AAA</t>
        </is>
      </c>
      <c r="T1695" s="175" t="n">
        <v>0.016</v>
      </c>
      <c r="U1695" s="172" t="n"/>
      <c r="V1695" s="172" t="n"/>
      <c r="W1695" s="175" t="n">
        <v>0.0165</v>
      </c>
      <c r="X1695" s="172" t="inlineStr">
        <is>
          <t>中金公司</t>
        </is>
      </c>
      <c r="Y1695" s="191" t="n">
        <v>0.5</v>
      </c>
    </row>
    <row r="1696">
      <c r="A1696" s="172" t="n">
        <v>94</v>
      </c>
      <c r="B1696" s="172" t="inlineStr">
        <is>
          <t>6月</t>
        </is>
      </c>
      <c r="C1696" s="172" t="inlineStr">
        <is>
          <t>企金</t>
        </is>
      </c>
      <c r="D1696" s="172" t="inlineStr">
        <is>
          <t>金采</t>
        </is>
      </c>
      <c r="E1696" s="172" t="inlineStr">
        <is>
          <t>金采8-3</t>
        </is>
      </c>
      <c r="F1696" s="172" t="inlineStr">
        <is>
          <t>上交所</t>
        </is>
      </c>
      <c r="G1696" s="172" t="inlineStr">
        <is>
          <t>国泰海通</t>
        </is>
      </c>
      <c r="H1696" s="172" t="inlineStr">
        <is>
          <t>长城证券</t>
        </is>
      </c>
      <c r="I1696" s="172" t="inlineStr">
        <is>
          <t>光大北分</t>
        </is>
      </c>
      <c r="J1696" s="172" t="n">
        <v>10</v>
      </c>
      <c r="K1696" s="172" t="inlineStr">
        <is>
          <t>7+12</t>
        </is>
      </c>
      <c r="L1696" s="208" t="n">
        <v>46191</v>
      </c>
      <c r="M1696" s="175" t="n">
        <v>0.0148</v>
      </c>
      <c r="N1696" s="176" t="n">
        <v>0.0187</v>
      </c>
      <c r="O1696" s="172" t="n">
        <v>1.96</v>
      </c>
      <c r="P1696" s="172" t="inlineStr">
        <is>
          <t>优先级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0.016</v>
      </c>
      <c r="U1696" s="172" t="n"/>
      <c r="V1696" s="172" t="n"/>
      <c r="W1696" s="175" t="n">
        <v>0.0165</v>
      </c>
      <c r="X1696" s="172" t="inlineStr">
        <is>
          <t>长城证券</t>
        </is>
      </c>
      <c r="Y1696" s="191" t="n">
        <v>0.4</v>
      </c>
    </row>
    <row r="1697">
      <c r="A1697" s="172" t="n">
        <v>94</v>
      </c>
      <c r="B1697" s="172" t="inlineStr">
        <is>
          <t>6月</t>
        </is>
      </c>
      <c r="C1697" s="172" t="inlineStr">
        <is>
          <t>企金</t>
        </is>
      </c>
      <c r="D1697" s="172" t="inlineStr">
        <is>
          <t>金采</t>
        </is>
      </c>
      <c r="E1697" s="172" t="inlineStr">
        <is>
          <t>金采8-3</t>
        </is>
      </c>
      <c r="F1697" s="172" t="inlineStr">
        <is>
          <t>上交所</t>
        </is>
      </c>
      <c r="G1697" s="172" t="inlineStr">
        <is>
          <t>国泰海通</t>
        </is>
      </c>
      <c r="H1697" s="172" t="inlineStr">
        <is>
          <t>长城证券</t>
        </is>
      </c>
      <c r="I1697" s="172" t="inlineStr">
        <is>
          <t>光大北分</t>
        </is>
      </c>
      <c r="J1697" s="172" t="n">
        <v>10</v>
      </c>
      <c r="K1697" s="172" t="inlineStr">
        <is>
          <t>7+12</t>
        </is>
      </c>
      <c r="L1697" s="208" t="n">
        <v>46191</v>
      </c>
      <c r="M1697" s="175" t="n">
        <v>0.0148</v>
      </c>
      <c r="N1697" s="176" t="n">
        <v>0.0187</v>
      </c>
      <c r="O1697" s="172" t="n">
        <v>1.96</v>
      </c>
      <c r="P1697" s="172" t="inlineStr">
        <is>
          <t>优先级</t>
        </is>
      </c>
      <c r="Q1697" s="175" t="n">
        <v>0.9</v>
      </c>
      <c r="R1697" s="192" t="n">
        <v>9</v>
      </c>
      <c r="S1697" s="172" t="inlineStr">
        <is>
          <t>AAA</t>
        </is>
      </c>
      <c r="T1697" s="175" t="n">
        <v>0.016</v>
      </c>
      <c r="U1697" s="172" t="n"/>
      <c r="V1697" s="172" t="n"/>
      <c r="W1697" s="175" t="n">
        <v>0.02</v>
      </c>
      <c r="X1697" s="172" t="inlineStr">
        <is>
          <t>长城证券</t>
        </is>
      </c>
      <c r="Y1697" s="191" t="n">
        <v>0.1</v>
      </c>
    </row>
    <row r="1698">
      <c r="A1698" s="172" t="n">
        <v>94</v>
      </c>
      <c r="B1698" s="172" t="inlineStr">
        <is>
          <t>6月</t>
        </is>
      </c>
      <c r="C1698" s="172" t="inlineStr">
        <is>
          <t>企金</t>
        </is>
      </c>
      <c r="D1698" s="172" t="inlineStr">
        <is>
          <t>金采</t>
        </is>
      </c>
      <c r="E1698" s="172" t="inlineStr">
        <is>
          <t>金采8-3</t>
        </is>
      </c>
      <c r="F1698" s="172" t="inlineStr">
        <is>
          <t>上交所</t>
        </is>
      </c>
      <c r="G1698" s="172" t="inlineStr">
        <is>
          <t>国泰海通</t>
        </is>
      </c>
      <c r="H1698" s="172" t="inlineStr">
        <is>
          <t>长城证券</t>
        </is>
      </c>
      <c r="I1698" s="172" t="inlineStr">
        <is>
          <t>光大北分</t>
        </is>
      </c>
      <c r="J1698" s="172" t="n">
        <v>10</v>
      </c>
      <c r="K1698" s="172" t="inlineStr">
        <is>
          <t>7+12</t>
        </is>
      </c>
      <c r="L1698" s="208" t="n">
        <v>46191</v>
      </c>
      <c r="M1698" s="175" t="n">
        <v>0.0148</v>
      </c>
      <c r="N1698" s="176" t="n">
        <v>0.0187</v>
      </c>
      <c r="O1698" s="172" t="n">
        <v>1.96</v>
      </c>
      <c r="P1698" s="172" t="inlineStr">
        <is>
          <t>优先级</t>
        </is>
      </c>
      <c r="Q1698" s="175" t="n">
        <v>0.9</v>
      </c>
      <c r="R1698" s="192" t="n">
        <v>9</v>
      </c>
      <c r="S1698" s="172" t="inlineStr">
        <is>
          <t>AAA</t>
        </is>
      </c>
      <c r="T1698" s="175" t="n">
        <v>0.016</v>
      </c>
      <c r="U1698" s="172" t="n"/>
      <c r="V1698" s="172" t="n"/>
      <c r="W1698" s="175" t="n">
        <v>0.0165</v>
      </c>
      <c r="X1698" s="172" t="inlineStr">
        <is>
          <t>国泰海通</t>
        </is>
      </c>
      <c r="Y1698" s="191" t="n">
        <v>0.85</v>
      </c>
    </row>
    <row r="1699">
      <c r="A1699" s="172" t="n">
        <v>94</v>
      </c>
      <c r="B1699" s="172" t="inlineStr">
        <is>
          <t>6月</t>
        </is>
      </c>
      <c r="C1699" s="172" t="inlineStr">
        <is>
          <t>企金</t>
        </is>
      </c>
      <c r="D1699" s="172" t="inlineStr">
        <is>
          <t>金采</t>
        </is>
      </c>
      <c r="E1699" s="172" t="inlineStr">
        <is>
          <t>金采8-3</t>
        </is>
      </c>
      <c r="F1699" s="172" t="inlineStr">
        <is>
          <t>上交所</t>
        </is>
      </c>
      <c r="G1699" s="172" t="inlineStr">
        <is>
          <t>国泰海通</t>
        </is>
      </c>
      <c r="H1699" s="172" t="inlineStr">
        <is>
          <t>长城证券</t>
        </is>
      </c>
      <c r="I1699" s="172" t="inlineStr">
        <is>
          <t>光大北分</t>
        </is>
      </c>
      <c r="J1699" s="172" t="n">
        <v>10</v>
      </c>
      <c r="K1699" s="172" t="inlineStr">
        <is>
          <t>7+12</t>
        </is>
      </c>
      <c r="L1699" s="208" t="n">
        <v>46191</v>
      </c>
      <c r="M1699" s="175" t="n">
        <v>0.0148</v>
      </c>
      <c r="N1699" s="176" t="n">
        <v>0.0187</v>
      </c>
      <c r="O1699" s="172" t="n">
        <v>1.96</v>
      </c>
      <c r="P1699" s="172" t="inlineStr">
        <is>
          <t>优先级</t>
        </is>
      </c>
      <c r="Q1699" s="175" t="n">
        <v>0.9</v>
      </c>
      <c r="R1699" s="192" t="n">
        <v>9</v>
      </c>
      <c r="S1699" s="172" t="inlineStr">
        <is>
          <t>AAA</t>
        </is>
      </c>
      <c r="T1699" s="175" t="n">
        <v>0.016</v>
      </c>
      <c r="U1699" s="172" t="n"/>
      <c r="V1699" s="172" t="n"/>
      <c r="W1699" s="175" t="n">
        <v>0.0165</v>
      </c>
      <c r="X1699" s="172" t="inlineStr">
        <is>
          <t>华夏理财</t>
        </is>
      </c>
      <c r="Y1699" s="191" t="n">
        <v>1.5</v>
      </c>
    </row>
    <row r="1700">
      <c r="A1700" s="172" t="n">
        <v>94</v>
      </c>
      <c r="B1700" s="172" t="inlineStr">
        <is>
          <t>6月</t>
        </is>
      </c>
      <c r="C1700" s="172" t="inlineStr">
        <is>
          <t>企金</t>
        </is>
      </c>
      <c r="D1700" s="172" t="inlineStr">
        <is>
          <t>金采</t>
        </is>
      </c>
      <c r="E1700" s="172" t="inlineStr">
        <is>
          <t>金采8-3</t>
        </is>
      </c>
      <c r="F1700" s="172" t="inlineStr">
        <is>
          <t>上交所</t>
        </is>
      </c>
      <c r="G1700" s="172" t="inlineStr">
        <is>
          <t>国泰海通</t>
        </is>
      </c>
      <c r="H1700" s="172" t="inlineStr">
        <is>
          <t>长城证券</t>
        </is>
      </c>
      <c r="I1700" s="172" t="inlineStr">
        <is>
          <t>光大北分</t>
        </is>
      </c>
      <c r="J1700" s="172" t="n">
        <v>10</v>
      </c>
      <c r="K1700" s="172" t="inlineStr">
        <is>
          <t>7+12</t>
        </is>
      </c>
      <c r="L1700" s="208" t="n">
        <v>46191</v>
      </c>
      <c r="M1700" s="175" t="n">
        <v>0.0148</v>
      </c>
      <c r="N1700" s="176" t="n">
        <v>0.0187</v>
      </c>
      <c r="O1700" s="172" t="n">
        <v>1.96</v>
      </c>
      <c r="P1700" s="172" t="inlineStr">
        <is>
          <t>优先级</t>
        </is>
      </c>
      <c r="Q1700" s="175" t="n">
        <v>0.9</v>
      </c>
      <c r="R1700" s="192" t="n">
        <v>9</v>
      </c>
      <c r="S1700" s="172" t="inlineStr">
        <is>
          <t>AAA</t>
        </is>
      </c>
      <c r="T1700" s="175" t="n">
        <v>0.016</v>
      </c>
      <c r="U1700" s="172" t="n"/>
      <c r="V1700" s="172" t="n"/>
      <c r="W1700" s="175" t="n">
        <v>0.024</v>
      </c>
      <c r="X1700" s="172" t="inlineStr">
        <is>
          <t>华夏理财</t>
        </is>
      </c>
      <c r="Y1700" s="191" t="n">
        <v>1.2</v>
      </c>
    </row>
    <row r="1701">
      <c r="A1701" s="172" t="n">
        <v>94</v>
      </c>
      <c r="B1701" s="172" t="inlineStr">
        <is>
          <t>6月</t>
        </is>
      </c>
      <c r="C1701" s="172" t="inlineStr">
        <is>
          <t>企金</t>
        </is>
      </c>
      <c r="D1701" s="172" t="inlineStr">
        <is>
          <t>金采</t>
        </is>
      </c>
      <c r="E1701" s="172" t="inlineStr">
        <is>
          <t>金采8-3</t>
        </is>
      </c>
      <c r="F1701" s="172" t="inlineStr">
        <is>
          <t>上交所</t>
        </is>
      </c>
      <c r="G1701" s="172" t="inlineStr">
        <is>
          <t>国泰海通</t>
        </is>
      </c>
      <c r="H1701" s="172" t="inlineStr">
        <is>
          <t>长城证券</t>
        </is>
      </c>
      <c r="I1701" s="172" t="inlineStr">
        <is>
          <t>光大北分</t>
        </is>
      </c>
      <c r="J1701" s="172" t="n">
        <v>10</v>
      </c>
      <c r="K1701" s="172" t="inlineStr">
        <is>
          <t>7+12</t>
        </is>
      </c>
      <c r="L1701" s="208" t="n">
        <v>46191</v>
      </c>
      <c r="M1701" s="175" t="n">
        <v>0.0148</v>
      </c>
      <c r="N1701" s="176" t="n">
        <v>0.0187</v>
      </c>
      <c r="O1701" s="172" t="n">
        <v>1.96</v>
      </c>
      <c r="P1701" s="172" t="inlineStr">
        <is>
          <t>优先级</t>
        </is>
      </c>
      <c r="Q1701" s="175" t="n">
        <v>0.9</v>
      </c>
      <c r="R1701" s="192" t="n">
        <v>9</v>
      </c>
      <c r="S1701" s="172" t="inlineStr">
        <is>
          <t>AAA</t>
        </is>
      </c>
      <c r="T1701" s="175" t="n">
        <v>0.016</v>
      </c>
      <c r="U1701" s="172" t="n"/>
      <c r="V1701" s="172" t="n"/>
      <c r="W1701" s="175" t="n">
        <v>0.024</v>
      </c>
      <c r="X1701" s="172" t="inlineStr">
        <is>
          <t>利曦基金</t>
        </is>
      </c>
      <c r="Y1701" s="191" t="n">
        <v>2</v>
      </c>
    </row>
    <row r="1702">
      <c r="A1702" s="172" t="n">
        <v>94</v>
      </c>
      <c r="B1702" s="172" t="inlineStr">
        <is>
          <t>6月</t>
        </is>
      </c>
      <c r="C1702" s="172" t="inlineStr">
        <is>
          <t>企金</t>
        </is>
      </c>
      <c r="D1702" s="172" t="inlineStr">
        <is>
          <t>金采</t>
        </is>
      </c>
      <c r="E1702" s="172" t="inlineStr">
        <is>
          <t>金采8-3</t>
        </is>
      </c>
      <c r="F1702" s="172" t="inlineStr">
        <is>
          <t>上交所</t>
        </is>
      </c>
      <c r="G1702" s="172" t="inlineStr">
        <is>
          <t>国泰海通</t>
        </is>
      </c>
      <c r="H1702" s="172" t="inlineStr">
        <is>
          <t>长城证券</t>
        </is>
      </c>
      <c r="I1702" s="172" t="inlineStr">
        <is>
          <t>光大北分</t>
        </is>
      </c>
      <c r="J1702" s="172" t="n">
        <v>10</v>
      </c>
      <c r="K1702" s="172" t="inlineStr">
        <is>
          <t>7+12</t>
        </is>
      </c>
      <c r="L1702" s="202" t="n">
        <v>46191</v>
      </c>
      <c r="M1702" s="175" t="n">
        <v>0.0148</v>
      </c>
      <c r="N1702" s="176" t="n">
        <v>0.0187</v>
      </c>
      <c r="O1702" s="191" t="n">
        <v>1.96</v>
      </c>
      <c r="P1702" s="172" t="inlineStr">
        <is>
          <t>中间级</t>
        </is>
      </c>
      <c r="Q1702" s="175" t="n">
        <v>0.05</v>
      </c>
      <c r="R1702" s="192" t="n">
        <v>0.5</v>
      </c>
      <c r="S1702" s="175" t="inlineStr">
        <is>
          <t>AA</t>
        </is>
      </c>
      <c r="T1702" s="175" t="n">
        <v>0.031</v>
      </c>
      <c r="U1702" s="172" t="inlineStr">
        <is>
          <t>邦汇保理</t>
        </is>
      </c>
      <c r="V1702" s="193" t="n">
        <v>0.025</v>
      </c>
      <c r="W1702" s="172" t="n"/>
      <c r="X1702" s="172" t="n"/>
      <c r="Y1702" s="172" t="n"/>
    </row>
    <row r="1703">
      <c r="A1703" s="172" t="n">
        <v>94</v>
      </c>
      <c r="B1703" s="172" t="inlineStr">
        <is>
          <t>6月</t>
        </is>
      </c>
      <c r="C1703" s="172" t="inlineStr">
        <is>
          <t>企金</t>
        </is>
      </c>
      <c r="D1703" s="172" t="inlineStr">
        <is>
          <t>金采</t>
        </is>
      </c>
      <c r="E1703" s="172" t="inlineStr">
        <is>
          <t>金采8-3</t>
        </is>
      </c>
      <c r="F1703" s="172" t="inlineStr">
        <is>
          <t>上交所</t>
        </is>
      </c>
      <c r="G1703" s="172" t="inlineStr">
        <is>
          <t>国泰海通</t>
        </is>
      </c>
      <c r="H1703" s="172" t="inlineStr">
        <is>
          <t>长城证券</t>
        </is>
      </c>
      <c r="I1703" s="172" t="inlineStr">
        <is>
          <t>光大北分</t>
        </is>
      </c>
      <c r="J1703" s="172" t="n">
        <v>10</v>
      </c>
      <c r="K1703" s="172" t="inlineStr">
        <is>
          <t>7+12</t>
        </is>
      </c>
      <c r="L1703" s="202" t="n">
        <v>46191</v>
      </c>
      <c r="M1703" s="175" t="n">
        <v>0.0148</v>
      </c>
      <c r="N1703" s="176" t="n">
        <v>0.0187</v>
      </c>
      <c r="O1703" s="191" t="n">
        <v>1.96</v>
      </c>
      <c r="P1703" s="172" t="inlineStr">
        <is>
          <t>中间级</t>
        </is>
      </c>
      <c r="Q1703" s="175" t="n">
        <v>0.05</v>
      </c>
      <c r="R1703" s="192" t="n">
        <v>0.5</v>
      </c>
      <c r="S1703" s="175" t="inlineStr">
        <is>
          <t>AA</t>
        </is>
      </c>
      <c r="T1703" s="175" t="n">
        <v>0.031</v>
      </c>
      <c r="U1703" s="172" t="inlineStr">
        <is>
          <t>申万宏源自营</t>
        </is>
      </c>
      <c r="V1703" s="191" t="n">
        <v>0.08</v>
      </c>
      <c r="W1703" s="172" t="n"/>
      <c r="X1703" s="172" t="n"/>
      <c r="Y1703" s="172" t="n"/>
    </row>
    <row r="1704">
      <c r="A1704" s="172" t="n">
        <v>94</v>
      </c>
      <c r="B1704" s="172" t="inlineStr">
        <is>
          <t>6月</t>
        </is>
      </c>
      <c r="C1704" s="172" t="inlineStr">
        <is>
          <t>企金</t>
        </is>
      </c>
      <c r="D1704" s="172" t="inlineStr">
        <is>
          <t>金采</t>
        </is>
      </c>
      <c r="E1704" s="172" t="inlineStr">
        <is>
          <t>金采8-3</t>
        </is>
      </c>
      <c r="F1704" s="172" t="inlineStr">
        <is>
          <t>上交所</t>
        </is>
      </c>
      <c r="G1704" s="172" t="inlineStr">
        <is>
          <t>国泰海通</t>
        </is>
      </c>
      <c r="H1704" s="172" t="inlineStr">
        <is>
          <t>长城证券</t>
        </is>
      </c>
      <c r="I1704" s="172" t="inlineStr">
        <is>
          <t>光大北分</t>
        </is>
      </c>
      <c r="J1704" s="172" t="n">
        <v>10</v>
      </c>
      <c r="K1704" s="172" t="inlineStr">
        <is>
          <t>7+12</t>
        </is>
      </c>
      <c r="L1704" s="202" t="n">
        <v>46191</v>
      </c>
      <c r="M1704" s="175" t="n">
        <v>0.0148</v>
      </c>
      <c r="N1704" s="176" t="n">
        <v>0.0187</v>
      </c>
      <c r="O1704" s="191" t="n">
        <v>1.96</v>
      </c>
      <c r="P1704" s="172" t="inlineStr">
        <is>
          <t>中间级</t>
        </is>
      </c>
      <c r="Q1704" s="175" t="n">
        <v>0.05</v>
      </c>
      <c r="R1704" s="192" t="n">
        <v>0.5</v>
      </c>
      <c r="S1704" s="175" t="inlineStr">
        <is>
          <t>AA</t>
        </is>
      </c>
      <c r="T1704" s="175" t="n">
        <v>0.031</v>
      </c>
      <c r="U1704" s="172" t="inlineStr">
        <is>
          <t>华宝资管</t>
        </is>
      </c>
      <c r="V1704" s="193" t="n">
        <v>0.195</v>
      </c>
      <c r="W1704" s="172" t="n"/>
      <c r="X1704" s="172" t="n"/>
      <c r="Y1704" s="172" t="n"/>
    </row>
    <row r="1705">
      <c r="A1705" s="172" t="n">
        <v>94</v>
      </c>
      <c r="B1705" s="172" t="inlineStr">
        <is>
          <t>6月</t>
        </is>
      </c>
      <c r="C1705" s="172" t="inlineStr">
        <is>
          <t>企金</t>
        </is>
      </c>
      <c r="D1705" s="172" t="inlineStr">
        <is>
          <t>金采</t>
        </is>
      </c>
      <c r="E1705" s="172" t="inlineStr">
        <is>
          <t>金采8-3</t>
        </is>
      </c>
      <c r="F1705" s="172" t="inlineStr">
        <is>
          <t>上交所</t>
        </is>
      </c>
      <c r="G1705" s="172" t="inlineStr">
        <is>
          <t>国泰海通</t>
        </is>
      </c>
      <c r="H1705" s="172" t="inlineStr">
        <is>
          <t>长城证券</t>
        </is>
      </c>
      <c r="I1705" s="172" t="inlineStr">
        <is>
          <t>光大北分</t>
        </is>
      </c>
      <c r="J1705" s="172" t="n">
        <v>10</v>
      </c>
      <c r="K1705" s="172" t="inlineStr">
        <is>
          <t>7+12</t>
        </is>
      </c>
      <c r="L1705" s="202" t="n">
        <v>46191</v>
      </c>
      <c r="M1705" s="175" t="n">
        <v>0.0148</v>
      </c>
      <c r="N1705" s="176" t="n">
        <v>0.0187</v>
      </c>
      <c r="O1705" s="191" t="n">
        <v>1.96</v>
      </c>
      <c r="P1705" s="172" t="inlineStr">
        <is>
          <t>中间级</t>
        </is>
      </c>
      <c r="Q1705" s="175" t="n">
        <v>0.05</v>
      </c>
      <c r="R1705" s="192" t="n">
        <v>0.5</v>
      </c>
      <c r="S1705" s="175" t="inlineStr">
        <is>
          <t>AA</t>
        </is>
      </c>
      <c r="T1705" s="175" t="n">
        <v>0.031</v>
      </c>
      <c r="U1705" s="172" t="inlineStr">
        <is>
          <t>国泰海通自营</t>
        </is>
      </c>
      <c r="V1705" s="191" t="n">
        <v>0.2</v>
      </c>
      <c r="W1705" s="172" t="n"/>
      <c r="X1705" s="172" t="n"/>
      <c r="Y1705" s="172" t="n"/>
    </row>
    <row r="1706">
      <c r="A1706" s="172" t="n">
        <v>94</v>
      </c>
      <c r="B1706" s="172" t="inlineStr">
        <is>
          <t>6月</t>
        </is>
      </c>
      <c r="C1706" s="172" t="inlineStr">
        <is>
          <t>企金</t>
        </is>
      </c>
      <c r="D1706" s="172" t="inlineStr">
        <is>
          <t>金采</t>
        </is>
      </c>
      <c r="E1706" s="172" t="inlineStr">
        <is>
          <t>金采8-3</t>
        </is>
      </c>
      <c r="F1706" s="172" t="inlineStr">
        <is>
          <t>上交所</t>
        </is>
      </c>
      <c r="G1706" s="172" t="inlineStr">
        <is>
          <t>国泰海通</t>
        </is>
      </c>
      <c r="H1706" s="172" t="inlineStr">
        <is>
          <t>长城证券</t>
        </is>
      </c>
      <c r="I1706" s="172" t="inlineStr">
        <is>
          <t>光大北分</t>
        </is>
      </c>
      <c r="J1706" s="172" t="n">
        <v>10</v>
      </c>
      <c r="K1706" s="172" t="inlineStr">
        <is>
          <t>7+12</t>
        </is>
      </c>
      <c r="L1706" s="202" t="n">
        <v>46191</v>
      </c>
      <c r="M1706" s="175" t="n">
        <v>0.0148</v>
      </c>
      <c r="N1706" s="176" t="n">
        <v>0.0187</v>
      </c>
      <c r="O1706" s="191" t="n">
        <v>1.96</v>
      </c>
      <c r="P1706" s="172" t="inlineStr">
        <is>
          <t>次级</t>
        </is>
      </c>
      <c r="Q1706" s="175" t="n">
        <v>0.05</v>
      </c>
      <c r="R1706" s="192" t="n">
        <v>0.5</v>
      </c>
      <c r="S1706" s="175" t="inlineStr">
        <is>
          <t>无</t>
        </is>
      </c>
      <c r="T1706" s="175" t="n">
        <v>0.0455</v>
      </c>
      <c r="U1706" s="172" t="inlineStr">
        <is>
          <t>申万宏源自营</t>
        </is>
      </c>
      <c r="V1706" s="193" t="n">
        <v>0.075</v>
      </c>
      <c r="W1706" s="172" t="n"/>
      <c r="X1706" s="172" t="n"/>
      <c r="Y1706" s="172" t="n"/>
    </row>
    <row r="1707">
      <c r="A1707" s="172" t="n">
        <v>94</v>
      </c>
      <c r="B1707" s="172" t="inlineStr">
        <is>
          <t>6月</t>
        </is>
      </c>
      <c r="C1707" s="172" t="inlineStr">
        <is>
          <t>企金</t>
        </is>
      </c>
      <c r="D1707" s="172" t="inlineStr">
        <is>
          <t>金采</t>
        </is>
      </c>
      <c r="E1707" s="172" t="inlineStr">
        <is>
          <t>金采8-3</t>
        </is>
      </c>
      <c r="F1707" s="172" t="inlineStr">
        <is>
          <t>上交所</t>
        </is>
      </c>
      <c r="G1707" s="172" t="inlineStr">
        <is>
          <t>国泰海通</t>
        </is>
      </c>
      <c r="H1707" s="172" t="inlineStr">
        <is>
          <t>长城证券</t>
        </is>
      </c>
      <c r="I1707" s="172" t="inlineStr">
        <is>
          <t>光大北分</t>
        </is>
      </c>
      <c r="J1707" s="172" t="n">
        <v>10</v>
      </c>
      <c r="K1707" s="172" t="inlineStr">
        <is>
          <t>7+12</t>
        </is>
      </c>
      <c r="L1707" s="202" t="n">
        <v>46191</v>
      </c>
      <c r="M1707" s="175" t="n">
        <v>0.0148</v>
      </c>
      <c r="N1707" s="176" t="n">
        <v>0.0187</v>
      </c>
      <c r="O1707" s="191" t="n">
        <v>1.96</v>
      </c>
      <c r="P1707" s="172" t="inlineStr">
        <is>
          <t>次级</t>
        </is>
      </c>
      <c r="Q1707" s="175" t="n">
        <v>0.05</v>
      </c>
      <c r="R1707" s="192" t="n">
        <v>0.5</v>
      </c>
      <c r="S1707" s="175" t="inlineStr">
        <is>
          <t>无</t>
        </is>
      </c>
      <c r="T1707" s="175" t="n">
        <v>0.0455</v>
      </c>
      <c r="U1707" s="172" t="inlineStr">
        <is>
          <t>利曦基金</t>
        </is>
      </c>
      <c r="V1707" s="191" t="n">
        <v>0.2</v>
      </c>
      <c r="W1707" s="172" t="n"/>
      <c r="X1707" s="172" t="n"/>
      <c r="Y1707" s="172" t="n"/>
    </row>
    <row r="1708">
      <c r="A1708" s="172" t="n">
        <v>94</v>
      </c>
      <c r="B1708" s="172" t="inlineStr">
        <is>
          <t>6月</t>
        </is>
      </c>
      <c r="C1708" s="172" t="inlineStr">
        <is>
          <t>企金</t>
        </is>
      </c>
      <c r="D1708" s="172" t="inlineStr">
        <is>
          <t>金采</t>
        </is>
      </c>
      <c r="E1708" s="172" t="inlineStr">
        <is>
          <t>金采8-3</t>
        </is>
      </c>
      <c r="F1708" s="172" t="inlineStr">
        <is>
          <t>上交所</t>
        </is>
      </c>
      <c r="G1708" s="172" t="inlineStr">
        <is>
          <t>国泰海通</t>
        </is>
      </c>
      <c r="H1708" s="172" t="inlineStr">
        <is>
          <t>长城证券</t>
        </is>
      </c>
      <c r="I1708" s="172" t="inlineStr">
        <is>
          <t>光大北分</t>
        </is>
      </c>
      <c r="J1708" s="172" t="n">
        <v>10</v>
      </c>
      <c r="K1708" s="172" t="inlineStr">
        <is>
          <t>7+12</t>
        </is>
      </c>
      <c r="L1708" s="202" t="n">
        <v>46191</v>
      </c>
      <c r="M1708" s="175" t="n">
        <v>0.0148</v>
      </c>
      <c r="N1708" s="176" t="n">
        <v>0.0187</v>
      </c>
      <c r="O1708" s="191" t="n">
        <v>1.96</v>
      </c>
      <c r="P1708" s="172" t="inlineStr">
        <is>
          <t>次级</t>
        </is>
      </c>
      <c r="Q1708" s="175" t="n">
        <v>0.05</v>
      </c>
      <c r="R1708" s="192" t="n">
        <v>0.5</v>
      </c>
      <c r="S1708" s="175" t="inlineStr">
        <is>
          <t>无</t>
        </is>
      </c>
      <c r="T1708" s="175" t="n">
        <v>0.0455</v>
      </c>
      <c r="U1708" s="172" t="inlineStr">
        <is>
          <t>德邦证券自营</t>
        </is>
      </c>
      <c r="V1708" s="191" t="n">
        <v>0.2</v>
      </c>
      <c r="W1708" s="172" t="n"/>
      <c r="X1708" s="172" t="n"/>
      <c r="Y1708" s="172" t="n"/>
    </row>
    <row r="1709">
      <c r="A1709" s="172" t="n">
        <v>94</v>
      </c>
      <c r="B1709" s="172" t="inlineStr">
        <is>
          <t>6月</t>
        </is>
      </c>
      <c r="C1709" s="172" t="inlineStr">
        <is>
          <t>企金</t>
        </is>
      </c>
      <c r="D1709" s="172" t="inlineStr">
        <is>
          <t>金采</t>
        </is>
      </c>
      <c r="E1709" s="172" t="inlineStr">
        <is>
          <t>金采8-3</t>
        </is>
      </c>
      <c r="F1709" s="172" t="inlineStr">
        <is>
          <t>上交所</t>
        </is>
      </c>
      <c r="G1709" s="172" t="inlineStr">
        <is>
          <t>国泰海通</t>
        </is>
      </c>
      <c r="H1709" s="172" t="inlineStr">
        <is>
          <t>长城证券</t>
        </is>
      </c>
      <c r="I1709" s="172" t="inlineStr">
        <is>
          <t>光大北分</t>
        </is>
      </c>
      <c r="J1709" s="172" t="n">
        <v>10</v>
      </c>
      <c r="K1709" s="172" t="inlineStr">
        <is>
          <t>7+12</t>
        </is>
      </c>
      <c r="L1709" s="202" t="n">
        <v>46191</v>
      </c>
      <c r="M1709" s="175" t="n">
        <v>0.0148</v>
      </c>
      <c r="N1709" s="176" t="n">
        <v>0.0187</v>
      </c>
      <c r="O1709" s="191" t="n">
        <v>1.96</v>
      </c>
      <c r="P1709" s="172" t="inlineStr">
        <is>
          <t>次级</t>
        </is>
      </c>
      <c r="Q1709" s="175" t="n">
        <v>0.05</v>
      </c>
      <c r="R1709" s="192" t="n">
        <v>0.5</v>
      </c>
      <c r="S1709" s="175" t="inlineStr">
        <is>
          <t>无</t>
        </is>
      </c>
      <c r="T1709" s="175" t="n">
        <v>0.0455</v>
      </c>
      <c r="U1709" s="172" t="inlineStr">
        <is>
          <t>邦汇保理</t>
        </is>
      </c>
      <c r="V1709" s="193" t="n">
        <v>0.025</v>
      </c>
      <c r="W1709" s="172" t="n"/>
      <c r="X1709" s="172" t="n"/>
      <c r="Y1709" s="172" t="n"/>
    </row>
    <row r="1710">
      <c r="A1710" s="172" t="n">
        <v>95</v>
      </c>
      <c r="B1710" s="173" t="inlineStr">
        <is>
          <t>6月</t>
        </is>
      </c>
      <c r="C1710" s="173" t="inlineStr">
        <is>
          <t>消金</t>
        </is>
      </c>
      <c r="D1710" s="173" t="inlineStr">
        <is>
          <t>赊销白条</t>
        </is>
      </c>
      <c r="E1710" s="173" t="inlineStr">
        <is>
          <t>东裕11号叔裕</t>
        </is>
      </c>
      <c r="F1710" s="173" t="inlineStr">
        <is>
          <t>银行间</t>
        </is>
      </c>
      <c r="G1710" s="173" t="inlineStr">
        <is>
          <t>招商证券</t>
        </is>
      </c>
      <c r="H1710" s="173" t="inlineStr">
        <is>
          <t>江苏银行/杭州银行/建设银行/东方证券</t>
        </is>
      </c>
      <c r="I1710" s="173" t="inlineStr">
        <is>
          <t>青岛银行</t>
        </is>
      </c>
      <c r="J1710" s="172" t="n">
        <v>10</v>
      </c>
      <c r="K1710" s="173" t="inlineStr">
        <is>
          <t>10+10+9+3</t>
        </is>
      </c>
      <c r="L1710" s="202" t="n">
        <v>46195</v>
      </c>
      <c r="M1710" s="175" t="n">
        <v>0.0148</v>
      </c>
      <c r="N1710" s="176" t="n">
        <v>0.0181</v>
      </c>
      <c r="O1710" s="191" t="n">
        <v>2.1</v>
      </c>
      <c r="P1710" s="177" t="inlineStr">
        <is>
          <t>优先A</t>
        </is>
      </c>
      <c r="Q1710" s="178" t="n">
        <v>0.9</v>
      </c>
      <c r="R1710" s="179" t="n">
        <v>9</v>
      </c>
      <c r="S1710" s="177" t="inlineStr">
        <is>
          <t>AAA</t>
        </is>
      </c>
      <c r="T1710" s="178" t="n">
        <v>0.0159</v>
      </c>
      <c r="U1710" s="177" t="inlineStr">
        <is>
          <t>工银理财</t>
        </is>
      </c>
      <c r="V1710" s="192" t="n">
        <v>0.95</v>
      </c>
      <c r="W1710" s="175" t="n">
        <v>0.0159</v>
      </c>
      <c r="X1710" s="172" t="inlineStr">
        <is>
          <t>工银理财</t>
        </is>
      </c>
      <c r="Y1710" s="191" t="n">
        <v>1</v>
      </c>
    </row>
    <row r="1711">
      <c r="A1711" s="172" t="n">
        <v>95</v>
      </c>
      <c r="B1711" s="172" t="inlineStr">
        <is>
          <t>6月</t>
        </is>
      </c>
      <c r="C1711" s="172" t="inlineStr">
        <is>
          <t>消金</t>
        </is>
      </c>
      <c r="D1711" s="172" t="inlineStr">
        <is>
          <t>赊销白条</t>
        </is>
      </c>
      <c r="E1711" s="172" t="inlineStr">
        <is>
          <t>东裕11号叔裕</t>
        </is>
      </c>
      <c r="F1711" s="172" t="inlineStr">
        <is>
          <t>银行间</t>
        </is>
      </c>
      <c r="G1711" s="172" t="inlineStr">
        <is>
          <t>招商证券</t>
        </is>
      </c>
      <c r="H1711" s="172" t="inlineStr">
        <is>
          <t>江苏银行/杭州银行/建设银行/东方证券</t>
        </is>
      </c>
      <c r="I1711" s="172" t="inlineStr">
        <is>
          <t>青岛银行</t>
        </is>
      </c>
      <c r="J1711" s="172" t="n">
        <v>10</v>
      </c>
      <c r="K1711" s="172" t="inlineStr">
        <is>
          <t>10+10+9+3</t>
        </is>
      </c>
      <c r="L1711" s="208" t="n">
        <v>46195</v>
      </c>
      <c r="M1711" s="175" t="n">
        <v>0.0148</v>
      </c>
      <c r="N1711" s="176" t="n">
        <v>0.0181</v>
      </c>
      <c r="O1711" s="172" t="n">
        <v>2.1</v>
      </c>
      <c r="P1711" s="172" t="inlineStr">
        <is>
          <t>优先A</t>
        </is>
      </c>
      <c r="Q1711" s="175" t="n">
        <v>0.9</v>
      </c>
      <c r="R1711" s="192" t="n">
        <v>9</v>
      </c>
      <c r="S1711" s="172" t="inlineStr">
        <is>
          <t>AAA</t>
        </is>
      </c>
      <c r="T1711" s="175" t="n">
        <v>0.0159</v>
      </c>
      <c r="U1711" s="172" t="n"/>
      <c r="V1711" s="172" t="n"/>
      <c r="W1711" s="175" t="n">
        <v>0.0163</v>
      </c>
      <c r="X1711" s="172" t="inlineStr">
        <is>
          <t>工银理财</t>
        </is>
      </c>
      <c r="Y1711" s="191" t="n">
        <v>1.5</v>
      </c>
    </row>
    <row r="1712">
      <c r="A1712" s="172" t="n">
        <v>95</v>
      </c>
      <c r="B1712" s="173" t="inlineStr">
        <is>
          <t>6月</t>
        </is>
      </c>
      <c r="C1712" s="173" t="inlineStr">
        <is>
          <t>消金</t>
        </is>
      </c>
      <c r="D1712" s="173" t="inlineStr">
        <is>
          <t>赊销白条</t>
        </is>
      </c>
      <c r="E1712" s="173" t="inlineStr">
        <is>
          <t>东裕11号叔裕</t>
        </is>
      </c>
      <c r="F1712" s="173" t="inlineStr">
        <is>
          <t>银行间</t>
        </is>
      </c>
      <c r="G1712" s="173" t="inlineStr">
        <is>
          <t>招商证券</t>
        </is>
      </c>
      <c r="H1712" s="173" t="inlineStr">
        <is>
          <t>江苏银行/杭州银行/建设银行/东方证券</t>
        </is>
      </c>
      <c r="I1712" s="173" t="inlineStr">
        <is>
          <t>青岛银行</t>
        </is>
      </c>
      <c r="J1712" s="172" t="n">
        <v>10</v>
      </c>
      <c r="K1712" s="173" t="inlineStr">
        <is>
          <t>10+10+9+3</t>
        </is>
      </c>
      <c r="L1712" s="202" t="n">
        <v>46195</v>
      </c>
      <c r="M1712" s="175" t="n">
        <v>0.0148</v>
      </c>
      <c r="N1712" s="176" t="n">
        <v>0.0181</v>
      </c>
      <c r="O1712" s="191" t="n">
        <v>2.1</v>
      </c>
      <c r="P1712" s="172" t="inlineStr">
        <is>
          <t>优先A</t>
        </is>
      </c>
      <c r="Q1712" s="178" t="n">
        <v>0.9</v>
      </c>
      <c r="R1712" s="179" t="n">
        <v>9</v>
      </c>
      <c r="S1712" s="177" t="inlineStr">
        <is>
          <t>AAA</t>
        </is>
      </c>
      <c r="T1712" s="178" t="n">
        <v>0.0159</v>
      </c>
      <c r="U1712" s="177" t="inlineStr">
        <is>
          <t>杭银理财</t>
        </is>
      </c>
      <c r="V1712" s="192" t="n">
        <v>0.45</v>
      </c>
      <c r="W1712" s="175" t="n">
        <v>0.0158</v>
      </c>
      <c r="X1712" s="172" t="inlineStr">
        <is>
          <t>杭银理财</t>
        </is>
      </c>
      <c r="Y1712" s="191" t="n">
        <v>0.45</v>
      </c>
    </row>
    <row r="1713">
      <c r="A1713" s="172" t="n">
        <v>95</v>
      </c>
      <c r="B1713" s="173" t="inlineStr">
        <is>
          <t>6月</t>
        </is>
      </c>
      <c r="C1713" s="173" t="inlineStr">
        <is>
          <t>消金</t>
        </is>
      </c>
      <c r="D1713" s="173" t="inlineStr">
        <is>
          <t>赊销白条</t>
        </is>
      </c>
      <c r="E1713" s="173" t="inlineStr">
        <is>
          <t>东裕11号叔裕</t>
        </is>
      </c>
      <c r="F1713" s="173" t="inlineStr">
        <is>
          <t>银行间</t>
        </is>
      </c>
      <c r="G1713" s="173" t="inlineStr">
        <is>
          <t>招商证券</t>
        </is>
      </c>
      <c r="H1713" s="173" t="inlineStr">
        <is>
          <t>江苏银行/杭州银行/建设银行/东方证券</t>
        </is>
      </c>
      <c r="I1713" s="173" t="inlineStr">
        <is>
          <t>青岛银行</t>
        </is>
      </c>
      <c r="J1713" s="172" t="n">
        <v>10</v>
      </c>
      <c r="K1713" s="173" t="inlineStr">
        <is>
          <t>10+10+9+3</t>
        </is>
      </c>
      <c r="L1713" s="202" t="n">
        <v>46195</v>
      </c>
      <c r="M1713" s="175" t="n">
        <v>0.0148</v>
      </c>
      <c r="N1713" s="176" t="n">
        <v>0.0181</v>
      </c>
      <c r="O1713" s="191" t="n">
        <v>2.1</v>
      </c>
      <c r="P1713" s="172" t="inlineStr">
        <is>
          <t>优先A</t>
        </is>
      </c>
      <c r="Q1713" s="178" t="n">
        <v>0.9</v>
      </c>
      <c r="R1713" s="179" t="n">
        <v>9</v>
      </c>
      <c r="S1713" s="177" t="inlineStr">
        <is>
          <t>AAA</t>
        </is>
      </c>
      <c r="T1713" s="178" t="n">
        <v>0.0159</v>
      </c>
      <c r="U1713" s="177" t="inlineStr">
        <is>
          <t>杭州银行</t>
        </is>
      </c>
      <c r="V1713" s="192" t="n">
        <v>0.8</v>
      </c>
      <c r="W1713" s="175" t="n">
        <v>0.0155</v>
      </c>
      <c r="X1713" s="172" t="inlineStr">
        <is>
          <t>杭州银行</t>
        </is>
      </c>
      <c r="Y1713" s="191" t="n">
        <v>0.8</v>
      </c>
    </row>
    <row r="1714">
      <c r="A1714" s="172" t="n">
        <v>95</v>
      </c>
      <c r="B1714" s="172" t="inlineStr">
        <is>
          <t>6月</t>
        </is>
      </c>
      <c r="C1714" s="172" t="inlineStr">
        <is>
          <t>消金</t>
        </is>
      </c>
      <c r="D1714" s="172" t="inlineStr">
        <is>
          <t>赊销白条</t>
        </is>
      </c>
      <c r="E1714" s="172" t="inlineStr">
        <is>
          <t>东裕11号叔裕</t>
        </is>
      </c>
      <c r="F1714" s="172" t="inlineStr">
        <is>
          <t>银行间</t>
        </is>
      </c>
      <c r="G1714" s="172" t="inlineStr">
        <is>
          <t>招商证券</t>
        </is>
      </c>
      <c r="H1714" s="172" t="inlineStr">
        <is>
          <t>江苏银行/杭州银行/建设银行/东方证券</t>
        </is>
      </c>
      <c r="I1714" s="172" t="inlineStr">
        <is>
          <t>青岛银行</t>
        </is>
      </c>
      <c r="J1714" s="172" t="n">
        <v>10</v>
      </c>
      <c r="K1714" s="172" t="inlineStr">
        <is>
          <t>10+10+9+3</t>
        </is>
      </c>
      <c r="L1714" s="208" t="n">
        <v>46195</v>
      </c>
      <c r="M1714" s="175" t="n">
        <v>0.0148</v>
      </c>
      <c r="N1714" s="176" t="n">
        <v>0.0181</v>
      </c>
      <c r="O1714" s="172" t="n">
        <v>2.1</v>
      </c>
      <c r="P1714" s="172" t="inlineStr">
        <is>
          <t>优先A</t>
        </is>
      </c>
      <c r="Q1714" s="175" t="n">
        <v>0.9</v>
      </c>
      <c r="R1714" s="192" t="n">
        <v>9</v>
      </c>
      <c r="S1714" s="172" t="inlineStr">
        <is>
          <t>AAA</t>
        </is>
      </c>
      <c r="T1714" s="175" t="n">
        <v>0.0159</v>
      </c>
      <c r="U1714" s="172" t="n"/>
      <c r="V1714" s="172" t="n"/>
      <c r="W1714" s="175" t="n">
        <v>0.016</v>
      </c>
      <c r="X1714" s="172" t="inlineStr">
        <is>
          <t>杭州银行</t>
        </is>
      </c>
      <c r="Y1714" s="191" t="n">
        <v>0.55</v>
      </c>
    </row>
    <row r="1715">
      <c r="A1715" s="172" t="n">
        <v>95</v>
      </c>
      <c r="B1715" s="173" t="inlineStr">
        <is>
          <t>6月</t>
        </is>
      </c>
      <c r="C1715" s="173" t="inlineStr">
        <is>
          <t>消金</t>
        </is>
      </c>
      <c r="D1715" s="173" t="inlineStr">
        <is>
          <t>赊销白条</t>
        </is>
      </c>
      <c r="E1715" s="173" t="inlineStr">
        <is>
          <t>东裕11号叔裕</t>
        </is>
      </c>
      <c r="F1715" s="173" t="inlineStr">
        <is>
          <t>银行间</t>
        </is>
      </c>
      <c r="G1715" s="173" t="inlineStr">
        <is>
          <t>招商证券</t>
        </is>
      </c>
      <c r="H1715" s="173" t="inlineStr">
        <is>
          <t>江苏银行/杭州银行/建设银行/东方证券</t>
        </is>
      </c>
      <c r="I1715" s="173" t="inlineStr">
        <is>
          <t>青岛银行</t>
        </is>
      </c>
      <c r="J1715" s="172" t="n">
        <v>10</v>
      </c>
      <c r="K1715" s="173" t="inlineStr">
        <is>
          <t>10+10+9+3</t>
        </is>
      </c>
      <c r="L1715" s="202" t="n">
        <v>46195</v>
      </c>
      <c r="M1715" s="175" t="n">
        <v>0.0148</v>
      </c>
      <c r="N1715" s="176" t="n">
        <v>0.0181</v>
      </c>
      <c r="O1715" s="191" t="n">
        <v>2.1</v>
      </c>
      <c r="P1715" s="172" t="inlineStr">
        <is>
          <t>优先A</t>
        </is>
      </c>
      <c r="Q1715" s="178" t="n">
        <v>0.9</v>
      </c>
      <c r="R1715" s="179" t="n">
        <v>9</v>
      </c>
      <c r="S1715" s="177" t="inlineStr">
        <is>
          <t>AAA</t>
        </is>
      </c>
      <c r="T1715" s="178" t="n">
        <v>0.0159</v>
      </c>
      <c r="U1715" s="177" t="inlineStr">
        <is>
          <t>建设银行</t>
        </is>
      </c>
      <c r="V1715" s="192" t="n">
        <v>1.8</v>
      </c>
      <c r="W1715" s="175" t="n">
        <v>0.0157</v>
      </c>
      <c r="X1715" s="172" t="inlineStr">
        <is>
          <t>建设银行</t>
        </is>
      </c>
      <c r="Y1715" s="191" t="n">
        <v>1.8</v>
      </c>
    </row>
    <row r="1716">
      <c r="A1716" s="172" t="n">
        <v>95</v>
      </c>
      <c r="B1716" s="173" t="inlineStr">
        <is>
          <t>6月</t>
        </is>
      </c>
      <c r="C1716" s="173" t="inlineStr">
        <is>
          <t>消金</t>
        </is>
      </c>
      <c r="D1716" s="173" t="inlineStr">
        <is>
          <t>赊销白条</t>
        </is>
      </c>
      <c r="E1716" s="173" t="inlineStr">
        <is>
          <t>东裕11号叔裕</t>
        </is>
      </c>
      <c r="F1716" s="173" t="inlineStr">
        <is>
          <t>银行间</t>
        </is>
      </c>
      <c r="G1716" s="173" t="inlineStr">
        <is>
          <t>招商证券</t>
        </is>
      </c>
      <c r="H1716" s="173" t="inlineStr">
        <is>
          <t>江苏银行/杭州银行/建设银行/东方证券</t>
        </is>
      </c>
      <c r="I1716" s="173" t="inlineStr">
        <is>
          <t>青岛银行</t>
        </is>
      </c>
      <c r="J1716" s="172" t="n">
        <v>10</v>
      </c>
      <c r="K1716" s="173" t="inlineStr">
        <is>
          <t>10+10+9+3</t>
        </is>
      </c>
      <c r="L1716" s="202" t="n">
        <v>46195</v>
      </c>
      <c r="M1716" s="175" t="n">
        <v>0.0148</v>
      </c>
      <c r="N1716" s="176" t="n">
        <v>0.0181</v>
      </c>
      <c r="O1716" s="191" t="n">
        <v>2.1</v>
      </c>
      <c r="P1716" s="172" t="inlineStr">
        <is>
          <t>优先A</t>
        </is>
      </c>
      <c r="Q1716" s="178" t="n">
        <v>0.9</v>
      </c>
      <c r="R1716" s="179" t="n">
        <v>9</v>
      </c>
      <c r="S1716" s="177" t="inlineStr">
        <is>
          <t>AAA</t>
        </is>
      </c>
      <c r="T1716" s="178" t="n">
        <v>0.0159</v>
      </c>
      <c r="U1716" s="177" t="inlineStr">
        <is>
          <t>建信理财</t>
        </is>
      </c>
      <c r="V1716" s="192" t="n">
        <v>0.9</v>
      </c>
      <c r="W1716" s="175" t="n">
        <v>0.0157</v>
      </c>
      <c r="X1716" s="172" t="inlineStr">
        <is>
          <t>建信信托（建信理财）</t>
        </is>
      </c>
      <c r="Y1716" s="191" t="n">
        <v>0.9</v>
      </c>
    </row>
    <row r="1717">
      <c r="A1717" s="172" t="n">
        <v>95</v>
      </c>
      <c r="B1717" s="173" t="inlineStr">
        <is>
          <t>6月</t>
        </is>
      </c>
      <c r="C1717" s="173" t="inlineStr">
        <is>
          <t>消金</t>
        </is>
      </c>
      <c r="D1717" s="173" t="inlineStr">
        <is>
          <t>赊销白条</t>
        </is>
      </c>
      <c r="E1717" s="173" t="inlineStr">
        <is>
          <t>东裕11号叔裕</t>
        </is>
      </c>
      <c r="F1717" s="173" t="inlineStr">
        <is>
          <t>银行间</t>
        </is>
      </c>
      <c r="G1717" s="173" t="inlineStr">
        <is>
          <t>招商证券</t>
        </is>
      </c>
      <c r="H1717" s="173" t="inlineStr">
        <is>
          <t>江苏银行/杭州银行/建设银行/东方证券</t>
        </is>
      </c>
      <c r="I1717" s="173" t="inlineStr">
        <is>
          <t>青岛银行</t>
        </is>
      </c>
      <c r="J1717" s="172" t="n">
        <v>10</v>
      </c>
      <c r="K1717" s="173" t="inlineStr">
        <is>
          <t>10+10+9+3</t>
        </is>
      </c>
      <c r="L1717" s="202" t="n">
        <v>46195</v>
      </c>
      <c r="M1717" s="175" t="n">
        <v>0.0148</v>
      </c>
      <c r="N1717" s="176" t="n">
        <v>0.0181</v>
      </c>
      <c r="O1717" s="191" t="n">
        <v>2.1</v>
      </c>
      <c r="P1717" s="172" t="inlineStr">
        <is>
          <t>优先A</t>
        </is>
      </c>
      <c r="Q1717" s="178" t="n">
        <v>0.9</v>
      </c>
      <c r="R1717" s="179" t="n">
        <v>9</v>
      </c>
      <c r="S1717" s="177" t="inlineStr">
        <is>
          <t>AAA</t>
        </is>
      </c>
      <c r="T1717" s="178" t="n">
        <v>0.0159</v>
      </c>
      <c r="U1717" s="177" t="inlineStr">
        <is>
          <t>江苏银行</t>
        </is>
      </c>
      <c r="V1717" s="192" t="n">
        <v>1.8</v>
      </c>
      <c r="W1717" s="175" t="n">
        <v>0.015</v>
      </c>
      <c r="X1717" s="172" t="inlineStr">
        <is>
          <t>江苏银行</t>
        </is>
      </c>
      <c r="Y1717" s="191" t="n">
        <v>1.8</v>
      </c>
    </row>
    <row r="1718">
      <c r="A1718" s="172" t="n">
        <v>95</v>
      </c>
      <c r="B1718" s="173" t="inlineStr">
        <is>
          <t>6月</t>
        </is>
      </c>
      <c r="C1718" s="173" t="inlineStr">
        <is>
          <t>消金</t>
        </is>
      </c>
      <c r="D1718" s="173" t="inlineStr">
        <is>
          <t>赊销白条</t>
        </is>
      </c>
      <c r="E1718" s="173" t="inlineStr">
        <is>
          <t>东裕11号叔裕</t>
        </is>
      </c>
      <c r="F1718" s="173" t="inlineStr">
        <is>
          <t>银行间</t>
        </is>
      </c>
      <c r="G1718" s="173" t="inlineStr">
        <is>
          <t>招商证券</t>
        </is>
      </c>
      <c r="H1718" s="173" t="inlineStr">
        <is>
          <t>江苏银行/杭州银行/建设银行/东方证券</t>
        </is>
      </c>
      <c r="I1718" s="173" t="inlineStr">
        <is>
          <t>青岛银行</t>
        </is>
      </c>
      <c r="J1718" s="172" t="n">
        <v>10</v>
      </c>
      <c r="K1718" s="173" t="inlineStr">
        <is>
          <t>10+10+9+3</t>
        </is>
      </c>
      <c r="L1718" s="202" t="n">
        <v>46195</v>
      </c>
      <c r="M1718" s="175" t="n">
        <v>0.0148</v>
      </c>
      <c r="N1718" s="176" t="n">
        <v>0.0181</v>
      </c>
      <c r="O1718" s="191" t="n">
        <v>2.1</v>
      </c>
      <c r="P1718" s="172" t="inlineStr">
        <is>
          <t>优先A</t>
        </is>
      </c>
      <c r="Q1718" s="178" t="n">
        <v>0.9</v>
      </c>
      <c r="R1718" s="179" t="n">
        <v>9</v>
      </c>
      <c r="S1718" s="177" t="inlineStr">
        <is>
          <t>AAA</t>
        </is>
      </c>
      <c r="T1718" s="178" t="n">
        <v>0.0159</v>
      </c>
      <c r="U1718" s="177" t="inlineStr">
        <is>
          <t>平安养老</t>
        </is>
      </c>
      <c r="V1718" s="192" t="n">
        <v>0.9</v>
      </c>
      <c r="W1718" s="175" t="n">
        <v>0.0157</v>
      </c>
      <c r="X1718" s="172" t="inlineStr">
        <is>
          <t>平安养老</t>
        </is>
      </c>
      <c r="Y1718" s="191" t="n">
        <v>0.9</v>
      </c>
    </row>
    <row r="1719">
      <c r="A1719" s="172" t="n">
        <v>95</v>
      </c>
      <c r="B1719" s="173" t="inlineStr">
        <is>
          <t>6月</t>
        </is>
      </c>
      <c r="C1719" s="173" t="inlineStr">
        <is>
          <t>消金</t>
        </is>
      </c>
      <c r="D1719" s="173" t="inlineStr">
        <is>
          <t>赊销白条</t>
        </is>
      </c>
      <c r="E1719" s="173" t="inlineStr">
        <is>
          <t>东裕11号叔裕</t>
        </is>
      </c>
      <c r="F1719" s="173" t="inlineStr">
        <is>
          <t>银行间</t>
        </is>
      </c>
      <c r="G1719" s="173" t="inlineStr">
        <is>
          <t>招商证券</t>
        </is>
      </c>
      <c r="H1719" s="173" t="inlineStr">
        <is>
          <t>江苏银行/杭州银行/建设银行/东方证券</t>
        </is>
      </c>
      <c r="I1719" s="173" t="inlineStr">
        <is>
          <t>青岛银行</t>
        </is>
      </c>
      <c r="J1719" s="172" t="n">
        <v>10</v>
      </c>
      <c r="K1719" s="173" t="inlineStr">
        <is>
          <t>10+10+9+3</t>
        </is>
      </c>
      <c r="L1719" s="202" t="n">
        <v>46195</v>
      </c>
      <c r="M1719" s="175" t="n">
        <v>0.0148</v>
      </c>
      <c r="N1719" s="176" t="n">
        <v>0.0181</v>
      </c>
      <c r="O1719" s="191" t="n">
        <v>2.1</v>
      </c>
      <c r="P1719" s="172" t="inlineStr">
        <is>
          <t>优先A</t>
        </is>
      </c>
      <c r="Q1719" s="178" t="n">
        <v>0.9</v>
      </c>
      <c r="R1719" s="179" t="n">
        <v>9</v>
      </c>
      <c r="S1719" s="177" t="inlineStr">
        <is>
          <t>AAA</t>
        </is>
      </c>
      <c r="T1719" s="178" t="n">
        <v>0.0159</v>
      </c>
      <c r="U1719" s="177" t="inlineStr">
        <is>
          <t>中银理财</t>
        </is>
      </c>
      <c r="V1719" s="192" t="n">
        <v>1.4</v>
      </c>
      <c r="W1719" s="175" t="n">
        <v>0.0157</v>
      </c>
      <c r="X1719" s="172" t="inlineStr">
        <is>
          <t>中银理财</t>
        </is>
      </c>
      <c r="Y1719" s="191" t="n">
        <v>0.5</v>
      </c>
    </row>
    <row r="1720">
      <c r="A1720" s="172" t="n">
        <v>95</v>
      </c>
      <c r="B1720" s="172" t="inlineStr">
        <is>
          <t>6月</t>
        </is>
      </c>
      <c r="C1720" s="172" t="inlineStr">
        <is>
          <t>消金</t>
        </is>
      </c>
      <c r="D1720" s="172" t="inlineStr">
        <is>
          <t>赊销白条</t>
        </is>
      </c>
      <c r="E1720" s="172" t="inlineStr">
        <is>
          <t>东裕11号叔裕</t>
        </is>
      </c>
      <c r="F1720" s="172" t="inlineStr">
        <is>
          <t>银行间</t>
        </is>
      </c>
      <c r="G1720" s="172" t="inlineStr">
        <is>
          <t>招商证券</t>
        </is>
      </c>
      <c r="H1720" s="172" t="inlineStr">
        <is>
          <t>江苏银行/杭州银行/建设银行/东方证券</t>
        </is>
      </c>
      <c r="I1720" s="172" t="inlineStr">
        <is>
          <t>青岛银行</t>
        </is>
      </c>
      <c r="J1720" s="172" t="n">
        <v>10</v>
      </c>
      <c r="K1720" s="172" t="inlineStr">
        <is>
          <t>10+10+9+3</t>
        </is>
      </c>
      <c r="L1720" s="208" t="n">
        <v>46195</v>
      </c>
      <c r="M1720" s="175" t="n">
        <v>0.0148</v>
      </c>
      <c r="N1720" s="176" t="n">
        <v>0.0181</v>
      </c>
      <c r="O1720" s="172" t="n">
        <v>2.1</v>
      </c>
      <c r="P1720" s="172" t="inlineStr">
        <is>
          <t>优先A</t>
        </is>
      </c>
      <c r="Q1720" s="175" t="n">
        <v>0.9</v>
      </c>
      <c r="R1720" s="192" t="n">
        <v>9</v>
      </c>
      <c r="S1720" s="172" t="inlineStr">
        <is>
          <t>AAA</t>
        </is>
      </c>
      <c r="T1720" s="175" t="n">
        <v>0.0159</v>
      </c>
      <c r="U1720" s="172" t="n"/>
      <c r="V1720" s="172" t="n"/>
      <c r="W1720" s="175" t="n">
        <v>0.016</v>
      </c>
      <c r="X1720" s="172" t="inlineStr">
        <is>
          <t>交银理财</t>
        </is>
      </c>
      <c r="Y1720" s="191" t="n">
        <v>0.8</v>
      </c>
    </row>
    <row r="1721">
      <c r="A1721" s="172" t="n">
        <v>95</v>
      </c>
      <c r="B1721" s="172" t="inlineStr">
        <is>
          <t>6月</t>
        </is>
      </c>
      <c r="C1721" s="172" t="inlineStr">
        <is>
          <t>消金</t>
        </is>
      </c>
      <c r="D1721" s="172" t="inlineStr">
        <is>
          <t>赊销白条</t>
        </is>
      </c>
      <c r="E1721" s="172" t="inlineStr">
        <is>
          <t>东裕11号叔裕</t>
        </is>
      </c>
      <c r="F1721" s="172" t="inlineStr">
        <is>
          <t>银行间</t>
        </is>
      </c>
      <c r="G1721" s="172" t="inlineStr">
        <is>
          <t>招商证券</t>
        </is>
      </c>
      <c r="H1721" s="172" t="inlineStr">
        <is>
          <t>江苏银行/杭州银行/建设银行/东方证券</t>
        </is>
      </c>
      <c r="I1721" s="172" t="inlineStr">
        <is>
          <t>青岛银行</t>
        </is>
      </c>
      <c r="J1721" s="172" t="n">
        <v>10</v>
      </c>
      <c r="K1721" s="172" t="inlineStr">
        <is>
          <t>10+10+9+3</t>
        </is>
      </c>
      <c r="L1721" s="208" t="n">
        <v>46195</v>
      </c>
      <c r="M1721" s="175" t="n">
        <v>0.0148</v>
      </c>
      <c r="N1721" s="176" t="n">
        <v>0.0181</v>
      </c>
      <c r="O1721" s="172" t="n">
        <v>2.1</v>
      </c>
      <c r="P1721" s="172" t="inlineStr">
        <is>
          <t>优先A</t>
        </is>
      </c>
      <c r="Q1721" s="175" t="n">
        <v>0.9</v>
      </c>
      <c r="R1721" s="192" t="n">
        <v>9</v>
      </c>
      <c r="S1721" s="172" t="inlineStr">
        <is>
          <t>AAA</t>
        </is>
      </c>
      <c r="T1721" s="175" t="n">
        <v>0.0159</v>
      </c>
      <c r="U1721" s="172" t="n"/>
      <c r="V1721" s="172" t="n"/>
      <c r="W1721" s="175" t="n">
        <v>0.0165</v>
      </c>
      <c r="X1721" s="172" t="inlineStr">
        <is>
          <t>交银理财</t>
        </is>
      </c>
      <c r="Y1721" s="191" t="n">
        <v>0.5</v>
      </c>
    </row>
    <row r="1722">
      <c r="A1722" s="172" t="n">
        <v>95</v>
      </c>
      <c r="B1722" s="172" t="inlineStr">
        <is>
          <t>6月</t>
        </is>
      </c>
      <c r="C1722" s="172" t="inlineStr">
        <is>
          <t>消金</t>
        </is>
      </c>
      <c r="D1722" s="172" t="inlineStr">
        <is>
          <t>赊销白条</t>
        </is>
      </c>
      <c r="E1722" s="172" t="inlineStr">
        <is>
          <t>东裕11号叔裕</t>
        </is>
      </c>
      <c r="F1722" s="172" t="inlineStr">
        <is>
          <t>银行间</t>
        </is>
      </c>
      <c r="G1722" s="172" t="inlineStr">
        <is>
          <t>招商证券</t>
        </is>
      </c>
      <c r="H1722" s="172" t="inlineStr">
        <is>
          <t>江苏银行/杭州银行/建设银行/东方证券</t>
        </is>
      </c>
      <c r="I1722" s="172" t="inlineStr">
        <is>
          <t>青岛银行</t>
        </is>
      </c>
      <c r="J1722" s="172" t="n">
        <v>10</v>
      </c>
      <c r="K1722" s="172" t="inlineStr">
        <is>
          <t>10+10+9+3</t>
        </is>
      </c>
      <c r="L1722" s="208" t="n">
        <v>46195</v>
      </c>
      <c r="M1722" s="175" t="n">
        <v>0.0148</v>
      </c>
      <c r="N1722" s="176" t="n">
        <v>0.0181</v>
      </c>
      <c r="O1722" s="172" t="n">
        <v>2.1</v>
      </c>
      <c r="P1722" s="172" t="inlineStr">
        <is>
          <t>优先A</t>
        </is>
      </c>
      <c r="Q1722" s="175" t="n">
        <v>0.9</v>
      </c>
      <c r="R1722" s="192" t="n">
        <v>9</v>
      </c>
      <c r="S1722" s="172" t="inlineStr">
        <is>
          <t>AAA</t>
        </is>
      </c>
      <c r="T1722" s="175" t="n">
        <v>0.0159</v>
      </c>
      <c r="U1722" s="172" t="n"/>
      <c r="V1722" s="172" t="n"/>
      <c r="W1722" s="175" t="n">
        <v>0.017</v>
      </c>
      <c r="X1722" s="172" t="inlineStr">
        <is>
          <t>交银理财</t>
        </is>
      </c>
      <c r="Y1722" s="191" t="n">
        <v>0.3</v>
      </c>
    </row>
    <row r="1723">
      <c r="A1723" s="172" t="n">
        <v>95</v>
      </c>
      <c r="B1723" s="172" t="inlineStr">
        <is>
          <t>6月</t>
        </is>
      </c>
      <c r="C1723" s="172" t="inlineStr">
        <is>
          <t>消金</t>
        </is>
      </c>
      <c r="D1723" s="172" t="inlineStr">
        <is>
          <t>赊销白条</t>
        </is>
      </c>
      <c r="E1723" s="172" t="inlineStr">
        <is>
          <t>东裕11号叔裕</t>
        </is>
      </c>
      <c r="F1723" s="172" t="inlineStr">
        <is>
          <t>银行间</t>
        </is>
      </c>
      <c r="G1723" s="172" t="inlineStr">
        <is>
          <t>招商证券</t>
        </is>
      </c>
      <c r="H1723" s="172" t="inlineStr">
        <is>
          <t>江苏银行/杭州银行/建设银行/东方证券</t>
        </is>
      </c>
      <c r="I1723" s="172" t="inlineStr">
        <is>
          <t>青岛银行</t>
        </is>
      </c>
      <c r="J1723" s="172" t="n">
        <v>10</v>
      </c>
      <c r="K1723" s="172" t="inlineStr">
        <is>
          <t>10+10+9+3</t>
        </is>
      </c>
      <c r="L1723" s="208" t="n">
        <v>46195</v>
      </c>
      <c r="M1723" s="175" t="n">
        <v>0.0148</v>
      </c>
      <c r="N1723" s="176" t="n">
        <v>0.0181</v>
      </c>
      <c r="O1723" s="172" t="n">
        <v>2.1</v>
      </c>
      <c r="P1723" s="172" t="inlineStr">
        <is>
          <t>优先A</t>
        </is>
      </c>
      <c r="Q1723" s="175" t="n">
        <v>0.9</v>
      </c>
      <c r="R1723" s="192" t="n">
        <v>9</v>
      </c>
      <c r="S1723" s="172" t="inlineStr">
        <is>
          <t>AAA</t>
        </is>
      </c>
      <c r="T1723" s="175" t="n">
        <v>0.0159</v>
      </c>
      <c r="U1723" s="172" t="n"/>
      <c r="V1723" s="172" t="n"/>
      <c r="W1723" s="175" t="n">
        <v>0.017</v>
      </c>
      <c r="X1723" s="172" t="inlineStr">
        <is>
          <t>招商证券</t>
        </is>
      </c>
      <c r="Y1723" s="191" t="n">
        <v>1</v>
      </c>
    </row>
    <row r="1724">
      <c r="A1724" s="172" t="n">
        <v>95</v>
      </c>
      <c r="B1724" s="172" t="inlineStr">
        <is>
          <t>6月</t>
        </is>
      </c>
      <c r="C1724" s="172" t="inlineStr">
        <is>
          <t>消金</t>
        </is>
      </c>
      <c r="D1724" s="172" t="inlineStr">
        <is>
          <t>赊销白条</t>
        </is>
      </c>
      <c r="E1724" s="172" t="inlineStr">
        <is>
          <t>东裕11号叔裕</t>
        </is>
      </c>
      <c r="F1724" s="172" t="inlineStr">
        <is>
          <t>银行间</t>
        </is>
      </c>
      <c r="G1724" s="172" t="inlineStr">
        <is>
          <t>招商证券</t>
        </is>
      </c>
      <c r="H1724" s="172" t="inlineStr">
        <is>
          <t>江苏银行/杭州银行/建设银行/东方证券</t>
        </is>
      </c>
      <c r="I1724" s="172" t="inlineStr">
        <is>
          <t>青岛银行</t>
        </is>
      </c>
      <c r="J1724" s="172" t="n">
        <v>10</v>
      </c>
      <c r="K1724" s="172" t="inlineStr">
        <is>
          <t>10+10+9+3</t>
        </is>
      </c>
      <c r="L1724" s="208" t="n">
        <v>46195</v>
      </c>
      <c r="M1724" s="175" t="n">
        <v>0.0148</v>
      </c>
      <c r="N1724" s="176" t="n">
        <v>0.0181</v>
      </c>
      <c r="O1724" s="172" t="n">
        <v>2.1</v>
      </c>
      <c r="P1724" s="172" t="inlineStr">
        <is>
          <t>优先A</t>
        </is>
      </c>
      <c r="Q1724" s="175" t="n">
        <v>0.9</v>
      </c>
      <c r="R1724" s="192" t="n">
        <v>9</v>
      </c>
      <c r="S1724" s="172" t="inlineStr">
        <is>
          <t>AAA</t>
        </is>
      </c>
      <c r="T1724" s="175" t="n">
        <v>0.0159</v>
      </c>
      <c r="U1724" s="172" t="n"/>
      <c r="V1724" s="172" t="n"/>
      <c r="W1724" s="175" t="n">
        <v>0.024</v>
      </c>
      <c r="X1724" s="172" t="inlineStr">
        <is>
          <t>上海利曦基金</t>
        </is>
      </c>
      <c r="Y1724" s="191" t="n">
        <v>2</v>
      </c>
    </row>
    <row r="1725">
      <c r="A1725" s="172" t="n">
        <v>95</v>
      </c>
      <c r="B1725" s="172" t="inlineStr">
        <is>
          <t>6月</t>
        </is>
      </c>
      <c r="C1725" s="172" t="inlineStr">
        <is>
          <t>消金</t>
        </is>
      </c>
      <c r="D1725" s="172" t="inlineStr">
        <is>
          <t>赊销白条</t>
        </is>
      </c>
      <c r="E1725" s="172" t="inlineStr">
        <is>
          <t>东裕11号叔裕</t>
        </is>
      </c>
      <c r="F1725" s="172" t="inlineStr">
        <is>
          <t>银行间</t>
        </is>
      </c>
      <c r="G1725" s="172" t="inlineStr">
        <is>
          <t>招商证券</t>
        </is>
      </c>
      <c r="H1725" s="172" t="inlineStr">
        <is>
          <t>江苏银行/杭州银行/建设银行/东方证券</t>
        </is>
      </c>
      <c r="I1725" s="172" t="inlineStr">
        <is>
          <t>青岛银行</t>
        </is>
      </c>
      <c r="J1725" s="172" t="n">
        <v>10</v>
      </c>
      <c r="K1725" s="172" t="inlineStr">
        <is>
          <t>10+10+9+3</t>
        </is>
      </c>
      <c r="L1725" s="208" t="n">
        <v>46195</v>
      </c>
      <c r="M1725" s="175" t="n">
        <v>0.0148</v>
      </c>
      <c r="N1725" s="176" t="n">
        <v>0.0181</v>
      </c>
      <c r="O1725" s="172" t="n">
        <v>2.1</v>
      </c>
      <c r="P1725" s="172" t="inlineStr">
        <is>
          <t>优先A</t>
        </is>
      </c>
      <c r="Q1725" s="175" t="n">
        <v>0.9</v>
      </c>
      <c r="R1725" s="192" t="n">
        <v>9</v>
      </c>
      <c r="S1725" s="172" t="inlineStr">
        <is>
          <t>AAA</t>
        </is>
      </c>
      <c r="T1725" s="175" t="n">
        <v>0.0159</v>
      </c>
      <c r="U1725" s="172" t="n"/>
      <c r="V1725" s="172" t="n"/>
      <c r="W1725" s="175" t="n">
        <v>0.016</v>
      </c>
      <c r="X1725" s="172" t="inlineStr">
        <is>
          <t>中邮理财</t>
        </is>
      </c>
      <c r="Y1725" s="191" t="n">
        <v>2.7</v>
      </c>
    </row>
    <row r="1726">
      <c r="A1726" s="172" t="n">
        <v>95</v>
      </c>
      <c r="B1726" s="172" t="inlineStr">
        <is>
          <t>6月</t>
        </is>
      </c>
      <c r="C1726" s="172" t="inlineStr">
        <is>
          <t>消金</t>
        </is>
      </c>
      <c r="D1726" s="172" t="inlineStr">
        <is>
          <t>赊销白条</t>
        </is>
      </c>
      <c r="E1726" s="172" t="inlineStr">
        <is>
          <t>东裕11号叔裕</t>
        </is>
      </c>
      <c r="F1726" s="172" t="inlineStr">
        <is>
          <t>银行间</t>
        </is>
      </c>
      <c r="G1726" s="172" t="inlineStr">
        <is>
          <t>招商证券</t>
        </is>
      </c>
      <c r="H1726" s="172" t="inlineStr">
        <is>
          <t>江苏银行/杭州银行/建设银行/东方证券</t>
        </is>
      </c>
      <c r="I1726" s="172" t="inlineStr">
        <is>
          <t>青岛银行</t>
        </is>
      </c>
      <c r="J1726" s="172" t="n">
        <v>10</v>
      </c>
      <c r="K1726" s="172" t="inlineStr">
        <is>
          <t>10+10+9+3</t>
        </is>
      </c>
      <c r="L1726" s="208" t="n">
        <v>46195</v>
      </c>
      <c r="M1726" s="175" t="n">
        <v>0.0148</v>
      </c>
      <c r="N1726" s="176" t="n">
        <v>0.0181</v>
      </c>
      <c r="O1726" s="172" t="n">
        <v>2.1</v>
      </c>
      <c r="P1726" s="172" t="inlineStr">
        <is>
          <t>优先A</t>
        </is>
      </c>
      <c r="Q1726" s="175" t="n">
        <v>0.9</v>
      </c>
      <c r="R1726" s="192" t="n">
        <v>9</v>
      </c>
      <c r="S1726" s="172" t="inlineStr">
        <is>
          <t>AAA</t>
        </is>
      </c>
      <c r="T1726" s="175" t="n">
        <v>0.0159</v>
      </c>
      <c r="U1726" s="172" t="n"/>
      <c r="V1726" s="172" t="n"/>
      <c r="W1726" s="175" t="n">
        <v>0.0159</v>
      </c>
      <c r="X1726" s="172" t="inlineStr">
        <is>
          <t>中银理财</t>
        </is>
      </c>
      <c r="Y1726" s="191" t="n">
        <v>1</v>
      </c>
    </row>
    <row r="1727">
      <c r="A1727" s="172" t="n">
        <v>95</v>
      </c>
      <c r="B1727" s="172" t="inlineStr">
        <is>
          <t>6月</t>
        </is>
      </c>
      <c r="C1727" s="172" t="inlineStr">
        <is>
          <t>消金</t>
        </is>
      </c>
      <c r="D1727" s="172" t="inlineStr">
        <is>
          <t>赊销白条</t>
        </is>
      </c>
      <c r="E1727" s="172" t="inlineStr">
        <is>
          <t>东裕11号叔裕</t>
        </is>
      </c>
      <c r="F1727" s="172" t="inlineStr">
        <is>
          <t>银行间</t>
        </is>
      </c>
      <c r="G1727" s="172" t="inlineStr">
        <is>
          <t>招商证券</t>
        </is>
      </c>
      <c r="H1727" s="172" t="inlineStr">
        <is>
          <t>江苏银行/杭州银行/建设银行/东方证券</t>
        </is>
      </c>
      <c r="I1727" s="172" t="inlineStr">
        <is>
          <t>青岛银行</t>
        </is>
      </c>
      <c r="J1727" s="172" t="n">
        <v>10</v>
      </c>
      <c r="K1727" s="172" t="inlineStr">
        <is>
          <t>10+10+9+3</t>
        </is>
      </c>
      <c r="L1727" s="208" t="n">
        <v>46195</v>
      </c>
      <c r="M1727" s="175" t="n">
        <v>0.0148</v>
      </c>
      <c r="N1727" s="176" t="n">
        <v>0.0181</v>
      </c>
      <c r="O1727" s="172" t="n">
        <v>2.1</v>
      </c>
      <c r="P1727" s="172" t="inlineStr">
        <is>
          <t>优先A</t>
        </is>
      </c>
      <c r="Q1727" s="175" t="n">
        <v>0.9</v>
      </c>
      <c r="R1727" s="192" t="n">
        <v>9</v>
      </c>
      <c r="S1727" s="172" t="inlineStr">
        <is>
          <t>AAA</t>
        </is>
      </c>
      <c r="T1727" s="175" t="n">
        <v>0.0159</v>
      </c>
      <c r="U1727" s="172" t="n"/>
      <c r="V1727" s="172" t="n"/>
      <c r="W1727" s="175" t="n">
        <v>0.016</v>
      </c>
      <c r="X1727" s="172" t="inlineStr">
        <is>
          <t>中银理财</t>
        </is>
      </c>
      <c r="Y1727" s="191" t="n">
        <v>0.5</v>
      </c>
    </row>
    <row r="1728">
      <c r="A1728" s="172" t="n">
        <v>95</v>
      </c>
      <c r="B1728" s="173" t="inlineStr">
        <is>
          <t>6月</t>
        </is>
      </c>
      <c r="C1728" s="173" t="inlineStr">
        <is>
          <t>消金</t>
        </is>
      </c>
      <c r="D1728" s="173" t="inlineStr">
        <is>
          <t>赊销白条</t>
        </is>
      </c>
      <c r="E1728" s="173" t="inlineStr">
        <is>
          <t>东裕11号叔裕</t>
        </is>
      </c>
      <c r="F1728" s="173" t="inlineStr">
        <is>
          <t>银行间</t>
        </is>
      </c>
      <c r="G1728" s="173" t="inlineStr">
        <is>
          <t>招商证券</t>
        </is>
      </c>
      <c r="H1728" s="173" t="inlineStr">
        <is>
          <t>江苏银行/杭州银行/建设银行/东方证券</t>
        </is>
      </c>
      <c r="I1728" s="173" t="inlineStr">
        <is>
          <t>青岛银行</t>
        </is>
      </c>
      <c r="J1728" s="172" t="n">
        <v>10</v>
      </c>
      <c r="K1728" s="173" t="inlineStr">
        <is>
          <t>10+10+9+3</t>
        </is>
      </c>
      <c r="L1728" s="202" t="n">
        <v>46195</v>
      </c>
      <c r="M1728" s="175" t="n">
        <v>0.0148</v>
      </c>
      <c r="N1728" s="176" t="n">
        <v>0.0181</v>
      </c>
      <c r="O1728" s="191" t="n">
        <v>2.1</v>
      </c>
      <c r="P1728" s="177" t="inlineStr">
        <is>
          <t>优先B</t>
        </is>
      </c>
      <c r="Q1728" s="178" t="n">
        <v>0.03</v>
      </c>
      <c r="R1728" s="179" t="n">
        <v>0.3</v>
      </c>
      <c r="S1728" s="177" t="inlineStr">
        <is>
          <t>AA+</t>
        </is>
      </c>
      <c r="T1728" s="178" t="n">
        <v>0.0172</v>
      </c>
      <c r="U1728" s="177" t="inlineStr">
        <is>
          <t>交银理财</t>
        </is>
      </c>
      <c r="V1728" s="192" t="n">
        <v>0.09</v>
      </c>
      <c r="W1728" s="175" t="n">
        <v>0.017</v>
      </c>
      <c r="X1728" s="172" t="inlineStr">
        <is>
          <t>交银理财</t>
        </is>
      </c>
      <c r="Y1728" s="191" t="n">
        <v>0.09</v>
      </c>
    </row>
    <row r="1729">
      <c r="A1729" s="172" t="n">
        <v>95</v>
      </c>
      <c r="B1729" s="173" t="inlineStr">
        <is>
          <t>6月</t>
        </is>
      </c>
      <c r="C1729" s="173" t="inlineStr">
        <is>
          <t>消金</t>
        </is>
      </c>
      <c r="D1729" s="173" t="inlineStr">
        <is>
          <t>赊销白条</t>
        </is>
      </c>
      <c r="E1729" s="173" t="inlineStr">
        <is>
          <t>东裕11号叔裕</t>
        </is>
      </c>
      <c r="F1729" s="173" t="inlineStr">
        <is>
          <t>银行间</t>
        </is>
      </c>
      <c r="G1729" s="173" t="inlineStr">
        <is>
          <t>招商证券</t>
        </is>
      </c>
      <c r="H1729" s="173" t="inlineStr">
        <is>
          <t>江苏银行/杭州银行/建设银行/东方证券</t>
        </is>
      </c>
      <c r="I1729" s="173" t="inlineStr">
        <is>
          <t>青岛银行</t>
        </is>
      </c>
      <c r="J1729" s="172" t="n">
        <v>10</v>
      </c>
      <c r="K1729" s="173" t="inlineStr">
        <is>
          <t>10+10+9+3</t>
        </is>
      </c>
      <c r="L1729" s="202" t="n">
        <v>46195</v>
      </c>
      <c r="M1729" s="175" t="n">
        <v>0.0148</v>
      </c>
      <c r="N1729" s="176" t="n">
        <v>0.0181</v>
      </c>
      <c r="O1729" s="191" t="n">
        <v>2.1</v>
      </c>
      <c r="P1729" s="172" t="inlineStr">
        <is>
          <t>优先B</t>
        </is>
      </c>
      <c r="Q1729" s="178" t="n">
        <v>0.03</v>
      </c>
      <c r="R1729" s="179" t="n">
        <v>0.3</v>
      </c>
      <c r="S1729" s="177" t="inlineStr">
        <is>
          <t>AA+</t>
        </is>
      </c>
      <c r="T1729" s="178" t="n">
        <v>0.0172</v>
      </c>
      <c r="U1729" s="177" t="inlineStr">
        <is>
          <t>中信建投投行</t>
        </is>
      </c>
      <c r="V1729" s="192" t="n">
        <v>0.1</v>
      </c>
      <c r="W1729" s="175" t="n">
        <v>0.0172</v>
      </c>
      <c r="X1729" s="172" t="inlineStr">
        <is>
          <t>中信建投证券</t>
        </is>
      </c>
      <c r="Y1729" s="191" t="n">
        <v>0.1</v>
      </c>
    </row>
    <row r="1730">
      <c r="A1730" s="172" t="n">
        <v>95</v>
      </c>
      <c r="B1730" s="173" t="inlineStr">
        <is>
          <t>6月</t>
        </is>
      </c>
      <c r="C1730" s="173" t="inlineStr">
        <is>
          <t>消金</t>
        </is>
      </c>
      <c r="D1730" s="173" t="inlineStr">
        <is>
          <t>赊销白条</t>
        </is>
      </c>
      <c r="E1730" s="173" t="inlineStr">
        <is>
          <t>东裕11号叔裕</t>
        </is>
      </c>
      <c r="F1730" s="173" t="inlineStr">
        <is>
          <t>银行间</t>
        </is>
      </c>
      <c r="G1730" s="173" t="inlineStr">
        <is>
          <t>招商证券</t>
        </is>
      </c>
      <c r="H1730" s="173" t="inlineStr">
        <is>
          <t>江苏银行/杭州银行/建设银行/东方证券</t>
        </is>
      </c>
      <c r="I1730" s="173" t="inlineStr">
        <is>
          <t>青岛银行</t>
        </is>
      </c>
      <c r="J1730" s="172" t="n">
        <v>10</v>
      </c>
      <c r="K1730" s="173" t="inlineStr">
        <is>
          <t>10+10+9+3</t>
        </is>
      </c>
      <c r="L1730" s="202" t="n">
        <v>46195</v>
      </c>
      <c r="M1730" s="175" t="n">
        <v>0.0148</v>
      </c>
      <c r="N1730" s="176" t="n">
        <v>0.0181</v>
      </c>
      <c r="O1730" s="191" t="n">
        <v>2.1</v>
      </c>
      <c r="P1730" s="172" t="inlineStr">
        <is>
          <t>优先B</t>
        </is>
      </c>
      <c r="Q1730" s="178" t="n">
        <v>0.03</v>
      </c>
      <c r="R1730" s="179" t="n">
        <v>0.3</v>
      </c>
      <c r="S1730" s="177" t="inlineStr">
        <is>
          <t>AA+</t>
        </is>
      </c>
      <c r="T1730" s="178" t="n">
        <v>0.0172</v>
      </c>
      <c r="U1730" s="177" t="inlineStr">
        <is>
          <t>中信证券投行</t>
        </is>
      </c>
      <c r="V1730" s="192" t="n">
        <v>0.11</v>
      </c>
      <c r="W1730" s="175" t="n">
        <v>0.0172</v>
      </c>
      <c r="X1730" s="172" t="inlineStr">
        <is>
          <t>中信证券</t>
        </is>
      </c>
      <c r="Y1730" s="191" t="n">
        <v>0.11</v>
      </c>
    </row>
    <row r="1731">
      <c r="A1731" s="172" t="n">
        <v>95</v>
      </c>
      <c r="B1731" s="172" t="inlineStr">
        <is>
          <t>6月</t>
        </is>
      </c>
      <c r="C1731" s="172" t="inlineStr">
        <is>
          <t>消金</t>
        </is>
      </c>
      <c r="D1731" s="172" t="inlineStr">
        <is>
          <t>赊销白条</t>
        </is>
      </c>
      <c r="E1731" s="172" t="inlineStr">
        <is>
          <t>东裕11号叔裕</t>
        </is>
      </c>
      <c r="F1731" s="172" t="inlineStr">
        <is>
          <t>银行间</t>
        </is>
      </c>
      <c r="G1731" s="172" t="inlineStr">
        <is>
          <t>招商证券</t>
        </is>
      </c>
      <c r="H1731" s="172" t="inlineStr">
        <is>
          <t>江苏银行/杭州银行/建设银行/东方证券</t>
        </is>
      </c>
      <c r="I1731" s="172" t="inlineStr">
        <is>
          <t>青岛银行</t>
        </is>
      </c>
      <c r="J1731" s="172" t="n">
        <v>10</v>
      </c>
      <c r="K1731" s="172" t="inlineStr">
        <is>
          <t>10+10+9+3</t>
        </is>
      </c>
      <c r="L1731" s="208" t="n">
        <v>46195</v>
      </c>
      <c r="M1731" s="175" t="n">
        <v>0.0148</v>
      </c>
      <c r="N1731" s="176" t="n">
        <v>0.0181</v>
      </c>
      <c r="O1731" s="172" t="n">
        <v>2.1</v>
      </c>
      <c r="P1731" s="172" t="inlineStr">
        <is>
          <t>优先B</t>
        </is>
      </c>
      <c r="Q1731" s="175" t="n">
        <v>0.03</v>
      </c>
      <c r="R1731" s="192" t="n">
        <v>0.3</v>
      </c>
      <c r="S1731" s="172" t="inlineStr">
        <is>
          <t>AA+</t>
        </is>
      </c>
      <c r="T1731" s="175" t="n">
        <v>0.0172</v>
      </c>
      <c r="U1731" s="172" t="n"/>
      <c r="V1731" s="172" t="n"/>
      <c r="W1731" s="175" t="n">
        <v>0.0179</v>
      </c>
      <c r="X1731" s="172" t="inlineStr">
        <is>
          <t>中金资管</t>
        </is>
      </c>
      <c r="Y1731" s="191" t="n">
        <v>0.05</v>
      </c>
    </row>
    <row r="1732">
      <c r="A1732" s="172" t="n">
        <v>95</v>
      </c>
      <c r="B1732" s="172" t="inlineStr">
        <is>
          <t>6月</t>
        </is>
      </c>
      <c r="C1732" s="172" t="inlineStr">
        <is>
          <t>消金</t>
        </is>
      </c>
      <c r="D1732" s="172" t="inlineStr">
        <is>
          <t>赊销白条</t>
        </is>
      </c>
      <c r="E1732" s="172" t="inlineStr">
        <is>
          <t>东裕11号叔裕</t>
        </is>
      </c>
      <c r="F1732" s="172" t="inlineStr">
        <is>
          <t>银行间</t>
        </is>
      </c>
      <c r="G1732" s="172" t="inlineStr">
        <is>
          <t>招商证券</t>
        </is>
      </c>
      <c r="H1732" s="172" t="inlineStr">
        <is>
          <t>江苏银行/杭州银行/建设银行/东方证券</t>
        </is>
      </c>
      <c r="I1732" s="172" t="inlineStr">
        <is>
          <t>青岛银行</t>
        </is>
      </c>
      <c r="J1732" s="172" t="n">
        <v>10</v>
      </c>
      <c r="K1732" s="172" t="inlineStr">
        <is>
          <t>10+10+9+3</t>
        </is>
      </c>
      <c r="L1732" s="208" t="n">
        <v>46195</v>
      </c>
      <c r="M1732" s="175" t="n">
        <v>0.0148</v>
      </c>
      <c r="N1732" s="176" t="n">
        <v>0.0181</v>
      </c>
      <c r="O1732" s="172" t="n">
        <v>2.1</v>
      </c>
      <c r="P1732" s="172" t="inlineStr">
        <is>
          <t>优先B</t>
        </is>
      </c>
      <c r="Q1732" s="175" t="n">
        <v>0.03</v>
      </c>
      <c r="R1732" s="192" t="n">
        <v>0.3</v>
      </c>
      <c r="S1732" s="172" t="inlineStr">
        <is>
          <t>AA+</t>
        </is>
      </c>
      <c r="T1732" s="175" t="n">
        <v>0.0172</v>
      </c>
      <c r="U1732" s="172" t="n"/>
      <c r="V1732" s="172" t="n"/>
      <c r="W1732" s="175" t="n">
        <v>0.018</v>
      </c>
      <c r="X1732" s="172" t="inlineStr">
        <is>
          <t>杭州联合农</t>
        </is>
      </c>
      <c r="Y1732" s="191" t="n">
        <v>0.09</v>
      </c>
    </row>
    <row r="1733">
      <c r="A1733" s="172" t="n">
        <v>95</v>
      </c>
      <c r="B1733" s="173" t="inlineStr">
        <is>
          <t>6月</t>
        </is>
      </c>
      <c r="C1733" s="173" t="inlineStr">
        <is>
          <t>消金</t>
        </is>
      </c>
      <c r="D1733" s="173" t="inlineStr">
        <is>
          <t>赊销白条</t>
        </is>
      </c>
      <c r="E1733" s="173" t="inlineStr">
        <is>
          <t>东裕11号叔裕</t>
        </is>
      </c>
      <c r="F1733" s="173" t="inlineStr">
        <is>
          <t>银行间</t>
        </is>
      </c>
      <c r="G1733" s="173" t="inlineStr">
        <is>
          <t>招商证券</t>
        </is>
      </c>
      <c r="H1733" s="173" t="inlineStr">
        <is>
          <t>江苏银行/杭州银行/建设银行/东方证券</t>
        </is>
      </c>
      <c r="I1733" s="173" t="inlineStr">
        <is>
          <t>青岛银行</t>
        </is>
      </c>
      <c r="J1733" s="172" t="n">
        <v>10</v>
      </c>
      <c r="K1733" s="173" t="inlineStr">
        <is>
          <t>10+10+9+3</t>
        </is>
      </c>
      <c r="L1733" s="202" t="n">
        <v>46195</v>
      </c>
      <c r="M1733" s="175" t="n">
        <v>0.0148</v>
      </c>
      <c r="N1733" s="176" t="n">
        <v>0.0181</v>
      </c>
      <c r="O1733" s="191" t="n">
        <v>2.1</v>
      </c>
      <c r="P1733" s="177" t="inlineStr">
        <is>
          <t>中间级</t>
        </is>
      </c>
      <c r="Q1733" s="178" t="n">
        <v>0.02</v>
      </c>
      <c r="R1733" s="179" t="n">
        <v>0.2</v>
      </c>
      <c r="S1733" s="177" t="inlineStr">
        <is>
          <t>A+</t>
        </is>
      </c>
      <c r="T1733" s="178" t="n">
        <v>0.031</v>
      </c>
      <c r="U1733" s="172" t="inlineStr">
        <is>
          <t>杭州联合银行</t>
        </is>
      </c>
      <c r="V1733" s="192" t="n">
        <v>0.06</v>
      </c>
      <c r="W1733" s="172" t="n"/>
      <c r="X1733" s="172" t="n"/>
      <c r="Y1733" s="172" t="n"/>
    </row>
    <row r="1734">
      <c r="A1734" s="172" t="n">
        <v>95</v>
      </c>
      <c r="B1734" s="173" t="inlineStr">
        <is>
          <t>6月</t>
        </is>
      </c>
      <c r="C1734" s="173" t="inlineStr">
        <is>
          <t>消金</t>
        </is>
      </c>
      <c r="D1734" s="173" t="inlineStr">
        <is>
          <t>赊销白条</t>
        </is>
      </c>
      <c r="E1734" s="173" t="inlineStr">
        <is>
          <t>东裕11号叔裕</t>
        </is>
      </c>
      <c r="F1734" s="173" t="inlineStr">
        <is>
          <t>银行间</t>
        </is>
      </c>
      <c r="G1734" s="173" t="inlineStr">
        <is>
          <t>招商证券</t>
        </is>
      </c>
      <c r="H1734" s="173" t="inlineStr">
        <is>
          <t>江苏银行/杭州银行/建设银行/东方证券</t>
        </is>
      </c>
      <c r="I1734" s="173" t="inlineStr">
        <is>
          <t>青岛银行</t>
        </is>
      </c>
      <c r="J1734" s="172" t="n">
        <v>10</v>
      </c>
      <c r="K1734" s="173" t="inlineStr">
        <is>
          <t>10+10+9+3</t>
        </is>
      </c>
      <c r="L1734" s="202" t="n">
        <v>46195</v>
      </c>
      <c r="M1734" s="175" t="n">
        <v>0.0148</v>
      </c>
      <c r="N1734" s="176" t="n">
        <v>0.0181</v>
      </c>
      <c r="O1734" s="191" t="n">
        <v>2.1</v>
      </c>
      <c r="P1734" s="172" t="inlineStr">
        <is>
          <t>中间级</t>
        </is>
      </c>
      <c r="Q1734" s="178" t="n">
        <v>0.02</v>
      </c>
      <c r="R1734" s="179" t="n">
        <v>0.2</v>
      </c>
      <c r="S1734" s="177" t="inlineStr">
        <is>
          <t>A+</t>
        </is>
      </c>
      <c r="T1734" s="178" t="n">
        <v>0.031</v>
      </c>
      <c r="U1734" s="172" t="inlineStr">
        <is>
          <t>平安理财</t>
        </is>
      </c>
      <c r="V1734" s="192" t="n">
        <v>0.06</v>
      </c>
      <c r="W1734" s="172" t="n"/>
      <c r="X1734" s="172" t="n"/>
      <c r="Y1734" s="172" t="n"/>
    </row>
    <row r="1735">
      <c r="A1735" s="172" t="n">
        <v>95</v>
      </c>
      <c r="B1735" s="173" t="inlineStr">
        <is>
          <t>6月</t>
        </is>
      </c>
      <c r="C1735" s="173" t="inlineStr">
        <is>
          <t>消金</t>
        </is>
      </c>
      <c r="D1735" s="173" t="inlineStr">
        <is>
          <t>赊销白条</t>
        </is>
      </c>
      <c r="E1735" s="173" t="inlineStr">
        <is>
          <t>东裕11号叔裕</t>
        </is>
      </c>
      <c r="F1735" s="173" t="inlineStr">
        <is>
          <t>银行间</t>
        </is>
      </c>
      <c r="G1735" s="173" t="inlineStr">
        <is>
          <t>招商证券</t>
        </is>
      </c>
      <c r="H1735" s="173" t="inlineStr">
        <is>
          <t>江苏银行/杭州银行/建设银行/东方证券</t>
        </is>
      </c>
      <c r="I1735" s="173" t="inlineStr">
        <is>
          <t>青岛银行</t>
        </is>
      </c>
      <c r="J1735" s="172" t="n">
        <v>10</v>
      </c>
      <c r="K1735" s="173" t="inlineStr">
        <is>
          <t>10+10+9+3</t>
        </is>
      </c>
      <c r="L1735" s="202" t="n">
        <v>46195</v>
      </c>
      <c r="M1735" s="175" t="n">
        <v>0.0148</v>
      </c>
      <c r="N1735" s="176" t="n">
        <v>0.0181</v>
      </c>
      <c r="O1735" s="191" t="n">
        <v>2.1</v>
      </c>
      <c r="P1735" s="172" t="inlineStr">
        <is>
          <t>中间级</t>
        </is>
      </c>
      <c r="Q1735" s="178" t="n">
        <v>0.02</v>
      </c>
      <c r="R1735" s="179" t="n">
        <v>0.2</v>
      </c>
      <c r="S1735" s="177" t="inlineStr">
        <is>
          <t>A+</t>
        </is>
      </c>
      <c r="T1735" s="178" t="n">
        <v>0.031</v>
      </c>
      <c r="U1735" s="172" t="inlineStr">
        <is>
          <t>招银理财</t>
        </is>
      </c>
      <c r="V1735" s="192" t="n">
        <v>0.06</v>
      </c>
      <c r="W1735" s="172" t="n"/>
      <c r="X1735" s="172" t="n"/>
      <c r="Y1735" s="172" t="n"/>
    </row>
    <row r="1736">
      <c r="A1736" s="172" t="n">
        <v>95</v>
      </c>
      <c r="B1736" s="173" t="inlineStr">
        <is>
          <t>6月</t>
        </is>
      </c>
      <c r="C1736" s="173" t="inlineStr">
        <is>
          <t>消金</t>
        </is>
      </c>
      <c r="D1736" s="173" t="inlineStr">
        <is>
          <t>赊销白条</t>
        </is>
      </c>
      <c r="E1736" s="173" t="inlineStr">
        <is>
          <t>东裕11号叔裕</t>
        </is>
      </c>
      <c r="F1736" s="173" t="inlineStr">
        <is>
          <t>银行间</t>
        </is>
      </c>
      <c r="G1736" s="173" t="inlineStr">
        <is>
          <t>招商证券</t>
        </is>
      </c>
      <c r="H1736" s="173" t="inlineStr">
        <is>
          <t>江苏银行/杭州银行/建设银行/东方证券</t>
        </is>
      </c>
      <c r="I1736" s="173" t="inlineStr">
        <is>
          <t>青岛银行</t>
        </is>
      </c>
      <c r="J1736" s="172" t="n">
        <v>10</v>
      </c>
      <c r="K1736" s="173" t="inlineStr">
        <is>
          <t>10+10+9+3</t>
        </is>
      </c>
      <c r="L1736" s="202" t="n">
        <v>46195</v>
      </c>
      <c r="M1736" s="175" t="n">
        <v>0.0148</v>
      </c>
      <c r="N1736" s="176" t="n">
        <v>0.0181</v>
      </c>
      <c r="O1736" s="191" t="n">
        <v>2.1</v>
      </c>
      <c r="P1736" s="172" t="inlineStr">
        <is>
          <t>中间级</t>
        </is>
      </c>
      <c r="Q1736" s="178" t="n">
        <v>0.02</v>
      </c>
      <c r="R1736" s="179" t="n">
        <v>0.2</v>
      </c>
      <c r="S1736" s="177" t="inlineStr">
        <is>
          <t>A+</t>
        </is>
      </c>
      <c r="T1736" s="178" t="n">
        <v>0.031</v>
      </c>
      <c r="U1736" s="172" t="inlineStr">
        <is>
          <t>中信建投衍生品</t>
        </is>
      </c>
      <c r="V1736" s="192" t="n">
        <v>0.02</v>
      </c>
      <c r="W1736" s="172" t="n"/>
      <c r="X1736" s="172" t="n"/>
      <c r="Y1736" s="172" t="n"/>
    </row>
    <row r="1737">
      <c r="A1737" s="172" t="n">
        <v>95</v>
      </c>
      <c r="B1737" s="173" t="inlineStr">
        <is>
          <t>6月</t>
        </is>
      </c>
      <c r="C1737" s="173" t="inlineStr">
        <is>
          <t>消金</t>
        </is>
      </c>
      <c r="D1737" s="173" t="inlineStr">
        <is>
          <t>赊销白条</t>
        </is>
      </c>
      <c r="E1737" s="173" t="inlineStr">
        <is>
          <t>东裕11号叔裕</t>
        </is>
      </c>
      <c r="F1737" s="173" t="inlineStr">
        <is>
          <t>银行间</t>
        </is>
      </c>
      <c r="G1737" s="173" t="inlineStr">
        <is>
          <t>招商证券</t>
        </is>
      </c>
      <c r="H1737" s="173" t="inlineStr">
        <is>
          <t>江苏银行/杭州银行/建设银行/东方证券</t>
        </is>
      </c>
      <c r="I1737" s="173" t="inlineStr">
        <is>
          <t>青岛银行</t>
        </is>
      </c>
      <c r="J1737" s="172" t="n">
        <v>10</v>
      </c>
      <c r="K1737" s="173" t="inlineStr">
        <is>
          <t>10+10+9+3</t>
        </is>
      </c>
      <c r="L1737" s="202" t="n">
        <v>46195</v>
      </c>
      <c r="M1737" s="175" t="n">
        <v>0.0148</v>
      </c>
      <c r="N1737" s="176" t="n">
        <v>0.0181</v>
      </c>
      <c r="O1737" s="191" t="n">
        <v>2.1</v>
      </c>
      <c r="P1737" s="177" t="inlineStr">
        <is>
          <t>次级</t>
        </is>
      </c>
      <c r="Q1737" s="178" t="n">
        <v>0.05</v>
      </c>
      <c r="R1737" s="179" t="n">
        <v>0.5</v>
      </c>
      <c r="S1737" s="177" t="inlineStr">
        <is>
          <t>无</t>
        </is>
      </c>
      <c r="T1737" s="178" t="n">
        <v>0.045</v>
      </c>
      <c r="U1737" s="172" t="inlineStr">
        <is>
          <t>中信证券自营</t>
        </is>
      </c>
      <c r="V1737" s="195" t="n">
        <v>0.225</v>
      </c>
      <c r="W1737" s="172" t="n"/>
      <c r="X1737" s="172" t="n"/>
      <c r="Y1737" s="172" t="n"/>
    </row>
    <row r="1738">
      <c r="A1738" s="172" t="n">
        <v>95</v>
      </c>
      <c r="B1738" s="173" t="inlineStr">
        <is>
          <t>6月</t>
        </is>
      </c>
      <c r="C1738" s="173" t="inlineStr">
        <is>
          <t>消金</t>
        </is>
      </c>
      <c r="D1738" s="173" t="inlineStr">
        <is>
          <t>赊销白条</t>
        </is>
      </c>
      <c r="E1738" s="173" t="inlineStr">
        <is>
          <t>东裕11号叔裕</t>
        </is>
      </c>
      <c r="F1738" s="173" t="inlineStr">
        <is>
          <t>银行间</t>
        </is>
      </c>
      <c r="G1738" s="173" t="inlineStr">
        <is>
          <t>招商证券</t>
        </is>
      </c>
      <c r="H1738" s="173" t="inlineStr">
        <is>
          <t>江苏银行/杭州银行/建设银行/东方证券</t>
        </is>
      </c>
      <c r="I1738" s="173" t="inlineStr">
        <is>
          <t>青岛银行</t>
        </is>
      </c>
      <c r="J1738" s="172" t="n">
        <v>10</v>
      </c>
      <c r="K1738" s="173" t="inlineStr">
        <is>
          <t>10+10+9+3</t>
        </is>
      </c>
      <c r="L1738" s="202" t="n">
        <v>46195</v>
      </c>
      <c r="M1738" s="175" t="n">
        <v>0.0148</v>
      </c>
      <c r="N1738" s="176" t="n">
        <v>0.0181</v>
      </c>
      <c r="O1738" s="191" t="n">
        <v>2.1</v>
      </c>
      <c r="P1738" s="172" t="inlineStr">
        <is>
          <t>次级</t>
        </is>
      </c>
      <c r="Q1738" s="178" t="n">
        <v>0.05</v>
      </c>
      <c r="R1738" s="179" t="n">
        <v>0.5</v>
      </c>
      <c r="S1738" s="177" t="inlineStr">
        <is>
          <t>无</t>
        </is>
      </c>
      <c r="T1738" s="178" t="n">
        <v>0.045</v>
      </c>
      <c r="U1738" s="172" t="inlineStr">
        <is>
          <t>华兴证券自营</t>
        </is>
      </c>
      <c r="V1738" s="192" t="n">
        <v>0.075</v>
      </c>
      <c r="W1738" s="172" t="n"/>
      <c r="X1738" s="172" t="n"/>
      <c r="Y1738" s="172" t="n"/>
    </row>
    <row r="1739">
      <c r="A1739" s="172" t="n">
        <v>95</v>
      </c>
      <c r="B1739" s="173" t="inlineStr">
        <is>
          <t>6月</t>
        </is>
      </c>
      <c r="C1739" s="173" t="inlineStr">
        <is>
          <t>消金</t>
        </is>
      </c>
      <c r="D1739" s="173" t="inlineStr">
        <is>
          <t>赊销白条</t>
        </is>
      </c>
      <c r="E1739" s="173" t="inlineStr">
        <is>
          <t>东裕11号叔裕</t>
        </is>
      </c>
      <c r="F1739" s="173" t="inlineStr">
        <is>
          <t>银行间</t>
        </is>
      </c>
      <c r="G1739" s="173" t="inlineStr">
        <is>
          <t>招商证券</t>
        </is>
      </c>
      <c r="H1739" s="173" t="inlineStr">
        <is>
          <t>江苏银行/杭州银行/建设银行/东方证券</t>
        </is>
      </c>
      <c r="I1739" s="173" t="inlineStr">
        <is>
          <t>青岛银行</t>
        </is>
      </c>
      <c r="J1739" s="172" t="n">
        <v>10</v>
      </c>
      <c r="K1739" s="173" t="inlineStr">
        <is>
          <t>10+10+9+3</t>
        </is>
      </c>
      <c r="L1739" s="202" t="n">
        <v>46195</v>
      </c>
      <c r="M1739" s="175" t="n">
        <v>0.0148</v>
      </c>
      <c r="N1739" s="176" t="n">
        <v>0.0181</v>
      </c>
      <c r="O1739" s="191" t="n">
        <v>2.1</v>
      </c>
      <c r="P1739" s="172" t="inlineStr">
        <is>
          <t>次级</t>
        </is>
      </c>
      <c r="Q1739" s="178" t="n">
        <v>0.05</v>
      </c>
      <c r="R1739" s="179" t="n">
        <v>0.5</v>
      </c>
      <c r="S1739" s="177" t="inlineStr">
        <is>
          <t>无</t>
        </is>
      </c>
      <c r="T1739" s="178" t="n">
        <v>0.045</v>
      </c>
      <c r="U1739" s="172" t="inlineStr">
        <is>
          <t>中信建投衍生品</t>
        </is>
      </c>
      <c r="V1739" s="192" t="n">
        <v>0.2</v>
      </c>
      <c r="W1739" s="172" t="n"/>
      <c r="X1739" s="172" t="n"/>
      <c r="Y1739" s="172" t="n"/>
    </row>
    <row r="1740">
      <c r="A1740" s="172" t="n">
        <v>96</v>
      </c>
      <c r="B1740" s="172" t="inlineStr">
        <is>
          <t>6月</t>
        </is>
      </c>
      <c r="C1740" s="172" t="inlineStr">
        <is>
          <t>企金</t>
        </is>
      </c>
      <c r="D1740" s="172" t="inlineStr">
        <is>
          <t>保理</t>
        </is>
      </c>
      <c r="E1740" s="172" t="inlineStr">
        <is>
          <t>京诚14-12</t>
        </is>
      </c>
      <c r="F1740" s="172" t="inlineStr">
        <is>
          <t>上交所</t>
        </is>
      </c>
      <c r="G1740" s="172" t="inlineStr">
        <is>
          <t>中信证券</t>
        </is>
      </c>
      <c r="H1740" s="172" t="inlineStr">
        <is>
          <t>光大证券</t>
        </is>
      </c>
      <c r="I1740" s="172" t="inlineStr">
        <is>
          <t>华夏北分</t>
        </is>
      </c>
      <c r="J1740" s="172" t="n">
        <v>10</v>
      </c>
      <c r="K1740" s="172" t="inlineStr">
        <is>
          <t>2+4</t>
        </is>
      </c>
      <c r="L1740" s="202" t="n">
        <v>46196</v>
      </c>
      <c r="M1740" s="175" t="n">
        <v>0.01488</v>
      </c>
      <c r="N1740" s="176" t="n">
        <v>0.0162</v>
      </c>
      <c r="O1740" s="191" t="n">
        <v>2.65</v>
      </c>
      <c r="P1740" s="172" t="inlineStr">
        <is>
          <t>优先级</t>
        </is>
      </c>
      <c r="Q1740" s="175" t="n">
        <v>0.99</v>
      </c>
      <c r="R1740" s="192" t="n">
        <v>9.9</v>
      </c>
      <c r="S1740" s="172" t="inlineStr">
        <is>
          <t>AAA</t>
        </is>
      </c>
      <c r="T1740" s="175" t="n">
        <v>0.0155</v>
      </c>
      <c r="U1740" s="172" t="inlineStr">
        <is>
          <t>信银理财</t>
        </is>
      </c>
      <c r="V1740" s="191" t="n">
        <v>2.97</v>
      </c>
      <c r="W1740" s="175" t="n">
        <v>0.0153</v>
      </c>
      <c r="X1740" s="172" t="inlineStr">
        <is>
          <t>信银理财</t>
        </is>
      </c>
      <c r="Y1740" s="191" t="n">
        <v>1</v>
      </c>
    </row>
    <row r="1741">
      <c r="A1741" s="172" t="n">
        <v>96</v>
      </c>
      <c r="B1741" s="172" t="inlineStr">
        <is>
          <t>6月</t>
        </is>
      </c>
      <c r="C1741" s="172" t="inlineStr">
        <is>
          <t>企金</t>
        </is>
      </c>
      <c r="D1741" s="172" t="inlineStr">
        <is>
          <t>保理</t>
        </is>
      </c>
      <c r="E1741" s="172" t="inlineStr">
        <is>
          <t>京诚14-12</t>
        </is>
      </c>
      <c r="F1741" s="172" t="inlineStr">
        <is>
          <t>上交所</t>
        </is>
      </c>
      <c r="G1741" s="172" t="inlineStr">
        <is>
          <t>中信证券</t>
        </is>
      </c>
      <c r="H1741" s="172" t="inlineStr">
        <is>
          <t>光大证券</t>
        </is>
      </c>
      <c r="I1741" s="172" t="inlineStr">
        <is>
          <t>华夏北分</t>
        </is>
      </c>
      <c r="J1741" s="172" t="n">
        <v>10</v>
      </c>
      <c r="K1741" s="172" t="inlineStr">
        <is>
          <t>2+4</t>
        </is>
      </c>
      <c r="L1741" s="200" t="n">
        <v>46196</v>
      </c>
      <c r="M1741" s="175" t="n">
        <v>0.01488</v>
      </c>
      <c r="N1741" s="176" t="n">
        <v>0.0162</v>
      </c>
      <c r="O1741" s="172" t="n">
        <v>2.65</v>
      </c>
      <c r="P1741" s="172" t="inlineStr">
        <is>
          <t>优先级</t>
        </is>
      </c>
      <c r="Q1741" s="175" t="n">
        <v>0.99</v>
      </c>
      <c r="R1741" s="192" t="n">
        <v>9.9</v>
      </c>
      <c r="S1741" s="172" t="inlineStr">
        <is>
          <t>AAA</t>
        </is>
      </c>
      <c r="T1741" s="175" t="n">
        <v>0.0155</v>
      </c>
      <c r="U1741" s="172" t="n"/>
      <c r="V1741" s="172" t="n"/>
      <c r="W1741" s="175" t="n">
        <v>0.0154</v>
      </c>
      <c r="X1741" s="172" t="inlineStr">
        <is>
          <t>信银理财</t>
        </is>
      </c>
      <c r="Y1741" s="191" t="n">
        <v>1.97</v>
      </c>
    </row>
    <row r="1742">
      <c r="A1742" s="172" t="n">
        <v>96</v>
      </c>
      <c r="B1742" s="172" t="inlineStr">
        <is>
          <t>6月</t>
        </is>
      </c>
      <c r="C1742" s="172" t="inlineStr">
        <is>
          <t>企金</t>
        </is>
      </c>
      <c r="D1742" s="172" t="inlineStr">
        <is>
          <t>保理</t>
        </is>
      </c>
      <c r="E1742" s="172" t="inlineStr">
        <is>
          <t>京诚14-12</t>
        </is>
      </c>
      <c r="F1742" s="172" t="inlineStr">
        <is>
          <t>上交所</t>
        </is>
      </c>
      <c r="G1742" s="172" t="inlineStr">
        <is>
          <t>中信证券</t>
        </is>
      </c>
      <c r="H1742" s="172" t="inlineStr">
        <is>
          <t>光大证券</t>
        </is>
      </c>
      <c r="I1742" s="172" t="inlineStr">
        <is>
          <t>华夏北分</t>
        </is>
      </c>
      <c r="J1742" s="172" t="n">
        <v>10</v>
      </c>
      <c r="K1742" s="172" t="inlineStr">
        <is>
          <t>2+4</t>
        </is>
      </c>
      <c r="L1742" s="202" t="n">
        <v>46196</v>
      </c>
      <c r="M1742" s="175" t="n">
        <v>0.01488</v>
      </c>
      <c r="N1742" s="176" t="n">
        <v>0.0162</v>
      </c>
      <c r="O1742" s="191" t="n">
        <v>2.65</v>
      </c>
      <c r="P1742" s="172" t="inlineStr">
        <is>
          <t>优先级</t>
        </is>
      </c>
      <c r="Q1742" s="175" t="n">
        <v>0.99</v>
      </c>
      <c r="R1742" s="192" t="n">
        <v>9.9</v>
      </c>
      <c r="S1742" s="172" t="inlineStr">
        <is>
          <t>AAA</t>
        </is>
      </c>
      <c r="T1742" s="175" t="n">
        <v>0.0155</v>
      </c>
      <c r="U1742" s="172" t="inlineStr">
        <is>
          <t>民生理财</t>
        </is>
      </c>
      <c r="V1742" s="191" t="n">
        <v>2.97</v>
      </c>
      <c r="W1742" s="175" t="n">
        <v>0.015</v>
      </c>
      <c r="X1742" s="172" t="inlineStr">
        <is>
          <t>民生理财</t>
        </is>
      </c>
      <c r="Y1742" s="191" t="n">
        <v>2.97</v>
      </c>
    </row>
    <row r="1743">
      <c r="A1743" s="172" t="n">
        <v>96</v>
      </c>
      <c r="B1743" s="172" t="inlineStr">
        <is>
          <t>6月</t>
        </is>
      </c>
      <c r="C1743" s="172" t="inlineStr">
        <is>
          <t>企金</t>
        </is>
      </c>
      <c r="D1743" s="172" t="inlineStr">
        <is>
          <t>保理</t>
        </is>
      </c>
      <c r="E1743" s="172" t="inlineStr">
        <is>
          <t>京诚14-12</t>
        </is>
      </c>
      <c r="F1743" s="172" t="inlineStr">
        <is>
          <t>上交所</t>
        </is>
      </c>
      <c r="G1743" s="172" t="inlineStr">
        <is>
          <t>中信证券</t>
        </is>
      </c>
      <c r="H1743" s="172" t="inlineStr">
        <is>
          <t>光大证券</t>
        </is>
      </c>
      <c r="I1743" s="172" t="inlineStr">
        <is>
          <t>华夏北分</t>
        </is>
      </c>
      <c r="J1743" s="172" t="n">
        <v>10</v>
      </c>
      <c r="K1743" s="172" t="inlineStr">
        <is>
          <t>2+4</t>
        </is>
      </c>
      <c r="L1743" s="202" t="n">
        <v>46196</v>
      </c>
      <c r="M1743" s="175" t="n">
        <v>0.01488</v>
      </c>
      <c r="N1743" s="176" t="n">
        <v>0.0162</v>
      </c>
      <c r="O1743" s="191" t="n">
        <v>2.65</v>
      </c>
      <c r="P1743" s="172" t="inlineStr">
        <is>
          <t>优先级</t>
        </is>
      </c>
      <c r="Q1743" s="175" t="n">
        <v>0.99</v>
      </c>
      <c r="R1743" s="192" t="n">
        <v>9.9</v>
      </c>
      <c r="S1743" s="172" t="inlineStr">
        <is>
          <t>AAA</t>
        </is>
      </c>
      <c r="T1743" s="175" t="n">
        <v>0.0155</v>
      </c>
      <c r="U1743" s="172" t="inlineStr">
        <is>
          <t>浦银理财</t>
        </is>
      </c>
      <c r="V1743" s="191" t="n">
        <v>1.92</v>
      </c>
      <c r="W1743" s="175" t="n">
        <v>0.0155</v>
      </c>
      <c r="X1743" s="172" t="inlineStr">
        <is>
          <t>浦银理财</t>
        </is>
      </c>
      <c r="Y1743" s="191" t="n">
        <v>2.76</v>
      </c>
    </row>
    <row r="1744">
      <c r="A1744" s="172" t="n">
        <v>96</v>
      </c>
      <c r="B1744" s="172" t="inlineStr">
        <is>
          <t>6月</t>
        </is>
      </c>
      <c r="C1744" s="172" t="inlineStr">
        <is>
          <t>企金</t>
        </is>
      </c>
      <c r="D1744" s="172" t="inlineStr">
        <is>
          <t>保理</t>
        </is>
      </c>
      <c r="E1744" s="172" t="inlineStr">
        <is>
          <t>京诚14-12</t>
        </is>
      </c>
      <c r="F1744" s="172" t="inlineStr">
        <is>
          <t>上交所</t>
        </is>
      </c>
      <c r="G1744" s="172" t="inlineStr">
        <is>
          <t>中信证券</t>
        </is>
      </c>
      <c r="H1744" s="172" t="inlineStr">
        <is>
          <t>光大证券</t>
        </is>
      </c>
      <c r="I1744" s="172" t="inlineStr">
        <is>
          <t>华夏北分</t>
        </is>
      </c>
      <c r="J1744" s="172" t="n">
        <v>10</v>
      </c>
      <c r="K1744" s="172" t="inlineStr">
        <is>
          <t>2+4</t>
        </is>
      </c>
      <c r="L1744" s="202" t="n">
        <v>46196</v>
      </c>
      <c r="M1744" s="175" t="n">
        <v>0.01488</v>
      </c>
      <c r="N1744" s="176" t="n">
        <v>0.0162</v>
      </c>
      <c r="O1744" s="191" t="n">
        <v>2.65</v>
      </c>
      <c r="P1744" s="172" t="inlineStr">
        <is>
          <t>优先级</t>
        </is>
      </c>
      <c r="Q1744" s="175" t="n">
        <v>0.99</v>
      </c>
      <c r="R1744" s="192" t="n">
        <v>9.9</v>
      </c>
      <c r="S1744" s="172" t="inlineStr">
        <is>
          <t>AAA</t>
        </is>
      </c>
      <c r="T1744" s="175" t="n">
        <v>0.0155</v>
      </c>
      <c r="U1744" s="172" t="inlineStr">
        <is>
          <t>工银理财</t>
        </is>
      </c>
      <c r="V1744" s="191" t="n">
        <v>1.35</v>
      </c>
      <c r="W1744" s="175" t="n">
        <v>0.0154</v>
      </c>
      <c r="X1744" s="172" t="inlineStr">
        <is>
          <t>工银理财</t>
        </is>
      </c>
      <c r="Y1744" s="191" t="n">
        <v>1</v>
      </c>
    </row>
    <row r="1745">
      <c r="A1745" s="172" t="n">
        <v>96</v>
      </c>
      <c r="B1745" s="172" t="inlineStr">
        <is>
          <t>6月</t>
        </is>
      </c>
      <c r="C1745" s="172" t="inlineStr">
        <is>
          <t>企金</t>
        </is>
      </c>
      <c r="D1745" s="172" t="inlineStr">
        <is>
          <t>保理</t>
        </is>
      </c>
      <c r="E1745" s="172" t="inlineStr">
        <is>
          <t>京诚14-12</t>
        </is>
      </c>
      <c r="F1745" s="172" t="inlineStr">
        <is>
          <t>上交所</t>
        </is>
      </c>
      <c r="G1745" s="172" t="inlineStr">
        <is>
          <t>中信证券</t>
        </is>
      </c>
      <c r="H1745" s="172" t="inlineStr">
        <is>
          <t>光大证券</t>
        </is>
      </c>
      <c r="I1745" s="172" t="inlineStr">
        <is>
          <t>华夏北分</t>
        </is>
      </c>
      <c r="J1745" s="172" t="n">
        <v>10</v>
      </c>
      <c r="K1745" s="172" t="inlineStr">
        <is>
          <t>2+4</t>
        </is>
      </c>
      <c r="L1745" s="200" t="n">
        <v>46196</v>
      </c>
      <c r="M1745" s="175" t="n">
        <v>0.01488</v>
      </c>
      <c r="N1745" s="176" t="n">
        <v>0.0162</v>
      </c>
      <c r="O1745" s="172" t="n">
        <v>2.65</v>
      </c>
      <c r="P1745" s="172" t="inlineStr">
        <is>
          <t>优先级</t>
        </is>
      </c>
      <c r="Q1745" s="175" t="n">
        <v>0.99</v>
      </c>
      <c r="R1745" s="192" t="n">
        <v>9.9</v>
      </c>
      <c r="S1745" s="172" t="inlineStr">
        <is>
          <t>AAA</t>
        </is>
      </c>
      <c r="T1745" s="175" t="n">
        <v>0.0155</v>
      </c>
      <c r="U1745" s="172" t="n"/>
      <c r="V1745" s="172" t="n"/>
      <c r="W1745" s="175" t="n">
        <v>0.0155</v>
      </c>
      <c r="X1745" s="172" t="inlineStr">
        <is>
          <t>工银理财</t>
        </is>
      </c>
      <c r="Y1745" s="191" t="n">
        <v>0.5</v>
      </c>
    </row>
    <row r="1746">
      <c r="A1746" s="172" t="n">
        <v>96</v>
      </c>
      <c r="B1746" s="172" t="inlineStr">
        <is>
          <t>6月</t>
        </is>
      </c>
      <c r="C1746" s="172" t="inlineStr">
        <is>
          <t>企金</t>
        </is>
      </c>
      <c r="D1746" s="172" t="inlineStr">
        <is>
          <t>保理</t>
        </is>
      </c>
      <c r="E1746" s="172" t="inlineStr">
        <is>
          <t>京诚14-12</t>
        </is>
      </c>
      <c r="F1746" s="172" t="inlineStr">
        <is>
          <t>上交所</t>
        </is>
      </c>
      <c r="G1746" s="172" t="inlineStr">
        <is>
          <t>中信证券</t>
        </is>
      </c>
      <c r="H1746" s="172" t="inlineStr">
        <is>
          <t>光大证券</t>
        </is>
      </c>
      <c r="I1746" s="172" t="inlineStr">
        <is>
          <t>华夏北分</t>
        </is>
      </c>
      <c r="J1746" s="172" t="n">
        <v>10</v>
      </c>
      <c r="K1746" s="172" t="inlineStr">
        <is>
          <t>2+4</t>
        </is>
      </c>
      <c r="L1746" s="200" t="n">
        <v>46196</v>
      </c>
      <c r="M1746" s="175" t="n">
        <v>0.01488</v>
      </c>
      <c r="N1746" s="176" t="n">
        <v>0.0162</v>
      </c>
      <c r="O1746" s="172" t="n">
        <v>2.65</v>
      </c>
      <c r="P1746" s="172" t="inlineStr">
        <is>
          <t>优先级</t>
        </is>
      </c>
      <c r="Q1746" s="175" t="n">
        <v>0.99</v>
      </c>
      <c r="R1746" s="192" t="n">
        <v>9.9</v>
      </c>
      <c r="S1746" s="172" t="inlineStr">
        <is>
          <t>AAA</t>
        </is>
      </c>
      <c r="T1746" s="175" t="n">
        <v>0.0155</v>
      </c>
      <c r="U1746" s="172" t="n"/>
      <c r="V1746" s="172" t="n"/>
      <c r="W1746" s="175" t="n">
        <v>0.0158</v>
      </c>
      <c r="X1746" s="172" t="inlineStr">
        <is>
          <t>工银理财</t>
        </is>
      </c>
      <c r="Y1746" s="191" t="n">
        <v>0.5</v>
      </c>
    </row>
    <row r="1747">
      <c r="A1747" s="172" t="n">
        <v>96</v>
      </c>
      <c r="B1747" s="172" t="inlineStr">
        <is>
          <t>6月</t>
        </is>
      </c>
      <c r="C1747" s="172" t="inlineStr">
        <is>
          <t>企金</t>
        </is>
      </c>
      <c r="D1747" s="172" t="inlineStr">
        <is>
          <t>保理</t>
        </is>
      </c>
      <c r="E1747" s="172" t="inlineStr">
        <is>
          <t>京诚14-12</t>
        </is>
      </c>
      <c r="F1747" s="172" t="inlineStr">
        <is>
          <t>上交所</t>
        </is>
      </c>
      <c r="G1747" s="172" t="inlineStr">
        <is>
          <t>中信证券</t>
        </is>
      </c>
      <c r="H1747" s="172" t="inlineStr">
        <is>
          <t>光大证券</t>
        </is>
      </c>
      <c r="I1747" s="172" t="inlineStr">
        <is>
          <t>华夏北分</t>
        </is>
      </c>
      <c r="J1747" s="172" t="n">
        <v>10</v>
      </c>
      <c r="K1747" s="172" t="inlineStr">
        <is>
          <t>2+4</t>
        </is>
      </c>
      <c r="L1747" s="202" t="n">
        <v>46196</v>
      </c>
      <c r="M1747" s="175" t="n">
        <v>0.01488</v>
      </c>
      <c r="N1747" s="176" t="n">
        <v>0.0162</v>
      </c>
      <c r="O1747" s="191" t="n">
        <v>2.65</v>
      </c>
      <c r="P1747" s="172" t="inlineStr">
        <is>
          <t>优先级</t>
        </is>
      </c>
      <c r="Q1747" s="175" t="n">
        <v>0.99</v>
      </c>
      <c r="R1747" s="192" t="n">
        <v>9.9</v>
      </c>
      <c r="S1747" s="172" t="inlineStr">
        <is>
          <t>AAA</t>
        </is>
      </c>
      <c r="T1747" s="175" t="n">
        <v>0.0155</v>
      </c>
      <c r="U1747" s="172" t="inlineStr">
        <is>
          <t>光大理财</t>
        </is>
      </c>
      <c r="V1747" s="191" t="n">
        <v>0.6899999999999999</v>
      </c>
      <c r="W1747" s="175" t="n">
        <v>0.0155</v>
      </c>
      <c r="X1747" s="172" t="inlineStr">
        <is>
          <t>光大理财</t>
        </is>
      </c>
      <c r="Y1747" s="191" t="n">
        <v>1</v>
      </c>
    </row>
    <row r="1748">
      <c r="A1748" s="172" t="n">
        <v>96</v>
      </c>
      <c r="B1748" s="172" t="inlineStr">
        <is>
          <t>6月</t>
        </is>
      </c>
      <c r="C1748" s="172" t="inlineStr">
        <is>
          <t>企金</t>
        </is>
      </c>
      <c r="D1748" s="172" t="inlineStr">
        <is>
          <t>保理</t>
        </is>
      </c>
      <c r="E1748" s="172" t="inlineStr">
        <is>
          <t>京诚14-12</t>
        </is>
      </c>
      <c r="F1748" s="172" t="inlineStr">
        <is>
          <t>上交所</t>
        </is>
      </c>
      <c r="G1748" s="172" t="inlineStr">
        <is>
          <t>中信证券</t>
        </is>
      </c>
      <c r="H1748" s="172" t="inlineStr">
        <is>
          <t>光大证券</t>
        </is>
      </c>
      <c r="I1748" s="172" t="inlineStr">
        <is>
          <t>华夏北分</t>
        </is>
      </c>
      <c r="J1748" s="172" t="n">
        <v>10</v>
      </c>
      <c r="K1748" s="172" t="inlineStr">
        <is>
          <t>2+4</t>
        </is>
      </c>
      <c r="L1748" s="200" t="n">
        <v>46196</v>
      </c>
      <c r="M1748" s="175" t="n">
        <v>0.01488</v>
      </c>
      <c r="N1748" s="176" t="n">
        <v>0.0162</v>
      </c>
      <c r="O1748" s="172" t="n">
        <v>2.65</v>
      </c>
      <c r="P1748" s="172" t="inlineStr">
        <is>
          <t>优先级</t>
        </is>
      </c>
      <c r="Q1748" s="175" t="n">
        <v>0.99</v>
      </c>
      <c r="R1748" s="192" t="n">
        <v>9.9</v>
      </c>
      <c r="S1748" s="172" t="inlineStr">
        <is>
          <t>AAA</t>
        </is>
      </c>
      <c r="T1748" s="175" t="n">
        <v>0.0155</v>
      </c>
      <c r="U1748" s="172" t="n"/>
      <c r="V1748" s="172" t="n"/>
      <c r="W1748" s="175" t="n">
        <v>0.0157</v>
      </c>
      <c r="X1748" s="172" t="inlineStr">
        <is>
          <t>兴银理财</t>
        </is>
      </c>
      <c r="Y1748" s="191" t="n">
        <v>2.47</v>
      </c>
    </row>
    <row r="1749">
      <c r="A1749" s="172" t="n">
        <v>96</v>
      </c>
      <c r="B1749" s="172" t="inlineStr">
        <is>
          <t>6月</t>
        </is>
      </c>
      <c r="C1749" s="172" t="inlineStr">
        <is>
          <t>企金</t>
        </is>
      </c>
      <c r="D1749" s="172" t="inlineStr">
        <is>
          <t>保理</t>
        </is>
      </c>
      <c r="E1749" s="172" t="inlineStr">
        <is>
          <t>京诚14-12</t>
        </is>
      </c>
      <c r="F1749" s="172" t="inlineStr">
        <is>
          <t>上交所</t>
        </is>
      </c>
      <c r="G1749" s="172" t="inlineStr">
        <is>
          <t>中信证券</t>
        </is>
      </c>
      <c r="H1749" s="172" t="inlineStr">
        <is>
          <t>光大证券</t>
        </is>
      </c>
      <c r="I1749" s="172" t="inlineStr">
        <is>
          <t>华夏北分</t>
        </is>
      </c>
      <c r="J1749" s="172" t="n">
        <v>10</v>
      </c>
      <c r="K1749" s="172" t="inlineStr">
        <is>
          <t>2+4</t>
        </is>
      </c>
      <c r="L1749" s="200" t="n">
        <v>46196</v>
      </c>
      <c r="M1749" s="175" t="n">
        <v>0.01488</v>
      </c>
      <c r="N1749" s="176" t="n">
        <v>0.0162</v>
      </c>
      <c r="O1749" s="172" t="n">
        <v>2.65</v>
      </c>
      <c r="P1749" s="172" t="inlineStr">
        <is>
          <t>优先级</t>
        </is>
      </c>
      <c r="Q1749" s="175" t="n">
        <v>0.99</v>
      </c>
      <c r="R1749" s="192" t="n">
        <v>9.9</v>
      </c>
      <c r="S1749" s="172" t="inlineStr">
        <is>
          <t>AAA</t>
        </is>
      </c>
      <c r="T1749" s="175" t="n">
        <v>0.0155</v>
      </c>
      <c r="U1749" s="172" t="n"/>
      <c r="V1749" s="172" t="n"/>
      <c r="W1749" s="175" t="n">
        <v>0.0157</v>
      </c>
      <c r="X1749" s="172" t="inlineStr">
        <is>
          <t>建信理财</t>
        </is>
      </c>
      <c r="Y1749" s="191" t="n">
        <v>0.9</v>
      </c>
    </row>
    <row r="1750">
      <c r="A1750" s="172" t="n">
        <v>96</v>
      </c>
      <c r="B1750" s="172" t="inlineStr">
        <is>
          <t>6月</t>
        </is>
      </c>
      <c r="C1750" s="172" t="inlineStr">
        <is>
          <t>企金</t>
        </is>
      </c>
      <c r="D1750" s="172" t="inlineStr">
        <is>
          <t>保理</t>
        </is>
      </c>
      <c r="E1750" s="172" t="inlineStr">
        <is>
          <t>京诚14-12</t>
        </is>
      </c>
      <c r="F1750" s="172" t="inlineStr">
        <is>
          <t>上交所</t>
        </is>
      </c>
      <c r="G1750" s="172" t="inlineStr">
        <is>
          <t>中信证券</t>
        </is>
      </c>
      <c r="H1750" s="172" t="inlineStr">
        <is>
          <t>光大证券</t>
        </is>
      </c>
      <c r="I1750" s="172" t="inlineStr">
        <is>
          <t>华夏北分</t>
        </is>
      </c>
      <c r="J1750" s="172" t="n">
        <v>10</v>
      </c>
      <c r="K1750" s="172" t="inlineStr">
        <is>
          <t>2+4</t>
        </is>
      </c>
      <c r="L1750" s="200" t="n">
        <v>46196</v>
      </c>
      <c r="M1750" s="175" t="n">
        <v>0.01488</v>
      </c>
      <c r="N1750" s="176" t="n">
        <v>0.0162</v>
      </c>
      <c r="O1750" s="172" t="n">
        <v>2.65</v>
      </c>
      <c r="P1750" s="172" t="inlineStr">
        <is>
          <t>优先级</t>
        </is>
      </c>
      <c r="Q1750" s="175" t="n">
        <v>0.99</v>
      </c>
      <c r="R1750" s="192" t="n">
        <v>9.9</v>
      </c>
      <c r="S1750" s="172" t="inlineStr">
        <is>
          <t>AAA</t>
        </is>
      </c>
      <c r="T1750" s="175" t="n">
        <v>0.0155</v>
      </c>
      <c r="U1750" s="172" t="n"/>
      <c r="V1750" s="172" t="n"/>
      <c r="W1750" s="175" t="n">
        <v>0.0158</v>
      </c>
      <c r="X1750" s="172" t="inlineStr">
        <is>
          <t>杭银理财</t>
        </is>
      </c>
      <c r="Y1750" s="191" t="n">
        <v>0.99</v>
      </c>
    </row>
    <row r="1751">
      <c r="A1751" s="172" t="n">
        <v>96</v>
      </c>
      <c r="B1751" s="172" t="inlineStr">
        <is>
          <t>6月</t>
        </is>
      </c>
      <c r="C1751" s="172" t="inlineStr">
        <is>
          <t>企金</t>
        </is>
      </c>
      <c r="D1751" s="172" t="inlineStr">
        <is>
          <t>保理</t>
        </is>
      </c>
      <c r="E1751" s="172" t="inlineStr">
        <is>
          <t>京诚14-12</t>
        </is>
      </c>
      <c r="F1751" s="172" t="inlineStr">
        <is>
          <t>上交所</t>
        </is>
      </c>
      <c r="G1751" s="172" t="inlineStr">
        <is>
          <t>中信证券</t>
        </is>
      </c>
      <c r="H1751" s="172" t="inlineStr">
        <is>
          <t>光大证券</t>
        </is>
      </c>
      <c r="I1751" s="172" t="inlineStr">
        <is>
          <t>华夏北分</t>
        </is>
      </c>
      <c r="J1751" s="172" t="n">
        <v>10</v>
      </c>
      <c r="K1751" s="172" t="inlineStr">
        <is>
          <t>2+4</t>
        </is>
      </c>
      <c r="L1751" s="200" t="n">
        <v>46196</v>
      </c>
      <c r="M1751" s="175" t="n">
        <v>0.01488</v>
      </c>
      <c r="N1751" s="176" t="n">
        <v>0.0162</v>
      </c>
      <c r="O1751" s="172" t="n">
        <v>2.65</v>
      </c>
      <c r="P1751" s="172" t="inlineStr">
        <is>
          <t>优先级</t>
        </is>
      </c>
      <c r="Q1751" s="175" t="n">
        <v>0.99</v>
      </c>
      <c r="R1751" s="192" t="n">
        <v>9.9</v>
      </c>
      <c r="S1751" s="172" t="inlineStr">
        <is>
          <t>AAA</t>
        </is>
      </c>
      <c r="T1751" s="175" t="n">
        <v>0.0155</v>
      </c>
      <c r="U1751" s="172" t="n"/>
      <c r="V1751" s="172" t="n"/>
      <c r="W1751" s="175" t="n">
        <v>0.016</v>
      </c>
      <c r="X1751" s="172" t="inlineStr">
        <is>
          <t>中信证券（投行上报)</t>
        </is>
      </c>
      <c r="Y1751" s="191" t="n">
        <v>1.4</v>
      </c>
    </row>
    <row r="1752">
      <c r="A1752" s="172" t="n">
        <v>96</v>
      </c>
      <c r="B1752" s="172" t="inlineStr">
        <is>
          <t>6月</t>
        </is>
      </c>
      <c r="C1752" s="172" t="inlineStr">
        <is>
          <t>企金</t>
        </is>
      </c>
      <c r="D1752" s="172" t="inlineStr">
        <is>
          <t>保理</t>
        </is>
      </c>
      <c r="E1752" s="172" t="inlineStr">
        <is>
          <t>京诚14-12</t>
        </is>
      </c>
      <c r="F1752" s="172" t="inlineStr">
        <is>
          <t>上交所</t>
        </is>
      </c>
      <c r="G1752" s="172" t="inlineStr">
        <is>
          <t>中信证券</t>
        </is>
      </c>
      <c r="H1752" s="172" t="inlineStr">
        <is>
          <t>光大证券</t>
        </is>
      </c>
      <c r="I1752" s="172" t="inlineStr">
        <is>
          <t>华夏北分</t>
        </is>
      </c>
      <c r="J1752" s="172" t="n">
        <v>10</v>
      </c>
      <c r="K1752" s="172" t="inlineStr">
        <is>
          <t>2+4</t>
        </is>
      </c>
      <c r="L1752" s="200" t="n">
        <v>46196</v>
      </c>
      <c r="M1752" s="175" t="n">
        <v>0.01488</v>
      </c>
      <c r="N1752" s="176" t="n">
        <v>0.0162</v>
      </c>
      <c r="O1752" s="172" t="n">
        <v>2.65</v>
      </c>
      <c r="P1752" s="172" t="inlineStr">
        <is>
          <t>优先级</t>
        </is>
      </c>
      <c r="Q1752" s="175" t="n">
        <v>0.99</v>
      </c>
      <c r="R1752" s="192" t="n">
        <v>9.9</v>
      </c>
      <c r="S1752" s="172" t="inlineStr">
        <is>
          <t>AAA</t>
        </is>
      </c>
      <c r="T1752" s="175" t="n">
        <v>0.0155</v>
      </c>
      <c r="U1752" s="172" t="n"/>
      <c r="V1752" s="172" t="n"/>
      <c r="W1752" s="175" t="n">
        <v>0.016</v>
      </c>
      <c r="X1752" s="172" t="inlineStr">
        <is>
          <t>光大证券（投行上报）</t>
        </is>
      </c>
      <c r="Y1752" s="191" t="n">
        <v>1</v>
      </c>
    </row>
    <row r="1753">
      <c r="A1753" s="172" t="n">
        <v>96</v>
      </c>
      <c r="B1753" s="172" t="inlineStr">
        <is>
          <t>6月</t>
        </is>
      </c>
      <c r="C1753" s="172" t="inlineStr">
        <is>
          <t>企金</t>
        </is>
      </c>
      <c r="D1753" s="172" t="inlineStr">
        <is>
          <t>保理</t>
        </is>
      </c>
      <c r="E1753" s="172" t="inlineStr">
        <is>
          <t>京诚14-12</t>
        </is>
      </c>
      <c r="F1753" s="172" t="inlineStr">
        <is>
          <t>上交所</t>
        </is>
      </c>
      <c r="G1753" s="172" t="inlineStr">
        <is>
          <t>中信证券</t>
        </is>
      </c>
      <c r="H1753" s="172" t="inlineStr">
        <is>
          <t>光大证券</t>
        </is>
      </c>
      <c r="I1753" s="172" t="inlineStr">
        <is>
          <t>华夏北分</t>
        </is>
      </c>
      <c r="J1753" s="172" t="n">
        <v>10</v>
      </c>
      <c r="K1753" s="172" t="inlineStr">
        <is>
          <t>2+4</t>
        </is>
      </c>
      <c r="L1753" s="200" t="n">
        <v>46196</v>
      </c>
      <c r="M1753" s="175" t="n">
        <v>0.01488</v>
      </c>
      <c r="N1753" s="176" t="n">
        <v>0.0162</v>
      </c>
      <c r="O1753" s="172" t="n">
        <v>2.65</v>
      </c>
      <c r="P1753" s="172" t="inlineStr">
        <is>
          <t>优先级</t>
        </is>
      </c>
      <c r="Q1753" s="175" t="n">
        <v>0.99</v>
      </c>
      <c r="R1753" s="192" t="n">
        <v>9.9</v>
      </c>
      <c r="S1753" s="172" t="inlineStr">
        <is>
          <t>AAA</t>
        </is>
      </c>
      <c r="T1753" s="175" t="n">
        <v>0.0155</v>
      </c>
      <c r="U1753" s="172" t="n"/>
      <c r="V1753" s="172" t="n"/>
      <c r="W1753" s="175" t="n">
        <v>0.016</v>
      </c>
      <c r="X1753" s="172" t="inlineStr">
        <is>
          <t>交银理财</t>
        </is>
      </c>
      <c r="Y1753" s="191" t="n">
        <v>0.5</v>
      </c>
    </row>
    <row r="1754">
      <c r="A1754" s="172" t="n">
        <v>96</v>
      </c>
      <c r="B1754" s="172" t="inlineStr">
        <is>
          <t>6月</t>
        </is>
      </c>
      <c r="C1754" s="172" t="inlineStr">
        <is>
          <t>企金</t>
        </is>
      </c>
      <c r="D1754" s="172" t="inlineStr">
        <is>
          <t>保理</t>
        </is>
      </c>
      <c r="E1754" s="172" t="inlineStr">
        <is>
          <t>京诚14-12</t>
        </is>
      </c>
      <c r="F1754" s="172" t="inlineStr">
        <is>
          <t>上交所</t>
        </is>
      </c>
      <c r="G1754" s="172" t="inlineStr">
        <is>
          <t>中信证券</t>
        </is>
      </c>
      <c r="H1754" s="172" t="inlineStr">
        <is>
          <t>光大证券</t>
        </is>
      </c>
      <c r="I1754" s="172" t="inlineStr">
        <is>
          <t>华夏北分</t>
        </is>
      </c>
      <c r="J1754" s="172" t="n">
        <v>10</v>
      </c>
      <c r="K1754" s="172" t="inlineStr">
        <is>
          <t>2+4</t>
        </is>
      </c>
      <c r="L1754" s="200" t="n">
        <v>46196</v>
      </c>
      <c r="M1754" s="175" t="n">
        <v>0.01488</v>
      </c>
      <c r="N1754" s="176" t="n">
        <v>0.0162</v>
      </c>
      <c r="O1754" s="172" t="n">
        <v>2.65</v>
      </c>
      <c r="P1754" s="172" t="inlineStr">
        <is>
          <t>优先级</t>
        </is>
      </c>
      <c r="Q1754" s="175" t="n">
        <v>0.99</v>
      </c>
      <c r="R1754" s="192" t="n">
        <v>9.9</v>
      </c>
      <c r="S1754" s="172" t="inlineStr">
        <is>
          <t>AAA</t>
        </is>
      </c>
      <c r="T1754" s="175" t="n">
        <v>0.0155</v>
      </c>
      <c r="U1754" s="172" t="n"/>
      <c r="V1754" s="172" t="n"/>
      <c r="W1754" s="175" t="n">
        <v>0.016</v>
      </c>
      <c r="X1754" s="172" t="inlineStr">
        <is>
          <t>中银理财</t>
        </is>
      </c>
      <c r="Y1754" s="191" t="n">
        <v>1</v>
      </c>
    </row>
    <row r="1755">
      <c r="A1755" s="172" t="n">
        <v>96</v>
      </c>
      <c r="B1755" s="172" t="inlineStr">
        <is>
          <t>6月</t>
        </is>
      </c>
      <c r="C1755" s="172" t="inlineStr">
        <is>
          <t>企金</t>
        </is>
      </c>
      <c r="D1755" s="172" t="inlineStr">
        <is>
          <t>保理</t>
        </is>
      </c>
      <c r="E1755" s="172" t="inlineStr">
        <is>
          <t>京诚14-12</t>
        </is>
      </c>
      <c r="F1755" s="172" t="inlineStr">
        <is>
          <t>上交所</t>
        </is>
      </c>
      <c r="G1755" s="172" t="inlineStr">
        <is>
          <t>中信证券</t>
        </is>
      </c>
      <c r="H1755" s="172" t="inlineStr">
        <is>
          <t>光大证券</t>
        </is>
      </c>
      <c r="I1755" s="172" t="inlineStr">
        <is>
          <t>华夏北分</t>
        </is>
      </c>
      <c r="J1755" s="172" t="n">
        <v>10</v>
      </c>
      <c r="K1755" s="172" t="inlineStr">
        <is>
          <t>2+4</t>
        </is>
      </c>
      <c r="L1755" s="200" t="n">
        <v>46196</v>
      </c>
      <c r="M1755" s="175" t="n">
        <v>0.01488</v>
      </c>
      <c r="N1755" s="176" t="n">
        <v>0.0162</v>
      </c>
      <c r="O1755" s="172" t="n">
        <v>2.65</v>
      </c>
      <c r="P1755" s="172" t="inlineStr">
        <is>
          <t>优先级</t>
        </is>
      </c>
      <c r="Q1755" s="175" t="n">
        <v>0.99</v>
      </c>
      <c r="R1755" s="192" t="n">
        <v>9.9</v>
      </c>
      <c r="S1755" s="172" t="inlineStr">
        <is>
          <t>AAA</t>
        </is>
      </c>
      <c r="T1755" s="175" t="n">
        <v>0.0155</v>
      </c>
      <c r="U1755" s="172" t="n"/>
      <c r="V1755" s="172" t="n"/>
      <c r="W1755" s="175" t="n">
        <v>0.016</v>
      </c>
      <c r="X1755" s="172" t="inlineStr">
        <is>
          <t>中邮理财</t>
        </is>
      </c>
      <c r="Y1755" s="191" t="n">
        <v>0.3</v>
      </c>
    </row>
    <row r="1756">
      <c r="A1756" s="172" t="n">
        <v>96</v>
      </c>
      <c r="B1756" s="172" t="inlineStr">
        <is>
          <t>6月</t>
        </is>
      </c>
      <c r="C1756" s="172" t="inlineStr">
        <is>
          <t>企金</t>
        </is>
      </c>
      <c r="D1756" s="172" t="inlineStr">
        <is>
          <t>保理</t>
        </is>
      </c>
      <c r="E1756" s="172" t="inlineStr">
        <is>
          <t>京诚14-12</t>
        </is>
      </c>
      <c r="F1756" s="172" t="inlineStr">
        <is>
          <t>上交所</t>
        </is>
      </c>
      <c r="G1756" s="172" t="inlineStr">
        <is>
          <t>中信证券</t>
        </is>
      </c>
      <c r="H1756" s="172" t="inlineStr">
        <is>
          <t>光大证券</t>
        </is>
      </c>
      <c r="I1756" s="172" t="inlineStr">
        <is>
          <t>华夏北分</t>
        </is>
      </c>
      <c r="J1756" s="172" t="n">
        <v>10</v>
      </c>
      <c r="K1756" s="172" t="inlineStr">
        <is>
          <t>2+4</t>
        </is>
      </c>
      <c r="L1756" s="200" t="n">
        <v>46196</v>
      </c>
      <c r="M1756" s="175" t="n">
        <v>0.01488</v>
      </c>
      <c r="N1756" s="176" t="n">
        <v>0.0162</v>
      </c>
      <c r="O1756" s="172" t="n">
        <v>2.65</v>
      </c>
      <c r="P1756" s="172" t="inlineStr">
        <is>
          <t>优先级</t>
        </is>
      </c>
      <c r="Q1756" s="175" t="n">
        <v>0.99</v>
      </c>
      <c r="R1756" s="192" t="n">
        <v>9.9</v>
      </c>
      <c r="S1756" s="172" t="inlineStr">
        <is>
          <t>AAA</t>
        </is>
      </c>
      <c r="T1756" s="175" t="n">
        <v>0.0155</v>
      </c>
      <c r="U1756" s="172" t="n"/>
      <c r="V1756" s="172" t="n"/>
      <c r="W1756" s="175" t="n">
        <v>0.0162</v>
      </c>
      <c r="X1756" s="172" t="inlineStr">
        <is>
          <t>中邮理财</t>
        </is>
      </c>
      <c r="Y1756" s="191" t="n">
        <v>1.2</v>
      </c>
    </row>
    <row r="1757">
      <c r="A1757" s="172" t="n">
        <v>96</v>
      </c>
      <c r="B1757" s="172" t="inlineStr">
        <is>
          <t>6月</t>
        </is>
      </c>
      <c r="C1757" s="172" t="inlineStr">
        <is>
          <t>企金</t>
        </is>
      </c>
      <c r="D1757" s="172" t="inlineStr">
        <is>
          <t>保理</t>
        </is>
      </c>
      <c r="E1757" s="172" t="inlineStr">
        <is>
          <t>京诚14-12</t>
        </is>
      </c>
      <c r="F1757" s="172" t="inlineStr">
        <is>
          <t>上交所</t>
        </is>
      </c>
      <c r="G1757" s="172" t="inlineStr">
        <is>
          <t>中信证券</t>
        </is>
      </c>
      <c r="H1757" s="172" t="inlineStr">
        <is>
          <t>光大证券</t>
        </is>
      </c>
      <c r="I1757" s="172" t="inlineStr">
        <is>
          <t>华夏北分</t>
        </is>
      </c>
      <c r="J1757" s="172" t="n">
        <v>10</v>
      </c>
      <c r="K1757" s="172" t="inlineStr">
        <is>
          <t>2+4</t>
        </is>
      </c>
      <c r="L1757" s="200" t="n">
        <v>46196</v>
      </c>
      <c r="M1757" s="175" t="n">
        <v>0.01488</v>
      </c>
      <c r="N1757" s="176" t="n">
        <v>0.0162</v>
      </c>
      <c r="O1757" s="172" t="n">
        <v>2.65</v>
      </c>
      <c r="P1757" s="172" t="inlineStr">
        <is>
          <t>优先级</t>
        </is>
      </c>
      <c r="Q1757" s="175" t="n">
        <v>0.99</v>
      </c>
      <c r="R1757" s="192" t="n">
        <v>9.9</v>
      </c>
      <c r="S1757" s="172" t="inlineStr">
        <is>
          <t>AAA</t>
        </is>
      </c>
      <c r="T1757" s="175" t="n">
        <v>0.0155</v>
      </c>
      <c r="U1757" s="172" t="n"/>
      <c r="V1757" s="172" t="n"/>
      <c r="W1757" s="175" t="n">
        <v>0.0164</v>
      </c>
      <c r="X1757" s="172" t="inlineStr">
        <is>
          <t>中邮理财</t>
        </is>
      </c>
      <c r="Y1757" s="191" t="n">
        <v>1.47</v>
      </c>
    </row>
    <row r="1758">
      <c r="A1758" s="172" t="n">
        <v>96</v>
      </c>
      <c r="B1758" s="172" t="inlineStr">
        <is>
          <t>6月</t>
        </is>
      </c>
      <c r="C1758" s="172" t="inlineStr">
        <is>
          <t>企金</t>
        </is>
      </c>
      <c r="D1758" s="172" t="inlineStr">
        <is>
          <t>保理</t>
        </is>
      </c>
      <c r="E1758" s="172" t="inlineStr">
        <is>
          <t>京诚14-12</t>
        </is>
      </c>
      <c r="F1758" s="172" t="inlineStr">
        <is>
          <t>上交所</t>
        </is>
      </c>
      <c r="G1758" s="172" t="inlineStr">
        <is>
          <t>中信证券</t>
        </is>
      </c>
      <c r="H1758" s="172" t="inlineStr">
        <is>
          <t>光大证券</t>
        </is>
      </c>
      <c r="I1758" s="172" t="inlineStr">
        <is>
          <t>华夏北分</t>
        </is>
      </c>
      <c r="J1758" s="172" t="n">
        <v>10</v>
      </c>
      <c r="K1758" s="172" t="inlineStr">
        <is>
          <t>2+4</t>
        </is>
      </c>
      <c r="L1758" s="200" t="n">
        <v>46196</v>
      </c>
      <c r="M1758" s="175" t="n">
        <v>0.01488</v>
      </c>
      <c r="N1758" s="176" t="n">
        <v>0.0162</v>
      </c>
      <c r="O1758" s="172" t="n">
        <v>2.65</v>
      </c>
      <c r="P1758" s="172" t="inlineStr">
        <is>
          <t>优先级</t>
        </is>
      </c>
      <c r="Q1758" s="175" t="n">
        <v>0.99</v>
      </c>
      <c r="R1758" s="192" t="n">
        <v>9.9</v>
      </c>
      <c r="S1758" s="172" t="inlineStr">
        <is>
          <t>AAA</t>
        </is>
      </c>
      <c r="T1758" s="175" t="n">
        <v>0.0155</v>
      </c>
      <c r="U1758" s="172" t="n"/>
      <c r="V1758" s="172" t="n"/>
      <c r="W1758" s="175" t="n">
        <v>0.0162</v>
      </c>
      <c r="X1758" s="172" t="inlineStr">
        <is>
          <t>平安理财</t>
        </is>
      </c>
      <c r="Y1758" s="191" t="n">
        <v>1.29</v>
      </c>
    </row>
    <row r="1759">
      <c r="A1759" s="172" t="n">
        <v>96</v>
      </c>
      <c r="B1759" s="172" t="inlineStr">
        <is>
          <t>6月</t>
        </is>
      </c>
      <c r="C1759" s="172" t="inlineStr">
        <is>
          <t>企金</t>
        </is>
      </c>
      <c r="D1759" s="172" t="inlineStr">
        <is>
          <t>保理</t>
        </is>
      </c>
      <c r="E1759" s="172" t="inlineStr">
        <is>
          <t>京诚14-12</t>
        </is>
      </c>
      <c r="F1759" s="172" t="inlineStr">
        <is>
          <t>上交所</t>
        </is>
      </c>
      <c r="G1759" s="172" t="inlineStr">
        <is>
          <t>中信证券</t>
        </is>
      </c>
      <c r="H1759" s="172" t="inlineStr">
        <is>
          <t>光大证券</t>
        </is>
      </c>
      <c r="I1759" s="172" t="inlineStr">
        <is>
          <t>华夏北分</t>
        </is>
      </c>
      <c r="J1759" s="172" t="n">
        <v>10</v>
      </c>
      <c r="K1759" s="172" t="inlineStr">
        <is>
          <t>2+4</t>
        </is>
      </c>
      <c r="L1759" s="200" t="n">
        <v>46196</v>
      </c>
      <c r="M1759" s="175" t="n">
        <v>0.01488</v>
      </c>
      <c r="N1759" s="176" t="n">
        <v>0.0162</v>
      </c>
      <c r="O1759" s="172" t="n">
        <v>2.65</v>
      </c>
      <c r="P1759" s="172" t="inlineStr">
        <is>
          <t>优先级</t>
        </is>
      </c>
      <c r="Q1759" s="175" t="n">
        <v>0.99</v>
      </c>
      <c r="R1759" s="192" t="n">
        <v>9.9</v>
      </c>
      <c r="S1759" s="172" t="inlineStr">
        <is>
          <t>AAA</t>
        </is>
      </c>
      <c r="T1759" s="175" t="n">
        <v>0.0155</v>
      </c>
      <c r="U1759" s="172" t="n"/>
      <c r="V1759" s="172" t="n"/>
      <c r="W1759" s="175" t="n">
        <v>0.024</v>
      </c>
      <c r="X1759" s="172" t="inlineStr">
        <is>
          <t>上海利曦私募</t>
        </is>
      </c>
      <c r="Y1759" s="191" t="n">
        <v>2</v>
      </c>
    </row>
    <row r="1760">
      <c r="A1760" s="172" t="n">
        <v>96</v>
      </c>
      <c r="B1760" s="172" t="inlineStr">
        <is>
          <t>6月</t>
        </is>
      </c>
      <c r="C1760" s="172" t="inlineStr">
        <is>
          <t>企金</t>
        </is>
      </c>
      <c r="D1760" s="172" t="inlineStr">
        <is>
          <t>保理</t>
        </is>
      </c>
      <c r="E1760" s="172" t="inlineStr">
        <is>
          <t>京诚14-12</t>
        </is>
      </c>
      <c r="F1760" s="172" t="inlineStr">
        <is>
          <t>上交所</t>
        </is>
      </c>
      <c r="G1760" s="172" t="inlineStr">
        <is>
          <t>中信证券</t>
        </is>
      </c>
      <c r="H1760" s="172" t="inlineStr">
        <is>
          <t>光大证券</t>
        </is>
      </c>
      <c r="I1760" s="172" t="inlineStr">
        <is>
          <t>华夏北分</t>
        </is>
      </c>
      <c r="J1760" s="172" t="n">
        <v>10</v>
      </c>
      <c r="K1760" s="172" t="inlineStr">
        <is>
          <t>2+4</t>
        </is>
      </c>
      <c r="L1760" s="202" t="n">
        <v>46196</v>
      </c>
      <c r="M1760" s="175" t="n">
        <v>0.01488</v>
      </c>
      <c r="N1760" s="176" t="n">
        <v>0.0162</v>
      </c>
      <c r="O1760" s="191" t="n">
        <v>2.65</v>
      </c>
      <c r="P1760" s="172" t="inlineStr">
        <is>
          <t>次级</t>
        </is>
      </c>
      <c r="Q1760" s="175" t="n">
        <v>0.01</v>
      </c>
      <c r="R1760" s="192" t="n">
        <v>0.1</v>
      </c>
      <c r="S1760" s="175" t="inlineStr">
        <is>
          <t>无</t>
        </is>
      </c>
      <c r="T1760" s="175" t="n">
        <v>0.043</v>
      </c>
      <c r="U1760" s="172" t="inlineStr">
        <is>
          <t>利曦基金</t>
        </is>
      </c>
      <c r="V1760" s="191" t="n">
        <v>0.1</v>
      </c>
      <c r="W1760" s="172" t="n"/>
      <c r="X1760" s="172" t="n"/>
      <c r="Y1760" s="172" t="n"/>
    </row>
    <row r="1761">
      <c r="A1761" s="172" t="n">
        <v>97</v>
      </c>
      <c r="B1761" s="172" t="inlineStr">
        <is>
          <t>6月</t>
        </is>
      </c>
      <c r="C1761" s="172" t="inlineStr">
        <is>
          <t>企金</t>
        </is>
      </c>
      <c r="D1761" s="172" t="inlineStr">
        <is>
          <t>金采</t>
        </is>
      </c>
      <c r="E1761" s="172" t="inlineStr">
        <is>
          <t>金采8-4</t>
        </is>
      </c>
      <c r="F1761" s="172" t="inlineStr">
        <is>
          <t>上交所</t>
        </is>
      </c>
      <c r="G1761" s="172" t="inlineStr">
        <is>
          <t>招商证券</t>
        </is>
      </c>
      <c r="H1761" s="172" t="inlineStr">
        <is>
          <t>信达证券</t>
        </is>
      </c>
      <c r="I1761" s="172" t="inlineStr">
        <is>
          <t>民生北分</t>
        </is>
      </c>
      <c r="J1761" s="172" t="n">
        <v>10</v>
      </c>
      <c r="K1761" s="172" t="inlineStr">
        <is>
          <t>7+12</t>
        </is>
      </c>
      <c r="L1761" s="202" t="n">
        <v>46196</v>
      </c>
      <c r="M1761" s="175" t="n">
        <v>0.01488</v>
      </c>
      <c r="N1761" s="176" t="n">
        <v>0.0187</v>
      </c>
      <c r="O1761" s="191" t="n">
        <v>1.78</v>
      </c>
      <c r="P1761" s="172" t="inlineStr">
        <is>
          <t>优先级</t>
        </is>
      </c>
      <c r="Q1761" s="175" t="n">
        <v>0.9</v>
      </c>
      <c r="R1761" s="192" t="n">
        <v>9</v>
      </c>
      <c r="S1761" s="172" t="inlineStr">
        <is>
          <t>AAA</t>
        </is>
      </c>
      <c r="T1761" s="175" t="n">
        <v>0.016</v>
      </c>
      <c r="U1761" s="172" t="inlineStr">
        <is>
          <t>中邮理财</t>
        </is>
      </c>
      <c r="V1761" s="191" t="n">
        <v>2.6</v>
      </c>
      <c r="W1761" s="175" t="n">
        <v>0.016</v>
      </c>
      <c r="X1761" s="172" t="inlineStr">
        <is>
          <t>中邮理财</t>
        </is>
      </c>
      <c r="Y1761" s="191" t="n">
        <v>2.7</v>
      </c>
    </row>
    <row r="1762">
      <c r="A1762" s="172" t="n">
        <v>97</v>
      </c>
      <c r="B1762" s="172" t="inlineStr">
        <is>
          <t>6月</t>
        </is>
      </c>
      <c r="C1762" s="172" t="inlineStr">
        <is>
          <t>企金</t>
        </is>
      </c>
      <c r="D1762" s="172" t="inlineStr">
        <is>
          <t>金采</t>
        </is>
      </c>
      <c r="E1762" s="172" t="inlineStr">
        <is>
          <t>金采8-4</t>
        </is>
      </c>
      <c r="F1762" s="172" t="inlineStr">
        <is>
          <t>上交所</t>
        </is>
      </c>
      <c r="G1762" s="172" t="inlineStr">
        <is>
          <t>招商证券</t>
        </is>
      </c>
      <c r="H1762" s="172" t="inlineStr">
        <is>
          <t>信达证券</t>
        </is>
      </c>
      <c r="I1762" s="172" t="inlineStr">
        <is>
          <t>民生北分</t>
        </is>
      </c>
      <c r="J1762" s="172" t="n">
        <v>10</v>
      </c>
      <c r="K1762" s="172" t="inlineStr">
        <is>
          <t>7+12</t>
        </is>
      </c>
      <c r="L1762" s="202" t="n">
        <v>46196</v>
      </c>
      <c r="M1762" s="175" t="n">
        <v>0.01488</v>
      </c>
      <c r="N1762" s="176" t="n">
        <v>0.0187</v>
      </c>
      <c r="O1762" s="191" t="n">
        <v>1.78</v>
      </c>
      <c r="P1762" s="172" t="inlineStr">
        <is>
          <t>优先级</t>
        </is>
      </c>
      <c r="Q1762" s="175" t="n">
        <v>0.9</v>
      </c>
      <c r="R1762" s="192" t="n">
        <v>9</v>
      </c>
      <c r="S1762" s="172" t="inlineStr">
        <is>
          <t>AAA</t>
        </is>
      </c>
      <c r="T1762" s="175" t="n">
        <v>0.016</v>
      </c>
      <c r="U1762" s="172" t="inlineStr">
        <is>
          <t>民生理财</t>
        </is>
      </c>
      <c r="V1762" s="191" t="n">
        <v>2.7</v>
      </c>
      <c r="W1762" s="175" t="n">
        <v>0.0158</v>
      </c>
      <c r="X1762" s="172" t="inlineStr">
        <is>
          <t>民生理财</t>
        </is>
      </c>
      <c r="Y1762" s="191" t="n">
        <v>2.7</v>
      </c>
    </row>
    <row r="1763">
      <c r="A1763" s="172" t="n">
        <v>97</v>
      </c>
      <c r="B1763" s="172" t="inlineStr">
        <is>
          <t>6月</t>
        </is>
      </c>
      <c r="C1763" s="172" t="inlineStr">
        <is>
          <t>企金</t>
        </is>
      </c>
      <c r="D1763" s="172" t="inlineStr">
        <is>
          <t>金采</t>
        </is>
      </c>
      <c r="E1763" s="172" t="inlineStr">
        <is>
          <t>金采8-4</t>
        </is>
      </c>
      <c r="F1763" s="172" t="inlineStr">
        <is>
          <t>上交所</t>
        </is>
      </c>
      <c r="G1763" s="172" t="inlineStr">
        <is>
          <t>招商证券</t>
        </is>
      </c>
      <c r="H1763" s="172" t="inlineStr">
        <is>
          <t>信达证券</t>
        </is>
      </c>
      <c r="I1763" s="172" t="inlineStr">
        <is>
          <t>民生北分</t>
        </is>
      </c>
      <c r="J1763" s="172" t="n">
        <v>10</v>
      </c>
      <c r="K1763" s="172" t="inlineStr">
        <is>
          <t>7+12</t>
        </is>
      </c>
      <c r="L1763" s="202" t="n">
        <v>46196</v>
      </c>
      <c r="M1763" s="175" t="n">
        <v>0.01488</v>
      </c>
      <c r="N1763" s="176" t="n">
        <v>0.0187</v>
      </c>
      <c r="O1763" s="191" t="n">
        <v>1.78</v>
      </c>
      <c r="P1763" s="172" t="inlineStr">
        <is>
          <t>优先级</t>
        </is>
      </c>
      <c r="Q1763" s="175" t="n">
        <v>0.9</v>
      </c>
      <c r="R1763" s="192" t="n">
        <v>9</v>
      </c>
      <c r="S1763" s="172" t="inlineStr">
        <is>
          <t>AAA</t>
        </is>
      </c>
      <c r="T1763" s="175" t="n">
        <v>0.016</v>
      </c>
      <c r="U1763" s="172" t="inlineStr">
        <is>
          <t>交银理财</t>
        </is>
      </c>
      <c r="V1763" s="191" t="n">
        <v>0.95</v>
      </c>
      <c r="W1763" s="175" t="n">
        <v>0.016</v>
      </c>
      <c r="X1763" s="172" t="inlineStr">
        <is>
          <t>交银理财</t>
        </is>
      </c>
      <c r="Y1763" s="191" t="n">
        <v>1</v>
      </c>
    </row>
    <row r="1764">
      <c r="A1764" s="172" t="n">
        <v>97</v>
      </c>
      <c r="B1764" s="172" t="inlineStr">
        <is>
          <t>6月</t>
        </is>
      </c>
      <c r="C1764" s="172" t="inlineStr">
        <is>
          <t>企金</t>
        </is>
      </c>
      <c r="D1764" s="172" t="inlineStr">
        <is>
          <t>金采</t>
        </is>
      </c>
      <c r="E1764" s="172" t="inlineStr">
        <is>
          <t>金采8-4</t>
        </is>
      </c>
      <c r="F1764" s="172" t="inlineStr">
        <is>
          <t>上交所</t>
        </is>
      </c>
      <c r="G1764" s="172" t="inlineStr">
        <is>
          <t>招商证券</t>
        </is>
      </c>
      <c r="H1764" s="172" t="inlineStr">
        <is>
          <t>信达证券</t>
        </is>
      </c>
      <c r="I1764" s="172" t="inlineStr">
        <is>
          <t>民生北分</t>
        </is>
      </c>
      <c r="J1764" s="172" t="n">
        <v>10</v>
      </c>
      <c r="K1764" s="172" t="inlineStr">
        <is>
          <t>7+12</t>
        </is>
      </c>
      <c r="L1764" s="202" t="n">
        <v>46196</v>
      </c>
      <c r="M1764" s="175" t="n">
        <v>0.01488</v>
      </c>
      <c r="N1764" s="176" t="n">
        <v>0.0187</v>
      </c>
      <c r="O1764" s="191" t="n">
        <v>1.78</v>
      </c>
      <c r="P1764" s="172" t="inlineStr">
        <is>
          <t>优先级</t>
        </is>
      </c>
      <c r="Q1764" s="175" t="n">
        <v>0.9</v>
      </c>
      <c r="R1764" s="192" t="n">
        <v>9</v>
      </c>
      <c r="S1764" s="172" t="inlineStr">
        <is>
          <t>AAA</t>
        </is>
      </c>
      <c r="T1764" s="175" t="n">
        <v>0.016</v>
      </c>
      <c r="U1764" s="172" t="inlineStr">
        <is>
          <t>建信理财</t>
        </is>
      </c>
      <c r="V1764" s="191" t="n">
        <v>1.92</v>
      </c>
      <c r="W1764" s="172" t="n"/>
      <c r="X1764" s="172" t="n"/>
      <c r="Y1764" s="172" t="n"/>
    </row>
    <row r="1765">
      <c r="A1765" s="172" t="n">
        <v>97</v>
      </c>
      <c r="B1765" s="172" t="inlineStr">
        <is>
          <t>6月</t>
        </is>
      </c>
      <c r="C1765" s="172" t="inlineStr">
        <is>
          <t>企金</t>
        </is>
      </c>
      <c r="D1765" s="172" t="inlineStr">
        <is>
          <t>金采</t>
        </is>
      </c>
      <c r="E1765" s="172" t="inlineStr">
        <is>
          <t>金采8-4</t>
        </is>
      </c>
      <c r="F1765" s="172" t="inlineStr">
        <is>
          <t>上交所</t>
        </is>
      </c>
      <c r="G1765" s="172" t="inlineStr">
        <is>
          <t>招商证券</t>
        </is>
      </c>
      <c r="H1765" s="172" t="inlineStr">
        <is>
          <t>信达证券</t>
        </is>
      </c>
      <c r="I1765" s="172" t="inlineStr">
        <is>
          <t>民生北分</t>
        </is>
      </c>
      <c r="J1765" s="172" t="n">
        <v>10</v>
      </c>
      <c r="K1765" s="172" t="inlineStr">
        <is>
          <t>7+12</t>
        </is>
      </c>
      <c r="L1765" s="202" t="n">
        <v>46196</v>
      </c>
      <c r="M1765" s="175" t="n">
        <v>0.01488</v>
      </c>
      <c r="N1765" s="176" t="n">
        <v>0.0187</v>
      </c>
      <c r="O1765" s="191" t="n">
        <v>1.78</v>
      </c>
      <c r="P1765" s="172" t="inlineStr">
        <is>
          <t>优先级</t>
        </is>
      </c>
      <c r="Q1765" s="175" t="n">
        <v>0.9</v>
      </c>
      <c r="R1765" s="192" t="n">
        <v>9</v>
      </c>
      <c r="S1765" s="172" t="inlineStr">
        <is>
          <t>AAA</t>
        </is>
      </c>
      <c r="T1765" s="175" t="n">
        <v>0.016</v>
      </c>
      <c r="U1765" s="172" t="inlineStr">
        <is>
          <t>华夏基金</t>
        </is>
      </c>
      <c r="V1765" s="191" t="n">
        <v>0.38</v>
      </c>
      <c r="W1765" s="175" t="n">
        <v>0.016</v>
      </c>
      <c r="X1765" s="172" t="inlineStr">
        <is>
          <t>华夏基金</t>
        </is>
      </c>
      <c r="Y1765" s="191" t="n">
        <v>0.4</v>
      </c>
    </row>
    <row r="1766">
      <c r="A1766" s="172" t="n">
        <v>97</v>
      </c>
      <c r="B1766" s="172" t="inlineStr">
        <is>
          <t>6月</t>
        </is>
      </c>
      <c r="C1766" s="172" t="inlineStr">
        <is>
          <t>企金</t>
        </is>
      </c>
      <c r="D1766" s="172" t="inlineStr">
        <is>
          <t>金采</t>
        </is>
      </c>
      <c r="E1766" s="172" t="inlineStr">
        <is>
          <t>金采8-4</t>
        </is>
      </c>
      <c r="F1766" s="172" t="inlineStr">
        <is>
          <t>上交所</t>
        </is>
      </c>
      <c r="G1766" s="172" t="inlineStr">
        <is>
          <t>招商证券</t>
        </is>
      </c>
      <c r="H1766" s="172" t="inlineStr">
        <is>
          <t>信达证券</t>
        </is>
      </c>
      <c r="I1766" s="172" t="inlineStr">
        <is>
          <t>民生北分</t>
        </is>
      </c>
      <c r="J1766" s="172" t="n">
        <v>10</v>
      </c>
      <c r="K1766" s="172" t="inlineStr">
        <is>
          <t>7+12</t>
        </is>
      </c>
      <c r="L1766" s="202" t="n">
        <v>46196</v>
      </c>
      <c r="M1766" s="175" t="n">
        <v>0.01488</v>
      </c>
      <c r="N1766" s="176" t="n">
        <v>0.0187</v>
      </c>
      <c r="O1766" s="191" t="n">
        <v>1.78</v>
      </c>
      <c r="P1766" s="172" t="inlineStr">
        <is>
          <t>优先级</t>
        </is>
      </c>
      <c r="Q1766" s="175" t="n">
        <v>0.9</v>
      </c>
      <c r="R1766" s="192" t="n">
        <v>9</v>
      </c>
      <c r="S1766" s="172" t="inlineStr">
        <is>
          <t>AAA</t>
        </is>
      </c>
      <c r="T1766" s="175" t="n">
        <v>0.016</v>
      </c>
      <c r="U1766" s="172" t="inlineStr">
        <is>
          <t>邦汇保理</t>
        </is>
      </c>
      <c r="V1766" s="191" t="n">
        <v>0.45</v>
      </c>
      <c r="W1766" s="172" t="n"/>
      <c r="X1766" s="172" t="n"/>
      <c r="Y1766" s="172" t="n"/>
    </row>
    <row r="1767">
      <c r="A1767" s="172" t="n">
        <v>97</v>
      </c>
      <c r="B1767" s="172" t="inlineStr">
        <is>
          <t>6月</t>
        </is>
      </c>
      <c r="C1767" s="172" t="inlineStr">
        <is>
          <t>企金</t>
        </is>
      </c>
      <c r="D1767" s="172" t="inlineStr">
        <is>
          <t>金采</t>
        </is>
      </c>
      <c r="E1767" s="172" t="inlineStr">
        <is>
          <t>金采8-4</t>
        </is>
      </c>
      <c r="F1767" s="172" t="inlineStr">
        <is>
          <t>上交所</t>
        </is>
      </c>
      <c r="G1767" s="172" t="inlineStr">
        <is>
          <t>招商证券</t>
        </is>
      </c>
      <c r="H1767" s="172" t="inlineStr">
        <is>
          <t>信达证券</t>
        </is>
      </c>
      <c r="I1767" s="172" t="inlineStr">
        <is>
          <t>民生北分</t>
        </is>
      </c>
      <c r="J1767" s="172" t="n">
        <v>10</v>
      </c>
      <c r="K1767" s="172" t="inlineStr">
        <is>
          <t>7+12</t>
        </is>
      </c>
      <c r="L1767" s="208" t="n">
        <v>46196</v>
      </c>
      <c r="M1767" s="175" t="n">
        <v>0.01488</v>
      </c>
      <c r="N1767" s="176" t="n">
        <v>0.0187</v>
      </c>
      <c r="O1767" s="172" t="n">
        <v>1.78</v>
      </c>
      <c r="P1767" s="172" t="inlineStr">
        <is>
          <t>优先级</t>
        </is>
      </c>
      <c r="Q1767" s="175" t="n">
        <v>0.9</v>
      </c>
      <c r="R1767" s="192" t="n">
        <v>9</v>
      </c>
      <c r="S1767" s="172" t="inlineStr">
        <is>
          <t>AAA</t>
        </is>
      </c>
      <c r="T1767" s="175" t="n">
        <v>0.016</v>
      </c>
      <c r="U1767" s="172" t="n"/>
      <c r="V1767" s="172" t="n"/>
      <c r="W1767" s="175" t="n">
        <v>0.024</v>
      </c>
      <c r="X1767" s="172" t="inlineStr">
        <is>
          <t>利曦基金</t>
        </is>
      </c>
      <c r="Y1767" s="191" t="n">
        <v>2</v>
      </c>
    </row>
    <row r="1768">
      <c r="A1768" s="172" t="n">
        <v>97</v>
      </c>
      <c r="B1768" s="172" t="inlineStr">
        <is>
          <t>6月</t>
        </is>
      </c>
      <c r="C1768" s="172" t="inlineStr">
        <is>
          <t>企金</t>
        </is>
      </c>
      <c r="D1768" s="172" t="inlineStr">
        <is>
          <t>金采</t>
        </is>
      </c>
      <c r="E1768" s="172" t="inlineStr">
        <is>
          <t>金采8-4</t>
        </is>
      </c>
      <c r="F1768" s="172" t="inlineStr">
        <is>
          <t>上交所</t>
        </is>
      </c>
      <c r="G1768" s="172" t="inlineStr">
        <is>
          <t>招商证券</t>
        </is>
      </c>
      <c r="H1768" s="172" t="inlineStr">
        <is>
          <t>信达证券</t>
        </is>
      </c>
      <c r="I1768" s="172" t="inlineStr">
        <is>
          <t>民生北分</t>
        </is>
      </c>
      <c r="J1768" s="172" t="n">
        <v>10</v>
      </c>
      <c r="K1768" s="172" t="inlineStr">
        <is>
          <t>7+12</t>
        </is>
      </c>
      <c r="L1768" s="208" t="n">
        <v>46196</v>
      </c>
      <c r="M1768" s="175" t="n">
        <v>0.01488</v>
      </c>
      <c r="N1768" s="176" t="n">
        <v>0.0187</v>
      </c>
      <c r="O1768" s="172" t="n">
        <v>1.78</v>
      </c>
      <c r="P1768" s="172" t="inlineStr">
        <is>
          <t>优先级</t>
        </is>
      </c>
      <c r="Q1768" s="175" t="n">
        <v>0.9</v>
      </c>
      <c r="R1768" s="192" t="n">
        <v>9</v>
      </c>
      <c r="S1768" s="172" t="inlineStr">
        <is>
          <t>AAA</t>
        </is>
      </c>
      <c r="T1768" s="175" t="n">
        <v>0.016</v>
      </c>
      <c r="U1768" s="172" t="n"/>
      <c r="V1768" s="172" t="n"/>
      <c r="W1768" s="175" t="n">
        <v>0.0164</v>
      </c>
      <c r="X1768" s="172" t="inlineStr">
        <is>
          <t>宝武财务</t>
        </is>
      </c>
      <c r="Y1768" s="191" t="n">
        <v>0.2</v>
      </c>
    </row>
    <row r="1769">
      <c r="A1769" s="172" t="n">
        <v>97</v>
      </c>
      <c r="B1769" s="172" t="inlineStr">
        <is>
          <t>6月</t>
        </is>
      </c>
      <c r="C1769" s="172" t="inlineStr">
        <is>
          <t>企金</t>
        </is>
      </c>
      <c r="D1769" s="172" t="inlineStr">
        <is>
          <t>金采</t>
        </is>
      </c>
      <c r="E1769" s="172" t="inlineStr">
        <is>
          <t>金采8-4</t>
        </is>
      </c>
      <c r="F1769" s="172" t="inlineStr">
        <is>
          <t>上交所</t>
        </is>
      </c>
      <c r="G1769" s="172" t="inlineStr">
        <is>
          <t>招商证券</t>
        </is>
      </c>
      <c r="H1769" s="172" t="inlineStr">
        <is>
          <t>信达证券</t>
        </is>
      </c>
      <c r="I1769" s="172" t="inlineStr">
        <is>
          <t>民生北分</t>
        </is>
      </c>
      <c r="J1769" s="172" t="n">
        <v>10</v>
      </c>
      <c r="K1769" s="172" t="inlineStr">
        <is>
          <t>7+12</t>
        </is>
      </c>
      <c r="L1769" s="208" t="n">
        <v>46196</v>
      </c>
      <c r="M1769" s="175" t="n">
        <v>0.01488</v>
      </c>
      <c r="N1769" s="176" t="n">
        <v>0.0187</v>
      </c>
      <c r="O1769" s="172" t="n">
        <v>1.78</v>
      </c>
      <c r="P1769" s="172" t="inlineStr">
        <is>
          <t>优先级</t>
        </is>
      </c>
      <c r="Q1769" s="175" t="n">
        <v>0.9</v>
      </c>
      <c r="R1769" s="192" t="n">
        <v>9</v>
      </c>
      <c r="S1769" s="172" t="inlineStr">
        <is>
          <t>AAA</t>
        </is>
      </c>
      <c r="T1769" s="175" t="n">
        <v>0.016</v>
      </c>
      <c r="U1769" s="172" t="n"/>
      <c r="V1769" s="172" t="n"/>
      <c r="W1769" s="175" t="n">
        <v>0.017</v>
      </c>
      <c r="X1769" s="172" t="inlineStr">
        <is>
          <t>广银理财</t>
        </is>
      </c>
      <c r="Y1769" s="191" t="n">
        <v>0.5</v>
      </c>
    </row>
    <row r="1770">
      <c r="A1770" s="172" t="n">
        <v>97</v>
      </c>
      <c r="B1770" s="172" t="inlineStr">
        <is>
          <t>6月</t>
        </is>
      </c>
      <c r="C1770" s="172" t="inlineStr">
        <is>
          <t>企金</t>
        </is>
      </c>
      <c r="D1770" s="172" t="inlineStr">
        <is>
          <t>金采</t>
        </is>
      </c>
      <c r="E1770" s="172" t="inlineStr">
        <is>
          <t>金采8-4</t>
        </is>
      </c>
      <c r="F1770" s="172" t="inlineStr">
        <is>
          <t>上交所</t>
        </is>
      </c>
      <c r="G1770" s="172" t="inlineStr">
        <is>
          <t>招商证券</t>
        </is>
      </c>
      <c r="H1770" s="172" t="inlineStr">
        <is>
          <t>信达证券</t>
        </is>
      </c>
      <c r="I1770" s="172" t="inlineStr">
        <is>
          <t>民生北分</t>
        </is>
      </c>
      <c r="J1770" s="172" t="n">
        <v>10</v>
      </c>
      <c r="K1770" s="172" t="inlineStr">
        <is>
          <t>7+12</t>
        </is>
      </c>
      <c r="L1770" s="208" t="n">
        <v>46196</v>
      </c>
      <c r="M1770" s="175" t="n">
        <v>0.01488</v>
      </c>
      <c r="N1770" s="176" t="n">
        <v>0.0187</v>
      </c>
      <c r="O1770" s="172" t="n">
        <v>1.78</v>
      </c>
      <c r="P1770" s="172" t="inlineStr">
        <is>
          <t>优先级</t>
        </is>
      </c>
      <c r="Q1770" s="175" t="n">
        <v>0.9</v>
      </c>
      <c r="R1770" s="192" t="n">
        <v>9</v>
      </c>
      <c r="S1770" s="172" t="inlineStr">
        <is>
          <t>AAA</t>
        </is>
      </c>
      <c r="T1770" s="175" t="n">
        <v>0.016</v>
      </c>
      <c r="U1770" s="172" t="n"/>
      <c r="V1770" s="172" t="n"/>
      <c r="W1770" s="175" t="n">
        <v>0.016</v>
      </c>
      <c r="X1770" s="172" t="inlineStr">
        <is>
          <t>建信信托单1</t>
        </is>
      </c>
      <c r="Y1770" s="191" t="n">
        <v>2</v>
      </c>
    </row>
    <row r="1771">
      <c r="A1771" s="172" t="n">
        <v>97</v>
      </c>
      <c r="B1771" s="172" t="inlineStr">
        <is>
          <t>6月</t>
        </is>
      </c>
      <c r="C1771" s="172" t="inlineStr">
        <is>
          <t>企金</t>
        </is>
      </c>
      <c r="D1771" s="172" t="inlineStr">
        <is>
          <t>金采</t>
        </is>
      </c>
      <c r="E1771" s="172" t="inlineStr">
        <is>
          <t>金采8-4</t>
        </is>
      </c>
      <c r="F1771" s="172" t="inlineStr">
        <is>
          <t>上交所</t>
        </is>
      </c>
      <c r="G1771" s="172" t="inlineStr">
        <is>
          <t>招商证券</t>
        </is>
      </c>
      <c r="H1771" s="172" t="inlineStr">
        <is>
          <t>信达证券</t>
        </is>
      </c>
      <c r="I1771" s="172" t="inlineStr">
        <is>
          <t>民生北分</t>
        </is>
      </c>
      <c r="J1771" s="172" t="n">
        <v>10</v>
      </c>
      <c r="K1771" s="172" t="inlineStr">
        <is>
          <t>7+12</t>
        </is>
      </c>
      <c r="L1771" s="208" t="n">
        <v>46196</v>
      </c>
      <c r="M1771" s="175" t="n">
        <v>0.01488</v>
      </c>
      <c r="N1771" s="176" t="n">
        <v>0.0187</v>
      </c>
      <c r="O1771" s="172" t="n">
        <v>1.78</v>
      </c>
      <c r="P1771" s="172" t="inlineStr">
        <is>
          <t>优先级</t>
        </is>
      </c>
      <c r="Q1771" s="175" t="n">
        <v>0.9</v>
      </c>
      <c r="R1771" s="192" t="n">
        <v>9</v>
      </c>
      <c r="S1771" s="172" t="inlineStr">
        <is>
          <t>AAA</t>
        </is>
      </c>
      <c r="T1771" s="175" t="n">
        <v>0.016</v>
      </c>
      <c r="U1771" s="172" t="n"/>
      <c r="V1771" s="172" t="n"/>
      <c r="W1771" s="175" t="n">
        <v>0.0165</v>
      </c>
      <c r="X1771" s="172" t="inlineStr">
        <is>
          <t>华夏理财</t>
        </is>
      </c>
      <c r="Y1771" s="191" t="n">
        <v>2.7</v>
      </c>
    </row>
    <row r="1772">
      <c r="A1772" s="172" t="n">
        <v>97</v>
      </c>
      <c r="B1772" s="172" t="inlineStr">
        <is>
          <t>6月</t>
        </is>
      </c>
      <c r="C1772" s="172" t="inlineStr">
        <is>
          <t>企金</t>
        </is>
      </c>
      <c r="D1772" s="172" t="inlineStr">
        <is>
          <t>金采</t>
        </is>
      </c>
      <c r="E1772" s="172" t="inlineStr">
        <is>
          <t>金采8-4</t>
        </is>
      </c>
      <c r="F1772" s="172" t="inlineStr">
        <is>
          <t>上交所</t>
        </is>
      </c>
      <c r="G1772" s="172" t="inlineStr">
        <is>
          <t>招商证券</t>
        </is>
      </c>
      <c r="H1772" s="172" t="inlineStr">
        <is>
          <t>信达证券</t>
        </is>
      </c>
      <c r="I1772" s="172" t="inlineStr">
        <is>
          <t>民生北分</t>
        </is>
      </c>
      <c r="J1772" s="172" t="n">
        <v>10</v>
      </c>
      <c r="K1772" s="172" t="inlineStr">
        <is>
          <t>7+12</t>
        </is>
      </c>
      <c r="L1772" s="208" t="n">
        <v>46196</v>
      </c>
      <c r="M1772" s="175" t="n">
        <v>0.01488</v>
      </c>
      <c r="N1772" s="176" t="n">
        <v>0.0187</v>
      </c>
      <c r="O1772" s="172" t="n">
        <v>1.78</v>
      </c>
      <c r="P1772" s="172" t="inlineStr">
        <is>
          <t>优先级</t>
        </is>
      </c>
      <c r="Q1772" s="175" t="n">
        <v>0.9</v>
      </c>
      <c r="R1772" s="192" t="n">
        <v>9</v>
      </c>
      <c r="S1772" s="172" t="inlineStr">
        <is>
          <t>AAA</t>
        </is>
      </c>
      <c r="T1772" s="175" t="n">
        <v>0.016</v>
      </c>
      <c r="U1772" s="172" t="n"/>
      <c r="V1772" s="172" t="n"/>
      <c r="W1772" s="175" t="n">
        <v>0.0164</v>
      </c>
      <c r="X1772" s="172" t="inlineStr">
        <is>
          <t>建信信托单2</t>
        </is>
      </c>
      <c r="Y1772" s="191" t="n">
        <v>1</v>
      </c>
    </row>
    <row r="1773">
      <c r="A1773" s="172" t="n">
        <v>97</v>
      </c>
      <c r="B1773" s="172" t="inlineStr">
        <is>
          <t>6月</t>
        </is>
      </c>
      <c r="C1773" s="172" t="inlineStr">
        <is>
          <t>企金</t>
        </is>
      </c>
      <c r="D1773" s="172" t="inlineStr">
        <is>
          <t>金采</t>
        </is>
      </c>
      <c r="E1773" s="172" t="inlineStr">
        <is>
          <t>金采8-4</t>
        </is>
      </c>
      <c r="F1773" s="172" t="inlineStr">
        <is>
          <t>上交所</t>
        </is>
      </c>
      <c r="G1773" s="172" t="inlineStr">
        <is>
          <t>招商证券</t>
        </is>
      </c>
      <c r="H1773" s="172" t="inlineStr">
        <is>
          <t>信达证券</t>
        </is>
      </c>
      <c r="I1773" s="172" t="inlineStr">
        <is>
          <t>民生北分</t>
        </is>
      </c>
      <c r="J1773" s="172" t="n">
        <v>10</v>
      </c>
      <c r="K1773" s="172" t="inlineStr">
        <is>
          <t>7+12</t>
        </is>
      </c>
      <c r="L1773" s="202" t="n">
        <v>46196</v>
      </c>
      <c r="M1773" s="175" t="n">
        <v>0.01488</v>
      </c>
      <c r="N1773" s="176" t="n">
        <v>0.0187</v>
      </c>
      <c r="O1773" s="191" t="n">
        <v>1.78</v>
      </c>
      <c r="P1773" s="172" t="inlineStr">
        <is>
          <t>中间级</t>
        </is>
      </c>
      <c r="Q1773" s="175" t="n">
        <v>0.05</v>
      </c>
      <c r="R1773" s="192" t="n">
        <v>0.5</v>
      </c>
      <c r="S1773" s="175" t="inlineStr">
        <is>
          <t>AA</t>
        </is>
      </c>
      <c r="T1773" s="175" t="n">
        <v>0.031</v>
      </c>
      <c r="U1773" s="172" t="inlineStr">
        <is>
          <t>利曦基金</t>
        </is>
      </c>
      <c r="V1773" s="201" t="n">
        <v>0.2375</v>
      </c>
      <c r="W1773" s="172" t="n"/>
      <c r="X1773" s="172" t="n"/>
      <c r="Y1773" s="172" t="n"/>
    </row>
    <row r="1774">
      <c r="A1774" s="172" t="n">
        <v>97</v>
      </c>
      <c r="B1774" s="172" t="inlineStr">
        <is>
          <t>6月</t>
        </is>
      </c>
      <c r="C1774" s="172" t="inlineStr">
        <is>
          <t>企金</t>
        </is>
      </c>
      <c r="D1774" s="172" t="inlineStr">
        <is>
          <t>金采</t>
        </is>
      </c>
      <c r="E1774" s="172" t="inlineStr">
        <is>
          <t>金采8-4</t>
        </is>
      </c>
      <c r="F1774" s="172" t="inlineStr">
        <is>
          <t>上交所</t>
        </is>
      </c>
      <c r="G1774" s="172" t="inlineStr">
        <is>
          <t>招商证券</t>
        </is>
      </c>
      <c r="H1774" s="172" t="inlineStr">
        <is>
          <t>信达证券</t>
        </is>
      </c>
      <c r="I1774" s="172" t="inlineStr">
        <is>
          <t>民生北分</t>
        </is>
      </c>
      <c r="J1774" s="172" t="n">
        <v>10</v>
      </c>
      <c r="K1774" s="172" t="inlineStr">
        <is>
          <t>7+12</t>
        </is>
      </c>
      <c r="L1774" s="202" t="n">
        <v>46196</v>
      </c>
      <c r="M1774" s="175" t="n">
        <v>0.01488</v>
      </c>
      <c r="N1774" s="176" t="n">
        <v>0.0187</v>
      </c>
      <c r="O1774" s="191" t="n">
        <v>1.78</v>
      </c>
      <c r="P1774" s="172" t="inlineStr">
        <is>
          <t>中间级</t>
        </is>
      </c>
      <c r="Q1774" s="175" t="n">
        <v>0.05</v>
      </c>
      <c r="R1774" s="192" t="n">
        <v>0.5</v>
      </c>
      <c r="S1774" s="175" t="inlineStr">
        <is>
          <t>AA</t>
        </is>
      </c>
      <c r="T1774" s="175" t="n">
        <v>0.031</v>
      </c>
      <c r="U1774" s="172" t="inlineStr">
        <is>
          <t>建信信托</t>
        </is>
      </c>
      <c r="V1774" s="201" t="n">
        <v>0.1375</v>
      </c>
      <c r="W1774" s="172" t="n"/>
      <c r="X1774" s="172" t="n"/>
      <c r="Y1774" s="172" t="n"/>
    </row>
    <row r="1775">
      <c r="A1775" s="172" t="n">
        <v>97</v>
      </c>
      <c r="B1775" s="172" t="inlineStr">
        <is>
          <t>6月</t>
        </is>
      </c>
      <c r="C1775" s="172" t="inlineStr">
        <is>
          <t>企金</t>
        </is>
      </c>
      <c r="D1775" s="172" t="inlineStr">
        <is>
          <t>金采</t>
        </is>
      </c>
      <c r="E1775" s="172" t="inlineStr">
        <is>
          <t>金采8-4</t>
        </is>
      </c>
      <c r="F1775" s="172" t="inlineStr">
        <is>
          <t>上交所</t>
        </is>
      </c>
      <c r="G1775" s="172" t="inlineStr">
        <is>
          <t>招商证券</t>
        </is>
      </c>
      <c r="H1775" s="172" t="inlineStr">
        <is>
          <t>信达证券</t>
        </is>
      </c>
      <c r="I1775" s="172" t="inlineStr">
        <is>
          <t>民生北分</t>
        </is>
      </c>
      <c r="J1775" s="172" t="n">
        <v>10</v>
      </c>
      <c r="K1775" s="172" t="inlineStr">
        <is>
          <t>7+12</t>
        </is>
      </c>
      <c r="L1775" s="202" t="n">
        <v>46196</v>
      </c>
      <c r="M1775" s="175" t="n">
        <v>0.01488</v>
      </c>
      <c r="N1775" s="176" t="n">
        <v>0.0187</v>
      </c>
      <c r="O1775" s="191" t="n">
        <v>1.78</v>
      </c>
      <c r="P1775" s="172" t="inlineStr">
        <is>
          <t>中间级</t>
        </is>
      </c>
      <c r="Q1775" s="175" t="n">
        <v>0.05</v>
      </c>
      <c r="R1775" s="192" t="n">
        <v>0.5</v>
      </c>
      <c r="S1775" s="175" t="inlineStr">
        <is>
          <t>AA</t>
        </is>
      </c>
      <c r="T1775" s="175" t="n">
        <v>0.031</v>
      </c>
      <c r="U1775" s="172" t="inlineStr">
        <is>
          <t>沛轩投资</t>
        </is>
      </c>
      <c r="V1775" s="191" t="n">
        <v>0.1</v>
      </c>
      <c r="W1775" s="172" t="n"/>
      <c r="X1775" s="172" t="n"/>
      <c r="Y1775" s="172" t="n"/>
    </row>
    <row r="1776">
      <c r="A1776" s="172" t="n">
        <v>97</v>
      </c>
      <c r="B1776" s="172" t="inlineStr">
        <is>
          <t>6月</t>
        </is>
      </c>
      <c r="C1776" s="172" t="inlineStr">
        <is>
          <t>企金</t>
        </is>
      </c>
      <c r="D1776" s="172" t="inlineStr">
        <is>
          <t>金采</t>
        </is>
      </c>
      <c r="E1776" s="172" t="inlineStr">
        <is>
          <t>金采8-4</t>
        </is>
      </c>
      <c r="F1776" s="172" t="inlineStr">
        <is>
          <t>上交所</t>
        </is>
      </c>
      <c r="G1776" s="172" t="inlineStr">
        <is>
          <t>招商证券</t>
        </is>
      </c>
      <c r="H1776" s="172" t="inlineStr">
        <is>
          <t>信达证券</t>
        </is>
      </c>
      <c r="I1776" s="172" t="inlineStr">
        <is>
          <t>民生北分</t>
        </is>
      </c>
      <c r="J1776" s="172" t="n">
        <v>10</v>
      </c>
      <c r="K1776" s="172" t="inlineStr">
        <is>
          <t>7+12</t>
        </is>
      </c>
      <c r="L1776" s="202" t="n">
        <v>46196</v>
      </c>
      <c r="M1776" s="175" t="n">
        <v>0.01488</v>
      </c>
      <c r="N1776" s="176" t="n">
        <v>0.0187</v>
      </c>
      <c r="O1776" s="191" t="n">
        <v>1.78</v>
      </c>
      <c r="P1776" s="172" t="inlineStr">
        <is>
          <t>中间级</t>
        </is>
      </c>
      <c r="Q1776" s="175" t="n">
        <v>0.05</v>
      </c>
      <c r="R1776" s="192" t="n">
        <v>0.5</v>
      </c>
      <c r="S1776" s="175" t="inlineStr">
        <is>
          <t>AA</t>
        </is>
      </c>
      <c r="T1776" s="175" t="n">
        <v>0.031</v>
      </c>
      <c r="U1776" s="172" t="inlineStr">
        <is>
          <t>邦汇保理</t>
        </is>
      </c>
      <c r="V1776" s="193" t="n">
        <v>0.025</v>
      </c>
      <c r="W1776" s="172" t="n"/>
      <c r="X1776" s="172" t="n"/>
      <c r="Y1776" s="172" t="n"/>
    </row>
    <row r="1777">
      <c r="A1777" s="172" t="n">
        <v>97</v>
      </c>
      <c r="B1777" s="172" t="inlineStr">
        <is>
          <t>6月</t>
        </is>
      </c>
      <c r="C1777" s="172" t="inlineStr">
        <is>
          <t>企金</t>
        </is>
      </c>
      <c r="D1777" s="172" t="inlineStr">
        <is>
          <t>金采</t>
        </is>
      </c>
      <c r="E1777" s="172" t="inlineStr">
        <is>
          <t>金采8-4</t>
        </is>
      </c>
      <c r="F1777" s="172" t="inlineStr">
        <is>
          <t>上交所</t>
        </is>
      </c>
      <c r="G1777" s="172" t="inlineStr">
        <is>
          <t>招商证券</t>
        </is>
      </c>
      <c r="H1777" s="172" t="inlineStr">
        <is>
          <t>信达证券</t>
        </is>
      </c>
      <c r="I1777" s="172" t="inlineStr">
        <is>
          <t>民生北分</t>
        </is>
      </c>
      <c r="J1777" s="172" t="n">
        <v>10</v>
      </c>
      <c r="K1777" s="172" t="inlineStr">
        <is>
          <t>7+12</t>
        </is>
      </c>
      <c r="L1777" s="202" t="n">
        <v>46196</v>
      </c>
      <c r="M1777" s="175" t="n">
        <v>0.01488</v>
      </c>
      <c r="N1777" s="176" t="n">
        <v>0.0187</v>
      </c>
      <c r="O1777" s="191" t="n">
        <v>1.78</v>
      </c>
      <c r="P1777" s="172" t="inlineStr">
        <is>
          <t>次级</t>
        </is>
      </c>
      <c r="Q1777" s="175" t="n">
        <v>0.05</v>
      </c>
      <c r="R1777" s="192" t="n">
        <v>0.5</v>
      </c>
      <c r="S1777" s="175" t="inlineStr">
        <is>
          <t>无</t>
        </is>
      </c>
      <c r="T1777" s="175" t="n">
        <v>0.0455</v>
      </c>
      <c r="U1777" s="172" t="inlineStr">
        <is>
          <t>中泰自营</t>
        </is>
      </c>
      <c r="V1777" s="191" t="n">
        <v>0.2</v>
      </c>
      <c r="W1777" s="172" t="n"/>
      <c r="X1777" s="172" t="n"/>
      <c r="Y1777" s="172" t="n"/>
    </row>
    <row r="1778">
      <c r="A1778" s="172" t="n">
        <v>97</v>
      </c>
      <c r="B1778" s="172" t="inlineStr">
        <is>
          <t>6月</t>
        </is>
      </c>
      <c r="C1778" s="172" t="inlineStr">
        <is>
          <t>企金</t>
        </is>
      </c>
      <c r="D1778" s="172" t="inlineStr">
        <is>
          <t>金采</t>
        </is>
      </c>
      <c r="E1778" s="172" t="inlineStr">
        <is>
          <t>金采8-4</t>
        </is>
      </c>
      <c r="F1778" s="172" t="inlineStr">
        <is>
          <t>上交所</t>
        </is>
      </c>
      <c r="G1778" s="172" t="inlineStr">
        <is>
          <t>招商证券</t>
        </is>
      </c>
      <c r="H1778" s="172" t="inlineStr">
        <is>
          <t>信达证券</t>
        </is>
      </c>
      <c r="I1778" s="172" t="inlineStr">
        <is>
          <t>民生北分</t>
        </is>
      </c>
      <c r="J1778" s="172" t="n">
        <v>10</v>
      </c>
      <c r="K1778" s="172" t="inlineStr">
        <is>
          <t>7+12</t>
        </is>
      </c>
      <c r="L1778" s="202" t="n">
        <v>46196</v>
      </c>
      <c r="M1778" s="175" t="n">
        <v>0.01488</v>
      </c>
      <c r="N1778" s="176" t="n">
        <v>0.0187</v>
      </c>
      <c r="O1778" s="191" t="n">
        <v>1.78</v>
      </c>
      <c r="P1778" s="172" t="inlineStr">
        <is>
          <t>次级</t>
        </is>
      </c>
      <c r="Q1778" s="175" t="n">
        <v>0.05</v>
      </c>
      <c r="R1778" s="192" t="n">
        <v>0.5</v>
      </c>
      <c r="S1778" s="175" t="inlineStr">
        <is>
          <t>无</t>
        </is>
      </c>
      <c r="T1778" s="175" t="n">
        <v>0.0455</v>
      </c>
      <c r="U1778" s="172" t="inlineStr">
        <is>
          <t>德邦自营</t>
        </is>
      </c>
      <c r="V1778" s="201" t="n">
        <v>0.1375</v>
      </c>
      <c r="W1778" s="172" t="n"/>
      <c r="X1778" s="172" t="n"/>
      <c r="Y1778" s="172" t="n"/>
    </row>
    <row r="1779">
      <c r="A1779" s="172" t="n">
        <v>97</v>
      </c>
      <c r="B1779" s="172" t="inlineStr">
        <is>
          <t>6月</t>
        </is>
      </c>
      <c r="C1779" s="172" t="inlineStr">
        <is>
          <t>企金</t>
        </is>
      </c>
      <c r="D1779" s="172" t="inlineStr">
        <is>
          <t>金采</t>
        </is>
      </c>
      <c r="E1779" s="172" t="inlineStr">
        <is>
          <t>金采8-4</t>
        </is>
      </c>
      <c r="F1779" s="172" t="inlineStr">
        <is>
          <t>上交所</t>
        </is>
      </c>
      <c r="G1779" s="172" t="inlineStr">
        <is>
          <t>招商证券</t>
        </is>
      </c>
      <c r="H1779" s="172" t="inlineStr">
        <is>
          <t>信达证券</t>
        </is>
      </c>
      <c r="I1779" s="172" t="inlineStr">
        <is>
          <t>民生北分</t>
        </is>
      </c>
      <c r="J1779" s="172" t="n">
        <v>10</v>
      </c>
      <c r="K1779" s="172" t="inlineStr">
        <is>
          <t>7+12</t>
        </is>
      </c>
      <c r="L1779" s="202" t="n">
        <v>46196</v>
      </c>
      <c r="M1779" s="175" t="n">
        <v>0.01488</v>
      </c>
      <c r="N1779" s="176" t="n">
        <v>0.0187</v>
      </c>
      <c r="O1779" s="191" t="n">
        <v>1.78</v>
      </c>
      <c r="P1779" s="172" t="inlineStr">
        <is>
          <t>次级</t>
        </is>
      </c>
      <c r="Q1779" s="175" t="n">
        <v>0.05</v>
      </c>
      <c r="R1779" s="192" t="n">
        <v>0.5</v>
      </c>
      <c r="S1779" s="175" t="inlineStr">
        <is>
          <t>无</t>
        </is>
      </c>
      <c r="T1779" s="175" t="n">
        <v>0.0455</v>
      </c>
      <c r="U1779" s="172" t="inlineStr">
        <is>
          <t>思达星汇</t>
        </is>
      </c>
      <c r="V1779" s="201" t="n">
        <v>0.1375</v>
      </c>
      <c r="W1779" s="172" t="n"/>
      <c r="X1779" s="172" t="n"/>
      <c r="Y1779" s="172" t="n"/>
    </row>
    <row r="1780">
      <c r="A1780" s="172" t="n">
        <v>97</v>
      </c>
      <c r="B1780" s="172" t="inlineStr">
        <is>
          <t>6月</t>
        </is>
      </c>
      <c r="C1780" s="172" t="inlineStr">
        <is>
          <t>企金</t>
        </is>
      </c>
      <c r="D1780" s="172" t="inlineStr">
        <is>
          <t>金采</t>
        </is>
      </c>
      <c r="E1780" s="172" t="inlineStr">
        <is>
          <t>金采8-4</t>
        </is>
      </c>
      <c r="F1780" s="172" t="inlineStr">
        <is>
          <t>上交所</t>
        </is>
      </c>
      <c r="G1780" s="172" t="inlineStr">
        <is>
          <t>招商证券</t>
        </is>
      </c>
      <c r="H1780" s="172" t="inlineStr">
        <is>
          <t>信达证券</t>
        </is>
      </c>
      <c r="I1780" s="172" t="inlineStr">
        <is>
          <t>民生北分</t>
        </is>
      </c>
      <c r="J1780" s="172" t="n">
        <v>10</v>
      </c>
      <c r="K1780" s="172" t="inlineStr">
        <is>
          <t>7+12</t>
        </is>
      </c>
      <c r="L1780" s="202" t="n">
        <v>46196</v>
      </c>
      <c r="M1780" s="175" t="n">
        <v>0.01488</v>
      </c>
      <c r="N1780" s="176" t="n">
        <v>0.0187</v>
      </c>
      <c r="O1780" s="191" t="n">
        <v>1.78</v>
      </c>
      <c r="P1780" s="172" t="inlineStr">
        <is>
          <t>次级</t>
        </is>
      </c>
      <c r="Q1780" s="175" t="n">
        <v>0.05</v>
      </c>
      <c r="R1780" s="192" t="n">
        <v>0.5</v>
      </c>
      <c r="S1780" s="175" t="inlineStr">
        <is>
          <t>无</t>
        </is>
      </c>
      <c r="T1780" s="175" t="n">
        <v>0.0455</v>
      </c>
      <c r="U1780" s="172" t="inlineStr">
        <is>
          <t>邦汇保理</t>
        </is>
      </c>
      <c r="V1780" s="193" t="n">
        <v>0.025</v>
      </c>
      <c r="W1780" s="172" t="n"/>
      <c r="X1780" s="172" t="n"/>
      <c r="Y1780" s="172" t="n"/>
    </row>
    <row r="1781">
      <c r="A1781" s="172" t="n">
        <v>98</v>
      </c>
      <c r="B1781" s="172" t="inlineStr">
        <is>
          <t>6月</t>
        </is>
      </c>
      <c r="C1781" s="172" t="inlineStr">
        <is>
          <t>企金</t>
        </is>
      </c>
      <c r="D1781" s="172" t="inlineStr">
        <is>
          <t>金采</t>
        </is>
      </c>
      <c r="E1781" s="172" t="inlineStr">
        <is>
          <t>金采8-6</t>
        </is>
      </c>
      <c r="F1781" s="172" t="inlineStr">
        <is>
          <t>上交所</t>
        </is>
      </c>
      <c r="G1781" s="172" t="inlineStr">
        <is>
          <t>国泰海通</t>
        </is>
      </c>
      <c r="H1781" s="172" t="inlineStr">
        <is>
          <t>申万宏源资管</t>
        </is>
      </c>
      <c r="I1781" s="172" t="inlineStr">
        <is>
          <t>光大北分</t>
        </is>
      </c>
      <c r="J1781" s="172" t="n">
        <v>5</v>
      </c>
      <c r="K1781" s="172" t="inlineStr">
        <is>
          <t>7+12</t>
        </is>
      </c>
      <c r="L1781" s="202" t="n">
        <v>46196</v>
      </c>
      <c r="M1781" s="175" t="n">
        <v>0.01488</v>
      </c>
      <c r="N1781" s="176" t="n">
        <v>0.0187</v>
      </c>
      <c r="O1781" s="191" t="n">
        <v>1.78</v>
      </c>
      <c r="P1781" s="172" t="inlineStr">
        <is>
          <t>优先级</t>
        </is>
      </c>
      <c r="Q1781" s="175" t="n">
        <v>0.9</v>
      </c>
      <c r="R1781" s="192">
        <f>Q1179*J1179</f>
        <v/>
      </c>
      <c r="S1781" s="172" t="inlineStr">
        <is>
          <t>AAA</t>
        </is>
      </c>
      <c r="T1781" s="175" t="n">
        <v>0.016</v>
      </c>
      <c r="U1781" s="172" t="inlineStr">
        <is>
          <t>建信信托</t>
        </is>
      </c>
      <c r="V1781" s="191" t="n">
        <v>1.2</v>
      </c>
      <c r="W1781" s="175" t="n">
        <v>0.016</v>
      </c>
      <c r="X1781" s="172" t="inlineStr">
        <is>
          <t>建信信托</t>
        </is>
      </c>
      <c r="Y1781" s="191" t="n">
        <v>1.2</v>
      </c>
    </row>
    <row r="1782">
      <c r="A1782" s="172" t="n">
        <v>98</v>
      </c>
      <c r="B1782" s="172" t="inlineStr">
        <is>
          <t>6月</t>
        </is>
      </c>
      <c r="C1782" s="172" t="inlineStr">
        <is>
          <t>企金</t>
        </is>
      </c>
      <c r="D1782" s="172" t="inlineStr">
        <is>
          <t>金采</t>
        </is>
      </c>
      <c r="E1782" s="172" t="inlineStr">
        <is>
          <t>金采8-6</t>
        </is>
      </c>
      <c r="F1782" s="172" t="inlineStr">
        <is>
          <t>上交所</t>
        </is>
      </c>
      <c r="G1782" s="172" t="inlineStr">
        <is>
          <t>国泰海通</t>
        </is>
      </c>
      <c r="H1782" s="172" t="inlineStr">
        <is>
          <t>申万宏源资管</t>
        </is>
      </c>
      <c r="I1782" s="172" t="inlineStr">
        <is>
          <t>光大北分</t>
        </is>
      </c>
      <c r="J1782" s="172" t="n">
        <v>5</v>
      </c>
      <c r="K1782" s="172" t="inlineStr">
        <is>
          <t>7+12</t>
        </is>
      </c>
      <c r="L1782" s="202" t="n">
        <v>46196</v>
      </c>
      <c r="M1782" s="175" t="n">
        <v>0.01488</v>
      </c>
      <c r="N1782" s="176" t="n">
        <v>0.0187</v>
      </c>
      <c r="O1782" s="191" t="n">
        <v>1.78</v>
      </c>
      <c r="P1782" s="172" t="inlineStr">
        <is>
          <t>优先级</t>
        </is>
      </c>
      <c r="Q1782" s="175" t="n">
        <v>0.9</v>
      </c>
      <c r="R1782" s="192">
        <f>Q1179*J1179</f>
        <v/>
      </c>
      <c r="S1782" s="172" t="inlineStr">
        <is>
          <t>AAA</t>
        </is>
      </c>
      <c r="T1782" s="175" t="n">
        <v>0.016</v>
      </c>
      <c r="U1782" s="172" t="inlineStr">
        <is>
          <t>招银理财</t>
        </is>
      </c>
      <c r="V1782" s="193" t="n">
        <v>1.35</v>
      </c>
      <c r="W1782" s="175" t="n">
        <v>0.0159</v>
      </c>
      <c r="X1782" s="172" t="inlineStr">
        <is>
          <t>招银理财</t>
        </is>
      </c>
      <c r="Y1782" s="191" t="n">
        <v>1.35</v>
      </c>
    </row>
    <row r="1783">
      <c r="A1783" s="172" t="n">
        <v>98</v>
      </c>
      <c r="B1783" s="172" t="inlineStr">
        <is>
          <t>6月</t>
        </is>
      </c>
      <c r="C1783" s="172" t="inlineStr">
        <is>
          <t>企金</t>
        </is>
      </c>
      <c r="D1783" s="172" t="inlineStr">
        <is>
          <t>金采</t>
        </is>
      </c>
      <c r="E1783" s="172" t="inlineStr">
        <is>
          <t>金采8-6</t>
        </is>
      </c>
      <c r="F1783" s="172" t="inlineStr">
        <is>
          <t>上交所</t>
        </is>
      </c>
      <c r="G1783" s="172" t="inlineStr">
        <is>
          <t>国泰海通</t>
        </is>
      </c>
      <c r="H1783" s="172" t="inlineStr">
        <is>
          <t>申万宏源资管</t>
        </is>
      </c>
      <c r="I1783" s="172" t="inlineStr">
        <is>
          <t>光大北分</t>
        </is>
      </c>
      <c r="J1783" s="172" t="n">
        <v>5</v>
      </c>
      <c r="K1783" s="172" t="inlineStr">
        <is>
          <t>7+12</t>
        </is>
      </c>
      <c r="L1783" s="202" t="n">
        <v>46196</v>
      </c>
      <c r="M1783" s="175" t="n">
        <v>0.01488</v>
      </c>
      <c r="N1783" s="176" t="n">
        <v>0.0187</v>
      </c>
      <c r="O1783" s="191" t="n">
        <v>1.78</v>
      </c>
      <c r="P1783" s="172" t="inlineStr">
        <is>
          <t>优先级</t>
        </is>
      </c>
      <c r="Q1783" s="175" t="n">
        <v>0.9</v>
      </c>
      <c r="R1783" s="192">
        <f>Q1179*J1179</f>
        <v/>
      </c>
      <c r="S1783" s="172" t="inlineStr">
        <is>
          <t>AAA</t>
        </is>
      </c>
      <c r="T1783" s="175" t="n">
        <v>0.016</v>
      </c>
      <c r="U1783" s="172" t="inlineStr">
        <is>
          <t>国泰海通投行</t>
        </is>
      </c>
      <c r="V1783" s="193" t="n">
        <v>0.225</v>
      </c>
      <c r="W1783" s="175" t="n">
        <v>0.0159</v>
      </c>
      <c r="X1783" s="172" t="inlineStr">
        <is>
          <t>国泰海通</t>
        </is>
      </c>
      <c r="Y1783" s="191" t="n">
        <v>0.225</v>
      </c>
    </row>
    <row r="1784">
      <c r="A1784" s="172" t="n">
        <v>98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金采</t>
        </is>
      </c>
      <c r="E1784" s="172" t="inlineStr">
        <is>
          <t>金采8-6</t>
        </is>
      </c>
      <c r="F1784" s="172" t="inlineStr">
        <is>
          <t>上交所</t>
        </is>
      </c>
      <c r="G1784" s="172" t="inlineStr">
        <is>
          <t>国泰海通</t>
        </is>
      </c>
      <c r="H1784" s="172" t="inlineStr">
        <is>
          <t>申万宏源资管</t>
        </is>
      </c>
      <c r="I1784" s="172" t="inlineStr">
        <is>
          <t>光大北分</t>
        </is>
      </c>
      <c r="J1784" s="172" t="n">
        <v>5</v>
      </c>
      <c r="K1784" s="172" t="inlineStr">
        <is>
          <t>7+12</t>
        </is>
      </c>
      <c r="L1784" s="202" t="n">
        <v>46196</v>
      </c>
      <c r="M1784" s="175" t="n">
        <v>0.01488</v>
      </c>
      <c r="N1784" s="176" t="n">
        <v>0.0187</v>
      </c>
      <c r="O1784" s="191" t="n">
        <v>1.78</v>
      </c>
      <c r="P1784" s="172" t="inlineStr">
        <is>
          <t>优先级</t>
        </is>
      </c>
      <c r="Q1784" s="175" t="n">
        <v>0.9</v>
      </c>
      <c r="R1784" s="192">
        <f>Q1179*J1179</f>
        <v/>
      </c>
      <c r="S1784" s="172" t="inlineStr">
        <is>
          <t>AAA</t>
        </is>
      </c>
      <c r="T1784" s="175" t="n">
        <v>0.016</v>
      </c>
      <c r="U1784" s="172" t="inlineStr">
        <is>
          <t>申万宏源自营</t>
        </is>
      </c>
      <c r="V1784" s="191" t="n">
        <v>0.1</v>
      </c>
      <c r="W1784" s="175" t="n">
        <v>0.016</v>
      </c>
      <c r="X1784" s="172" t="inlineStr">
        <is>
          <t>申万宏源</t>
        </is>
      </c>
      <c r="Y1784" s="191" t="n">
        <v>0.1</v>
      </c>
    </row>
    <row r="1785">
      <c r="A1785" s="172" t="n">
        <v>98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金采</t>
        </is>
      </c>
      <c r="E1785" s="172" t="inlineStr">
        <is>
          <t>金采8-6</t>
        </is>
      </c>
      <c r="F1785" s="172" t="inlineStr">
        <is>
          <t>上交所</t>
        </is>
      </c>
      <c r="G1785" s="172" t="inlineStr">
        <is>
          <t>国泰海通</t>
        </is>
      </c>
      <c r="H1785" s="172" t="inlineStr">
        <is>
          <t>申万宏源资管</t>
        </is>
      </c>
      <c r="I1785" s="172" t="inlineStr">
        <is>
          <t>光大北分</t>
        </is>
      </c>
      <c r="J1785" s="172" t="n">
        <v>5</v>
      </c>
      <c r="K1785" s="172" t="inlineStr">
        <is>
          <t>7+12</t>
        </is>
      </c>
      <c r="L1785" s="202" t="n">
        <v>46196</v>
      </c>
      <c r="M1785" s="175" t="n">
        <v>0.01488</v>
      </c>
      <c r="N1785" s="176" t="n">
        <v>0.0187</v>
      </c>
      <c r="O1785" s="191" t="n">
        <v>1.78</v>
      </c>
      <c r="P1785" s="172" t="inlineStr">
        <is>
          <t>优先级</t>
        </is>
      </c>
      <c r="Q1785" s="175" t="n">
        <v>0.9</v>
      </c>
      <c r="R1785" s="192">
        <f>Q1179*J1179</f>
        <v/>
      </c>
      <c r="S1785" s="172" t="inlineStr">
        <is>
          <t>AAA</t>
        </is>
      </c>
      <c r="T1785" s="175" t="n">
        <v>0.016</v>
      </c>
      <c r="U1785" s="172" t="inlineStr">
        <is>
          <t>华夏基金</t>
        </is>
      </c>
      <c r="V1785" s="191" t="n">
        <v>0.4</v>
      </c>
      <c r="W1785" s="175" t="n">
        <v>0.016</v>
      </c>
      <c r="X1785" s="172" t="inlineStr">
        <is>
          <t>华夏基金</t>
        </is>
      </c>
      <c r="Y1785" s="191" t="n">
        <v>0.4</v>
      </c>
    </row>
    <row r="1786">
      <c r="A1786" s="172" t="n">
        <v>98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金采</t>
        </is>
      </c>
      <c r="E1786" s="172" t="inlineStr">
        <is>
          <t>金采8-6</t>
        </is>
      </c>
      <c r="F1786" s="172" t="inlineStr">
        <is>
          <t>上交所</t>
        </is>
      </c>
      <c r="G1786" s="172" t="inlineStr">
        <is>
          <t>国泰海通</t>
        </is>
      </c>
      <c r="H1786" s="172" t="inlineStr">
        <is>
          <t>申万宏源资管</t>
        </is>
      </c>
      <c r="I1786" s="172" t="inlineStr">
        <is>
          <t>光大北分</t>
        </is>
      </c>
      <c r="J1786" s="172" t="n">
        <v>5</v>
      </c>
      <c r="K1786" s="172" t="inlineStr">
        <is>
          <t>7+12</t>
        </is>
      </c>
      <c r="L1786" s="202" t="n">
        <v>46196</v>
      </c>
      <c r="M1786" s="175" t="n">
        <v>0.01488</v>
      </c>
      <c r="N1786" s="176" t="n">
        <v>0.0187</v>
      </c>
      <c r="O1786" s="191" t="n">
        <v>1.78</v>
      </c>
      <c r="P1786" s="172" t="inlineStr">
        <is>
          <t>优先级</t>
        </is>
      </c>
      <c r="Q1786" s="175" t="n">
        <v>0.9</v>
      </c>
      <c r="R1786" s="192">
        <f>Q1179*J1179</f>
        <v/>
      </c>
      <c r="S1786" s="172" t="inlineStr">
        <is>
          <t>AAA</t>
        </is>
      </c>
      <c r="T1786" s="175" t="n">
        <v>0.016</v>
      </c>
      <c r="U1786" s="172" t="inlineStr">
        <is>
          <t>交银理财</t>
        </is>
      </c>
      <c r="V1786" s="191" t="n">
        <v>1</v>
      </c>
      <c r="W1786" s="175" t="n">
        <v>0.016</v>
      </c>
      <c r="X1786" s="172" t="inlineStr">
        <is>
          <t>交银理财</t>
        </is>
      </c>
      <c r="Y1786" s="191" t="n">
        <v>1</v>
      </c>
    </row>
    <row r="1787">
      <c r="A1787" s="172" t="n">
        <v>98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金采</t>
        </is>
      </c>
      <c r="E1787" s="172" t="inlineStr">
        <is>
          <t>金采8-6</t>
        </is>
      </c>
      <c r="F1787" s="172" t="inlineStr">
        <is>
          <t>上交所</t>
        </is>
      </c>
      <c r="G1787" s="172" t="inlineStr">
        <is>
          <t>国泰海通</t>
        </is>
      </c>
      <c r="H1787" s="172" t="inlineStr">
        <is>
          <t>申万宏源资管</t>
        </is>
      </c>
      <c r="I1787" s="172" t="inlineStr">
        <is>
          <t>光大北分</t>
        </is>
      </c>
      <c r="J1787" s="172" t="n">
        <v>5</v>
      </c>
      <c r="K1787" s="172" t="inlineStr">
        <is>
          <t>7+12</t>
        </is>
      </c>
      <c r="L1787" s="202" t="n">
        <v>46196</v>
      </c>
      <c r="M1787" s="175" t="n">
        <v>0.01488</v>
      </c>
      <c r="N1787" s="176" t="n">
        <v>0.0187</v>
      </c>
      <c r="O1787" s="191" t="n">
        <v>1.78</v>
      </c>
      <c r="P1787" s="172" t="inlineStr">
        <is>
          <t>优先级</t>
        </is>
      </c>
      <c r="Q1787" s="175" t="n">
        <v>0.9</v>
      </c>
      <c r="R1787" s="192">
        <f>Q1179*J1179</f>
        <v/>
      </c>
      <c r="S1787" s="172" t="inlineStr">
        <is>
          <t>AAA</t>
        </is>
      </c>
      <c r="T1787" s="175" t="n">
        <v>0.016</v>
      </c>
      <c r="U1787" s="172" t="inlineStr">
        <is>
          <t>邦汇保理</t>
        </is>
      </c>
      <c r="V1787" s="193" t="n">
        <v>0.225</v>
      </c>
      <c r="W1787" s="172" t="n"/>
      <c r="X1787" s="172" t="n"/>
      <c r="Y1787" s="172" t="n"/>
    </row>
    <row r="1788">
      <c r="A1788" s="172" t="n">
        <v>98</v>
      </c>
      <c r="B1788" s="172" t="inlineStr">
        <is>
          <t>6月</t>
        </is>
      </c>
      <c r="C1788" s="172" t="inlineStr">
        <is>
          <t>企金</t>
        </is>
      </c>
      <c r="D1788" s="172" t="inlineStr">
        <is>
          <t>金采</t>
        </is>
      </c>
      <c r="E1788" s="172" t="inlineStr">
        <is>
          <t>金采8-6</t>
        </is>
      </c>
      <c r="F1788" s="172" t="inlineStr">
        <is>
          <t>上交所</t>
        </is>
      </c>
      <c r="G1788" s="172" t="inlineStr">
        <is>
          <t>国泰海通</t>
        </is>
      </c>
      <c r="H1788" s="172" t="inlineStr">
        <is>
          <t>申万宏源资管</t>
        </is>
      </c>
      <c r="I1788" s="172" t="inlineStr">
        <is>
          <t>光大北分</t>
        </is>
      </c>
      <c r="J1788" s="172" t="n">
        <v>5</v>
      </c>
      <c r="K1788" s="172" t="inlineStr">
        <is>
          <t>7+12</t>
        </is>
      </c>
      <c r="L1788" s="208" t="n">
        <v>46196</v>
      </c>
      <c r="M1788" s="175" t="n">
        <v>0.01488</v>
      </c>
      <c r="N1788" s="176" t="n">
        <v>0.0187</v>
      </c>
      <c r="O1788" s="172" t="n">
        <v>1.78</v>
      </c>
      <c r="P1788" s="172" t="inlineStr">
        <is>
          <t>优先级</t>
        </is>
      </c>
      <c r="Q1788" s="175" t="n">
        <v>0.9</v>
      </c>
      <c r="R1788" s="172">
        <f>Q1179*J1179</f>
        <v/>
      </c>
      <c r="S1788" s="172" t="inlineStr">
        <is>
          <t>AAA</t>
        </is>
      </c>
      <c r="T1788" s="175" t="n">
        <v>0.016</v>
      </c>
      <c r="U1788" s="172" t="n"/>
      <c r="V1788" s="172" t="n"/>
      <c r="W1788" s="175" t="n">
        <v>0.014</v>
      </c>
      <c r="X1788" s="172" t="inlineStr">
        <is>
          <t>厦门汇正</t>
        </is>
      </c>
      <c r="Y1788" s="191" t="n">
        <v>0.225</v>
      </c>
    </row>
    <row r="1789">
      <c r="A1789" s="172" t="n">
        <v>98</v>
      </c>
      <c r="B1789" s="172" t="inlineStr">
        <is>
          <t>6月</t>
        </is>
      </c>
      <c r="C1789" s="172" t="inlineStr">
        <is>
          <t>企金</t>
        </is>
      </c>
      <c r="D1789" s="172" t="inlineStr">
        <is>
          <t>金采</t>
        </is>
      </c>
      <c r="E1789" s="172" t="inlineStr">
        <is>
          <t>金采8-6</t>
        </is>
      </c>
      <c r="F1789" s="172" t="inlineStr">
        <is>
          <t>上交所</t>
        </is>
      </c>
      <c r="G1789" s="172" t="inlineStr">
        <is>
          <t>国泰海通</t>
        </is>
      </c>
      <c r="H1789" s="172" t="inlineStr">
        <is>
          <t>申万宏源资管</t>
        </is>
      </c>
      <c r="I1789" s="172" t="inlineStr">
        <is>
          <t>光大北分</t>
        </is>
      </c>
      <c r="J1789" s="172" t="n">
        <v>5</v>
      </c>
      <c r="K1789" s="172" t="inlineStr">
        <is>
          <t>7+12</t>
        </is>
      </c>
      <c r="L1789" s="208" t="n">
        <v>46196</v>
      </c>
      <c r="M1789" s="175" t="n">
        <v>0.01488</v>
      </c>
      <c r="N1789" s="176" t="n">
        <v>0.0187</v>
      </c>
      <c r="O1789" s="172" t="n">
        <v>1.78</v>
      </c>
      <c r="P1789" s="172" t="inlineStr">
        <is>
          <t>优先级</t>
        </is>
      </c>
      <c r="Q1789" s="175" t="n">
        <v>0.9</v>
      </c>
      <c r="R1789" s="172">
        <f>Q1179*J1179</f>
        <v/>
      </c>
      <c r="S1789" s="172" t="inlineStr">
        <is>
          <t>AAA</t>
        </is>
      </c>
      <c r="T1789" s="175" t="n">
        <v>0.016</v>
      </c>
      <c r="U1789" s="172" t="n"/>
      <c r="V1789" s="172" t="n"/>
      <c r="W1789" s="175" t="n">
        <v>0.0162</v>
      </c>
      <c r="X1789" s="172" t="inlineStr">
        <is>
          <t>中邮理财</t>
        </is>
      </c>
      <c r="Y1789" s="191" t="n">
        <v>1</v>
      </c>
    </row>
    <row r="1790">
      <c r="A1790" s="172" t="n">
        <v>98</v>
      </c>
      <c r="B1790" s="172" t="inlineStr">
        <is>
          <t>6月</t>
        </is>
      </c>
      <c r="C1790" s="172" t="inlineStr">
        <is>
          <t>企金</t>
        </is>
      </c>
      <c r="D1790" s="172" t="inlineStr">
        <is>
          <t>金采</t>
        </is>
      </c>
      <c r="E1790" s="172" t="inlineStr">
        <is>
          <t>金采8-6</t>
        </is>
      </c>
      <c r="F1790" s="172" t="inlineStr">
        <is>
          <t>上交所</t>
        </is>
      </c>
      <c r="G1790" s="172" t="inlineStr">
        <is>
          <t>国泰海通</t>
        </is>
      </c>
      <c r="H1790" s="172" t="inlineStr">
        <is>
          <t>申万宏源资管</t>
        </is>
      </c>
      <c r="I1790" s="172" t="inlineStr">
        <is>
          <t>光大北分</t>
        </is>
      </c>
      <c r="J1790" s="172" t="n">
        <v>5</v>
      </c>
      <c r="K1790" s="172" t="inlineStr">
        <is>
          <t>7+12</t>
        </is>
      </c>
      <c r="L1790" s="208" t="n">
        <v>46196</v>
      </c>
      <c r="M1790" s="175" t="n">
        <v>0.01488</v>
      </c>
      <c r="N1790" s="176" t="n">
        <v>0.0187</v>
      </c>
      <c r="O1790" s="172" t="n">
        <v>1.78</v>
      </c>
      <c r="P1790" s="172" t="inlineStr">
        <is>
          <t>优先级</t>
        </is>
      </c>
      <c r="Q1790" s="175" t="n">
        <v>0.9</v>
      </c>
      <c r="R1790" s="172">
        <f>Q1179*J1179</f>
        <v/>
      </c>
      <c r="S1790" s="172" t="inlineStr">
        <is>
          <t>AAA</t>
        </is>
      </c>
      <c r="T1790" s="175" t="n">
        <v>0.016</v>
      </c>
      <c r="U1790" s="172" t="n"/>
      <c r="V1790" s="172" t="n"/>
      <c r="W1790" s="175" t="n">
        <v>0.0164</v>
      </c>
      <c r="X1790" s="172" t="inlineStr">
        <is>
          <t>中邮理财</t>
        </is>
      </c>
      <c r="Y1790" s="191" t="n">
        <v>0.35</v>
      </c>
    </row>
    <row r="1791">
      <c r="A1791" s="172" t="n">
        <v>98</v>
      </c>
      <c r="B1791" s="172" t="inlineStr">
        <is>
          <t>6月</t>
        </is>
      </c>
      <c r="C1791" s="172" t="inlineStr">
        <is>
          <t>企金</t>
        </is>
      </c>
      <c r="D1791" s="172" t="inlineStr">
        <is>
          <t>金采</t>
        </is>
      </c>
      <c r="E1791" s="172" t="inlineStr">
        <is>
          <t>金采8-6</t>
        </is>
      </c>
      <c r="F1791" s="172" t="inlineStr">
        <is>
          <t>上交所</t>
        </is>
      </c>
      <c r="G1791" s="172" t="inlineStr">
        <is>
          <t>国泰海通</t>
        </is>
      </c>
      <c r="H1791" s="172" t="inlineStr">
        <is>
          <t>申万宏源资管</t>
        </is>
      </c>
      <c r="I1791" s="172" t="inlineStr">
        <is>
          <t>光大北分</t>
        </is>
      </c>
      <c r="J1791" s="172" t="n">
        <v>5</v>
      </c>
      <c r="K1791" s="172" t="inlineStr">
        <is>
          <t>7+12</t>
        </is>
      </c>
      <c r="L1791" s="208" t="n">
        <v>46196</v>
      </c>
      <c r="M1791" s="175" t="n">
        <v>0.01488</v>
      </c>
      <c r="N1791" s="176" t="n">
        <v>0.0187</v>
      </c>
      <c r="O1791" s="172" t="n">
        <v>1.78</v>
      </c>
      <c r="P1791" s="172" t="inlineStr">
        <is>
          <t>优先级</t>
        </is>
      </c>
      <c r="Q1791" s="175" t="n">
        <v>0.9</v>
      </c>
      <c r="R1791" s="172">
        <f>Q1179*J1179</f>
        <v/>
      </c>
      <c r="S1791" s="172" t="inlineStr">
        <is>
          <t>AAA</t>
        </is>
      </c>
      <c r="T1791" s="175" t="n">
        <v>0.016</v>
      </c>
      <c r="U1791" s="172" t="n"/>
      <c r="V1791" s="172" t="n"/>
      <c r="W1791" s="175" t="n">
        <v>0.0164</v>
      </c>
      <c r="X1791" s="172" t="inlineStr">
        <is>
          <t>宝武财务</t>
        </is>
      </c>
      <c r="Y1791" s="191" t="n">
        <v>0.2</v>
      </c>
    </row>
    <row r="1792">
      <c r="A1792" s="172" t="n">
        <v>98</v>
      </c>
      <c r="B1792" s="172" t="inlineStr">
        <is>
          <t>6月</t>
        </is>
      </c>
      <c r="C1792" s="172" t="inlineStr">
        <is>
          <t>企金</t>
        </is>
      </c>
      <c r="D1792" s="172" t="inlineStr">
        <is>
          <t>金采</t>
        </is>
      </c>
      <c r="E1792" s="172" t="inlineStr">
        <is>
          <t>金采8-6</t>
        </is>
      </c>
      <c r="F1792" s="172" t="inlineStr">
        <is>
          <t>上交所</t>
        </is>
      </c>
      <c r="G1792" s="172" t="inlineStr">
        <is>
          <t>国泰海通</t>
        </is>
      </c>
      <c r="H1792" s="172" t="inlineStr">
        <is>
          <t>申万宏源资管</t>
        </is>
      </c>
      <c r="I1792" s="172" t="inlineStr">
        <is>
          <t>光大北分</t>
        </is>
      </c>
      <c r="J1792" s="172" t="n">
        <v>5</v>
      </c>
      <c r="K1792" s="172" t="inlineStr">
        <is>
          <t>7+12</t>
        </is>
      </c>
      <c r="L1792" s="208" t="n">
        <v>46196</v>
      </c>
      <c r="M1792" s="175" t="n">
        <v>0.01488</v>
      </c>
      <c r="N1792" s="176" t="n">
        <v>0.0187</v>
      </c>
      <c r="O1792" s="172" t="n">
        <v>1.78</v>
      </c>
      <c r="P1792" s="172" t="inlineStr">
        <is>
          <t>优先级</t>
        </is>
      </c>
      <c r="Q1792" s="175" t="n">
        <v>0.9</v>
      </c>
      <c r="R1792" s="172">
        <f>Q1179*J1179</f>
        <v/>
      </c>
      <c r="S1792" s="172" t="inlineStr">
        <is>
          <t>AAA</t>
        </is>
      </c>
      <c r="T1792" s="175" t="n">
        <v>0.016</v>
      </c>
      <c r="U1792" s="172" t="n"/>
      <c r="V1792" s="172" t="n"/>
      <c r="W1792" s="175" t="n">
        <v>0.017</v>
      </c>
      <c r="X1792" s="172" t="inlineStr">
        <is>
          <t>中金公司</t>
        </is>
      </c>
      <c r="Y1792" s="191" t="n">
        <v>0.5</v>
      </c>
    </row>
    <row r="1793">
      <c r="A1793" s="172" t="n">
        <v>98</v>
      </c>
      <c r="B1793" s="172" t="inlineStr">
        <is>
          <t>6月</t>
        </is>
      </c>
      <c r="C1793" s="172" t="inlineStr">
        <is>
          <t>企金</t>
        </is>
      </c>
      <c r="D1793" s="172" t="inlineStr">
        <is>
          <t>金采</t>
        </is>
      </c>
      <c r="E1793" s="172" t="inlineStr">
        <is>
          <t>金采8-6</t>
        </is>
      </c>
      <c r="F1793" s="172" t="inlineStr">
        <is>
          <t>上交所</t>
        </is>
      </c>
      <c r="G1793" s="172" t="inlineStr">
        <is>
          <t>国泰海通</t>
        </is>
      </c>
      <c r="H1793" s="172" t="inlineStr">
        <is>
          <t>申万宏源资管</t>
        </is>
      </c>
      <c r="I1793" s="172" t="inlineStr">
        <is>
          <t>光大北分</t>
        </is>
      </c>
      <c r="J1793" s="172" t="n">
        <v>5</v>
      </c>
      <c r="K1793" s="172" t="inlineStr">
        <is>
          <t>7+12</t>
        </is>
      </c>
      <c r="L1793" s="208" t="n">
        <v>46196</v>
      </c>
      <c r="M1793" s="175" t="n">
        <v>0.01488</v>
      </c>
      <c r="N1793" s="176" t="n">
        <v>0.0187</v>
      </c>
      <c r="O1793" s="172" t="n">
        <v>1.78</v>
      </c>
      <c r="P1793" s="172" t="inlineStr">
        <is>
          <t>优先级</t>
        </is>
      </c>
      <c r="Q1793" s="175" t="n">
        <v>0.9</v>
      </c>
      <c r="R1793" s="172">
        <f>Q1179*J1179</f>
        <v/>
      </c>
      <c r="S1793" s="172" t="inlineStr">
        <is>
          <t>AAA</t>
        </is>
      </c>
      <c r="T1793" s="175" t="n">
        <v>0.016</v>
      </c>
      <c r="U1793" s="172" t="n"/>
      <c r="V1793" s="172" t="n"/>
      <c r="W1793" s="175" t="n">
        <v>0.017</v>
      </c>
      <c r="X1793" s="172" t="inlineStr">
        <is>
          <t>华夏理财</t>
        </is>
      </c>
      <c r="Y1793" s="191" t="n">
        <v>1.3</v>
      </c>
    </row>
    <row r="1794">
      <c r="A1794" s="172" t="n">
        <v>98</v>
      </c>
      <c r="B1794" s="172" t="inlineStr">
        <is>
          <t>6月</t>
        </is>
      </c>
      <c r="C1794" s="172" t="inlineStr">
        <is>
          <t>企金</t>
        </is>
      </c>
      <c r="D1794" s="172" t="inlineStr">
        <is>
          <t>金采</t>
        </is>
      </c>
      <c r="E1794" s="172" t="inlineStr">
        <is>
          <t>金采8-6</t>
        </is>
      </c>
      <c r="F1794" s="172" t="inlineStr">
        <is>
          <t>上交所</t>
        </is>
      </c>
      <c r="G1794" s="172" t="inlineStr">
        <is>
          <t>国泰海通</t>
        </is>
      </c>
      <c r="H1794" s="172" t="inlineStr">
        <is>
          <t>申万宏源资管</t>
        </is>
      </c>
      <c r="I1794" s="172" t="inlineStr">
        <is>
          <t>光大北分</t>
        </is>
      </c>
      <c r="J1794" s="172" t="n">
        <v>5</v>
      </c>
      <c r="K1794" s="172" t="inlineStr">
        <is>
          <t>7+12</t>
        </is>
      </c>
      <c r="L1794" s="208" t="n">
        <v>46196</v>
      </c>
      <c r="M1794" s="175" t="n">
        <v>0.01488</v>
      </c>
      <c r="N1794" s="176" t="n">
        <v>0.0187</v>
      </c>
      <c r="O1794" s="172" t="n">
        <v>1.78</v>
      </c>
      <c r="P1794" s="172" t="inlineStr">
        <is>
          <t>优先级</t>
        </is>
      </c>
      <c r="Q1794" s="175" t="n">
        <v>0.9</v>
      </c>
      <c r="R1794" s="172">
        <f>Q1179*J1179</f>
        <v/>
      </c>
      <c r="S1794" s="172" t="inlineStr">
        <is>
          <t>AAA</t>
        </is>
      </c>
      <c r="T1794" s="175" t="n">
        <v>0.016</v>
      </c>
      <c r="U1794" s="172" t="n"/>
      <c r="V1794" s="172" t="n"/>
      <c r="W1794" s="175" t="n">
        <v>0.024</v>
      </c>
      <c r="X1794" s="172" t="inlineStr">
        <is>
          <t>华夏理财</t>
        </is>
      </c>
      <c r="Y1794" s="191" t="n">
        <v>0.05</v>
      </c>
    </row>
    <row r="1795">
      <c r="A1795" s="172" t="n">
        <v>98</v>
      </c>
      <c r="B1795" s="172" t="inlineStr">
        <is>
          <t>6月</t>
        </is>
      </c>
      <c r="C1795" s="172" t="inlineStr">
        <is>
          <t>企金</t>
        </is>
      </c>
      <c r="D1795" s="172" t="inlineStr">
        <is>
          <t>金采</t>
        </is>
      </c>
      <c r="E1795" s="172" t="inlineStr">
        <is>
          <t>金采8-6</t>
        </is>
      </c>
      <c r="F1795" s="172" t="inlineStr">
        <is>
          <t>上交所</t>
        </is>
      </c>
      <c r="G1795" s="172" t="inlineStr">
        <is>
          <t>国泰海通</t>
        </is>
      </c>
      <c r="H1795" s="172" t="inlineStr">
        <is>
          <t>申万宏源资管</t>
        </is>
      </c>
      <c r="I1795" s="172" t="inlineStr">
        <is>
          <t>光大北分</t>
        </is>
      </c>
      <c r="J1795" s="172" t="n">
        <v>5</v>
      </c>
      <c r="K1795" s="172" t="inlineStr">
        <is>
          <t>7+12</t>
        </is>
      </c>
      <c r="L1795" s="208" t="n">
        <v>46196</v>
      </c>
      <c r="M1795" s="175" t="n">
        <v>0.01488</v>
      </c>
      <c r="N1795" s="176" t="n">
        <v>0.0187</v>
      </c>
      <c r="O1795" s="172" t="n">
        <v>1.78</v>
      </c>
      <c r="P1795" s="172" t="inlineStr">
        <is>
          <t>优先级</t>
        </is>
      </c>
      <c r="Q1795" s="175" t="n">
        <v>0.9</v>
      </c>
      <c r="R1795" s="172">
        <f>Q1179*J1179</f>
        <v/>
      </c>
      <c r="S1795" s="172" t="inlineStr">
        <is>
          <t>AAA</t>
        </is>
      </c>
      <c r="T1795" s="175" t="n">
        <v>0.016</v>
      </c>
      <c r="U1795" s="172" t="n"/>
      <c r="V1795" s="172" t="n"/>
      <c r="W1795" s="175" t="n">
        <v>0.017</v>
      </c>
      <c r="X1795" s="172" t="inlineStr">
        <is>
          <t>广银理财</t>
        </is>
      </c>
      <c r="Y1795" s="191" t="n">
        <v>1</v>
      </c>
    </row>
    <row r="1796">
      <c r="A1796" s="172" t="n">
        <v>98</v>
      </c>
      <c r="B1796" s="172" t="inlineStr">
        <is>
          <t>6月</t>
        </is>
      </c>
      <c r="C1796" s="172" t="inlineStr">
        <is>
          <t>企金</t>
        </is>
      </c>
      <c r="D1796" s="172" t="inlineStr">
        <is>
          <t>金采</t>
        </is>
      </c>
      <c r="E1796" s="172" t="inlineStr">
        <is>
          <t>金采8-6</t>
        </is>
      </c>
      <c r="F1796" s="172" t="inlineStr">
        <is>
          <t>上交所</t>
        </is>
      </c>
      <c r="G1796" s="172" t="inlineStr">
        <is>
          <t>国泰海通</t>
        </is>
      </c>
      <c r="H1796" s="172" t="inlineStr">
        <is>
          <t>申万宏源资管</t>
        </is>
      </c>
      <c r="I1796" s="172" t="inlineStr">
        <is>
          <t>光大北分</t>
        </is>
      </c>
      <c r="J1796" s="172" t="n">
        <v>5</v>
      </c>
      <c r="K1796" s="172" t="inlineStr">
        <is>
          <t>7+12</t>
        </is>
      </c>
      <c r="L1796" s="202" t="n">
        <v>46196</v>
      </c>
      <c r="M1796" s="175" t="n">
        <v>0.01488</v>
      </c>
      <c r="N1796" s="176" t="n">
        <v>0.0187</v>
      </c>
      <c r="O1796" s="191" t="n">
        <v>1.78</v>
      </c>
      <c r="P1796" s="172" t="inlineStr">
        <is>
          <t>中间级</t>
        </is>
      </c>
      <c r="Q1796" s="175" t="n">
        <v>0.05</v>
      </c>
      <c r="R1796" s="192">
        <f>Q1186*J1179</f>
        <v/>
      </c>
      <c r="S1796" s="175" t="inlineStr">
        <is>
          <t>AA</t>
        </is>
      </c>
      <c r="T1796" s="175" t="n">
        <v>0.031</v>
      </c>
      <c r="U1796" s="172" t="inlineStr">
        <is>
          <t>建信信托</t>
        </is>
      </c>
      <c r="V1796" s="201" t="n">
        <v>0.1375</v>
      </c>
      <c r="W1796" s="172" t="n"/>
      <c r="X1796" s="172" t="n"/>
      <c r="Y1796" s="172" t="n"/>
    </row>
    <row r="1797">
      <c r="A1797" s="172" t="n">
        <v>98</v>
      </c>
      <c r="B1797" s="172" t="inlineStr">
        <is>
          <t>6月</t>
        </is>
      </c>
      <c r="C1797" s="172" t="inlineStr">
        <is>
          <t>企金</t>
        </is>
      </c>
      <c r="D1797" s="172" t="inlineStr">
        <is>
          <t>金采</t>
        </is>
      </c>
      <c r="E1797" s="172" t="inlineStr">
        <is>
          <t>金采8-6</t>
        </is>
      </c>
      <c r="F1797" s="172" t="inlineStr">
        <is>
          <t>上交所</t>
        </is>
      </c>
      <c r="G1797" s="172" t="inlineStr">
        <is>
          <t>国泰海通</t>
        </is>
      </c>
      <c r="H1797" s="172" t="inlineStr">
        <is>
          <t>申万宏源资管</t>
        </is>
      </c>
      <c r="I1797" s="172" t="inlineStr">
        <is>
          <t>光大北分</t>
        </is>
      </c>
      <c r="J1797" s="172" t="n">
        <v>5</v>
      </c>
      <c r="K1797" s="172" t="inlineStr">
        <is>
          <t>7+12</t>
        </is>
      </c>
      <c r="L1797" s="202" t="n">
        <v>46196</v>
      </c>
      <c r="M1797" s="175" t="n">
        <v>0.01488</v>
      </c>
      <c r="N1797" s="176" t="n">
        <v>0.0187</v>
      </c>
      <c r="O1797" s="191" t="n">
        <v>1.78</v>
      </c>
      <c r="P1797" s="172" t="inlineStr">
        <is>
          <t>中间级</t>
        </is>
      </c>
      <c r="Q1797" s="175" t="n">
        <v>0.05</v>
      </c>
      <c r="R1797" s="192">
        <f>Q1186*J1179</f>
        <v/>
      </c>
      <c r="S1797" s="175" t="inlineStr">
        <is>
          <t>AA</t>
        </is>
      </c>
      <c r="T1797" s="175" t="n">
        <v>0.031</v>
      </c>
      <c r="U1797" s="172" t="inlineStr">
        <is>
          <t>中泰证券自营</t>
        </is>
      </c>
      <c r="V1797" s="191" t="n">
        <v>0.1</v>
      </c>
      <c r="W1797" s="172" t="n"/>
      <c r="X1797" s="172" t="n"/>
      <c r="Y1797" s="172" t="n"/>
    </row>
    <row r="1798">
      <c r="A1798" s="172" t="n">
        <v>98</v>
      </c>
      <c r="B1798" s="172" t="inlineStr">
        <is>
          <t>6月</t>
        </is>
      </c>
      <c r="C1798" s="172" t="inlineStr">
        <is>
          <t>企金</t>
        </is>
      </c>
      <c r="D1798" s="172" t="inlineStr">
        <is>
          <t>金采</t>
        </is>
      </c>
      <c r="E1798" s="172" t="inlineStr">
        <is>
          <t>金采8-6</t>
        </is>
      </c>
      <c r="F1798" s="172" t="inlineStr">
        <is>
          <t>上交所</t>
        </is>
      </c>
      <c r="G1798" s="172" t="inlineStr">
        <is>
          <t>国泰海通</t>
        </is>
      </c>
      <c r="H1798" s="172" t="inlineStr">
        <is>
          <t>申万宏源资管</t>
        </is>
      </c>
      <c r="I1798" s="172" t="inlineStr">
        <is>
          <t>光大北分</t>
        </is>
      </c>
      <c r="J1798" s="172" t="n">
        <v>5</v>
      </c>
      <c r="K1798" s="172" t="inlineStr">
        <is>
          <t>7+12</t>
        </is>
      </c>
      <c r="L1798" s="202" t="n">
        <v>46196</v>
      </c>
      <c r="M1798" s="175" t="n">
        <v>0.01488</v>
      </c>
      <c r="N1798" s="176" t="n">
        <v>0.0187</v>
      </c>
      <c r="O1798" s="191" t="n">
        <v>1.78</v>
      </c>
      <c r="P1798" s="172" t="inlineStr">
        <is>
          <t>中间级</t>
        </is>
      </c>
      <c r="Q1798" s="175" t="n">
        <v>0.05</v>
      </c>
      <c r="R1798" s="192">
        <f>Q1186*J1179</f>
        <v/>
      </c>
      <c r="S1798" s="175" t="inlineStr">
        <is>
          <t>AA</t>
        </is>
      </c>
      <c r="T1798" s="175" t="n">
        <v>0.031</v>
      </c>
      <c r="U1798" s="172" t="inlineStr">
        <is>
          <t>邦汇保理</t>
        </is>
      </c>
      <c r="V1798" s="201">
        <f>0.0125</f>
        <v/>
      </c>
      <c r="W1798" s="172" t="n"/>
      <c r="X1798" s="172" t="n"/>
      <c r="Y1798" s="172" t="n"/>
    </row>
    <row r="1799">
      <c r="A1799" s="172" t="n">
        <v>98</v>
      </c>
      <c r="B1799" s="172" t="inlineStr">
        <is>
          <t>6月</t>
        </is>
      </c>
      <c r="C1799" s="172" t="inlineStr">
        <is>
          <t>企金</t>
        </is>
      </c>
      <c r="D1799" s="172" t="inlineStr">
        <is>
          <t>金采</t>
        </is>
      </c>
      <c r="E1799" s="172" t="inlineStr">
        <is>
          <t>金采8-6</t>
        </is>
      </c>
      <c r="F1799" s="172" t="inlineStr">
        <is>
          <t>上交所</t>
        </is>
      </c>
      <c r="G1799" s="172" t="inlineStr">
        <is>
          <t>国泰海通</t>
        </is>
      </c>
      <c r="H1799" s="172" t="inlineStr">
        <is>
          <t>申万宏源资管</t>
        </is>
      </c>
      <c r="I1799" s="172" t="inlineStr">
        <is>
          <t>光大北分</t>
        </is>
      </c>
      <c r="J1799" s="172" t="n">
        <v>5</v>
      </c>
      <c r="K1799" s="172" t="inlineStr">
        <is>
          <t>7+12</t>
        </is>
      </c>
      <c r="L1799" s="202" t="n">
        <v>46196</v>
      </c>
      <c r="M1799" s="175" t="n">
        <v>0.01488</v>
      </c>
      <c r="N1799" s="176" t="n">
        <v>0.0187</v>
      </c>
      <c r="O1799" s="191" t="n">
        <v>1.78</v>
      </c>
      <c r="P1799" s="172" t="inlineStr">
        <is>
          <t>次级</t>
        </is>
      </c>
      <c r="Q1799" s="175" t="n">
        <v>0.05</v>
      </c>
      <c r="R1799" s="192">
        <f>J1179*Q1189</f>
        <v/>
      </c>
      <c r="S1799" s="175" t="inlineStr">
        <is>
          <t>无</t>
        </is>
      </c>
      <c r="T1799" s="175" t="n">
        <v>0.0455</v>
      </c>
      <c r="U1799" s="172" t="inlineStr">
        <is>
          <t>华宝证券资管</t>
        </is>
      </c>
      <c r="V1799" s="201" t="n">
        <v>0.2375</v>
      </c>
      <c r="W1799" s="172" t="n"/>
      <c r="X1799" s="172" t="n"/>
      <c r="Y1799" s="172" t="n"/>
    </row>
    <row r="1800">
      <c r="A1800" s="172" t="n">
        <v>98</v>
      </c>
      <c r="B1800" s="172" t="inlineStr">
        <is>
          <t>6月</t>
        </is>
      </c>
      <c r="C1800" s="172" t="inlineStr">
        <is>
          <t>企金</t>
        </is>
      </c>
      <c r="D1800" s="172" t="inlineStr">
        <is>
          <t>金采</t>
        </is>
      </c>
      <c r="E1800" s="172" t="inlineStr">
        <is>
          <t>金采8-6</t>
        </is>
      </c>
      <c r="F1800" s="172" t="inlineStr">
        <is>
          <t>上交所</t>
        </is>
      </c>
      <c r="G1800" s="172" t="inlineStr">
        <is>
          <t>国泰海通</t>
        </is>
      </c>
      <c r="H1800" s="172" t="inlineStr">
        <is>
          <t>申万宏源资管</t>
        </is>
      </c>
      <c r="I1800" s="172" t="inlineStr">
        <is>
          <t>光大北分</t>
        </is>
      </c>
      <c r="J1800" s="172" t="n">
        <v>5</v>
      </c>
      <c r="K1800" s="172" t="inlineStr">
        <is>
          <t>7+12</t>
        </is>
      </c>
      <c r="L1800" s="202" t="n">
        <v>46196</v>
      </c>
      <c r="M1800" s="175" t="n">
        <v>0.01488</v>
      </c>
      <c r="N1800" s="176" t="n">
        <v>0.0187</v>
      </c>
      <c r="O1800" s="191" t="n">
        <v>1.78</v>
      </c>
      <c r="P1800" s="172" t="inlineStr">
        <is>
          <t>次级</t>
        </is>
      </c>
      <c r="Q1800" s="175" t="n">
        <v>0.05</v>
      </c>
      <c r="R1800" s="192">
        <f>J1179*Q1189</f>
        <v/>
      </c>
      <c r="S1800" s="175" t="inlineStr">
        <is>
          <t>无</t>
        </is>
      </c>
      <c r="T1800" s="175" t="n">
        <v>0.0455</v>
      </c>
      <c r="U1800" s="172" t="inlineStr">
        <is>
          <t>邦汇保理</t>
        </is>
      </c>
      <c r="V1800" s="201">
        <f>0.25-0.2375</f>
        <v/>
      </c>
      <c r="W1800" s="172" t="n"/>
      <c r="X1800" s="172" t="n"/>
      <c r="Y1800" s="172" t="n"/>
    </row>
    <row r="1801">
      <c r="A1801" s="172" t="n">
        <v>99</v>
      </c>
      <c r="B1801" s="172" t="inlineStr">
        <is>
          <t>6月</t>
        </is>
      </c>
      <c r="C1801" s="172" t="inlineStr">
        <is>
          <t>企金</t>
        </is>
      </c>
      <c r="D1801" s="172" t="inlineStr">
        <is>
          <t>动产质押</t>
        </is>
      </c>
      <c r="E1801" s="172" t="inlineStr">
        <is>
          <t>尚亦2-3</t>
        </is>
      </c>
      <c r="F1801" s="172" t="inlineStr">
        <is>
          <t>上交所</t>
        </is>
      </c>
      <c r="G1801" s="172" t="inlineStr">
        <is>
          <t>申万宏源资管</t>
        </is>
      </c>
      <c r="H1801" s="172" t="inlineStr">
        <is>
          <t>国联证券</t>
        </is>
      </c>
      <c r="I1801" s="172" t="inlineStr">
        <is>
          <t>光大重分</t>
        </is>
      </c>
      <c r="J1801" s="172" t="n">
        <v>5</v>
      </c>
      <c r="K1801" s="172" t="inlineStr">
        <is>
          <t>7+12</t>
        </is>
      </c>
      <c r="L1801" s="202" t="n">
        <v>46196</v>
      </c>
      <c r="M1801" s="175" t="n">
        <v>0.01488</v>
      </c>
      <c r="N1801" s="176" t="n">
        <v>0.0189</v>
      </c>
      <c r="O1801" s="191" t="n">
        <v>3.39</v>
      </c>
      <c r="P1801" s="172" t="inlineStr">
        <is>
          <t>优先A</t>
        </is>
      </c>
      <c r="Q1801" s="175" t="n">
        <v>0.86</v>
      </c>
      <c r="R1801" s="192">
        <f>Q1191*J1191</f>
        <v/>
      </c>
      <c r="S1801" s="172" t="inlineStr">
        <is>
          <t>AAA</t>
        </is>
      </c>
      <c r="T1801" s="175" t="n">
        <v>0.0162</v>
      </c>
      <c r="U1801" s="172" t="inlineStr">
        <is>
          <t>华夏理财</t>
        </is>
      </c>
      <c r="V1801" s="191" t="n">
        <v>0.52</v>
      </c>
      <c r="W1801" s="175" t="n">
        <v>0.0162</v>
      </c>
      <c r="X1801" s="172" t="inlineStr">
        <is>
          <t>华夏理财</t>
        </is>
      </c>
      <c r="Y1801" s="191" t="n">
        <v>1.2</v>
      </c>
    </row>
    <row r="1802">
      <c r="A1802" s="172" t="n">
        <v>99</v>
      </c>
      <c r="B1802" s="172" t="inlineStr">
        <is>
          <t>6月</t>
        </is>
      </c>
      <c r="C1802" s="172" t="inlineStr">
        <is>
          <t>企金</t>
        </is>
      </c>
      <c r="D1802" s="172" t="inlineStr">
        <is>
          <t>动产质押</t>
        </is>
      </c>
      <c r="E1802" s="172" t="inlineStr">
        <is>
          <t>尚亦2-3</t>
        </is>
      </c>
      <c r="F1802" s="172" t="inlineStr">
        <is>
          <t>上交所</t>
        </is>
      </c>
      <c r="G1802" s="172" t="inlineStr">
        <is>
          <t>申万宏源资管</t>
        </is>
      </c>
      <c r="H1802" s="172" t="inlineStr">
        <is>
          <t>国联证券</t>
        </is>
      </c>
      <c r="I1802" s="172" t="inlineStr">
        <is>
          <t>光大重分</t>
        </is>
      </c>
      <c r="J1802" s="172" t="n">
        <v>5</v>
      </c>
      <c r="K1802" s="172" t="inlineStr">
        <is>
          <t>7+12</t>
        </is>
      </c>
      <c r="L1802" s="208" t="n">
        <v>46196</v>
      </c>
      <c r="M1802" s="175" t="n">
        <v>0.01488</v>
      </c>
      <c r="N1802" s="176" t="n">
        <v>0.0189</v>
      </c>
      <c r="O1802" s="172" t="n">
        <v>3.39</v>
      </c>
      <c r="P1802" s="172" t="inlineStr">
        <is>
          <t>优先A</t>
        </is>
      </c>
      <c r="Q1802" s="175" t="n">
        <v>0.86</v>
      </c>
      <c r="R1802" s="172">
        <f>Q1191*J1191</f>
        <v/>
      </c>
      <c r="S1802" s="172" t="inlineStr">
        <is>
          <t>AAA</t>
        </is>
      </c>
      <c r="T1802" s="175" t="n">
        <v>0.0162</v>
      </c>
      <c r="U1802" s="172" t="n"/>
      <c r="V1802" s="172" t="n"/>
      <c r="W1802" s="175" t="n">
        <v>0.017</v>
      </c>
      <c r="X1802" s="172" t="inlineStr">
        <is>
          <t>华夏理财</t>
        </is>
      </c>
      <c r="Y1802" s="191" t="n">
        <v>0.09</v>
      </c>
    </row>
    <row r="1803">
      <c r="A1803" s="172" t="n">
        <v>99</v>
      </c>
      <c r="B1803" s="172" t="inlineStr">
        <is>
          <t>6月</t>
        </is>
      </c>
      <c r="C1803" s="172" t="inlineStr">
        <is>
          <t>企金</t>
        </is>
      </c>
      <c r="D1803" s="172" t="inlineStr">
        <is>
          <t>动产质押</t>
        </is>
      </c>
      <c r="E1803" s="172" t="inlineStr">
        <is>
          <t>尚亦2-3</t>
        </is>
      </c>
      <c r="F1803" s="172" t="inlineStr">
        <is>
          <t>上交所</t>
        </is>
      </c>
      <c r="G1803" s="172" t="inlineStr">
        <is>
          <t>申万宏源资管</t>
        </is>
      </c>
      <c r="H1803" s="172" t="inlineStr">
        <is>
          <t>国联证券</t>
        </is>
      </c>
      <c r="I1803" s="172" t="inlineStr">
        <is>
          <t>光大重分</t>
        </is>
      </c>
      <c r="J1803" s="172" t="n">
        <v>5</v>
      </c>
      <c r="K1803" s="172" t="inlineStr">
        <is>
          <t>7+12</t>
        </is>
      </c>
      <c r="L1803" s="202" t="n">
        <v>46196</v>
      </c>
      <c r="M1803" s="175" t="n">
        <v>0.01488</v>
      </c>
      <c r="N1803" s="176" t="n">
        <v>0.0189</v>
      </c>
      <c r="O1803" s="191" t="n">
        <v>3.39</v>
      </c>
      <c r="P1803" s="172" t="inlineStr">
        <is>
          <t>优先A</t>
        </is>
      </c>
      <c r="Q1803" s="175" t="n">
        <v>0.86</v>
      </c>
      <c r="R1803" s="192">
        <f>Q1191*J1191</f>
        <v/>
      </c>
      <c r="S1803" s="172" t="inlineStr">
        <is>
          <t>AAA</t>
        </is>
      </c>
      <c r="T1803" s="175" t="n">
        <v>0.0162</v>
      </c>
      <c r="U1803" s="172" t="inlineStr">
        <is>
          <t>招银理财</t>
        </is>
      </c>
      <c r="V1803" s="191" t="n">
        <v>1.29</v>
      </c>
      <c r="W1803" s="175" t="n">
        <v>0.0158</v>
      </c>
      <c r="X1803" s="172" t="inlineStr">
        <is>
          <t>招银理财</t>
        </is>
      </c>
      <c r="Y1803" s="191" t="n">
        <v>1.2</v>
      </c>
    </row>
    <row r="1804">
      <c r="A1804" s="172" t="n">
        <v>99</v>
      </c>
      <c r="B1804" s="172" t="inlineStr">
        <is>
          <t>6月</t>
        </is>
      </c>
      <c r="C1804" s="172" t="inlineStr">
        <is>
          <t>企金</t>
        </is>
      </c>
      <c r="D1804" s="172" t="inlineStr">
        <is>
          <t>动产质押</t>
        </is>
      </c>
      <c r="E1804" s="172" t="inlineStr">
        <is>
          <t>尚亦2-3</t>
        </is>
      </c>
      <c r="F1804" s="172" t="inlineStr">
        <is>
          <t>上交所</t>
        </is>
      </c>
      <c r="G1804" s="172" t="inlineStr">
        <is>
          <t>申万宏源资管</t>
        </is>
      </c>
      <c r="H1804" s="172" t="inlineStr">
        <is>
          <t>国联证券</t>
        </is>
      </c>
      <c r="I1804" s="172" t="inlineStr">
        <is>
          <t>光大重分</t>
        </is>
      </c>
      <c r="J1804" s="172" t="n">
        <v>5</v>
      </c>
      <c r="K1804" s="172" t="inlineStr">
        <is>
          <t>7+12</t>
        </is>
      </c>
      <c r="L1804" s="208" t="n">
        <v>46196</v>
      </c>
      <c r="M1804" s="175" t="n">
        <v>0.01488</v>
      </c>
      <c r="N1804" s="176" t="n">
        <v>0.0189</v>
      </c>
      <c r="O1804" s="172" t="n">
        <v>3.39</v>
      </c>
      <c r="P1804" s="172" t="inlineStr">
        <is>
          <t>优先A</t>
        </is>
      </c>
      <c r="Q1804" s="175" t="n">
        <v>0.86</v>
      </c>
      <c r="R1804" s="172">
        <f>Q1191*J1191</f>
        <v/>
      </c>
      <c r="S1804" s="172" t="inlineStr">
        <is>
          <t>AAA</t>
        </is>
      </c>
      <c r="T1804" s="175" t="n">
        <v>0.0162</v>
      </c>
      <c r="U1804" s="172" t="n"/>
      <c r="V1804" s="172" t="n"/>
      <c r="W1804" s="175" t="n">
        <v>0.0159</v>
      </c>
      <c r="X1804" s="172" t="inlineStr">
        <is>
          <t>招银理财</t>
        </is>
      </c>
      <c r="Y1804" s="191" t="n">
        <v>0.09</v>
      </c>
    </row>
    <row r="1805">
      <c r="A1805" s="172" t="n">
        <v>99</v>
      </c>
      <c r="B1805" s="172" t="inlineStr">
        <is>
          <t>6月</t>
        </is>
      </c>
      <c r="C1805" s="172" t="inlineStr">
        <is>
          <t>企金</t>
        </is>
      </c>
      <c r="D1805" s="172" t="inlineStr">
        <is>
          <t>动产质押</t>
        </is>
      </c>
      <c r="E1805" s="172" t="inlineStr">
        <is>
          <t>尚亦2-3</t>
        </is>
      </c>
      <c r="F1805" s="172" t="inlineStr">
        <is>
          <t>上交所</t>
        </is>
      </c>
      <c r="G1805" s="172" t="inlineStr">
        <is>
          <t>申万宏源资管</t>
        </is>
      </c>
      <c r="H1805" s="172" t="inlineStr">
        <is>
          <t>国联证券</t>
        </is>
      </c>
      <c r="I1805" s="172" t="inlineStr">
        <is>
          <t>光大重分</t>
        </is>
      </c>
      <c r="J1805" s="172" t="n">
        <v>5</v>
      </c>
      <c r="K1805" s="172" t="inlineStr">
        <is>
          <t>7+12</t>
        </is>
      </c>
      <c r="L1805" s="202" t="n">
        <v>46196</v>
      </c>
      <c r="M1805" s="175" t="n">
        <v>0.01488</v>
      </c>
      <c r="N1805" s="176" t="n">
        <v>0.0189</v>
      </c>
      <c r="O1805" s="191" t="n">
        <v>3.39</v>
      </c>
      <c r="P1805" s="172" t="inlineStr">
        <is>
          <t>优先A</t>
        </is>
      </c>
      <c r="Q1805" s="175" t="n">
        <v>0.86</v>
      </c>
      <c r="R1805" s="192">
        <f>Q1191*J1191</f>
        <v/>
      </c>
      <c r="S1805" s="172" t="inlineStr">
        <is>
          <t>AAA</t>
        </is>
      </c>
      <c r="T1805" s="175" t="n">
        <v>0.0162</v>
      </c>
      <c r="U1805" s="172" t="inlineStr">
        <is>
          <t>建信信托</t>
        </is>
      </c>
      <c r="V1805" s="191" t="n">
        <v>1.2</v>
      </c>
      <c r="W1805" s="175" t="n">
        <v>0.016</v>
      </c>
      <c r="X1805" s="172" t="inlineStr">
        <is>
          <t>建信信托</t>
        </is>
      </c>
      <c r="Y1805" s="191" t="n">
        <v>1.2</v>
      </c>
    </row>
    <row r="1806">
      <c r="A1806" s="172" t="n">
        <v>99</v>
      </c>
      <c r="B1806" s="172" t="inlineStr">
        <is>
          <t>6月</t>
        </is>
      </c>
      <c r="C1806" s="172" t="inlineStr">
        <is>
          <t>企金</t>
        </is>
      </c>
      <c r="D1806" s="172" t="inlineStr">
        <is>
          <t>动产质押</t>
        </is>
      </c>
      <c r="E1806" s="172" t="inlineStr">
        <is>
          <t>尚亦2-3</t>
        </is>
      </c>
      <c r="F1806" s="172" t="inlineStr">
        <is>
          <t>上交所</t>
        </is>
      </c>
      <c r="G1806" s="172" t="inlineStr">
        <is>
          <t>申万宏源资管</t>
        </is>
      </c>
      <c r="H1806" s="172" t="inlineStr">
        <is>
          <t>国联证券</t>
        </is>
      </c>
      <c r="I1806" s="172" t="inlineStr">
        <is>
          <t>光大重分</t>
        </is>
      </c>
      <c r="J1806" s="172" t="n">
        <v>5</v>
      </c>
      <c r="K1806" s="172" t="inlineStr">
        <is>
          <t>7+12</t>
        </is>
      </c>
      <c r="L1806" s="202" t="n">
        <v>46196</v>
      </c>
      <c r="M1806" s="175" t="n">
        <v>0.01488</v>
      </c>
      <c r="N1806" s="176" t="n">
        <v>0.0189</v>
      </c>
      <c r="O1806" s="191" t="n">
        <v>3.39</v>
      </c>
      <c r="P1806" s="172" t="inlineStr">
        <is>
          <t>优先A</t>
        </is>
      </c>
      <c r="Q1806" s="175" t="n">
        <v>0.86</v>
      </c>
      <c r="R1806" s="192">
        <f>Q1191*J1191</f>
        <v/>
      </c>
      <c r="S1806" s="172" t="inlineStr">
        <is>
          <t>AAA</t>
        </is>
      </c>
      <c r="T1806" s="175" t="n">
        <v>0.0162</v>
      </c>
      <c r="U1806" s="172" t="inlineStr">
        <is>
          <t>中邮理财</t>
        </is>
      </c>
      <c r="V1806" s="191" t="n">
        <v>1.29</v>
      </c>
      <c r="W1806" s="175" t="n">
        <v>0.016</v>
      </c>
      <c r="X1806" s="172" t="inlineStr">
        <is>
          <t>中邮理财</t>
        </is>
      </c>
      <c r="Y1806" s="191" t="n">
        <v>1.29</v>
      </c>
    </row>
    <row r="1807">
      <c r="A1807" s="172" t="n">
        <v>99</v>
      </c>
      <c r="B1807" s="172" t="inlineStr">
        <is>
          <t>6月</t>
        </is>
      </c>
      <c r="C1807" s="172" t="inlineStr">
        <is>
          <t>企金</t>
        </is>
      </c>
      <c r="D1807" s="172" t="inlineStr">
        <is>
          <t>动产质押</t>
        </is>
      </c>
      <c r="E1807" s="172" t="inlineStr">
        <is>
          <t>尚亦2-3</t>
        </is>
      </c>
      <c r="F1807" s="172" t="inlineStr">
        <is>
          <t>上交所</t>
        </is>
      </c>
      <c r="G1807" s="172" t="inlineStr">
        <is>
          <t>申万宏源资管</t>
        </is>
      </c>
      <c r="H1807" s="172" t="inlineStr">
        <is>
          <t>国联证券</t>
        </is>
      </c>
      <c r="I1807" s="172" t="inlineStr">
        <is>
          <t>光大重分</t>
        </is>
      </c>
      <c r="J1807" s="172" t="n">
        <v>5</v>
      </c>
      <c r="K1807" s="172" t="inlineStr">
        <is>
          <t>7+12</t>
        </is>
      </c>
      <c r="L1807" s="208" t="n">
        <v>46196</v>
      </c>
      <c r="M1807" s="175" t="n">
        <v>0.01488</v>
      </c>
      <c r="N1807" s="176" t="n">
        <v>0.0189</v>
      </c>
      <c r="O1807" s="172" t="n">
        <v>3.39</v>
      </c>
      <c r="P1807" s="172" t="inlineStr">
        <is>
          <t>优先A</t>
        </is>
      </c>
      <c r="Q1807" s="175" t="n">
        <v>0.86</v>
      </c>
      <c r="R1807" s="172">
        <f>Q1191*J1191</f>
        <v/>
      </c>
      <c r="S1807" s="172" t="inlineStr">
        <is>
          <t>AAA</t>
        </is>
      </c>
      <c r="T1807" s="175" t="n">
        <v>0.0162</v>
      </c>
      <c r="U1807" s="172" t="n"/>
      <c r="V1807" s="172" t="n"/>
      <c r="W1807" s="175" t="n">
        <v>0.0164</v>
      </c>
      <c r="X1807" s="172" t="inlineStr">
        <is>
          <t>易方达基金</t>
        </is>
      </c>
      <c r="Y1807" s="191" t="n">
        <v>0.4</v>
      </c>
    </row>
    <row r="1808">
      <c r="A1808" s="172" t="n">
        <v>99</v>
      </c>
      <c r="B1808" s="172" t="inlineStr">
        <is>
          <t>6月</t>
        </is>
      </c>
      <c r="C1808" s="172" t="inlineStr">
        <is>
          <t>企金</t>
        </is>
      </c>
      <c r="D1808" s="172" t="inlineStr">
        <is>
          <t>动产质押</t>
        </is>
      </c>
      <c r="E1808" s="172" t="inlineStr">
        <is>
          <t>尚亦2-3</t>
        </is>
      </c>
      <c r="F1808" s="172" t="inlineStr">
        <is>
          <t>上交所</t>
        </is>
      </c>
      <c r="G1808" s="172" t="inlineStr">
        <is>
          <t>申万宏源资管</t>
        </is>
      </c>
      <c r="H1808" s="172" t="inlineStr">
        <is>
          <t>国联证券</t>
        </is>
      </c>
      <c r="I1808" s="172" t="inlineStr">
        <is>
          <t>光大重分</t>
        </is>
      </c>
      <c r="J1808" s="172" t="n">
        <v>5</v>
      </c>
      <c r="K1808" s="172" t="inlineStr">
        <is>
          <t>7+12</t>
        </is>
      </c>
      <c r="L1808" s="208" t="n">
        <v>46196</v>
      </c>
      <c r="M1808" s="175" t="n">
        <v>0.01488</v>
      </c>
      <c r="N1808" s="176" t="n">
        <v>0.0189</v>
      </c>
      <c r="O1808" s="172" t="n">
        <v>3.39</v>
      </c>
      <c r="P1808" s="172" t="inlineStr">
        <is>
          <t>优先A</t>
        </is>
      </c>
      <c r="Q1808" s="175" t="n">
        <v>0.86</v>
      </c>
      <c r="R1808" s="172">
        <f>Q1191*J1191</f>
        <v/>
      </c>
      <c r="S1808" s="172" t="inlineStr">
        <is>
          <t>AAA</t>
        </is>
      </c>
      <c r="T1808" s="175" t="n">
        <v>0.0162</v>
      </c>
      <c r="U1808" s="172" t="n"/>
      <c r="V1808" s="172" t="n"/>
      <c r="W1808" s="175" t="n">
        <v>0.017</v>
      </c>
      <c r="X1808" s="172" t="inlineStr">
        <is>
          <t>中金自营</t>
        </is>
      </c>
      <c r="Y1808" s="191" t="n">
        <v>0.4</v>
      </c>
    </row>
    <row r="1809">
      <c r="A1809" s="172" t="n">
        <v>99</v>
      </c>
      <c r="B1809" s="172" t="inlineStr">
        <is>
          <t>6月</t>
        </is>
      </c>
      <c r="C1809" s="172" t="inlineStr">
        <is>
          <t>企金</t>
        </is>
      </c>
      <c r="D1809" s="172" t="inlineStr">
        <is>
          <t>动产质押</t>
        </is>
      </c>
      <c r="E1809" s="172" t="inlineStr">
        <is>
          <t>尚亦2-3</t>
        </is>
      </c>
      <c r="F1809" s="172" t="inlineStr">
        <is>
          <t>上交所</t>
        </is>
      </c>
      <c r="G1809" s="172" t="inlineStr">
        <is>
          <t>申万宏源资管</t>
        </is>
      </c>
      <c r="H1809" s="172" t="inlineStr">
        <is>
          <t>国联证券</t>
        </is>
      </c>
      <c r="I1809" s="172" t="inlineStr">
        <is>
          <t>光大重分</t>
        </is>
      </c>
      <c r="J1809" s="172" t="n">
        <v>5</v>
      </c>
      <c r="K1809" s="172" t="inlineStr">
        <is>
          <t>7+12</t>
        </is>
      </c>
      <c r="L1809" s="208" t="n">
        <v>46196</v>
      </c>
      <c r="M1809" s="175" t="n">
        <v>0.01488</v>
      </c>
      <c r="N1809" s="176" t="n">
        <v>0.0189</v>
      </c>
      <c r="O1809" s="172" t="n">
        <v>3.39</v>
      </c>
      <c r="P1809" s="172" t="inlineStr">
        <is>
          <t>优先A</t>
        </is>
      </c>
      <c r="Q1809" s="175" t="n">
        <v>0.86</v>
      </c>
      <c r="R1809" s="172">
        <f>Q1191*J1191</f>
        <v/>
      </c>
      <c r="S1809" s="172" t="inlineStr">
        <is>
          <t>AAA</t>
        </is>
      </c>
      <c r="T1809" s="175" t="n">
        <v>0.0162</v>
      </c>
      <c r="U1809" s="172" t="n"/>
      <c r="V1809" s="172" t="n"/>
      <c r="W1809" s="175" t="n">
        <v>0.0175</v>
      </c>
      <c r="X1809" s="172" t="inlineStr">
        <is>
          <t>广银理财</t>
        </is>
      </c>
      <c r="Y1809" s="191" t="n">
        <v>0.5</v>
      </c>
    </row>
    <row r="1810">
      <c r="A1810" s="172" t="n">
        <v>99</v>
      </c>
      <c r="B1810" s="172" t="inlineStr">
        <is>
          <t>6月</t>
        </is>
      </c>
      <c r="C1810" s="172" t="inlineStr">
        <is>
          <t>企金</t>
        </is>
      </c>
      <c r="D1810" s="172" t="inlineStr">
        <is>
          <t>动产质押</t>
        </is>
      </c>
      <c r="E1810" s="172" t="inlineStr">
        <is>
          <t>尚亦2-3</t>
        </is>
      </c>
      <c r="F1810" s="172" t="inlineStr">
        <is>
          <t>上交所</t>
        </is>
      </c>
      <c r="G1810" s="172" t="inlineStr">
        <is>
          <t>申万宏源资管</t>
        </is>
      </c>
      <c r="H1810" s="172" t="inlineStr">
        <is>
          <t>国联证券</t>
        </is>
      </c>
      <c r="I1810" s="172" t="inlineStr">
        <is>
          <t>光大重分</t>
        </is>
      </c>
      <c r="J1810" s="172" t="n">
        <v>5</v>
      </c>
      <c r="K1810" s="172" t="inlineStr">
        <is>
          <t>7+12</t>
        </is>
      </c>
      <c r="L1810" s="208" t="n">
        <v>46196</v>
      </c>
      <c r="M1810" s="175" t="n">
        <v>0.01488</v>
      </c>
      <c r="N1810" s="176" t="n">
        <v>0.0189</v>
      </c>
      <c r="O1810" s="172" t="n">
        <v>3.39</v>
      </c>
      <c r="P1810" s="172" t="inlineStr">
        <is>
          <t>优先A</t>
        </is>
      </c>
      <c r="Q1810" s="175" t="n">
        <v>0.86</v>
      </c>
      <c r="R1810" s="172">
        <f>Q1191*J1191</f>
        <v/>
      </c>
      <c r="S1810" s="172" t="inlineStr">
        <is>
          <t>AAA</t>
        </is>
      </c>
      <c r="T1810" s="175" t="n">
        <v>0.0162</v>
      </c>
      <c r="U1810" s="172" t="n"/>
      <c r="V1810" s="172" t="n"/>
      <c r="W1810" s="175" t="n">
        <v>0.018</v>
      </c>
      <c r="X1810" s="172" t="inlineStr">
        <is>
          <t>申万宏源资管</t>
        </is>
      </c>
      <c r="Y1810" s="191" t="n">
        <v>0.68</v>
      </c>
    </row>
    <row r="1811">
      <c r="A1811" s="172" t="n">
        <v>99</v>
      </c>
      <c r="B1811" s="172" t="inlineStr">
        <is>
          <t>6月</t>
        </is>
      </c>
      <c r="C1811" s="172" t="inlineStr">
        <is>
          <t>企金</t>
        </is>
      </c>
      <c r="D1811" s="172" t="inlineStr">
        <is>
          <t>动产质押</t>
        </is>
      </c>
      <c r="E1811" s="172" t="inlineStr">
        <is>
          <t>尚亦2-3</t>
        </is>
      </c>
      <c r="F1811" s="172" t="inlineStr">
        <is>
          <t>上交所</t>
        </is>
      </c>
      <c r="G1811" s="172" t="inlineStr">
        <is>
          <t>申万宏源资管</t>
        </is>
      </c>
      <c r="H1811" s="172" t="inlineStr">
        <is>
          <t>国联证券</t>
        </is>
      </c>
      <c r="I1811" s="172" t="inlineStr">
        <is>
          <t>光大重分</t>
        </is>
      </c>
      <c r="J1811" s="172" t="n">
        <v>5</v>
      </c>
      <c r="K1811" s="172" t="inlineStr">
        <is>
          <t>7+12</t>
        </is>
      </c>
      <c r="L1811" s="208" t="n">
        <v>46196</v>
      </c>
      <c r="M1811" s="175" t="n">
        <v>0.01488</v>
      </c>
      <c r="N1811" s="176" t="n">
        <v>0.0189</v>
      </c>
      <c r="O1811" s="172" t="n">
        <v>3.39</v>
      </c>
      <c r="P1811" s="172" t="inlineStr">
        <is>
          <t>优先A</t>
        </is>
      </c>
      <c r="Q1811" s="175" t="n">
        <v>0.86</v>
      </c>
      <c r="R1811" s="172">
        <f>Q1191*J1191</f>
        <v/>
      </c>
      <c r="S1811" s="172" t="inlineStr">
        <is>
          <t>AAA</t>
        </is>
      </c>
      <c r="T1811" s="175" t="n">
        <v>0.0162</v>
      </c>
      <c r="U1811" s="172" t="n"/>
      <c r="V1811" s="172" t="n"/>
      <c r="W1811" s="175" t="n">
        <v>0.018</v>
      </c>
      <c r="X1811" s="172" t="inlineStr">
        <is>
          <t>东方财富证券</t>
        </is>
      </c>
      <c r="Y1811" s="191" t="n">
        <v>0.2</v>
      </c>
    </row>
    <row r="1812">
      <c r="A1812" s="172" t="n">
        <v>99</v>
      </c>
      <c r="B1812" s="172" t="inlineStr">
        <is>
          <t>6月</t>
        </is>
      </c>
      <c r="C1812" s="172" t="inlineStr">
        <is>
          <t>企金</t>
        </is>
      </c>
      <c r="D1812" s="172" t="inlineStr">
        <is>
          <t>动产质押</t>
        </is>
      </c>
      <c r="E1812" s="172" t="inlineStr">
        <is>
          <t>尚亦2-3</t>
        </is>
      </c>
      <c r="F1812" s="172" t="inlineStr">
        <is>
          <t>上交所</t>
        </is>
      </c>
      <c r="G1812" s="172" t="inlineStr">
        <is>
          <t>申万宏源资管</t>
        </is>
      </c>
      <c r="H1812" s="172" t="inlineStr">
        <is>
          <t>国联证券</t>
        </is>
      </c>
      <c r="I1812" s="172" t="inlineStr">
        <is>
          <t>光大重分</t>
        </is>
      </c>
      <c r="J1812" s="172" t="n">
        <v>5</v>
      </c>
      <c r="K1812" s="172" t="inlineStr">
        <is>
          <t>7+12</t>
        </is>
      </c>
      <c r="L1812" s="208" t="n">
        <v>46196</v>
      </c>
      <c r="M1812" s="175" t="n">
        <v>0.01488</v>
      </c>
      <c r="N1812" s="176" t="n">
        <v>0.0189</v>
      </c>
      <c r="O1812" s="172" t="n">
        <v>3.39</v>
      </c>
      <c r="P1812" s="172" t="inlineStr">
        <is>
          <t>优先A</t>
        </is>
      </c>
      <c r="Q1812" s="175" t="n">
        <v>0.86</v>
      </c>
      <c r="R1812" s="172">
        <f>Q1191*J1191</f>
        <v/>
      </c>
      <c r="S1812" s="172" t="inlineStr">
        <is>
          <t>AAA</t>
        </is>
      </c>
      <c r="T1812" s="175" t="n">
        <v>0.0162</v>
      </c>
      <c r="U1812" s="172" t="n"/>
      <c r="V1812" s="172" t="n"/>
      <c r="W1812" s="175" t="n">
        <v>0.018</v>
      </c>
      <c r="X1812" s="172" t="inlineStr">
        <is>
          <t>国联证券</t>
        </is>
      </c>
      <c r="Y1812" s="191" t="n">
        <v>0.68</v>
      </c>
    </row>
    <row r="1813">
      <c r="A1813" s="172" t="n">
        <v>99</v>
      </c>
      <c r="B1813" s="172" t="inlineStr">
        <is>
          <t>6月</t>
        </is>
      </c>
      <c r="C1813" s="172" t="inlineStr">
        <is>
          <t>企金</t>
        </is>
      </c>
      <c r="D1813" s="172" t="inlineStr">
        <is>
          <t>动产质押</t>
        </is>
      </c>
      <c r="E1813" s="172" t="inlineStr">
        <is>
          <t>尚亦2-3</t>
        </is>
      </c>
      <c r="F1813" s="172" t="inlineStr">
        <is>
          <t>上交所</t>
        </is>
      </c>
      <c r="G1813" s="172" t="inlineStr">
        <is>
          <t>申万宏源资管</t>
        </is>
      </c>
      <c r="H1813" s="172" t="inlineStr">
        <is>
          <t>国联证券</t>
        </is>
      </c>
      <c r="I1813" s="172" t="inlineStr">
        <is>
          <t>光大重分</t>
        </is>
      </c>
      <c r="J1813" s="172" t="n">
        <v>5</v>
      </c>
      <c r="K1813" s="172" t="inlineStr">
        <is>
          <t>7+12</t>
        </is>
      </c>
      <c r="L1813" s="208" t="n">
        <v>46196</v>
      </c>
      <c r="M1813" s="175" t="n">
        <v>0.01488</v>
      </c>
      <c r="N1813" s="176" t="n">
        <v>0.0189</v>
      </c>
      <c r="O1813" s="172" t="n">
        <v>3.39</v>
      </c>
      <c r="P1813" s="172" t="inlineStr">
        <is>
          <t>优先A</t>
        </is>
      </c>
      <c r="Q1813" s="175" t="n">
        <v>0.86</v>
      </c>
      <c r="R1813" s="172">
        <f>Q1191*J1191</f>
        <v/>
      </c>
      <c r="S1813" s="172" t="inlineStr">
        <is>
          <t>AAA</t>
        </is>
      </c>
      <c r="T1813" s="175" t="n">
        <v>0.0162</v>
      </c>
      <c r="U1813" s="172" t="n"/>
      <c r="V1813" s="172" t="n"/>
      <c r="W1813" s="175" t="n">
        <v>0.019</v>
      </c>
      <c r="X1813" s="172" t="inlineStr">
        <is>
          <t>中金投顾</t>
        </is>
      </c>
      <c r="Y1813" s="191" t="n">
        <v>0.5</v>
      </c>
    </row>
    <row r="1814">
      <c r="A1814" s="172" t="n">
        <v>99</v>
      </c>
      <c r="B1814" s="172" t="inlineStr">
        <is>
          <t>6月</t>
        </is>
      </c>
      <c r="C1814" s="172" t="inlineStr">
        <is>
          <t>企金</t>
        </is>
      </c>
      <c r="D1814" s="172" t="inlineStr">
        <is>
          <t>动产质押</t>
        </is>
      </c>
      <c r="E1814" s="172" t="inlineStr">
        <is>
          <t>尚亦2-3</t>
        </is>
      </c>
      <c r="F1814" s="172" t="inlineStr">
        <is>
          <t>上交所</t>
        </is>
      </c>
      <c r="G1814" s="172" t="inlineStr">
        <is>
          <t>申万宏源资管</t>
        </is>
      </c>
      <c r="H1814" s="172" t="inlineStr">
        <is>
          <t>国联证券</t>
        </is>
      </c>
      <c r="I1814" s="172" t="inlineStr">
        <is>
          <t>光大重分</t>
        </is>
      </c>
      <c r="J1814" s="172" t="n">
        <v>5</v>
      </c>
      <c r="K1814" s="172" t="inlineStr">
        <is>
          <t>7+12</t>
        </is>
      </c>
      <c r="L1814" s="208" t="n">
        <v>46196</v>
      </c>
      <c r="M1814" s="175" t="n">
        <v>0.01488</v>
      </c>
      <c r="N1814" s="176" t="n">
        <v>0.0189</v>
      </c>
      <c r="O1814" s="172" t="n">
        <v>3.39</v>
      </c>
      <c r="P1814" s="172" t="inlineStr">
        <is>
          <t>优先A</t>
        </is>
      </c>
      <c r="Q1814" s="175" t="n">
        <v>0.86</v>
      </c>
      <c r="R1814" s="172">
        <f>Q1191*J1191</f>
        <v/>
      </c>
      <c r="S1814" s="172" t="inlineStr">
        <is>
          <t>AAA</t>
        </is>
      </c>
      <c r="T1814" s="175" t="n">
        <v>0.0162</v>
      </c>
      <c r="U1814" s="172" t="n"/>
      <c r="V1814" s="172" t="n"/>
      <c r="W1814" s="175" t="n">
        <v>0.02</v>
      </c>
      <c r="X1814" s="172" t="inlineStr">
        <is>
          <t>建投机构部</t>
        </is>
      </c>
      <c r="Y1814" s="191" t="n">
        <v>0.6</v>
      </c>
    </row>
    <row r="1815">
      <c r="A1815" s="172" t="n">
        <v>99</v>
      </c>
      <c r="B1815" s="172" t="inlineStr">
        <is>
          <t>6月</t>
        </is>
      </c>
      <c r="C1815" s="172" t="inlineStr">
        <is>
          <t>企金</t>
        </is>
      </c>
      <c r="D1815" s="172" t="inlineStr">
        <is>
          <t>动产质押</t>
        </is>
      </c>
      <c r="E1815" s="172" t="inlineStr">
        <is>
          <t>尚亦2-3</t>
        </is>
      </c>
      <c r="F1815" s="172" t="inlineStr">
        <is>
          <t>上交所</t>
        </is>
      </c>
      <c r="G1815" s="172" t="inlineStr">
        <is>
          <t>申万宏源资管</t>
        </is>
      </c>
      <c r="H1815" s="172" t="inlineStr">
        <is>
          <t>国联证券</t>
        </is>
      </c>
      <c r="I1815" s="172" t="inlineStr">
        <is>
          <t>光大重分</t>
        </is>
      </c>
      <c r="J1815" s="172" t="n">
        <v>5</v>
      </c>
      <c r="K1815" s="172" t="inlineStr">
        <is>
          <t>7+12</t>
        </is>
      </c>
      <c r="L1815" s="208" t="n">
        <v>46196</v>
      </c>
      <c r="M1815" s="175" t="n">
        <v>0.01488</v>
      </c>
      <c r="N1815" s="176" t="n">
        <v>0.0189</v>
      </c>
      <c r="O1815" s="172" t="n">
        <v>3.39</v>
      </c>
      <c r="P1815" s="172" t="inlineStr">
        <is>
          <t>优先A</t>
        </is>
      </c>
      <c r="Q1815" s="175" t="n">
        <v>0.86</v>
      </c>
      <c r="R1815" s="172">
        <f>Q1191*J1191</f>
        <v/>
      </c>
      <c r="S1815" s="172" t="inlineStr">
        <is>
          <t>AAA</t>
        </is>
      </c>
      <c r="T1815" s="175" t="n">
        <v>0.0162</v>
      </c>
      <c r="U1815" s="172" t="n"/>
      <c r="V1815" s="172" t="n"/>
      <c r="W1815" s="175" t="n">
        <v>0.023</v>
      </c>
      <c r="X1815" s="172" t="inlineStr">
        <is>
          <t>信达证券</t>
        </is>
      </c>
      <c r="Y1815" s="191" t="n">
        <v>0.8</v>
      </c>
    </row>
    <row r="1816">
      <c r="A1816" s="172" t="n">
        <v>99</v>
      </c>
      <c r="B1816" s="172" t="inlineStr">
        <is>
          <t>6月</t>
        </is>
      </c>
      <c r="C1816" s="172" t="inlineStr">
        <is>
          <t>企金</t>
        </is>
      </c>
      <c r="D1816" s="172" t="inlineStr">
        <is>
          <t>动产质押</t>
        </is>
      </c>
      <c r="E1816" s="172" t="inlineStr">
        <is>
          <t>尚亦2-3</t>
        </is>
      </c>
      <c r="F1816" s="172" t="inlineStr">
        <is>
          <t>上交所</t>
        </is>
      </c>
      <c r="G1816" s="172" t="inlineStr">
        <is>
          <t>申万宏源资管</t>
        </is>
      </c>
      <c r="H1816" s="172" t="inlineStr">
        <is>
          <t>国联证券</t>
        </is>
      </c>
      <c r="I1816" s="172" t="inlineStr">
        <is>
          <t>光大重分</t>
        </is>
      </c>
      <c r="J1816" s="172" t="n">
        <v>5</v>
      </c>
      <c r="K1816" s="172" t="inlineStr">
        <is>
          <t>7+12</t>
        </is>
      </c>
      <c r="L1816" s="208" t="n">
        <v>46196</v>
      </c>
      <c r="M1816" s="175" t="n">
        <v>0.01488</v>
      </c>
      <c r="N1816" s="176" t="n">
        <v>0.0189</v>
      </c>
      <c r="O1816" s="172" t="n">
        <v>3.39</v>
      </c>
      <c r="P1816" s="172" t="inlineStr">
        <is>
          <t>优先A</t>
        </is>
      </c>
      <c r="Q1816" s="175" t="n">
        <v>0.86</v>
      </c>
      <c r="R1816" s="172">
        <f>Q1191*J1191</f>
        <v/>
      </c>
      <c r="S1816" s="172" t="inlineStr">
        <is>
          <t>AAA</t>
        </is>
      </c>
      <c r="T1816" s="175" t="n">
        <v>0.0162</v>
      </c>
      <c r="U1816" s="172" t="n"/>
      <c r="V1816" s="172" t="n"/>
      <c r="W1816" s="175" t="n">
        <v>0.024</v>
      </c>
      <c r="X1816" s="172" t="inlineStr">
        <is>
          <t>上海利曦私募基金管理合伙企业</t>
        </is>
      </c>
      <c r="Y1816" s="191" t="n">
        <v>1.5</v>
      </c>
    </row>
    <row r="1817">
      <c r="A1817" s="172" t="n">
        <v>99</v>
      </c>
      <c r="B1817" s="172" t="inlineStr">
        <is>
          <t>6月</t>
        </is>
      </c>
      <c r="C1817" s="172" t="inlineStr">
        <is>
          <t>企金</t>
        </is>
      </c>
      <c r="D1817" s="172" t="inlineStr">
        <is>
          <t>动产质押</t>
        </is>
      </c>
      <c r="E1817" s="172" t="inlineStr">
        <is>
          <t>尚亦2-3</t>
        </is>
      </c>
      <c r="F1817" s="172" t="inlineStr">
        <is>
          <t>上交所</t>
        </is>
      </c>
      <c r="G1817" s="172" t="inlineStr">
        <is>
          <t>申万宏源资管</t>
        </is>
      </c>
      <c r="H1817" s="172" t="inlineStr">
        <is>
          <t>国联证券</t>
        </is>
      </c>
      <c r="I1817" s="172" t="inlineStr">
        <is>
          <t>光大重分</t>
        </is>
      </c>
      <c r="J1817" s="172" t="n">
        <v>5</v>
      </c>
      <c r="K1817" s="172" t="inlineStr">
        <is>
          <t>7+12</t>
        </is>
      </c>
      <c r="L1817" s="208" t="n">
        <v>46196</v>
      </c>
      <c r="M1817" s="175" t="n">
        <v>0.01488</v>
      </c>
      <c r="N1817" s="176" t="n">
        <v>0.0189</v>
      </c>
      <c r="O1817" s="172" t="n">
        <v>3.39</v>
      </c>
      <c r="P1817" s="172" t="inlineStr">
        <is>
          <t>优先A</t>
        </is>
      </c>
      <c r="Q1817" s="175" t="n">
        <v>0.86</v>
      </c>
      <c r="R1817" s="172">
        <f>Q1191*J1191</f>
        <v/>
      </c>
      <c r="S1817" s="172" t="inlineStr">
        <is>
          <t>AAA</t>
        </is>
      </c>
      <c r="T1817" s="175" t="n">
        <v>0.0162</v>
      </c>
      <c r="U1817" s="172" t="n"/>
      <c r="V1817" s="172" t="n"/>
      <c r="W1817" s="175" t="n">
        <v>0.024</v>
      </c>
      <c r="X1817" s="172" t="inlineStr">
        <is>
          <t>中信建投证券</t>
        </is>
      </c>
      <c r="Y1817" s="191" t="n">
        <v>1.5</v>
      </c>
    </row>
    <row r="1818">
      <c r="A1818" s="172" t="n">
        <v>99</v>
      </c>
      <c r="B1818" s="172" t="inlineStr">
        <is>
          <t>6月</t>
        </is>
      </c>
      <c r="C1818" s="172" t="inlineStr">
        <is>
          <t>企金</t>
        </is>
      </c>
      <c r="D1818" s="172" t="inlineStr">
        <is>
          <t>动产质押</t>
        </is>
      </c>
      <c r="E1818" s="172" t="inlineStr">
        <is>
          <t>尚亦2-3</t>
        </is>
      </c>
      <c r="F1818" s="172" t="inlineStr">
        <is>
          <t>上交所</t>
        </is>
      </c>
      <c r="G1818" s="172" t="inlineStr">
        <is>
          <t>申万宏源资管</t>
        </is>
      </c>
      <c r="H1818" s="172" t="inlineStr">
        <is>
          <t>国联证券</t>
        </is>
      </c>
      <c r="I1818" s="172" t="inlineStr">
        <is>
          <t>光大重分</t>
        </is>
      </c>
      <c r="J1818" s="172" t="n">
        <v>5</v>
      </c>
      <c r="K1818" s="172" t="inlineStr">
        <is>
          <t>7+12</t>
        </is>
      </c>
      <c r="L1818" s="208" t="n">
        <v>46196</v>
      </c>
      <c r="M1818" s="175" t="n">
        <v>0.01488</v>
      </c>
      <c r="N1818" s="176" t="n">
        <v>0.0189</v>
      </c>
      <c r="O1818" s="172" t="n">
        <v>3.39</v>
      </c>
      <c r="P1818" s="172" t="inlineStr">
        <is>
          <t>优先A</t>
        </is>
      </c>
      <c r="Q1818" s="175" t="n">
        <v>0.86</v>
      </c>
      <c r="R1818" s="172">
        <f>Q1191*J1191</f>
        <v/>
      </c>
      <c r="S1818" s="172" t="inlineStr">
        <is>
          <t>AAA</t>
        </is>
      </c>
      <c r="T1818" s="175" t="n">
        <v>0.0162</v>
      </c>
      <c r="U1818" s="172" t="n"/>
      <c r="V1818" s="172" t="n"/>
      <c r="W1818" s="175" t="n">
        <v>0.024</v>
      </c>
      <c r="X1818" s="172" t="inlineStr">
        <is>
          <t>建投衍生品</t>
        </is>
      </c>
      <c r="Y1818" s="191" t="n">
        <v>1</v>
      </c>
    </row>
    <row r="1819">
      <c r="A1819" s="172" t="n">
        <v>99</v>
      </c>
      <c r="B1819" s="172" t="inlineStr">
        <is>
          <t>6月</t>
        </is>
      </c>
      <c r="C1819" s="172" t="inlineStr">
        <is>
          <t>企金</t>
        </is>
      </c>
      <c r="D1819" s="172" t="inlineStr">
        <is>
          <t>动产质押</t>
        </is>
      </c>
      <c r="E1819" s="172" t="inlineStr">
        <is>
          <t>尚亦2-3</t>
        </is>
      </c>
      <c r="F1819" s="172" t="inlineStr">
        <is>
          <t>上交所</t>
        </is>
      </c>
      <c r="G1819" s="172" t="inlineStr">
        <is>
          <t>申万宏源资管</t>
        </is>
      </c>
      <c r="H1819" s="172" t="inlineStr">
        <is>
          <t>国联证券</t>
        </is>
      </c>
      <c r="I1819" s="172" t="inlineStr">
        <is>
          <t>光大重分</t>
        </is>
      </c>
      <c r="J1819" s="172" t="n">
        <v>5</v>
      </c>
      <c r="K1819" s="172" t="inlineStr">
        <is>
          <t>7+12</t>
        </is>
      </c>
      <c r="L1819" s="208" t="n">
        <v>46196</v>
      </c>
      <c r="M1819" s="175" t="n">
        <v>0.01488</v>
      </c>
      <c r="N1819" s="176" t="n">
        <v>0.0189</v>
      </c>
      <c r="O1819" s="172" t="n">
        <v>3.39</v>
      </c>
      <c r="P1819" s="172" t="inlineStr">
        <is>
          <t>优先A</t>
        </is>
      </c>
      <c r="Q1819" s="175" t="n">
        <v>0.86</v>
      </c>
      <c r="R1819" s="172">
        <f>Q1191*J1191</f>
        <v/>
      </c>
      <c r="S1819" s="172" t="inlineStr">
        <is>
          <t>AAA</t>
        </is>
      </c>
      <c r="T1819" s="175" t="n">
        <v>0.0162</v>
      </c>
      <c r="U1819" s="172" t="n"/>
      <c r="V1819" s="172" t="n"/>
      <c r="W1819" s="175" t="n">
        <v>0.024</v>
      </c>
      <c r="X1819" s="172" t="inlineStr">
        <is>
          <t>国信证券</t>
        </is>
      </c>
      <c r="Y1819" s="191" t="n">
        <v>0.75</v>
      </c>
    </row>
    <row r="1820">
      <c r="A1820" s="172" t="n">
        <v>99</v>
      </c>
      <c r="B1820" s="172" t="inlineStr">
        <is>
          <t>6月</t>
        </is>
      </c>
      <c r="C1820" s="172" t="inlineStr">
        <is>
          <t>企金</t>
        </is>
      </c>
      <c r="D1820" s="172" t="inlineStr">
        <is>
          <t>动产质押</t>
        </is>
      </c>
      <c r="E1820" s="172" t="inlineStr">
        <is>
          <t>尚亦2-3</t>
        </is>
      </c>
      <c r="F1820" s="172" t="inlineStr">
        <is>
          <t>上交所</t>
        </is>
      </c>
      <c r="G1820" s="172" t="inlineStr">
        <is>
          <t>申万宏源资管</t>
        </is>
      </c>
      <c r="H1820" s="172" t="inlineStr">
        <is>
          <t>国联证券</t>
        </is>
      </c>
      <c r="I1820" s="172" t="inlineStr">
        <is>
          <t>光大重分</t>
        </is>
      </c>
      <c r="J1820" s="172" t="n">
        <v>5</v>
      </c>
      <c r="K1820" s="172" t="inlineStr">
        <is>
          <t>7+12</t>
        </is>
      </c>
      <c r="L1820" s="202" t="n">
        <v>46196</v>
      </c>
      <c r="M1820" s="175" t="n">
        <v>0.01488</v>
      </c>
      <c r="N1820" s="176" t="n">
        <v>0.0189</v>
      </c>
      <c r="O1820" s="191" t="n">
        <v>3.39</v>
      </c>
      <c r="P1820" s="172" t="inlineStr">
        <is>
          <t>优先B</t>
        </is>
      </c>
      <c r="Q1820" s="175" t="n">
        <v>0.04</v>
      </c>
      <c r="R1820" s="192">
        <f>J1191*Q1195</f>
        <v/>
      </c>
      <c r="S1820" s="175" t="inlineStr">
        <is>
          <t>AA+</t>
        </is>
      </c>
      <c r="T1820" s="175" t="n">
        <v>0.017</v>
      </c>
      <c r="U1820" s="172" t="inlineStr">
        <is>
          <t>中金财富</t>
        </is>
      </c>
      <c r="V1820" s="191" t="n">
        <v>0.14</v>
      </c>
      <c r="W1820" s="175" t="n">
        <v>0.017</v>
      </c>
      <c r="X1820" s="172" t="inlineStr">
        <is>
          <t>中金财富证券</t>
        </is>
      </c>
      <c r="Y1820" s="191" t="n">
        <v>0.14</v>
      </c>
    </row>
    <row r="1821">
      <c r="A1821" s="172" t="n">
        <v>99</v>
      </c>
      <c r="B1821" s="172" t="inlineStr">
        <is>
          <t>6月</t>
        </is>
      </c>
      <c r="C1821" s="172" t="inlineStr">
        <is>
          <t>企金</t>
        </is>
      </c>
      <c r="D1821" s="172" t="inlineStr">
        <is>
          <t>动产质押</t>
        </is>
      </c>
      <c r="E1821" s="172" t="inlineStr">
        <is>
          <t>尚亦2-3</t>
        </is>
      </c>
      <c r="F1821" s="172" t="inlineStr">
        <is>
          <t>上交所</t>
        </is>
      </c>
      <c r="G1821" s="172" t="inlineStr">
        <is>
          <t>申万宏源资管</t>
        </is>
      </c>
      <c r="H1821" s="172" t="inlineStr">
        <is>
          <t>国联证券</t>
        </is>
      </c>
      <c r="I1821" s="172" t="inlineStr">
        <is>
          <t>光大重分</t>
        </is>
      </c>
      <c r="J1821" s="172" t="n">
        <v>5</v>
      </c>
      <c r="K1821" s="172" t="inlineStr">
        <is>
          <t>7+12</t>
        </is>
      </c>
      <c r="L1821" s="202" t="n">
        <v>46196</v>
      </c>
      <c r="M1821" s="175" t="n">
        <v>0.01488</v>
      </c>
      <c r="N1821" s="176" t="n">
        <v>0.0189</v>
      </c>
      <c r="O1821" s="191" t="n">
        <v>3.39</v>
      </c>
      <c r="P1821" s="172" t="inlineStr">
        <is>
          <t>优先B</t>
        </is>
      </c>
      <c r="Q1821" s="175" t="n">
        <v>0.04</v>
      </c>
      <c r="R1821" s="192">
        <f>J1191*Q1195</f>
        <v/>
      </c>
      <c r="S1821" s="175" t="inlineStr">
        <is>
          <t>AA+</t>
        </is>
      </c>
      <c r="T1821" s="175" t="n">
        <v>0.017</v>
      </c>
      <c r="U1821" s="172" t="inlineStr">
        <is>
          <t>招银理财</t>
        </is>
      </c>
      <c r="V1821" s="191" t="n">
        <v>0.06</v>
      </c>
      <c r="W1821" s="175" t="n">
        <v>0.017</v>
      </c>
      <c r="X1821" s="172" t="inlineStr">
        <is>
          <t>招银理财</t>
        </is>
      </c>
      <c r="Y1821" s="191" t="n">
        <v>0.06</v>
      </c>
    </row>
    <row r="1822">
      <c r="A1822" s="172" t="n">
        <v>99</v>
      </c>
      <c r="B1822" s="172" t="inlineStr">
        <is>
          <t>6月</t>
        </is>
      </c>
      <c r="C1822" s="172" t="inlineStr">
        <is>
          <t>企金</t>
        </is>
      </c>
      <c r="D1822" s="172" t="inlineStr">
        <is>
          <t>动产质押</t>
        </is>
      </c>
      <c r="E1822" s="172" t="inlineStr">
        <is>
          <t>尚亦2-3</t>
        </is>
      </c>
      <c r="F1822" s="172" t="inlineStr">
        <is>
          <t>上交所</t>
        </is>
      </c>
      <c r="G1822" s="172" t="inlineStr">
        <is>
          <t>申万宏源资管</t>
        </is>
      </c>
      <c r="H1822" s="172" t="inlineStr">
        <is>
          <t>国联证券</t>
        </is>
      </c>
      <c r="I1822" s="172" t="inlineStr">
        <is>
          <t>光大重分</t>
        </is>
      </c>
      <c r="J1822" s="172" t="n">
        <v>5</v>
      </c>
      <c r="K1822" s="172" t="inlineStr">
        <is>
          <t>7+12</t>
        </is>
      </c>
      <c r="L1822" s="208" t="n">
        <v>46196</v>
      </c>
      <c r="M1822" s="175" t="n">
        <v>0.01488</v>
      </c>
      <c r="N1822" s="176" t="n">
        <v>0.0189</v>
      </c>
      <c r="O1822" s="172" t="n">
        <v>3.39</v>
      </c>
      <c r="P1822" s="172" t="inlineStr">
        <is>
          <t>优先B</t>
        </is>
      </c>
      <c r="Q1822" s="175" t="n">
        <v>0.04</v>
      </c>
      <c r="R1822" s="172">
        <f>J1191*Q1195</f>
        <v/>
      </c>
      <c r="S1822" s="172" t="inlineStr">
        <is>
          <t>AA+</t>
        </is>
      </c>
      <c r="T1822" s="175" t="n">
        <v>0.017</v>
      </c>
      <c r="U1822" s="172" t="n"/>
      <c r="V1822" s="172" t="n"/>
      <c r="W1822" s="175" t="n">
        <v>0.019</v>
      </c>
      <c r="X1822" s="172" t="inlineStr">
        <is>
          <t>中金自营</t>
        </is>
      </c>
      <c r="Y1822" s="191" t="n">
        <v>0.1</v>
      </c>
    </row>
    <row r="1823">
      <c r="A1823" s="172" t="n">
        <v>99</v>
      </c>
      <c r="B1823" s="172" t="inlineStr">
        <is>
          <t>6月</t>
        </is>
      </c>
      <c r="C1823" s="172" t="inlineStr">
        <is>
          <t>企金</t>
        </is>
      </c>
      <c r="D1823" s="172" t="inlineStr">
        <is>
          <t>动产质押</t>
        </is>
      </c>
      <c r="E1823" s="172" t="inlineStr">
        <is>
          <t>尚亦2-3</t>
        </is>
      </c>
      <c r="F1823" s="172" t="inlineStr">
        <is>
          <t>上交所</t>
        </is>
      </c>
      <c r="G1823" s="172" t="inlineStr">
        <is>
          <t>申万宏源资管</t>
        </is>
      </c>
      <c r="H1823" s="172" t="inlineStr">
        <is>
          <t>国联证券</t>
        </is>
      </c>
      <c r="I1823" s="172" t="inlineStr">
        <is>
          <t>光大重分</t>
        </is>
      </c>
      <c r="J1823" s="172" t="n">
        <v>5</v>
      </c>
      <c r="K1823" s="172" t="inlineStr">
        <is>
          <t>7+12</t>
        </is>
      </c>
      <c r="L1823" s="208" t="n">
        <v>46196</v>
      </c>
      <c r="M1823" s="175" t="n">
        <v>0.01488</v>
      </c>
      <c r="N1823" s="176" t="n">
        <v>0.0189</v>
      </c>
      <c r="O1823" s="172" t="n">
        <v>3.39</v>
      </c>
      <c r="P1823" s="172" t="inlineStr">
        <is>
          <t>优先B</t>
        </is>
      </c>
      <c r="Q1823" s="175" t="n">
        <v>0.04</v>
      </c>
      <c r="R1823" s="172">
        <f>J1191*Q1195</f>
        <v/>
      </c>
      <c r="S1823" s="172" t="inlineStr">
        <is>
          <t>AA+</t>
        </is>
      </c>
      <c r="T1823" s="175" t="n">
        <v>0.017</v>
      </c>
      <c r="U1823" s="172" t="n"/>
      <c r="V1823" s="172" t="n"/>
      <c r="W1823" s="175" t="n">
        <v>0.019</v>
      </c>
      <c r="X1823" s="172" t="inlineStr">
        <is>
          <t>申万宏源资管</t>
        </is>
      </c>
      <c r="Y1823" s="191" t="n">
        <v>0.03</v>
      </c>
    </row>
    <row r="1824">
      <c r="A1824" s="172" t="n">
        <v>99</v>
      </c>
      <c r="B1824" s="172" t="inlineStr">
        <is>
          <t>6月</t>
        </is>
      </c>
      <c r="C1824" s="172" t="inlineStr">
        <is>
          <t>企金</t>
        </is>
      </c>
      <c r="D1824" s="172" t="inlineStr">
        <is>
          <t>动产质押</t>
        </is>
      </c>
      <c r="E1824" s="172" t="inlineStr">
        <is>
          <t>尚亦2-3</t>
        </is>
      </c>
      <c r="F1824" s="172" t="inlineStr">
        <is>
          <t>上交所</t>
        </is>
      </c>
      <c r="G1824" s="172" t="inlineStr">
        <is>
          <t>申万宏源资管</t>
        </is>
      </c>
      <c r="H1824" s="172" t="inlineStr">
        <is>
          <t>国联证券</t>
        </is>
      </c>
      <c r="I1824" s="172" t="inlineStr">
        <is>
          <t>光大重分</t>
        </is>
      </c>
      <c r="J1824" s="172" t="n">
        <v>5</v>
      </c>
      <c r="K1824" s="172" t="inlineStr">
        <is>
          <t>7+12</t>
        </is>
      </c>
      <c r="L1824" s="202" t="n">
        <v>46196</v>
      </c>
      <c r="M1824" s="175" t="n">
        <v>0.01488</v>
      </c>
      <c r="N1824" s="176" t="n">
        <v>0.0189</v>
      </c>
      <c r="O1824" s="191" t="n">
        <v>3.39</v>
      </c>
      <c r="P1824" s="172" t="inlineStr">
        <is>
          <t>中间级</t>
        </is>
      </c>
      <c r="Q1824" s="175" t="n">
        <v>0.05</v>
      </c>
      <c r="R1824" s="192">
        <f>J1191*Q1197</f>
        <v/>
      </c>
      <c r="S1824" s="175" t="inlineStr">
        <is>
          <t>A-</t>
        </is>
      </c>
      <c r="T1824" s="175" t="n">
        <v>0.031</v>
      </c>
      <c r="U1824" s="172" t="inlineStr">
        <is>
          <t>利曦基金</t>
        </is>
      </c>
      <c r="V1824" s="191" t="n">
        <v>0.25</v>
      </c>
      <c r="W1824" s="172" t="n"/>
      <c r="X1824" s="172" t="n"/>
      <c r="Y1824" s="172" t="n"/>
    </row>
    <row r="1825">
      <c r="A1825" s="172" t="n">
        <v>99</v>
      </c>
      <c r="B1825" s="172" t="inlineStr">
        <is>
          <t>6月</t>
        </is>
      </c>
      <c r="C1825" s="172" t="inlineStr">
        <is>
          <t>企金</t>
        </is>
      </c>
      <c r="D1825" s="172" t="inlineStr">
        <is>
          <t>动产质押</t>
        </is>
      </c>
      <c r="E1825" s="172" t="inlineStr">
        <is>
          <t>尚亦2-3</t>
        </is>
      </c>
      <c r="F1825" s="172" t="inlineStr">
        <is>
          <t>上交所</t>
        </is>
      </c>
      <c r="G1825" s="172" t="inlineStr">
        <is>
          <t>申万宏源资管</t>
        </is>
      </c>
      <c r="H1825" s="172" t="inlineStr">
        <is>
          <t>国联证券</t>
        </is>
      </c>
      <c r="I1825" s="172" t="inlineStr">
        <is>
          <t>光大重分</t>
        </is>
      </c>
      <c r="J1825" s="172" t="n">
        <v>5</v>
      </c>
      <c r="K1825" s="172" t="inlineStr">
        <is>
          <t>7+12</t>
        </is>
      </c>
      <c r="L1825" s="202" t="n">
        <v>46196</v>
      </c>
      <c r="M1825" s="175" t="n">
        <v>0.01488</v>
      </c>
      <c r="N1825" s="176" t="n">
        <v>0.0189</v>
      </c>
      <c r="O1825" s="191" t="n">
        <v>3.39</v>
      </c>
      <c r="P1825" s="172" t="inlineStr">
        <is>
          <t>受益权</t>
        </is>
      </c>
      <c r="Q1825" s="175" t="n">
        <v>0.05</v>
      </c>
      <c r="R1825" s="192">
        <f>J1191*Q1198</f>
        <v/>
      </c>
      <c r="S1825" s="175" t="inlineStr">
        <is>
          <t>无</t>
        </is>
      </c>
      <c r="T1825" s="175" t="n">
        <v>0.0455</v>
      </c>
      <c r="U1825" s="172" t="inlineStr">
        <is>
          <t>员工理财</t>
        </is>
      </c>
      <c r="V1825" s="191" t="n">
        <v>0.25</v>
      </c>
      <c r="W1825" s="172" t="n"/>
      <c r="X1825" s="172" t="n"/>
      <c r="Y1825" s="172" t="n"/>
    </row>
    <row r="1826">
      <c r="A1826" s="172" t="n">
        <v>100</v>
      </c>
      <c r="B1826" s="172" t="inlineStr">
        <is>
          <t>6月</t>
        </is>
      </c>
      <c r="C1826" s="173" t="inlineStr">
        <is>
          <t>消金</t>
        </is>
      </c>
      <c r="D1826" s="173" t="inlineStr">
        <is>
          <t>金条&amp;白取混发</t>
        </is>
      </c>
      <c r="E1826" s="173" t="inlineStr">
        <is>
          <t>东樾4号春樾（4-1）</t>
        </is>
      </c>
      <c r="F1826" s="173" t="inlineStr">
        <is>
          <t>上交所</t>
        </is>
      </c>
      <c r="G1826" s="173" t="inlineStr">
        <is>
          <t>国泰海通</t>
        </is>
      </c>
      <c r="H1826" s="173" t="inlineStr">
        <is>
          <t>中信建投/招商证券/光大证券/中信证券</t>
        </is>
      </c>
      <c r="I1826" s="173" t="inlineStr">
        <is>
          <t>中行北分</t>
        </is>
      </c>
      <c r="J1826" s="172" t="n">
        <v>15</v>
      </c>
      <c r="K1826" s="173" t="inlineStr">
        <is>
          <t>12+10+12</t>
        </is>
      </c>
      <c r="L1826" s="202" t="n">
        <v>46198</v>
      </c>
      <c r="M1826" s="175" t="n">
        <v>0.0148</v>
      </c>
      <c r="N1826" s="176" t="n">
        <v>0.02104</v>
      </c>
      <c r="O1826" s="172" t="n">
        <v>1.1</v>
      </c>
      <c r="P1826" s="177" t="inlineStr">
        <is>
          <t>优先A</t>
        </is>
      </c>
      <c r="Q1826" s="178" t="n">
        <v>0.9</v>
      </c>
      <c r="R1826" s="179">
        <f>Q1199*J1199</f>
        <v/>
      </c>
      <c r="S1826" s="177" t="inlineStr">
        <is>
          <t>AAA</t>
        </is>
      </c>
      <c r="T1826" s="178" t="n">
        <v>0.0162</v>
      </c>
      <c r="U1826" s="177" t="inlineStr">
        <is>
          <t>招银理财</t>
        </is>
      </c>
      <c r="V1826" s="192" t="n">
        <v>3.5</v>
      </c>
      <c r="W1826" s="175" t="n">
        <v>0.0159</v>
      </c>
      <c r="X1826" s="172" t="inlineStr">
        <is>
          <t>招银理财</t>
        </is>
      </c>
      <c r="Y1826" s="191" t="n">
        <v>3.5</v>
      </c>
    </row>
    <row r="1827">
      <c r="A1827" s="172" t="n">
        <v>100</v>
      </c>
      <c r="B1827" s="172" t="inlineStr">
        <is>
          <t>6月</t>
        </is>
      </c>
      <c r="C1827" s="173" t="inlineStr">
        <is>
          <t>消金</t>
        </is>
      </c>
      <c r="D1827" s="173" t="inlineStr">
        <is>
          <t>金条&amp;白取混发</t>
        </is>
      </c>
      <c r="E1827" s="173" t="inlineStr">
        <is>
          <t>东樾4号春樾（4-1）</t>
        </is>
      </c>
      <c r="F1827" s="173" t="inlineStr">
        <is>
          <t>上交所</t>
        </is>
      </c>
      <c r="G1827" s="173" t="inlineStr">
        <is>
          <t>国泰海通</t>
        </is>
      </c>
      <c r="H1827" s="173" t="inlineStr">
        <is>
          <t>中信建投/招商证券/光大证券/中信证券</t>
        </is>
      </c>
      <c r="I1827" s="173" t="inlineStr">
        <is>
          <t>中行北分</t>
        </is>
      </c>
      <c r="J1827" s="172" t="n">
        <v>15</v>
      </c>
      <c r="K1827" s="173" t="inlineStr">
        <is>
          <t>12+10+12</t>
        </is>
      </c>
      <c r="L1827" s="202" t="n">
        <v>46198</v>
      </c>
      <c r="M1827" s="175" t="n">
        <v>0.0148</v>
      </c>
      <c r="N1827" s="176" t="n">
        <v>0.02104</v>
      </c>
      <c r="O1827" s="172" t="n">
        <v>1.1</v>
      </c>
      <c r="P1827" s="172" t="inlineStr">
        <is>
          <t>优先A</t>
        </is>
      </c>
      <c r="Q1827" s="178" t="n">
        <v>0.9</v>
      </c>
      <c r="R1827" s="179">
        <f>Q1199*J1199</f>
        <v/>
      </c>
      <c r="S1827" s="177" t="inlineStr">
        <is>
          <t>AAA</t>
        </is>
      </c>
      <c r="T1827" s="178" t="n">
        <v>0.0162</v>
      </c>
      <c r="U1827" s="177" t="inlineStr">
        <is>
          <t>平安理财</t>
        </is>
      </c>
      <c r="V1827" s="192" t="n">
        <v>2.09</v>
      </c>
      <c r="W1827" s="175" t="n">
        <v>0.0159</v>
      </c>
      <c r="X1827" s="172" t="inlineStr">
        <is>
          <t>平安理财</t>
        </is>
      </c>
      <c r="Y1827" s="191" t="n">
        <v>2.09</v>
      </c>
    </row>
    <row r="1828">
      <c r="A1828" s="172" t="n">
        <v>100</v>
      </c>
      <c r="B1828" s="172" t="inlineStr">
        <is>
          <t>6月</t>
        </is>
      </c>
      <c r="C1828" s="173" t="inlineStr">
        <is>
          <t>消金</t>
        </is>
      </c>
      <c r="D1828" s="173" t="inlineStr">
        <is>
          <t>金条&amp;白取混发</t>
        </is>
      </c>
      <c r="E1828" s="173" t="inlineStr">
        <is>
          <t>东樾4号春樾（4-1）</t>
        </is>
      </c>
      <c r="F1828" s="173" t="inlineStr">
        <is>
          <t>上交所</t>
        </is>
      </c>
      <c r="G1828" s="173" t="inlineStr">
        <is>
          <t>国泰海通</t>
        </is>
      </c>
      <c r="H1828" s="173" t="inlineStr">
        <is>
          <t>中信建投/招商证券/光大证券/中信证券</t>
        </is>
      </c>
      <c r="I1828" s="173" t="inlineStr">
        <is>
          <t>中行北分</t>
        </is>
      </c>
      <c r="J1828" s="172" t="n">
        <v>15</v>
      </c>
      <c r="K1828" s="173" t="inlineStr">
        <is>
          <t>12+10+12</t>
        </is>
      </c>
      <c r="L1828" s="202" t="n">
        <v>46198</v>
      </c>
      <c r="M1828" s="175" t="n">
        <v>0.0148</v>
      </c>
      <c r="N1828" s="176" t="n">
        <v>0.02104</v>
      </c>
      <c r="O1828" s="172" t="n">
        <v>1.1</v>
      </c>
      <c r="P1828" s="172" t="inlineStr">
        <is>
          <t>优先A</t>
        </is>
      </c>
      <c r="Q1828" s="178" t="n">
        <v>0.9</v>
      </c>
      <c r="R1828" s="179">
        <f>Q1199*J1199</f>
        <v/>
      </c>
      <c r="S1828" s="177" t="inlineStr">
        <is>
          <t>AAA</t>
        </is>
      </c>
      <c r="T1828" s="178" t="n">
        <v>0.0162</v>
      </c>
      <c r="U1828" s="177" t="inlineStr">
        <is>
          <t>中邮理财</t>
        </is>
      </c>
      <c r="V1828" s="192" t="n">
        <v>4.05</v>
      </c>
      <c r="W1828" s="175" t="n">
        <v>0.016</v>
      </c>
      <c r="X1828" s="172" t="inlineStr">
        <is>
          <t>中邮理财</t>
        </is>
      </c>
      <c r="Y1828" s="191" t="n">
        <v>4.05</v>
      </c>
    </row>
    <row r="1829">
      <c r="A1829" s="172" t="n">
        <v>100</v>
      </c>
      <c r="B1829" s="172" t="inlineStr">
        <is>
          <t>6月</t>
        </is>
      </c>
      <c r="C1829" s="173" t="inlineStr">
        <is>
          <t>消金</t>
        </is>
      </c>
      <c r="D1829" s="173" t="inlineStr">
        <is>
          <t>金条&amp;白取混发</t>
        </is>
      </c>
      <c r="E1829" s="173" t="inlineStr">
        <is>
          <t>东樾4号春樾（4-1）</t>
        </is>
      </c>
      <c r="F1829" s="173" t="inlineStr">
        <is>
          <t>上交所</t>
        </is>
      </c>
      <c r="G1829" s="173" t="inlineStr">
        <is>
          <t>国泰海通</t>
        </is>
      </c>
      <c r="H1829" s="173" t="inlineStr">
        <is>
          <t>中信建投/招商证券/光大证券/中信证券</t>
        </is>
      </c>
      <c r="I1829" s="173" t="inlineStr">
        <is>
          <t>中行北分</t>
        </is>
      </c>
      <c r="J1829" s="172" t="n">
        <v>15</v>
      </c>
      <c r="K1829" s="173" t="inlineStr">
        <is>
          <t>12+10+12</t>
        </is>
      </c>
      <c r="L1829" s="202" t="n">
        <v>46198</v>
      </c>
      <c r="M1829" s="175" t="n">
        <v>0.0148</v>
      </c>
      <c r="N1829" s="176" t="n">
        <v>0.02104</v>
      </c>
      <c r="O1829" s="172" t="n">
        <v>1.1</v>
      </c>
      <c r="P1829" s="172" t="inlineStr">
        <is>
          <t>优先A</t>
        </is>
      </c>
      <c r="Q1829" s="178" t="n">
        <v>0.9</v>
      </c>
      <c r="R1829" s="179">
        <f>Q1199*J1199</f>
        <v/>
      </c>
      <c r="S1829" s="177" t="inlineStr">
        <is>
          <t>AAA</t>
        </is>
      </c>
      <c r="T1829" s="178" t="n">
        <v>0.0162</v>
      </c>
      <c r="U1829" s="177" t="inlineStr">
        <is>
          <t>交银理财</t>
        </is>
      </c>
      <c r="V1829" s="192" t="n">
        <v>0.5</v>
      </c>
      <c r="W1829" s="175" t="n">
        <v>0.016</v>
      </c>
      <c r="X1829" s="172" t="inlineStr">
        <is>
          <t>交银理财</t>
        </is>
      </c>
      <c r="Y1829" s="191" t="n">
        <v>0.5</v>
      </c>
    </row>
    <row r="1830">
      <c r="A1830" s="172" t="n">
        <v>100</v>
      </c>
      <c r="B1830" s="172" t="inlineStr">
        <is>
          <t>6月</t>
        </is>
      </c>
      <c r="C1830" s="173" t="inlineStr">
        <is>
          <t>消金</t>
        </is>
      </c>
      <c r="D1830" s="173" t="inlineStr">
        <is>
          <t>金条&amp;白取混发</t>
        </is>
      </c>
      <c r="E1830" s="173" t="inlineStr">
        <is>
          <t>东樾4号春樾（4-1）</t>
        </is>
      </c>
      <c r="F1830" s="173" t="inlineStr">
        <is>
          <t>上交所</t>
        </is>
      </c>
      <c r="G1830" s="173" t="inlineStr">
        <is>
          <t>国泰海通</t>
        </is>
      </c>
      <c r="H1830" s="173" t="inlineStr">
        <is>
          <t>中信建投/招商证券/光大证券/中信证券</t>
        </is>
      </c>
      <c r="I1830" s="173" t="inlineStr">
        <is>
          <t>中行北分</t>
        </is>
      </c>
      <c r="J1830" s="172" t="n">
        <v>15</v>
      </c>
      <c r="K1830" s="173" t="inlineStr">
        <is>
          <t>12+10+12</t>
        </is>
      </c>
      <c r="L1830" s="202" t="n">
        <v>46198</v>
      </c>
      <c r="M1830" s="175" t="n">
        <v>0.0148</v>
      </c>
      <c r="N1830" s="176" t="n">
        <v>0.02104</v>
      </c>
      <c r="O1830" s="172" t="n">
        <v>1.1</v>
      </c>
      <c r="P1830" s="172" t="inlineStr">
        <is>
          <t>优先A</t>
        </is>
      </c>
      <c r="Q1830" s="178" t="n">
        <v>0.9</v>
      </c>
      <c r="R1830" s="179">
        <f>Q1199*J1199</f>
        <v/>
      </c>
      <c r="S1830" s="177" t="inlineStr">
        <is>
          <t>AAA</t>
        </is>
      </c>
      <c r="T1830" s="178" t="n">
        <v>0.0162</v>
      </c>
      <c r="U1830" s="177" t="inlineStr">
        <is>
          <t>德邦证券自营</t>
        </is>
      </c>
      <c r="V1830" s="192" t="n">
        <v>0.5</v>
      </c>
      <c r="W1830" s="175" t="n">
        <v>0.0162</v>
      </c>
      <c r="X1830" s="172" t="inlineStr">
        <is>
          <t>德邦证券</t>
        </is>
      </c>
      <c r="Y1830" s="191" t="n">
        <v>0.5</v>
      </c>
    </row>
    <row r="1831">
      <c r="A1831" s="172" t="n">
        <v>100</v>
      </c>
      <c r="B1831" s="172" t="inlineStr">
        <is>
          <t>6月</t>
        </is>
      </c>
      <c r="C1831" s="173" t="inlineStr">
        <is>
          <t>消金</t>
        </is>
      </c>
      <c r="D1831" s="173" t="inlineStr">
        <is>
          <t>金条&amp;白取混发</t>
        </is>
      </c>
      <c r="E1831" s="173" t="inlineStr">
        <is>
          <t>东樾4号春樾（4-1）</t>
        </is>
      </c>
      <c r="F1831" s="173" t="inlineStr">
        <is>
          <t>上交所</t>
        </is>
      </c>
      <c r="G1831" s="173" t="inlineStr">
        <is>
          <t>国泰海通</t>
        </is>
      </c>
      <c r="H1831" s="173" t="inlineStr">
        <is>
          <t>中信建投/招商证券/光大证券/中信证券</t>
        </is>
      </c>
      <c r="I1831" s="173" t="inlineStr">
        <is>
          <t>中行北分</t>
        </is>
      </c>
      <c r="J1831" s="172" t="n">
        <v>15</v>
      </c>
      <c r="K1831" s="173" t="inlineStr">
        <is>
          <t>12+10+12</t>
        </is>
      </c>
      <c r="L1831" s="202" t="n">
        <v>46198</v>
      </c>
      <c r="M1831" s="175" t="n">
        <v>0.0148</v>
      </c>
      <c r="N1831" s="176" t="n">
        <v>0.02104</v>
      </c>
      <c r="O1831" s="172" t="n">
        <v>1.1</v>
      </c>
      <c r="P1831" s="172" t="inlineStr">
        <is>
          <t>优先A</t>
        </is>
      </c>
      <c r="Q1831" s="178" t="n">
        <v>0.9</v>
      </c>
      <c r="R1831" s="179">
        <f>Q1199*J1199</f>
        <v/>
      </c>
      <c r="S1831" s="177" t="inlineStr">
        <is>
          <t>AAA</t>
        </is>
      </c>
      <c r="T1831" s="178" t="n">
        <v>0.0162</v>
      </c>
      <c r="U1831" s="177" t="inlineStr">
        <is>
          <t>国泰海通投行</t>
        </is>
      </c>
      <c r="V1831" s="192" t="n">
        <v>0.5600000000000001</v>
      </c>
      <c r="W1831" s="175" t="n">
        <v>0.0162</v>
      </c>
      <c r="X1831" s="172" t="inlineStr">
        <is>
          <t>国泰海通</t>
        </is>
      </c>
      <c r="Y1831" s="191" t="n">
        <v>0.5600000000000001</v>
      </c>
    </row>
    <row r="1832">
      <c r="A1832" s="172" t="n">
        <v>100</v>
      </c>
      <c r="B1832" s="172" t="inlineStr">
        <is>
          <t>6月</t>
        </is>
      </c>
      <c r="C1832" s="173" t="inlineStr">
        <is>
          <t>消金</t>
        </is>
      </c>
      <c r="D1832" s="173" t="inlineStr">
        <is>
          <t>金条&amp;白取混发</t>
        </is>
      </c>
      <c r="E1832" s="173" t="inlineStr">
        <is>
          <t>东樾4号春樾（4-1）</t>
        </is>
      </c>
      <c r="F1832" s="173" t="inlineStr">
        <is>
          <t>上交所</t>
        </is>
      </c>
      <c r="G1832" s="173" t="inlineStr">
        <is>
          <t>国泰海通</t>
        </is>
      </c>
      <c r="H1832" s="173" t="inlineStr">
        <is>
          <t>中信建投/招商证券/光大证券/中信证券</t>
        </is>
      </c>
      <c r="I1832" s="173" t="inlineStr">
        <is>
          <t>中行北分</t>
        </is>
      </c>
      <c r="J1832" s="172" t="n">
        <v>15</v>
      </c>
      <c r="K1832" s="173" t="inlineStr">
        <is>
          <t>12+10+12</t>
        </is>
      </c>
      <c r="L1832" s="202" t="n">
        <v>46198</v>
      </c>
      <c r="M1832" s="175" t="n">
        <v>0.0148</v>
      </c>
      <c r="N1832" s="176" t="n">
        <v>0.02104</v>
      </c>
      <c r="O1832" s="172" t="n">
        <v>1.1</v>
      </c>
      <c r="P1832" s="172" t="inlineStr">
        <is>
          <t>优先A</t>
        </is>
      </c>
      <c r="Q1832" s="178" t="n">
        <v>0.9</v>
      </c>
      <c r="R1832" s="179">
        <f>Q1199*J1199</f>
        <v/>
      </c>
      <c r="S1832" s="177" t="inlineStr">
        <is>
          <t>AAA</t>
        </is>
      </c>
      <c r="T1832" s="178" t="n">
        <v>0.0162</v>
      </c>
      <c r="U1832" s="177" t="inlineStr">
        <is>
          <t>光大证券投行</t>
        </is>
      </c>
      <c r="V1832" s="192" t="n">
        <v>0.25</v>
      </c>
      <c r="W1832" s="175" t="n">
        <v>0.0162</v>
      </c>
      <c r="X1832" s="172" t="inlineStr">
        <is>
          <t>光大证券</t>
        </is>
      </c>
      <c r="Y1832" s="191" t="n">
        <v>0.25</v>
      </c>
    </row>
    <row r="1833">
      <c r="A1833" s="172" t="n">
        <v>100</v>
      </c>
      <c r="B1833" s="172" t="inlineStr">
        <is>
          <t>6月</t>
        </is>
      </c>
      <c r="C1833" s="173" t="inlineStr">
        <is>
          <t>消金</t>
        </is>
      </c>
      <c r="D1833" s="173" t="inlineStr">
        <is>
          <t>金条&amp;白取混发</t>
        </is>
      </c>
      <c r="E1833" s="173" t="inlineStr">
        <is>
          <t>东樾4号春樾（4-1）</t>
        </is>
      </c>
      <c r="F1833" s="173" t="inlineStr">
        <is>
          <t>上交所</t>
        </is>
      </c>
      <c r="G1833" s="173" t="inlineStr">
        <is>
          <t>国泰海通</t>
        </is>
      </c>
      <c r="H1833" s="173" t="inlineStr">
        <is>
          <t>中信建投/招商证券/光大证券/中信证券</t>
        </is>
      </c>
      <c r="I1833" s="173" t="inlineStr">
        <is>
          <t>中行北分</t>
        </is>
      </c>
      <c r="J1833" s="172" t="n">
        <v>15</v>
      </c>
      <c r="K1833" s="173" t="inlineStr">
        <is>
          <t>12+10+12</t>
        </is>
      </c>
      <c r="L1833" s="202" t="n">
        <v>46198</v>
      </c>
      <c r="M1833" s="175" t="n">
        <v>0.0148</v>
      </c>
      <c r="N1833" s="176" t="n">
        <v>0.02104</v>
      </c>
      <c r="O1833" s="172" t="n">
        <v>1.1</v>
      </c>
      <c r="P1833" s="172" t="inlineStr">
        <is>
          <t>优先A</t>
        </is>
      </c>
      <c r="Q1833" s="178" t="n">
        <v>0.9</v>
      </c>
      <c r="R1833" s="179">
        <f>Q1199*J1199</f>
        <v/>
      </c>
      <c r="S1833" s="177" t="inlineStr">
        <is>
          <t>AAA</t>
        </is>
      </c>
      <c r="T1833" s="178" t="n">
        <v>0.0162</v>
      </c>
      <c r="U1833" s="177" t="inlineStr">
        <is>
          <t>招商证券投行</t>
        </is>
      </c>
      <c r="V1833" s="192" t="n">
        <v>0.25</v>
      </c>
      <c r="W1833" s="175" t="n">
        <v>0.0162</v>
      </c>
      <c r="X1833" s="172" t="inlineStr">
        <is>
          <t>招商证券</t>
        </is>
      </c>
      <c r="Y1833" s="191" t="n">
        <v>0.25</v>
      </c>
    </row>
    <row r="1834">
      <c r="A1834" s="172" t="n">
        <v>100</v>
      </c>
      <c r="B1834" s="172" t="inlineStr">
        <is>
          <t>6月</t>
        </is>
      </c>
      <c r="C1834" s="173" t="inlineStr">
        <is>
          <t>消金</t>
        </is>
      </c>
      <c r="D1834" s="173" t="inlineStr">
        <is>
          <t>金条&amp;白取混发</t>
        </is>
      </c>
      <c r="E1834" s="173" t="inlineStr">
        <is>
          <t>东樾4号春樾（4-1）</t>
        </is>
      </c>
      <c r="F1834" s="173" t="inlineStr">
        <is>
          <t>上交所</t>
        </is>
      </c>
      <c r="G1834" s="173" t="inlineStr">
        <is>
          <t>国泰海通</t>
        </is>
      </c>
      <c r="H1834" s="173" t="inlineStr">
        <is>
          <t>中信建投/招商证券/光大证券/中信证券</t>
        </is>
      </c>
      <c r="I1834" s="173" t="inlineStr">
        <is>
          <t>中行北分</t>
        </is>
      </c>
      <c r="J1834" s="172" t="n">
        <v>15</v>
      </c>
      <c r="K1834" s="173" t="inlineStr">
        <is>
          <t>12+10+12</t>
        </is>
      </c>
      <c r="L1834" s="202" t="n">
        <v>46198</v>
      </c>
      <c r="M1834" s="175" t="n">
        <v>0.0148</v>
      </c>
      <c r="N1834" s="176" t="n">
        <v>0.02104</v>
      </c>
      <c r="O1834" s="172" t="n">
        <v>1.1</v>
      </c>
      <c r="P1834" s="172" t="inlineStr">
        <is>
          <t>优先A</t>
        </is>
      </c>
      <c r="Q1834" s="178" t="n">
        <v>0.9</v>
      </c>
      <c r="R1834" s="179">
        <f>Q1199*J1199</f>
        <v/>
      </c>
      <c r="S1834" s="177" t="inlineStr">
        <is>
          <t>AAA</t>
        </is>
      </c>
      <c r="T1834" s="178" t="n">
        <v>0.0162</v>
      </c>
      <c r="U1834" s="177" t="inlineStr">
        <is>
          <t>中信建投投行</t>
        </is>
      </c>
      <c r="V1834" s="192" t="n">
        <v>0.25</v>
      </c>
      <c r="W1834" s="175" t="n">
        <v>0.0162</v>
      </c>
      <c r="X1834" s="172" t="inlineStr">
        <is>
          <t>中信建投</t>
        </is>
      </c>
      <c r="Y1834" s="191" t="n">
        <v>0.25</v>
      </c>
    </row>
    <row r="1835">
      <c r="A1835" s="172" t="n">
        <v>100</v>
      </c>
      <c r="B1835" s="172" t="inlineStr">
        <is>
          <t>6月</t>
        </is>
      </c>
      <c r="C1835" s="173" t="inlineStr">
        <is>
          <t>消金</t>
        </is>
      </c>
      <c r="D1835" s="173" t="inlineStr">
        <is>
          <t>金条&amp;白取混发</t>
        </is>
      </c>
      <c r="E1835" s="173" t="inlineStr">
        <is>
          <t>东樾4号春樾（4-1）</t>
        </is>
      </c>
      <c r="F1835" s="173" t="inlineStr">
        <is>
          <t>上交所</t>
        </is>
      </c>
      <c r="G1835" s="173" t="inlineStr">
        <is>
          <t>国泰海通</t>
        </is>
      </c>
      <c r="H1835" s="173" t="inlineStr">
        <is>
          <t>中信建投/招商证券/光大证券/中信证券</t>
        </is>
      </c>
      <c r="I1835" s="173" t="inlineStr">
        <is>
          <t>中行北分</t>
        </is>
      </c>
      <c r="J1835" s="172" t="n">
        <v>15</v>
      </c>
      <c r="K1835" s="173" t="inlineStr">
        <is>
          <t>12+10+12</t>
        </is>
      </c>
      <c r="L1835" s="202" t="n">
        <v>46198</v>
      </c>
      <c r="M1835" s="175" t="n">
        <v>0.0148</v>
      </c>
      <c r="N1835" s="176" t="n">
        <v>0.02104</v>
      </c>
      <c r="O1835" s="172" t="n">
        <v>1.1</v>
      </c>
      <c r="P1835" s="172" t="inlineStr">
        <is>
          <t>优先A</t>
        </is>
      </c>
      <c r="Q1835" s="178" t="n">
        <v>0.9</v>
      </c>
      <c r="R1835" s="179">
        <f>Q1199*J1199</f>
        <v/>
      </c>
      <c r="S1835" s="177" t="inlineStr">
        <is>
          <t>AAA</t>
        </is>
      </c>
      <c r="T1835" s="178" t="n">
        <v>0.0162</v>
      </c>
      <c r="U1835" s="177" t="inlineStr">
        <is>
          <t>中信证券投行</t>
        </is>
      </c>
      <c r="V1835" s="192" t="n">
        <v>0.25</v>
      </c>
      <c r="W1835" s="175" t="n">
        <v>0.0162</v>
      </c>
      <c r="X1835" s="172" t="inlineStr">
        <is>
          <t>中信证券</t>
        </is>
      </c>
      <c r="Y1835" s="191" t="n">
        <v>0.25</v>
      </c>
    </row>
    <row r="1836">
      <c r="A1836" s="172" t="n">
        <v>100</v>
      </c>
      <c r="B1836" s="172" t="inlineStr">
        <is>
          <t>6月</t>
        </is>
      </c>
      <c r="C1836" s="173" t="inlineStr">
        <is>
          <t>消金</t>
        </is>
      </c>
      <c r="D1836" s="173" t="inlineStr">
        <is>
          <t>金条&amp;白取混发</t>
        </is>
      </c>
      <c r="E1836" s="173" t="inlineStr">
        <is>
          <t>东樾4号春樾（4-1）</t>
        </is>
      </c>
      <c r="F1836" s="173" t="inlineStr">
        <is>
          <t>上交所</t>
        </is>
      </c>
      <c r="G1836" s="173" t="inlineStr">
        <is>
          <t>国泰海通</t>
        </is>
      </c>
      <c r="H1836" s="173" t="inlineStr">
        <is>
          <t>中信建投/招商证券/光大证券/中信证券</t>
        </is>
      </c>
      <c r="I1836" s="173" t="inlineStr">
        <is>
          <t>中行北分</t>
        </is>
      </c>
      <c r="J1836" s="172" t="n">
        <v>15</v>
      </c>
      <c r="K1836" s="173" t="inlineStr">
        <is>
          <t>12+10+12</t>
        </is>
      </c>
      <c r="L1836" s="202" t="n">
        <v>46198</v>
      </c>
      <c r="M1836" s="175" t="n">
        <v>0.0148</v>
      </c>
      <c r="N1836" s="176" t="n">
        <v>0.02104</v>
      </c>
      <c r="O1836" s="172" t="n">
        <v>1.1</v>
      </c>
      <c r="P1836" s="172" t="inlineStr">
        <is>
          <t>优先A</t>
        </is>
      </c>
      <c r="Q1836" s="178" t="n">
        <v>0.9</v>
      </c>
      <c r="R1836" s="179">
        <f>Q1199*J1199</f>
        <v/>
      </c>
      <c r="S1836" s="177" t="inlineStr">
        <is>
          <t>AAA</t>
        </is>
      </c>
      <c r="T1836" s="178" t="n">
        <v>0.0162</v>
      </c>
      <c r="U1836" s="177" t="inlineStr">
        <is>
          <t>国信证券自营</t>
        </is>
      </c>
      <c r="V1836" s="192" t="n">
        <v>0.8</v>
      </c>
      <c r="W1836" s="175" t="n">
        <v>0.0162</v>
      </c>
      <c r="X1836" s="172" t="inlineStr">
        <is>
          <t>国信证券</t>
        </is>
      </c>
      <c r="Y1836" s="191" t="n">
        <v>0.8</v>
      </c>
    </row>
    <row r="1837">
      <c r="A1837" s="172" t="n">
        <v>100</v>
      </c>
      <c r="B1837" s="172" t="inlineStr">
        <is>
          <t>6月</t>
        </is>
      </c>
      <c r="C1837" s="173" t="inlineStr">
        <is>
          <t>消金</t>
        </is>
      </c>
      <c r="D1837" s="173" t="inlineStr">
        <is>
          <t>金条&amp;白取混发</t>
        </is>
      </c>
      <c r="E1837" s="173" t="inlineStr">
        <is>
          <t>东樾4号春樾（4-1）</t>
        </is>
      </c>
      <c r="F1837" s="173" t="inlineStr">
        <is>
          <t>上交所</t>
        </is>
      </c>
      <c r="G1837" s="173" t="inlineStr">
        <is>
          <t>国泰海通</t>
        </is>
      </c>
      <c r="H1837" s="173" t="inlineStr">
        <is>
          <t>中信建投/招商证券/光大证券/中信证券</t>
        </is>
      </c>
      <c r="I1837" s="173" t="inlineStr">
        <is>
          <t>中行北分</t>
        </is>
      </c>
      <c r="J1837" s="172" t="n">
        <v>15</v>
      </c>
      <c r="K1837" s="173" t="inlineStr">
        <is>
          <t>12+10+12</t>
        </is>
      </c>
      <c r="L1837" s="202" t="n">
        <v>46198</v>
      </c>
      <c r="M1837" s="175" t="n">
        <v>0.0148</v>
      </c>
      <c r="N1837" s="176" t="n">
        <v>0.02104</v>
      </c>
      <c r="O1837" s="172" t="n">
        <v>1.1</v>
      </c>
      <c r="P1837" s="172" t="inlineStr">
        <is>
          <t>优先A</t>
        </is>
      </c>
      <c r="Q1837" s="178" t="n">
        <v>0.9</v>
      </c>
      <c r="R1837" s="179">
        <f>Q1199*J1199</f>
        <v/>
      </c>
      <c r="S1837" s="177" t="inlineStr">
        <is>
          <t>AAA</t>
        </is>
      </c>
      <c r="T1837" s="178" t="n">
        <v>0.0162</v>
      </c>
      <c r="U1837" s="177" t="inlineStr">
        <is>
          <t>中金自营</t>
        </is>
      </c>
      <c r="V1837" s="192" t="n">
        <v>0.5</v>
      </c>
      <c r="W1837" s="172" t="n"/>
      <c r="X1837" s="172" t="n"/>
      <c r="Y1837" s="172" t="n"/>
    </row>
    <row r="1838">
      <c r="A1838" s="172" t="n">
        <v>100</v>
      </c>
      <c r="B1838" s="172" t="inlineStr">
        <is>
          <t>6月</t>
        </is>
      </c>
      <c r="C1838" s="172" t="inlineStr">
        <is>
          <t>消金</t>
        </is>
      </c>
      <c r="D1838" s="172" t="inlineStr">
        <is>
          <t>金条&amp;白取混发</t>
        </is>
      </c>
      <c r="E1838" s="172" t="inlineStr">
        <is>
          <t>东樾4号春樾（4-1）</t>
        </is>
      </c>
      <c r="F1838" s="172" t="inlineStr">
        <is>
          <t>上交所</t>
        </is>
      </c>
      <c r="G1838" s="172" t="inlineStr">
        <is>
          <t>国泰海通</t>
        </is>
      </c>
      <c r="H1838" s="172" t="inlineStr">
        <is>
          <t>中信建投/招商证券/光大证券/中信证券</t>
        </is>
      </c>
      <c r="I1838" s="172" t="inlineStr">
        <is>
          <t>中行北分</t>
        </is>
      </c>
      <c r="J1838" s="172" t="n">
        <v>15</v>
      </c>
      <c r="K1838" s="172" t="inlineStr">
        <is>
          <t>12+10+12</t>
        </is>
      </c>
      <c r="L1838" s="208" t="n">
        <v>46198</v>
      </c>
      <c r="M1838" s="175" t="n">
        <v>0.0148</v>
      </c>
      <c r="N1838" s="176" t="n">
        <v>0.02104</v>
      </c>
      <c r="O1838" s="172" t="n">
        <v>1.1</v>
      </c>
      <c r="P1838" s="172" t="inlineStr">
        <is>
          <t>优先A</t>
        </is>
      </c>
      <c r="Q1838" s="175" t="n">
        <v>0.9</v>
      </c>
      <c r="R1838" s="172">
        <f>Q1199*J1199</f>
        <v/>
      </c>
      <c r="S1838" s="172" t="inlineStr">
        <is>
          <t>AAA</t>
        </is>
      </c>
      <c r="T1838" s="175" t="n">
        <v>0.0162</v>
      </c>
      <c r="U1838" s="172" t="n"/>
      <c r="V1838" s="172" t="n"/>
      <c r="W1838" s="175" t="n">
        <v>0.0168</v>
      </c>
      <c r="X1838" s="172" t="inlineStr">
        <is>
          <t>广银理财</t>
        </is>
      </c>
      <c r="Y1838" s="191" t="n">
        <v>1</v>
      </c>
    </row>
    <row r="1839">
      <c r="A1839" s="172" t="n">
        <v>100</v>
      </c>
      <c r="B1839" s="172" t="inlineStr">
        <is>
          <t>6月</t>
        </is>
      </c>
      <c r="C1839" s="172" t="inlineStr">
        <is>
          <t>消金</t>
        </is>
      </c>
      <c r="D1839" s="172" t="inlineStr">
        <is>
          <t>金条&amp;白取混发</t>
        </is>
      </c>
      <c r="E1839" s="172" t="inlineStr">
        <is>
          <t>东樾4号春樾（4-1）</t>
        </is>
      </c>
      <c r="F1839" s="172" t="inlineStr">
        <is>
          <t>上交所</t>
        </is>
      </c>
      <c r="G1839" s="172" t="inlineStr">
        <is>
          <t>国泰海通</t>
        </is>
      </c>
      <c r="H1839" s="172" t="inlineStr">
        <is>
          <t>中信建投/招商证券/光大证券/中信证券</t>
        </is>
      </c>
      <c r="I1839" s="172" t="inlineStr">
        <is>
          <t>中行北分</t>
        </is>
      </c>
      <c r="J1839" s="172" t="n">
        <v>15</v>
      </c>
      <c r="K1839" s="172" t="inlineStr">
        <is>
          <t>12+10+12</t>
        </is>
      </c>
      <c r="L1839" s="208" t="n">
        <v>46198</v>
      </c>
      <c r="M1839" s="175" t="n">
        <v>0.0148</v>
      </c>
      <c r="N1839" s="176" t="n">
        <v>0.02104</v>
      </c>
      <c r="O1839" s="172" t="n">
        <v>1.1</v>
      </c>
      <c r="P1839" s="172" t="inlineStr">
        <is>
          <t>优先A</t>
        </is>
      </c>
      <c r="Q1839" s="175" t="n">
        <v>0.9</v>
      </c>
      <c r="R1839" s="172">
        <f>Q1199*J1199</f>
        <v/>
      </c>
      <c r="S1839" s="172" t="inlineStr">
        <is>
          <t>AAA</t>
        </is>
      </c>
      <c r="T1839" s="175" t="n">
        <v>0.0162</v>
      </c>
      <c r="U1839" s="172" t="n"/>
      <c r="V1839" s="172" t="n"/>
      <c r="W1839" s="175" t="n">
        <v>0.0162</v>
      </c>
      <c r="X1839" s="172" t="inlineStr">
        <is>
          <t>中金公司</t>
        </is>
      </c>
      <c r="Y1839" s="191" t="n">
        <v>0.5</v>
      </c>
    </row>
    <row r="1840">
      <c r="A1840" s="172" t="n">
        <v>100</v>
      </c>
      <c r="B1840" s="172" t="inlineStr">
        <is>
          <t>6月</t>
        </is>
      </c>
      <c r="C1840" s="172" t="inlineStr">
        <is>
          <t>消金</t>
        </is>
      </c>
      <c r="D1840" s="172" t="inlineStr">
        <is>
          <t>金条&amp;白取混发</t>
        </is>
      </c>
      <c r="E1840" s="172" t="inlineStr">
        <is>
          <t>东樾4号春樾（4-1）</t>
        </is>
      </c>
      <c r="F1840" s="172" t="inlineStr">
        <is>
          <t>上交所</t>
        </is>
      </c>
      <c r="G1840" s="172" t="inlineStr">
        <is>
          <t>国泰海通</t>
        </is>
      </c>
      <c r="H1840" s="172" t="inlineStr">
        <is>
          <t>中信建投/招商证券/光大证券/中信证券</t>
        </is>
      </c>
      <c r="I1840" s="172" t="inlineStr">
        <is>
          <t>中行北分</t>
        </is>
      </c>
      <c r="J1840" s="172" t="n">
        <v>15</v>
      </c>
      <c r="K1840" s="172" t="inlineStr">
        <is>
          <t>12+10+12</t>
        </is>
      </c>
      <c r="L1840" s="208" t="n">
        <v>46198</v>
      </c>
      <c r="M1840" s="175" t="n">
        <v>0.0148</v>
      </c>
      <c r="N1840" s="176" t="n">
        <v>0.02104</v>
      </c>
      <c r="O1840" s="172" t="n">
        <v>1.1</v>
      </c>
      <c r="P1840" s="172" t="inlineStr">
        <is>
          <t>优先A</t>
        </is>
      </c>
      <c r="Q1840" s="175" t="n">
        <v>0.9</v>
      </c>
      <c r="R1840" s="172">
        <f>Q1199*J1199</f>
        <v/>
      </c>
      <c r="S1840" s="172" t="inlineStr">
        <is>
          <t>AAA</t>
        </is>
      </c>
      <c r="T1840" s="175" t="n">
        <v>0.0162</v>
      </c>
      <c r="U1840" s="172" t="n"/>
      <c r="V1840" s="172" t="n"/>
      <c r="W1840" s="175" t="n">
        <v>0.0165</v>
      </c>
      <c r="X1840" s="172" t="inlineStr">
        <is>
          <t>利曦基金</t>
        </is>
      </c>
      <c r="Y1840" s="191" t="n">
        <v>0.2</v>
      </c>
    </row>
    <row r="1841">
      <c r="A1841" s="172" t="n">
        <v>100</v>
      </c>
      <c r="B1841" s="172" t="inlineStr">
        <is>
          <t>6月</t>
        </is>
      </c>
      <c r="C1841" s="173" t="inlineStr">
        <is>
          <t>消金</t>
        </is>
      </c>
      <c r="D1841" s="173" t="inlineStr">
        <is>
          <t>金条&amp;白取混发</t>
        </is>
      </c>
      <c r="E1841" s="173" t="inlineStr">
        <is>
          <t>东樾4号春樾（4-1）</t>
        </is>
      </c>
      <c r="F1841" s="173" t="inlineStr">
        <is>
          <t>上交所</t>
        </is>
      </c>
      <c r="G1841" s="173" t="inlineStr">
        <is>
          <t>国泰海通</t>
        </is>
      </c>
      <c r="H1841" s="173" t="inlineStr">
        <is>
          <t>中信建投/招商证券/光大证券/中信证券</t>
        </is>
      </c>
      <c r="I1841" s="173" t="inlineStr">
        <is>
          <t>中行北分</t>
        </is>
      </c>
      <c r="J1841" s="172" t="n">
        <v>15</v>
      </c>
      <c r="K1841" s="173" t="inlineStr">
        <is>
          <t>12+10+12</t>
        </is>
      </c>
      <c r="L1841" s="202" t="n">
        <v>46198</v>
      </c>
      <c r="M1841" s="175" t="n">
        <v>0.0148</v>
      </c>
      <c r="N1841" s="176" t="n">
        <v>0.02104</v>
      </c>
      <c r="O1841" s="172" t="n">
        <v>1.1</v>
      </c>
      <c r="P1841" s="177" t="inlineStr">
        <is>
          <t>优先B</t>
        </is>
      </c>
      <c r="Q1841" s="178" t="n">
        <v>0.03</v>
      </c>
      <c r="R1841" s="179">
        <f>J1199*Q1211</f>
        <v/>
      </c>
      <c r="S1841" s="177" t="inlineStr">
        <is>
          <t>AA+</t>
        </is>
      </c>
      <c r="T1841" s="178" t="n">
        <v>0.0178</v>
      </c>
      <c r="U1841" s="177" t="inlineStr">
        <is>
          <t>招银理财</t>
        </is>
      </c>
      <c r="V1841" s="192" t="n">
        <v>0.13</v>
      </c>
      <c r="W1841" s="175" t="n">
        <v>0.017</v>
      </c>
      <c r="X1841" s="172" t="inlineStr">
        <is>
          <t>招银理财</t>
        </is>
      </c>
      <c r="Y1841" s="191" t="n">
        <v>0.13</v>
      </c>
    </row>
    <row r="1842">
      <c r="A1842" s="172" t="n">
        <v>100</v>
      </c>
      <c r="B1842" s="172" t="inlineStr">
        <is>
          <t>6月</t>
        </is>
      </c>
      <c r="C1842" s="173" t="inlineStr">
        <is>
          <t>消金</t>
        </is>
      </c>
      <c r="D1842" s="173" t="inlineStr">
        <is>
          <t>金条&amp;白取混发</t>
        </is>
      </c>
      <c r="E1842" s="173" t="inlineStr">
        <is>
          <t>东樾4号春樾（4-1）</t>
        </is>
      </c>
      <c r="F1842" s="173" t="inlineStr">
        <is>
          <t>上交所</t>
        </is>
      </c>
      <c r="G1842" s="173" t="inlineStr">
        <is>
          <t>国泰海通</t>
        </is>
      </c>
      <c r="H1842" s="173" t="inlineStr">
        <is>
          <t>中信建投/招商证券/光大证券/中信证券</t>
        </is>
      </c>
      <c r="I1842" s="173" t="inlineStr">
        <is>
          <t>中行北分</t>
        </is>
      </c>
      <c r="J1842" s="172" t="n">
        <v>15</v>
      </c>
      <c r="K1842" s="173" t="inlineStr">
        <is>
          <t>12+10+12</t>
        </is>
      </c>
      <c r="L1842" s="202" t="n">
        <v>46198</v>
      </c>
      <c r="M1842" s="175" t="n">
        <v>0.0148</v>
      </c>
      <c r="N1842" s="176" t="n">
        <v>0.02104</v>
      </c>
      <c r="O1842" s="172" t="n">
        <v>1.1</v>
      </c>
      <c r="P1842" s="172" t="inlineStr">
        <is>
          <t>优先B</t>
        </is>
      </c>
      <c r="Q1842" s="178" t="n">
        <v>0.03</v>
      </c>
      <c r="R1842" s="179">
        <f>J1199*Q1211</f>
        <v/>
      </c>
      <c r="S1842" s="177" t="inlineStr">
        <is>
          <t>AA+</t>
        </is>
      </c>
      <c r="T1842" s="178" t="n">
        <v>0.0178</v>
      </c>
      <c r="U1842" s="177" t="inlineStr">
        <is>
          <t>平安理财</t>
        </is>
      </c>
      <c r="V1842" s="192" t="n">
        <v>0.11</v>
      </c>
      <c r="W1842" s="175" t="n">
        <v>0.0178</v>
      </c>
      <c r="X1842" s="172" t="inlineStr">
        <is>
          <t>平安理财</t>
        </is>
      </c>
      <c r="Y1842" s="191" t="n">
        <v>0.11</v>
      </c>
    </row>
    <row r="1843">
      <c r="A1843" s="172" t="n">
        <v>100</v>
      </c>
      <c r="B1843" s="172" t="inlineStr">
        <is>
          <t>6月</t>
        </is>
      </c>
      <c r="C1843" s="173" t="inlineStr">
        <is>
          <t>消金</t>
        </is>
      </c>
      <c r="D1843" s="173" t="inlineStr">
        <is>
          <t>金条&amp;白取混发</t>
        </is>
      </c>
      <c r="E1843" s="173" t="inlineStr">
        <is>
          <t>东樾4号春樾（4-1）</t>
        </is>
      </c>
      <c r="F1843" s="173" t="inlineStr">
        <is>
          <t>上交所</t>
        </is>
      </c>
      <c r="G1843" s="173" t="inlineStr">
        <is>
          <t>国泰海通</t>
        </is>
      </c>
      <c r="H1843" s="173" t="inlineStr">
        <is>
          <t>中信建投/招商证券/光大证券/中信证券</t>
        </is>
      </c>
      <c r="I1843" s="173" t="inlineStr">
        <is>
          <t>中行北分</t>
        </is>
      </c>
      <c r="J1843" s="172" t="n">
        <v>15</v>
      </c>
      <c r="K1843" s="173" t="inlineStr">
        <is>
          <t>12+10+12</t>
        </is>
      </c>
      <c r="L1843" s="202" t="n">
        <v>46198</v>
      </c>
      <c r="M1843" s="175" t="n">
        <v>0.0148</v>
      </c>
      <c r="N1843" s="176" t="n">
        <v>0.02104</v>
      </c>
      <c r="O1843" s="172" t="n">
        <v>1.1</v>
      </c>
      <c r="P1843" s="172" t="inlineStr">
        <is>
          <t>优先B</t>
        </is>
      </c>
      <c r="Q1843" s="178" t="n">
        <v>0.03</v>
      </c>
      <c r="R1843" s="179">
        <f>J1199*Q1211</f>
        <v/>
      </c>
      <c r="S1843" s="177" t="inlineStr">
        <is>
          <t>AA+</t>
        </is>
      </c>
      <c r="T1843" s="178" t="n">
        <v>0.0178</v>
      </c>
      <c r="U1843" s="177" t="inlineStr">
        <is>
          <t>交银理财</t>
        </is>
      </c>
      <c r="V1843" s="195" t="n">
        <v>0.135</v>
      </c>
      <c r="W1843" s="175" t="n">
        <v>0.0165</v>
      </c>
      <c r="X1843" s="172" t="inlineStr">
        <is>
          <t>交银理财</t>
        </is>
      </c>
      <c r="Y1843" s="191" t="n">
        <v>0.1</v>
      </c>
    </row>
    <row r="1844">
      <c r="A1844" s="172" t="n">
        <v>100</v>
      </c>
      <c r="B1844" s="172" t="inlineStr">
        <is>
          <t>6月</t>
        </is>
      </c>
      <c r="C1844" s="172" t="inlineStr">
        <is>
          <t>消金</t>
        </is>
      </c>
      <c r="D1844" s="172" t="inlineStr">
        <is>
          <t>金条&amp;白取混发</t>
        </is>
      </c>
      <c r="E1844" s="172" t="inlineStr">
        <is>
          <t>东樾4号春樾（4-1）</t>
        </is>
      </c>
      <c r="F1844" s="172" t="inlineStr">
        <is>
          <t>上交所</t>
        </is>
      </c>
      <c r="G1844" s="172" t="inlineStr">
        <is>
          <t>国泰海通</t>
        </is>
      </c>
      <c r="H1844" s="172" t="inlineStr">
        <is>
          <t>中信建投/招商证券/光大证券/中信证券</t>
        </is>
      </c>
      <c r="I1844" s="172" t="inlineStr">
        <is>
          <t>中行北分</t>
        </is>
      </c>
      <c r="J1844" s="172" t="n">
        <v>15</v>
      </c>
      <c r="K1844" s="172" t="inlineStr">
        <is>
          <t>12+10+12</t>
        </is>
      </c>
      <c r="L1844" s="208" t="n">
        <v>46198</v>
      </c>
      <c r="M1844" s="175" t="n">
        <v>0.0148</v>
      </c>
      <c r="N1844" s="176" t="n">
        <v>0.02104</v>
      </c>
      <c r="O1844" s="172" t="n">
        <v>1.1</v>
      </c>
      <c r="P1844" s="172" t="inlineStr">
        <is>
          <t>优先B</t>
        </is>
      </c>
      <c r="Q1844" s="175" t="n">
        <v>0.03</v>
      </c>
      <c r="R1844" s="172">
        <f>J1199*Q1211</f>
        <v/>
      </c>
      <c r="S1844" s="172" t="inlineStr">
        <is>
          <t>AA+</t>
        </is>
      </c>
      <c r="T1844" s="175" t="n">
        <v>0.0178</v>
      </c>
      <c r="U1844" s="172" t="n"/>
      <c r="V1844" s="172" t="n"/>
      <c r="W1844" s="175" t="n">
        <v>0.0167</v>
      </c>
      <c r="X1844" s="172" t="inlineStr">
        <is>
          <t>交银理财</t>
        </is>
      </c>
      <c r="Y1844" s="191" t="n">
        <v>0.035</v>
      </c>
    </row>
    <row r="1845">
      <c r="A1845" s="172" t="n">
        <v>100</v>
      </c>
      <c r="B1845" s="172" t="inlineStr">
        <is>
          <t>6月</t>
        </is>
      </c>
      <c r="C1845" s="173" t="inlineStr">
        <is>
          <t>消金</t>
        </is>
      </c>
      <c r="D1845" s="173" t="inlineStr">
        <is>
          <t>金条&amp;白取混发</t>
        </is>
      </c>
      <c r="E1845" s="173" t="inlineStr">
        <is>
          <t>东樾4号春樾（4-1）</t>
        </is>
      </c>
      <c r="F1845" s="173" t="inlineStr">
        <is>
          <t>上交所</t>
        </is>
      </c>
      <c r="G1845" s="173" t="inlineStr">
        <is>
          <t>国泰海通</t>
        </is>
      </c>
      <c r="H1845" s="173" t="inlineStr">
        <is>
          <t>中信建投/招商证券/光大证券/中信证券</t>
        </is>
      </c>
      <c r="I1845" s="173" t="inlineStr">
        <is>
          <t>中行北分</t>
        </is>
      </c>
      <c r="J1845" s="172" t="n">
        <v>15</v>
      </c>
      <c r="K1845" s="173" t="inlineStr">
        <is>
          <t>12+10+12</t>
        </is>
      </c>
      <c r="L1845" s="202" t="n">
        <v>46198</v>
      </c>
      <c r="M1845" s="175" t="n">
        <v>0.0148</v>
      </c>
      <c r="N1845" s="176" t="n">
        <v>0.02104</v>
      </c>
      <c r="O1845" s="172" t="n">
        <v>1.1</v>
      </c>
      <c r="P1845" s="172" t="inlineStr">
        <is>
          <t>优先B</t>
        </is>
      </c>
      <c r="Q1845" s="178" t="n">
        <v>0.03</v>
      </c>
      <c r="R1845" s="179">
        <f>J1199*Q1211</f>
        <v/>
      </c>
      <c r="S1845" s="177" t="inlineStr">
        <is>
          <t>AA+</t>
        </is>
      </c>
      <c r="T1845" s="178" t="n">
        <v>0.0178</v>
      </c>
      <c r="U1845" s="177" t="inlineStr">
        <is>
          <t>国泰海通投行</t>
        </is>
      </c>
      <c r="V1845" s="195" t="n">
        <v>0.075</v>
      </c>
      <c r="W1845" s="175" t="n">
        <v>0.0178</v>
      </c>
      <c r="X1845" s="172" t="inlineStr">
        <is>
          <t>国泰海通</t>
        </is>
      </c>
      <c r="Y1845" s="191" t="n">
        <v>0.075</v>
      </c>
    </row>
    <row r="1846">
      <c r="A1846" s="172" t="n">
        <v>100</v>
      </c>
      <c r="B1846" s="172" t="inlineStr">
        <is>
          <t>6月</t>
        </is>
      </c>
      <c r="C1846" s="172" t="inlineStr">
        <is>
          <t>消金</t>
        </is>
      </c>
      <c r="D1846" s="172" t="inlineStr">
        <is>
          <t>金条&amp;白取混发</t>
        </is>
      </c>
      <c r="E1846" s="172" t="inlineStr">
        <is>
          <t>东樾4号春樾（4-1）</t>
        </is>
      </c>
      <c r="F1846" s="172" t="inlineStr">
        <is>
          <t>上交所</t>
        </is>
      </c>
      <c r="G1846" s="172" t="inlineStr">
        <is>
          <t>国泰海通</t>
        </is>
      </c>
      <c r="H1846" s="172" t="inlineStr">
        <is>
          <t>中信建投/招商证券/光大证券/中信证券</t>
        </is>
      </c>
      <c r="I1846" s="172" t="inlineStr">
        <is>
          <t>中行北分</t>
        </is>
      </c>
      <c r="J1846" s="172" t="n">
        <v>15</v>
      </c>
      <c r="K1846" s="172" t="inlineStr">
        <is>
          <t>12+10+12</t>
        </is>
      </c>
      <c r="L1846" s="208" t="n">
        <v>46198</v>
      </c>
      <c r="M1846" s="175" t="n">
        <v>0.0148</v>
      </c>
      <c r="N1846" s="176" t="n">
        <v>0.02104</v>
      </c>
      <c r="O1846" s="172" t="n">
        <v>1.1</v>
      </c>
      <c r="P1846" s="172" t="inlineStr">
        <is>
          <t>优先B</t>
        </is>
      </c>
      <c r="Q1846" s="175" t="n">
        <v>0.03</v>
      </c>
      <c r="R1846" s="172">
        <f>J1199*Q1211</f>
        <v/>
      </c>
      <c r="S1846" s="172" t="inlineStr">
        <is>
          <t>AA+</t>
        </is>
      </c>
      <c r="T1846" s="175" t="n">
        <v>0.0178</v>
      </c>
      <c r="U1846" s="172" t="n"/>
      <c r="V1846" s="172" t="n"/>
      <c r="W1846" s="175" t="n">
        <v>0.0185</v>
      </c>
      <c r="X1846" s="172" t="inlineStr">
        <is>
          <t>中金公司</t>
        </is>
      </c>
      <c r="Y1846" s="191" t="n">
        <v>0.2</v>
      </c>
    </row>
    <row r="1847">
      <c r="A1847" s="172" t="n">
        <v>100</v>
      </c>
      <c r="B1847" s="172" t="inlineStr">
        <is>
          <t>6月</t>
        </is>
      </c>
      <c r="C1847" s="173" t="inlineStr">
        <is>
          <t>消金</t>
        </is>
      </c>
      <c r="D1847" s="173" t="inlineStr">
        <is>
          <t>金条&amp;白取混发</t>
        </is>
      </c>
      <c r="E1847" s="173" t="inlineStr">
        <is>
          <t>东樾4号春樾（4-1）</t>
        </is>
      </c>
      <c r="F1847" s="173" t="inlineStr">
        <is>
          <t>上交所</t>
        </is>
      </c>
      <c r="G1847" s="173" t="inlineStr">
        <is>
          <t>国泰海通</t>
        </is>
      </c>
      <c r="H1847" s="173" t="inlineStr">
        <is>
          <t>中信建投/招商证券/光大证券/中信证券</t>
        </is>
      </c>
      <c r="I1847" s="173" t="inlineStr">
        <is>
          <t>中行北分</t>
        </is>
      </c>
      <c r="J1847" s="172" t="n">
        <v>15</v>
      </c>
      <c r="K1847" s="173" t="inlineStr">
        <is>
          <t>12+10+12</t>
        </is>
      </c>
      <c r="L1847" s="202" t="n">
        <v>46198</v>
      </c>
      <c r="M1847" s="175" t="n">
        <v>0.0148</v>
      </c>
      <c r="N1847" s="176" t="n">
        <v>0.02104</v>
      </c>
      <c r="O1847" s="172" t="n">
        <v>1.1</v>
      </c>
      <c r="P1847" s="177" t="inlineStr">
        <is>
          <t>中间级</t>
        </is>
      </c>
      <c r="Q1847" s="178" t="n">
        <v>0.02</v>
      </c>
      <c r="R1847" s="179">
        <f>Q1215*J1199</f>
        <v/>
      </c>
      <c r="S1847" s="177" t="inlineStr">
        <is>
          <t>A+</t>
        </is>
      </c>
      <c r="T1847" s="178" t="n">
        <v>0.031</v>
      </c>
      <c r="U1847" s="177" t="inlineStr">
        <is>
          <t>申万宏源自营</t>
        </is>
      </c>
      <c r="V1847" s="192" t="n">
        <v>0.1</v>
      </c>
      <c r="W1847" s="172" t="n"/>
      <c r="X1847" s="172" t="n"/>
      <c r="Y1847" s="172" t="n"/>
    </row>
    <row r="1848">
      <c r="A1848" s="172" t="n">
        <v>100</v>
      </c>
      <c r="B1848" s="172" t="inlineStr">
        <is>
          <t>6月</t>
        </is>
      </c>
      <c r="C1848" s="173" t="inlineStr">
        <is>
          <t>消金</t>
        </is>
      </c>
      <c r="D1848" s="173" t="inlineStr">
        <is>
          <t>金条&amp;白取混发</t>
        </is>
      </c>
      <c r="E1848" s="173" t="inlineStr">
        <is>
          <t>东樾4号春樾（4-1）</t>
        </is>
      </c>
      <c r="F1848" s="173" t="inlineStr">
        <is>
          <t>上交所</t>
        </is>
      </c>
      <c r="G1848" s="173" t="inlineStr">
        <is>
          <t>国泰海通</t>
        </is>
      </c>
      <c r="H1848" s="173" t="inlineStr">
        <is>
          <t>中信建投/招商证券/光大证券/中信证券</t>
        </is>
      </c>
      <c r="I1848" s="173" t="inlineStr">
        <is>
          <t>中行北分</t>
        </is>
      </c>
      <c r="J1848" s="172" t="n">
        <v>15</v>
      </c>
      <c r="K1848" s="173" t="inlineStr">
        <is>
          <t>12+10+12</t>
        </is>
      </c>
      <c r="L1848" s="202" t="n">
        <v>46198</v>
      </c>
      <c r="M1848" s="175" t="n">
        <v>0.0148</v>
      </c>
      <c r="N1848" s="176" t="n">
        <v>0.02104</v>
      </c>
      <c r="O1848" s="172" t="n">
        <v>1.1</v>
      </c>
      <c r="P1848" s="172" t="inlineStr">
        <is>
          <t>中间级</t>
        </is>
      </c>
      <c r="Q1848" s="178" t="n">
        <v>0.02</v>
      </c>
      <c r="R1848" s="179">
        <f>Q1215*J1199</f>
        <v/>
      </c>
      <c r="S1848" s="177" t="inlineStr">
        <is>
          <t>A+</t>
        </is>
      </c>
      <c r="T1848" s="178" t="n">
        <v>0.031</v>
      </c>
      <c r="U1848" s="177" t="inlineStr">
        <is>
          <t>中金财富</t>
        </is>
      </c>
      <c r="V1848" s="192" t="n">
        <v>0.1</v>
      </c>
      <c r="W1848" s="172" t="n"/>
      <c r="X1848" s="172" t="n"/>
      <c r="Y1848" s="172" t="n"/>
    </row>
    <row r="1849">
      <c r="A1849" s="172" t="n">
        <v>100</v>
      </c>
      <c r="B1849" s="172" t="inlineStr">
        <is>
          <t>6月</t>
        </is>
      </c>
      <c r="C1849" s="173" t="inlineStr">
        <is>
          <t>消金</t>
        </is>
      </c>
      <c r="D1849" s="173" t="inlineStr">
        <is>
          <t>金条&amp;白取混发</t>
        </is>
      </c>
      <c r="E1849" s="173" t="inlineStr">
        <is>
          <t>东樾4号春樾（4-1）</t>
        </is>
      </c>
      <c r="F1849" s="173" t="inlineStr">
        <is>
          <t>上交所</t>
        </is>
      </c>
      <c r="G1849" s="173" t="inlineStr">
        <is>
          <t>国泰海通</t>
        </is>
      </c>
      <c r="H1849" s="173" t="inlineStr">
        <is>
          <t>中信建投/招商证券/光大证券/中信证券</t>
        </is>
      </c>
      <c r="I1849" s="173" t="inlineStr">
        <is>
          <t>中行北分</t>
        </is>
      </c>
      <c r="J1849" s="172" t="n">
        <v>15</v>
      </c>
      <c r="K1849" s="173" t="inlineStr">
        <is>
          <t>12+10+12</t>
        </is>
      </c>
      <c r="L1849" s="202" t="n">
        <v>46198</v>
      </c>
      <c r="M1849" s="175" t="n">
        <v>0.0148</v>
      </c>
      <c r="N1849" s="176" t="n">
        <v>0.02104</v>
      </c>
      <c r="O1849" s="172" t="n">
        <v>1.1</v>
      </c>
      <c r="P1849" s="172" t="inlineStr">
        <is>
          <t>中间级</t>
        </is>
      </c>
      <c r="Q1849" s="178" t="n">
        <v>0.02</v>
      </c>
      <c r="R1849" s="179">
        <f>Q1215*J1199</f>
        <v/>
      </c>
      <c r="S1849" s="177" t="inlineStr">
        <is>
          <t>A+</t>
        </is>
      </c>
      <c r="T1849" s="178" t="n">
        <v>0.031</v>
      </c>
      <c r="U1849" s="177" t="inlineStr">
        <is>
          <t>中信证券投顾</t>
        </is>
      </c>
      <c r="V1849" s="192" t="n">
        <v>0.1</v>
      </c>
      <c r="W1849" s="172" t="n"/>
      <c r="X1849" s="172" t="n"/>
      <c r="Y1849" s="172" t="n"/>
    </row>
    <row r="1850">
      <c r="A1850" s="172" t="n">
        <v>100</v>
      </c>
      <c r="B1850" s="172" t="inlineStr">
        <is>
          <t>6月</t>
        </is>
      </c>
      <c r="C1850" s="173" t="inlineStr">
        <is>
          <t>消金</t>
        </is>
      </c>
      <c r="D1850" s="173" t="inlineStr">
        <is>
          <t>金条&amp;白取混发</t>
        </is>
      </c>
      <c r="E1850" s="173" t="inlineStr">
        <is>
          <t>东樾4号春樾（4-1）</t>
        </is>
      </c>
      <c r="F1850" s="173" t="inlineStr">
        <is>
          <t>上交所</t>
        </is>
      </c>
      <c r="G1850" s="173" t="inlineStr">
        <is>
          <t>国泰海通</t>
        </is>
      </c>
      <c r="H1850" s="173" t="inlineStr">
        <is>
          <t>中信建投/招商证券/光大证券/中信证券</t>
        </is>
      </c>
      <c r="I1850" s="173" t="inlineStr">
        <is>
          <t>中行北分</t>
        </is>
      </c>
      <c r="J1850" s="172" t="n">
        <v>15</v>
      </c>
      <c r="K1850" s="173" t="inlineStr">
        <is>
          <t>12+10+12</t>
        </is>
      </c>
      <c r="L1850" s="202" t="n">
        <v>46198</v>
      </c>
      <c r="M1850" s="175" t="n">
        <v>0.0148</v>
      </c>
      <c r="N1850" s="176" t="n">
        <v>0.02104</v>
      </c>
      <c r="O1850" s="172" t="n">
        <v>1.1</v>
      </c>
      <c r="P1850" s="177" t="inlineStr">
        <is>
          <t>受益权</t>
        </is>
      </c>
      <c r="Q1850" s="178" t="n">
        <v>0.05</v>
      </c>
      <c r="R1850" s="179">
        <f>Q1218*J1199</f>
        <v/>
      </c>
      <c r="S1850" s="177" t="inlineStr">
        <is>
          <t>无</t>
        </is>
      </c>
      <c r="T1850" s="178" t="n">
        <v>0.0495</v>
      </c>
      <c r="U1850" s="177" t="inlineStr">
        <is>
          <t>中信建投衍生品</t>
        </is>
      </c>
      <c r="V1850" s="192" t="n">
        <v>0.3</v>
      </c>
      <c r="W1850" s="172" t="n"/>
      <c r="X1850" s="172" t="n"/>
      <c r="Y1850" s="172" t="n"/>
    </row>
    <row r="1851">
      <c r="A1851" s="172" t="n">
        <v>100</v>
      </c>
      <c r="B1851" s="172" t="inlineStr">
        <is>
          <t>6月</t>
        </is>
      </c>
      <c r="C1851" s="173" t="inlineStr">
        <is>
          <t>消金</t>
        </is>
      </c>
      <c r="D1851" s="173" t="inlineStr">
        <is>
          <t>金条&amp;白取混发</t>
        </is>
      </c>
      <c r="E1851" s="173" t="inlineStr">
        <is>
          <t>东樾4号春樾（4-1）</t>
        </is>
      </c>
      <c r="F1851" s="173" t="inlineStr">
        <is>
          <t>上交所</t>
        </is>
      </c>
      <c r="G1851" s="173" t="inlineStr">
        <is>
          <t>国泰海通</t>
        </is>
      </c>
      <c r="H1851" s="173" t="inlineStr">
        <is>
          <t>中信建投/招商证券/光大证券/中信证券</t>
        </is>
      </c>
      <c r="I1851" s="173" t="inlineStr">
        <is>
          <t>中行北分</t>
        </is>
      </c>
      <c r="J1851" s="172" t="n">
        <v>15</v>
      </c>
      <c r="K1851" s="173" t="inlineStr">
        <is>
          <t>12+10+12</t>
        </is>
      </c>
      <c r="L1851" s="202" t="n">
        <v>46198</v>
      </c>
      <c r="M1851" s="175" t="n">
        <v>0.0148</v>
      </c>
      <c r="N1851" s="176" t="n">
        <v>0.02104</v>
      </c>
      <c r="O1851" s="172" t="n">
        <v>1.1</v>
      </c>
      <c r="P1851" s="172" t="inlineStr">
        <is>
          <t>受益权</t>
        </is>
      </c>
      <c r="Q1851" s="178" t="n">
        <v>0.05</v>
      </c>
      <c r="R1851" s="179">
        <f>Q1218*J1199</f>
        <v/>
      </c>
      <c r="S1851" s="177" t="inlineStr">
        <is>
          <t>无</t>
        </is>
      </c>
      <c r="T1851" s="178" t="n">
        <v>0.0495</v>
      </c>
      <c r="U1851" s="177" t="inlineStr">
        <is>
          <t>中信证券自营</t>
        </is>
      </c>
      <c r="V1851" s="195" t="n">
        <v>0.075</v>
      </c>
      <c r="W1851" s="172" t="n"/>
      <c r="X1851" s="172" t="n"/>
      <c r="Y1851" s="172" t="n"/>
    </row>
    <row r="1852">
      <c r="A1852" s="172" t="n">
        <v>100</v>
      </c>
      <c r="B1852" s="172" t="inlineStr">
        <is>
          <t>6月</t>
        </is>
      </c>
      <c r="C1852" s="173" t="inlineStr">
        <is>
          <t>消金</t>
        </is>
      </c>
      <c r="D1852" s="173" t="inlineStr">
        <is>
          <t>金条&amp;白取混发</t>
        </is>
      </c>
      <c r="E1852" s="173" t="inlineStr">
        <is>
          <t>东樾4号春樾（4-1）</t>
        </is>
      </c>
      <c r="F1852" s="173" t="inlineStr">
        <is>
          <t>上交所</t>
        </is>
      </c>
      <c r="G1852" s="173" t="inlineStr">
        <is>
          <t>国泰海通</t>
        </is>
      </c>
      <c r="H1852" s="173" t="inlineStr">
        <is>
          <t>中信建投/招商证券/光大证券/中信证券</t>
        </is>
      </c>
      <c r="I1852" s="173" t="inlineStr">
        <is>
          <t>中行北分</t>
        </is>
      </c>
      <c r="J1852" s="172" t="n">
        <v>15</v>
      </c>
      <c r="K1852" s="173" t="inlineStr">
        <is>
          <t>12+10+12</t>
        </is>
      </c>
      <c r="L1852" s="202" t="n">
        <v>46198</v>
      </c>
      <c r="M1852" s="175" t="n">
        <v>0.0148</v>
      </c>
      <c r="N1852" s="176" t="n">
        <v>0.02104</v>
      </c>
      <c r="O1852" s="172" t="n">
        <v>1.1</v>
      </c>
      <c r="P1852" s="172" t="inlineStr">
        <is>
          <t>受益权</t>
        </is>
      </c>
      <c r="Q1852" s="178" t="n">
        <v>0.05</v>
      </c>
      <c r="R1852" s="179">
        <f>Q1218*J1199</f>
        <v/>
      </c>
      <c r="S1852" s="177" t="inlineStr">
        <is>
          <t>无</t>
        </is>
      </c>
      <c r="T1852" s="178" t="n">
        <v>0.0495</v>
      </c>
      <c r="U1852" s="177" t="inlineStr">
        <is>
          <t>中信建投机构部</t>
        </is>
      </c>
      <c r="V1852" s="195" t="n">
        <v>0.225</v>
      </c>
      <c r="W1852" s="172" t="n"/>
      <c r="X1852" s="172" t="n"/>
      <c r="Y1852" s="172" t="n"/>
    </row>
    <row r="1853">
      <c r="A1853" s="172" t="n">
        <v>100</v>
      </c>
      <c r="B1853" s="172" t="inlineStr">
        <is>
          <t>6月</t>
        </is>
      </c>
      <c r="C1853" s="173" t="inlineStr">
        <is>
          <t>消金</t>
        </is>
      </c>
      <c r="D1853" s="173" t="inlineStr">
        <is>
          <t>金条&amp;白取混发</t>
        </is>
      </c>
      <c r="E1853" s="173" t="inlineStr">
        <is>
          <t>东樾4号春樾（4-1）</t>
        </is>
      </c>
      <c r="F1853" s="173" t="inlineStr">
        <is>
          <t>上交所</t>
        </is>
      </c>
      <c r="G1853" s="173" t="inlineStr">
        <is>
          <t>国泰海通</t>
        </is>
      </c>
      <c r="H1853" s="173" t="inlineStr">
        <is>
          <t>中信建投/招商证券/光大证券/中信证券</t>
        </is>
      </c>
      <c r="I1853" s="173" t="inlineStr">
        <is>
          <t>中行北分</t>
        </is>
      </c>
      <c r="J1853" s="172" t="n">
        <v>15</v>
      </c>
      <c r="K1853" s="173" t="inlineStr">
        <is>
          <t>12+10+12</t>
        </is>
      </c>
      <c r="L1853" s="202" t="n">
        <v>46198</v>
      </c>
      <c r="M1853" s="175" t="n">
        <v>0.0148</v>
      </c>
      <c r="N1853" s="176" t="n">
        <v>0.02104</v>
      </c>
      <c r="O1853" s="172" t="n">
        <v>1.1</v>
      </c>
      <c r="P1853" s="172" t="inlineStr">
        <is>
          <t>受益权</t>
        </is>
      </c>
      <c r="Q1853" s="178" t="n">
        <v>0.05</v>
      </c>
      <c r="R1853" s="179">
        <f>Q1218*J1199</f>
        <v/>
      </c>
      <c r="S1853" s="177" t="inlineStr">
        <is>
          <t>无</t>
        </is>
      </c>
      <c r="T1853" s="178" t="n">
        <v>0.0495</v>
      </c>
      <c r="U1853" s="177" t="inlineStr">
        <is>
          <t>中金投顾</t>
        </is>
      </c>
      <c r="V1853" s="192" t="n">
        <v>0.15</v>
      </c>
      <c r="W1853" s="172" t="n"/>
      <c r="X1853" s="172" t="n"/>
      <c r="Y1853" s="172" t="n"/>
    </row>
    <row r="1854">
      <c r="A1854" s="172" t="n">
        <v>101</v>
      </c>
      <c r="B1854" s="173" t="inlineStr">
        <is>
          <t>6月</t>
        </is>
      </c>
      <c r="C1854" s="173" t="inlineStr">
        <is>
          <t>消金</t>
        </is>
      </c>
      <c r="D1854" s="173" t="inlineStr">
        <is>
          <t>赊销白条</t>
        </is>
      </c>
      <c r="E1854" s="173" t="inlineStr">
        <is>
          <t>东裕11号仲裕</t>
        </is>
      </c>
      <c r="F1854" s="173" t="inlineStr">
        <is>
          <t>银行间</t>
        </is>
      </c>
      <c r="G1854" s="173" t="inlineStr">
        <is>
          <t>中信建投</t>
        </is>
      </c>
      <c r="H1854" s="173" t="inlineStr">
        <is>
          <t>江苏银行/杭州银行/国信证券/国开证券</t>
        </is>
      </c>
      <c r="I1854" s="173" t="inlineStr">
        <is>
          <t>招行北分</t>
        </is>
      </c>
      <c r="J1854" s="172" t="n">
        <v>10</v>
      </c>
      <c r="K1854" s="173" t="inlineStr">
        <is>
          <t>12+12+9+3</t>
        </is>
      </c>
      <c r="L1854" s="202" t="n">
        <v>46198</v>
      </c>
      <c r="M1854" s="175" t="n">
        <v>0.0148</v>
      </c>
      <c r="N1854" s="176" t="n">
        <v>0.0182</v>
      </c>
      <c r="O1854" s="191" t="n">
        <v>2.3</v>
      </c>
      <c r="P1854" s="177" t="inlineStr">
        <is>
          <t>优先A</t>
        </is>
      </c>
      <c r="Q1854" s="178" t="n">
        <v>0.9</v>
      </c>
      <c r="R1854" s="179" t="n">
        <v>9</v>
      </c>
      <c r="S1854" s="177" t="inlineStr">
        <is>
          <t>AAA</t>
        </is>
      </c>
      <c r="T1854" s="178" t="n">
        <v>0.016</v>
      </c>
      <c r="U1854" s="177" t="inlineStr">
        <is>
          <t>杭州银行</t>
        </is>
      </c>
      <c r="V1854" s="192" t="n">
        <v>0.8</v>
      </c>
      <c r="W1854" s="175" t="n">
        <v>0.0159</v>
      </c>
      <c r="X1854" s="172" t="inlineStr">
        <is>
          <t>杭州银行</t>
        </is>
      </c>
      <c r="Y1854" s="191" t="n">
        <v>0.8</v>
      </c>
    </row>
    <row r="1855">
      <c r="A1855" s="172" t="n">
        <v>101</v>
      </c>
      <c r="B1855" s="172" t="inlineStr">
        <is>
          <t>6月</t>
        </is>
      </c>
      <c r="C1855" s="172" t="inlineStr">
        <is>
          <t>消金</t>
        </is>
      </c>
      <c r="D1855" s="172" t="inlineStr">
        <is>
          <t>赊销白条</t>
        </is>
      </c>
      <c r="E1855" s="172" t="inlineStr">
        <is>
          <t>东裕11号仲裕</t>
        </is>
      </c>
      <c r="F1855" s="172" t="inlineStr">
        <is>
          <t>银行间</t>
        </is>
      </c>
      <c r="G1855" s="172" t="inlineStr">
        <is>
          <t>中信建投</t>
        </is>
      </c>
      <c r="H1855" s="172" t="inlineStr">
        <is>
          <t>江苏银行/杭州银行/国信证券/国开证券</t>
        </is>
      </c>
      <c r="I1855" s="172" t="inlineStr">
        <is>
          <t>招行北分</t>
        </is>
      </c>
      <c r="J1855" s="172" t="n">
        <v>10</v>
      </c>
      <c r="K1855" s="172" t="inlineStr">
        <is>
          <t>12+12+9+3</t>
        </is>
      </c>
      <c r="L1855" s="200" t="n">
        <v>46198</v>
      </c>
      <c r="M1855" s="175" t="n">
        <v>0.0148</v>
      </c>
      <c r="N1855" s="176" t="n">
        <v>0.0182</v>
      </c>
      <c r="O1855" s="172" t="n">
        <v>2.3</v>
      </c>
      <c r="P1855" s="172" t="inlineStr">
        <is>
          <t>优先A</t>
        </is>
      </c>
      <c r="Q1855" s="175" t="n">
        <v>0.9</v>
      </c>
      <c r="R1855" s="192" t="n">
        <v>9</v>
      </c>
      <c r="S1855" s="172" t="inlineStr">
        <is>
          <t>AAA</t>
        </is>
      </c>
      <c r="T1855" s="175" t="n">
        <v>0.016</v>
      </c>
      <c r="U1855" s="172" t="n"/>
      <c r="V1855" s="172" t="n"/>
      <c r="W1855" s="175" t="n">
        <v>0.0161</v>
      </c>
      <c r="X1855" s="172" t="inlineStr">
        <is>
          <t>杭州银行</t>
        </is>
      </c>
      <c r="Y1855" s="191" t="n">
        <v>0.55</v>
      </c>
    </row>
    <row r="1856">
      <c r="A1856" s="172" t="n">
        <v>101</v>
      </c>
      <c r="B1856" s="173" t="inlineStr">
        <is>
          <t>6月</t>
        </is>
      </c>
      <c r="C1856" s="173" t="inlineStr">
        <is>
          <t>消金</t>
        </is>
      </c>
      <c r="D1856" s="173" t="inlineStr">
        <is>
          <t>赊销白条</t>
        </is>
      </c>
      <c r="E1856" s="173" t="inlineStr">
        <is>
          <t>东裕11号仲裕</t>
        </is>
      </c>
      <c r="F1856" s="173" t="inlineStr">
        <is>
          <t>银行间</t>
        </is>
      </c>
      <c r="G1856" s="173" t="inlineStr">
        <is>
          <t>中信建投</t>
        </is>
      </c>
      <c r="H1856" s="173" t="inlineStr">
        <is>
          <t>江苏银行/杭州银行/国信证券/国开证券</t>
        </is>
      </c>
      <c r="I1856" s="173" t="inlineStr">
        <is>
          <t>招行北分</t>
        </is>
      </c>
      <c r="J1856" s="172" t="n">
        <v>10</v>
      </c>
      <c r="K1856" s="173" t="inlineStr">
        <is>
          <t>12+12+9+3</t>
        </is>
      </c>
      <c r="L1856" s="202" t="n">
        <v>46198</v>
      </c>
      <c r="M1856" s="175" t="n">
        <v>0.0148</v>
      </c>
      <c r="N1856" s="176" t="n">
        <v>0.0182</v>
      </c>
      <c r="O1856" s="191" t="n">
        <v>2.3</v>
      </c>
      <c r="P1856" s="172" t="inlineStr">
        <is>
          <t>优先A</t>
        </is>
      </c>
      <c r="Q1856" s="178" t="n">
        <v>0.9</v>
      </c>
      <c r="R1856" s="179" t="n">
        <v>9</v>
      </c>
      <c r="S1856" s="177" t="inlineStr">
        <is>
          <t>AAA</t>
        </is>
      </c>
      <c r="T1856" s="178" t="n">
        <v>0.016</v>
      </c>
      <c r="U1856" s="177" t="inlineStr">
        <is>
          <t>平安养老</t>
        </is>
      </c>
      <c r="V1856" s="192" t="n">
        <v>0.5</v>
      </c>
      <c r="W1856" s="175" t="n">
        <v>0.016</v>
      </c>
      <c r="X1856" s="172" t="inlineStr">
        <is>
          <t>平安养老</t>
        </is>
      </c>
      <c r="Y1856" s="191" t="n">
        <v>0.9</v>
      </c>
    </row>
    <row r="1857">
      <c r="A1857" s="172" t="n">
        <v>101</v>
      </c>
      <c r="B1857" s="172" t="inlineStr">
        <is>
          <t>6月</t>
        </is>
      </c>
      <c r="C1857" s="172" t="inlineStr">
        <is>
          <t>消金</t>
        </is>
      </c>
      <c r="D1857" s="172" t="inlineStr">
        <is>
          <t>赊销白条</t>
        </is>
      </c>
      <c r="E1857" s="172" t="inlineStr">
        <is>
          <t>东裕11号仲裕</t>
        </is>
      </c>
      <c r="F1857" s="172" t="inlineStr">
        <is>
          <t>银行间</t>
        </is>
      </c>
      <c r="G1857" s="172" t="inlineStr">
        <is>
          <t>中信建投</t>
        </is>
      </c>
      <c r="H1857" s="172" t="inlineStr">
        <is>
          <t>江苏银行/杭州银行/国信证券/国开证券</t>
        </is>
      </c>
      <c r="I1857" s="172" t="inlineStr">
        <is>
          <t>招行北分</t>
        </is>
      </c>
      <c r="J1857" s="172" t="n">
        <v>10</v>
      </c>
      <c r="K1857" s="172" t="inlineStr">
        <is>
          <t>12+12+9+3</t>
        </is>
      </c>
      <c r="L1857" s="200" t="n">
        <v>46198</v>
      </c>
      <c r="M1857" s="175" t="n">
        <v>0.0148</v>
      </c>
      <c r="N1857" s="176" t="n">
        <v>0.0182</v>
      </c>
      <c r="O1857" s="172" t="n">
        <v>2.3</v>
      </c>
      <c r="P1857" s="172" t="inlineStr">
        <is>
          <t>优先A</t>
        </is>
      </c>
      <c r="Q1857" s="175" t="n">
        <v>0.9</v>
      </c>
      <c r="R1857" s="192" t="n">
        <v>9</v>
      </c>
      <c r="S1857" s="172" t="inlineStr">
        <is>
          <t>AAA</t>
        </is>
      </c>
      <c r="T1857" s="175" t="n">
        <v>0.016</v>
      </c>
      <c r="U1857" s="172" t="n"/>
      <c r="V1857" s="172" t="n"/>
      <c r="W1857" s="175" t="n">
        <v>0.0162</v>
      </c>
      <c r="X1857" s="172" t="inlineStr">
        <is>
          <t>平安养老</t>
        </is>
      </c>
      <c r="Y1857" s="191" t="n">
        <v>0.45</v>
      </c>
    </row>
    <row r="1858">
      <c r="A1858" s="172" t="n">
        <v>101</v>
      </c>
      <c r="B1858" s="173" t="inlineStr">
        <is>
          <t>6月</t>
        </is>
      </c>
      <c r="C1858" s="173" t="inlineStr">
        <is>
          <t>消金</t>
        </is>
      </c>
      <c r="D1858" s="173" t="inlineStr">
        <is>
          <t>赊销白条</t>
        </is>
      </c>
      <c r="E1858" s="173" t="inlineStr">
        <is>
          <t>东裕11号仲裕</t>
        </is>
      </c>
      <c r="F1858" s="173" t="inlineStr">
        <is>
          <t>银行间</t>
        </is>
      </c>
      <c r="G1858" s="173" t="inlineStr">
        <is>
          <t>中信建投</t>
        </is>
      </c>
      <c r="H1858" s="173" t="inlineStr">
        <is>
          <t>江苏银行/杭州银行/国信证券/国开证券</t>
        </is>
      </c>
      <c r="I1858" s="173" t="inlineStr">
        <is>
          <t>招行北分</t>
        </is>
      </c>
      <c r="J1858" s="172" t="n">
        <v>10</v>
      </c>
      <c r="K1858" s="173" t="inlineStr">
        <is>
          <t>12+12+9+3</t>
        </is>
      </c>
      <c r="L1858" s="202" t="n">
        <v>46198</v>
      </c>
      <c r="M1858" s="175" t="n">
        <v>0.0148</v>
      </c>
      <c r="N1858" s="176" t="n">
        <v>0.0182</v>
      </c>
      <c r="O1858" s="191" t="n">
        <v>2.3</v>
      </c>
      <c r="P1858" s="172" t="inlineStr">
        <is>
          <t>优先A</t>
        </is>
      </c>
      <c r="Q1858" s="178" t="n">
        <v>0.9</v>
      </c>
      <c r="R1858" s="179" t="n">
        <v>9</v>
      </c>
      <c r="S1858" s="177" t="inlineStr">
        <is>
          <t>AAA</t>
        </is>
      </c>
      <c r="T1858" s="178" t="n">
        <v>0.016</v>
      </c>
      <c r="U1858" s="177" t="inlineStr">
        <is>
          <t>中邮理财</t>
        </is>
      </c>
      <c r="V1858" s="192" t="n">
        <v>0.9</v>
      </c>
      <c r="W1858" s="175" t="n">
        <v>0.016</v>
      </c>
      <c r="X1858" s="172" t="inlineStr">
        <is>
          <t>中邮理财</t>
        </is>
      </c>
      <c r="Y1858" s="191" t="n">
        <v>1.7</v>
      </c>
    </row>
    <row r="1859">
      <c r="A1859" s="172" t="n">
        <v>101</v>
      </c>
      <c r="B1859" s="172" t="inlineStr">
        <is>
          <t>6月</t>
        </is>
      </c>
      <c r="C1859" s="172" t="inlineStr">
        <is>
          <t>消金</t>
        </is>
      </c>
      <c r="D1859" s="172" t="inlineStr">
        <is>
          <t>赊销白条</t>
        </is>
      </c>
      <c r="E1859" s="172" t="inlineStr">
        <is>
          <t>东裕11号仲裕</t>
        </is>
      </c>
      <c r="F1859" s="172" t="inlineStr">
        <is>
          <t>银行间</t>
        </is>
      </c>
      <c r="G1859" s="172" t="inlineStr">
        <is>
          <t>中信建投</t>
        </is>
      </c>
      <c r="H1859" s="172" t="inlineStr">
        <is>
          <t>江苏银行/杭州银行/国信证券/国开证券</t>
        </is>
      </c>
      <c r="I1859" s="172" t="inlineStr">
        <is>
          <t>招行北分</t>
        </is>
      </c>
      <c r="J1859" s="172" t="n">
        <v>10</v>
      </c>
      <c r="K1859" s="172" t="inlineStr">
        <is>
          <t>12+12+9+3</t>
        </is>
      </c>
      <c r="L1859" s="200" t="n">
        <v>46198</v>
      </c>
      <c r="M1859" s="175" t="n">
        <v>0.0148</v>
      </c>
      <c r="N1859" s="176" t="n">
        <v>0.0182</v>
      </c>
      <c r="O1859" s="172" t="n">
        <v>2.3</v>
      </c>
      <c r="P1859" s="172" t="inlineStr">
        <is>
          <t>优先A</t>
        </is>
      </c>
      <c r="Q1859" s="175" t="n">
        <v>0.9</v>
      </c>
      <c r="R1859" s="192" t="n">
        <v>9</v>
      </c>
      <c r="S1859" s="172" t="inlineStr">
        <is>
          <t>AAA</t>
        </is>
      </c>
      <c r="T1859" s="175" t="n">
        <v>0.016</v>
      </c>
      <c r="U1859" s="172" t="n"/>
      <c r="V1859" s="172" t="n"/>
      <c r="W1859" s="175" t="n">
        <v>0.0162</v>
      </c>
      <c r="X1859" s="172" t="inlineStr">
        <is>
          <t>中邮理财</t>
        </is>
      </c>
      <c r="Y1859" s="191" t="n">
        <v>1</v>
      </c>
    </row>
    <row r="1860">
      <c r="A1860" s="172" t="n">
        <v>101</v>
      </c>
      <c r="B1860" s="173" t="inlineStr">
        <is>
          <t>6月</t>
        </is>
      </c>
      <c r="C1860" s="173" t="inlineStr">
        <is>
          <t>消金</t>
        </is>
      </c>
      <c r="D1860" s="173" t="inlineStr">
        <is>
          <t>赊销白条</t>
        </is>
      </c>
      <c r="E1860" s="173" t="inlineStr">
        <is>
          <t>东裕11号仲裕</t>
        </is>
      </c>
      <c r="F1860" s="173" t="inlineStr">
        <is>
          <t>银行间</t>
        </is>
      </c>
      <c r="G1860" s="173" t="inlineStr">
        <is>
          <t>中信建投</t>
        </is>
      </c>
      <c r="H1860" s="173" t="inlineStr">
        <is>
          <t>江苏银行/杭州银行/国信证券/国开证券</t>
        </is>
      </c>
      <c r="I1860" s="173" t="inlineStr">
        <is>
          <t>招行北分</t>
        </is>
      </c>
      <c r="J1860" s="172" t="n">
        <v>10</v>
      </c>
      <c r="K1860" s="173" t="inlineStr">
        <is>
          <t>12+12+9+3</t>
        </is>
      </c>
      <c r="L1860" s="202" t="n">
        <v>46198</v>
      </c>
      <c r="M1860" s="175" t="n">
        <v>0.0148</v>
      </c>
      <c r="N1860" s="176" t="n">
        <v>0.0182</v>
      </c>
      <c r="O1860" s="191" t="n">
        <v>2.3</v>
      </c>
      <c r="P1860" s="172" t="inlineStr">
        <is>
          <t>优先A</t>
        </is>
      </c>
      <c r="Q1860" s="178" t="n">
        <v>0.9</v>
      </c>
      <c r="R1860" s="179" t="n">
        <v>9</v>
      </c>
      <c r="S1860" s="177" t="inlineStr">
        <is>
          <t>AAA</t>
        </is>
      </c>
      <c r="T1860" s="178" t="n">
        <v>0.016</v>
      </c>
      <c r="U1860" s="177" t="inlineStr">
        <is>
          <t>交银理财</t>
        </is>
      </c>
      <c r="V1860" s="192" t="n">
        <v>0.25</v>
      </c>
      <c r="W1860" s="175" t="n">
        <v>0.016</v>
      </c>
      <c r="X1860" s="172" t="inlineStr">
        <is>
          <t>交银理财</t>
        </is>
      </c>
      <c r="Y1860" s="191" t="n">
        <v>0.5</v>
      </c>
    </row>
    <row r="1861">
      <c r="A1861" s="172" t="n">
        <v>101</v>
      </c>
      <c r="B1861" s="172" t="inlineStr">
        <is>
          <t>6月</t>
        </is>
      </c>
      <c r="C1861" s="172" t="inlineStr">
        <is>
          <t>消金</t>
        </is>
      </c>
      <c r="D1861" s="172" t="inlineStr">
        <is>
          <t>赊销白条</t>
        </is>
      </c>
      <c r="E1861" s="172" t="inlineStr">
        <is>
          <t>东裕11号仲裕</t>
        </is>
      </c>
      <c r="F1861" s="172" t="inlineStr">
        <is>
          <t>银行间</t>
        </is>
      </c>
      <c r="G1861" s="172" t="inlineStr">
        <is>
          <t>中信建投</t>
        </is>
      </c>
      <c r="H1861" s="172" t="inlineStr">
        <is>
          <t>江苏银行/杭州银行/国信证券/国开证券</t>
        </is>
      </c>
      <c r="I1861" s="172" t="inlineStr">
        <is>
          <t>招行北分</t>
        </is>
      </c>
      <c r="J1861" s="172" t="n">
        <v>10</v>
      </c>
      <c r="K1861" s="172" t="inlineStr">
        <is>
          <t>12+12+9+3</t>
        </is>
      </c>
      <c r="L1861" s="200" t="n">
        <v>46198</v>
      </c>
      <c r="M1861" s="175" t="n">
        <v>0.0148</v>
      </c>
      <c r="N1861" s="176" t="n">
        <v>0.0182</v>
      </c>
      <c r="O1861" s="172" t="n">
        <v>2.3</v>
      </c>
      <c r="P1861" s="172" t="inlineStr">
        <is>
          <t>优先A</t>
        </is>
      </c>
      <c r="Q1861" s="175" t="n">
        <v>0.9</v>
      </c>
      <c r="R1861" s="192" t="n">
        <v>9</v>
      </c>
      <c r="S1861" s="172" t="inlineStr">
        <is>
          <t>AAA</t>
        </is>
      </c>
      <c r="T1861" s="175" t="n">
        <v>0.016</v>
      </c>
      <c r="U1861" s="172" t="n"/>
      <c r="V1861" s="172" t="n"/>
      <c r="W1861" s="175" t="n">
        <v>0.0165</v>
      </c>
      <c r="X1861" s="172" t="inlineStr">
        <is>
          <t>交银理财</t>
        </is>
      </c>
      <c r="Y1861" s="191" t="n">
        <v>0.3</v>
      </c>
    </row>
    <row r="1862">
      <c r="A1862" s="172" t="n">
        <v>101</v>
      </c>
      <c r="B1862" s="173" t="inlineStr">
        <is>
          <t>6月</t>
        </is>
      </c>
      <c r="C1862" s="173" t="inlineStr">
        <is>
          <t>消金</t>
        </is>
      </c>
      <c r="D1862" s="173" t="inlineStr">
        <is>
          <t>赊销白条</t>
        </is>
      </c>
      <c r="E1862" s="173" t="inlineStr">
        <is>
          <t>东裕11号仲裕</t>
        </is>
      </c>
      <c r="F1862" s="173" t="inlineStr">
        <is>
          <t>银行间</t>
        </is>
      </c>
      <c r="G1862" s="173" t="inlineStr">
        <is>
          <t>中信建投</t>
        </is>
      </c>
      <c r="H1862" s="173" t="inlineStr">
        <is>
          <t>江苏银行/杭州银行/国信证券/国开证券</t>
        </is>
      </c>
      <c r="I1862" s="173" t="inlineStr">
        <is>
          <t>招行北分</t>
        </is>
      </c>
      <c r="J1862" s="172" t="n">
        <v>10</v>
      </c>
      <c r="K1862" s="173" t="inlineStr">
        <is>
          <t>12+12+9+3</t>
        </is>
      </c>
      <c r="L1862" s="202" t="n">
        <v>46198</v>
      </c>
      <c r="M1862" s="175" t="n">
        <v>0.0148</v>
      </c>
      <c r="N1862" s="176" t="n">
        <v>0.0182</v>
      </c>
      <c r="O1862" s="191" t="n">
        <v>2.3</v>
      </c>
      <c r="P1862" s="172" t="inlineStr">
        <is>
          <t>优先A</t>
        </is>
      </c>
      <c r="Q1862" s="178" t="n">
        <v>0.9</v>
      </c>
      <c r="R1862" s="179" t="n">
        <v>9</v>
      </c>
      <c r="S1862" s="177" t="inlineStr">
        <is>
          <t>AAA</t>
        </is>
      </c>
      <c r="T1862" s="178" t="n">
        <v>0.016</v>
      </c>
      <c r="U1862" s="177" t="inlineStr">
        <is>
          <t>江苏银行</t>
        </is>
      </c>
      <c r="V1862" s="192" t="n">
        <v>1.8</v>
      </c>
      <c r="W1862" s="175" t="n">
        <v>0.015</v>
      </c>
      <c r="X1862" s="172" t="inlineStr">
        <is>
          <t>江苏银行</t>
        </is>
      </c>
      <c r="Y1862" s="191" t="n">
        <v>1.8</v>
      </c>
    </row>
    <row r="1863">
      <c r="A1863" s="172" t="n">
        <v>101</v>
      </c>
      <c r="B1863" s="173" t="inlineStr">
        <is>
          <t>6月</t>
        </is>
      </c>
      <c r="C1863" s="173" t="inlineStr">
        <is>
          <t>消金</t>
        </is>
      </c>
      <c r="D1863" s="173" t="inlineStr">
        <is>
          <t>赊销白条</t>
        </is>
      </c>
      <c r="E1863" s="173" t="inlineStr">
        <is>
          <t>东裕11号仲裕</t>
        </is>
      </c>
      <c r="F1863" s="173" t="inlineStr">
        <is>
          <t>银行间</t>
        </is>
      </c>
      <c r="G1863" s="173" t="inlineStr">
        <is>
          <t>中信建投</t>
        </is>
      </c>
      <c r="H1863" s="173" t="inlineStr">
        <is>
          <t>江苏银行/杭州银行/国信证券/国开证券</t>
        </is>
      </c>
      <c r="I1863" s="173" t="inlineStr">
        <is>
          <t>招行北分</t>
        </is>
      </c>
      <c r="J1863" s="172" t="n">
        <v>10</v>
      </c>
      <c r="K1863" s="173" t="inlineStr">
        <is>
          <t>12+12+9+3</t>
        </is>
      </c>
      <c r="L1863" s="202" t="n">
        <v>46198</v>
      </c>
      <c r="M1863" s="175" t="n">
        <v>0.0148</v>
      </c>
      <c r="N1863" s="176" t="n">
        <v>0.0182</v>
      </c>
      <c r="O1863" s="191" t="n">
        <v>2.3</v>
      </c>
      <c r="P1863" s="172" t="inlineStr">
        <is>
          <t>优先A</t>
        </is>
      </c>
      <c r="Q1863" s="178" t="n">
        <v>0.9</v>
      </c>
      <c r="R1863" s="179" t="n">
        <v>9</v>
      </c>
      <c r="S1863" s="177" t="inlineStr">
        <is>
          <t>AAA</t>
        </is>
      </c>
      <c r="T1863" s="178" t="n">
        <v>0.016</v>
      </c>
      <c r="U1863" s="177" t="inlineStr">
        <is>
          <t>兴银理财</t>
        </is>
      </c>
      <c r="V1863" s="192" t="n">
        <v>1.5</v>
      </c>
      <c r="W1863" s="175" t="n">
        <v>0.016</v>
      </c>
      <c r="X1863" s="172" t="inlineStr">
        <is>
          <t>兴银理财</t>
        </is>
      </c>
      <c r="Y1863" s="191" t="n">
        <v>2.7</v>
      </c>
    </row>
    <row r="1864">
      <c r="A1864" s="172" t="n">
        <v>101</v>
      </c>
      <c r="B1864" s="173" t="inlineStr">
        <is>
          <t>6月</t>
        </is>
      </c>
      <c r="C1864" s="173" t="inlineStr">
        <is>
          <t>消金</t>
        </is>
      </c>
      <c r="D1864" s="173" t="inlineStr">
        <is>
          <t>赊销白条</t>
        </is>
      </c>
      <c r="E1864" s="173" t="inlineStr">
        <is>
          <t>东裕11号仲裕</t>
        </is>
      </c>
      <c r="F1864" s="173" t="inlineStr">
        <is>
          <t>银行间</t>
        </is>
      </c>
      <c r="G1864" s="173" t="inlineStr">
        <is>
          <t>中信建投</t>
        </is>
      </c>
      <c r="H1864" s="173" t="inlineStr">
        <is>
          <t>江苏银行/杭州银行/国信证券/国开证券</t>
        </is>
      </c>
      <c r="I1864" s="173" t="inlineStr">
        <is>
          <t>招行北分</t>
        </is>
      </c>
      <c r="J1864" s="172" t="n">
        <v>10</v>
      </c>
      <c r="K1864" s="173" t="inlineStr">
        <is>
          <t>12+12+9+3</t>
        </is>
      </c>
      <c r="L1864" s="202" t="n">
        <v>46198</v>
      </c>
      <c r="M1864" s="175" t="n">
        <v>0.0148</v>
      </c>
      <c r="N1864" s="176" t="n">
        <v>0.0182</v>
      </c>
      <c r="O1864" s="191" t="n">
        <v>2.3</v>
      </c>
      <c r="P1864" s="172" t="inlineStr">
        <is>
          <t>优先A</t>
        </is>
      </c>
      <c r="Q1864" s="178" t="n">
        <v>0.9</v>
      </c>
      <c r="R1864" s="179" t="n">
        <v>9</v>
      </c>
      <c r="S1864" s="177" t="inlineStr">
        <is>
          <t>AAA</t>
        </is>
      </c>
      <c r="T1864" s="178" t="n">
        <v>0.016</v>
      </c>
      <c r="U1864" s="177" t="inlineStr">
        <is>
          <t>杭银理财</t>
        </is>
      </c>
      <c r="V1864" s="192" t="n">
        <v>0.45</v>
      </c>
      <c r="W1864" s="175" t="n">
        <v>0.0158</v>
      </c>
      <c r="X1864" s="172" t="inlineStr">
        <is>
          <t>杭银理财</t>
        </is>
      </c>
      <c r="Y1864" s="191" t="n">
        <v>0.45</v>
      </c>
    </row>
    <row r="1865">
      <c r="A1865" s="172" t="n">
        <v>101</v>
      </c>
      <c r="B1865" s="173" t="inlineStr">
        <is>
          <t>6月</t>
        </is>
      </c>
      <c r="C1865" s="173" t="inlineStr">
        <is>
          <t>消金</t>
        </is>
      </c>
      <c r="D1865" s="173" t="inlineStr">
        <is>
          <t>赊销白条</t>
        </is>
      </c>
      <c r="E1865" s="173" t="inlineStr">
        <is>
          <t>东裕11号仲裕</t>
        </is>
      </c>
      <c r="F1865" s="173" t="inlineStr">
        <is>
          <t>银行间</t>
        </is>
      </c>
      <c r="G1865" s="173" t="inlineStr">
        <is>
          <t>中信建投</t>
        </is>
      </c>
      <c r="H1865" s="173" t="inlineStr">
        <is>
          <t>江苏银行/杭州银行/国信证券/国开证券</t>
        </is>
      </c>
      <c r="I1865" s="173" t="inlineStr">
        <is>
          <t>招行北分</t>
        </is>
      </c>
      <c r="J1865" s="172" t="n">
        <v>10</v>
      </c>
      <c r="K1865" s="173" t="inlineStr">
        <is>
          <t>12+12+9+3</t>
        </is>
      </c>
      <c r="L1865" s="202" t="n">
        <v>46198</v>
      </c>
      <c r="M1865" s="175" t="n">
        <v>0.0148</v>
      </c>
      <c r="N1865" s="176" t="n">
        <v>0.0182</v>
      </c>
      <c r="O1865" s="191" t="n">
        <v>2.3</v>
      </c>
      <c r="P1865" s="172" t="inlineStr">
        <is>
          <t>优先A</t>
        </is>
      </c>
      <c r="Q1865" s="178" t="n">
        <v>0.9</v>
      </c>
      <c r="R1865" s="179" t="n">
        <v>9</v>
      </c>
      <c r="S1865" s="177" t="inlineStr">
        <is>
          <t>AAA</t>
        </is>
      </c>
      <c r="T1865" s="178" t="n">
        <v>0.016</v>
      </c>
      <c r="U1865" s="177" t="inlineStr">
        <is>
          <t>招银理财</t>
        </is>
      </c>
      <c r="V1865" s="192" t="n">
        <v>2.7</v>
      </c>
      <c r="W1865" s="175" t="n">
        <v>0.0158</v>
      </c>
      <c r="X1865" s="172" t="inlineStr">
        <is>
          <t>招银理财</t>
        </is>
      </c>
      <c r="Y1865" s="191" t="n">
        <v>2.7</v>
      </c>
    </row>
    <row r="1866">
      <c r="A1866" s="172" t="n">
        <v>101</v>
      </c>
      <c r="B1866" s="173" t="inlineStr">
        <is>
          <t>6月</t>
        </is>
      </c>
      <c r="C1866" s="173" t="inlineStr">
        <is>
          <t>消金</t>
        </is>
      </c>
      <c r="D1866" s="173" t="inlineStr">
        <is>
          <t>赊销白条</t>
        </is>
      </c>
      <c r="E1866" s="173" t="inlineStr">
        <is>
          <t>东裕11号仲裕</t>
        </is>
      </c>
      <c r="F1866" s="173" t="inlineStr">
        <is>
          <t>银行间</t>
        </is>
      </c>
      <c r="G1866" s="173" t="inlineStr">
        <is>
          <t>中信建投</t>
        </is>
      </c>
      <c r="H1866" s="173" t="inlineStr">
        <is>
          <t>江苏银行/杭州银行/国信证券/国开证券</t>
        </is>
      </c>
      <c r="I1866" s="173" t="inlineStr">
        <is>
          <t>招行北分</t>
        </is>
      </c>
      <c r="J1866" s="172" t="n">
        <v>10</v>
      </c>
      <c r="K1866" s="173" t="inlineStr">
        <is>
          <t>12+12+9+3</t>
        </is>
      </c>
      <c r="L1866" s="202" t="n">
        <v>46198</v>
      </c>
      <c r="M1866" s="175" t="n">
        <v>0.0148</v>
      </c>
      <c r="N1866" s="176" t="n">
        <v>0.0182</v>
      </c>
      <c r="O1866" s="191" t="n">
        <v>2.3</v>
      </c>
      <c r="P1866" s="172" t="inlineStr">
        <is>
          <t>优先A</t>
        </is>
      </c>
      <c r="Q1866" s="178" t="n">
        <v>0.9</v>
      </c>
      <c r="R1866" s="179" t="n">
        <v>9</v>
      </c>
      <c r="S1866" s="177" t="inlineStr">
        <is>
          <t>AAA</t>
        </is>
      </c>
      <c r="T1866" s="178" t="n">
        <v>0.016</v>
      </c>
      <c r="U1866" s="177" t="inlineStr">
        <is>
          <t>平安理财</t>
        </is>
      </c>
      <c r="V1866" s="192" t="n">
        <v>0.1</v>
      </c>
      <c r="W1866" s="175" t="n">
        <v>0.016</v>
      </c>
      <c r="X1866" s="172" t="inlineStr">
        <is>
          <t>平安理财</t>
        </is>
      </c>
      <c r="Y1866" s="191" t="n">
        <v>0.115</v>
      </c>
    </row>
    <row r="1867">
      <c r="A1867" s="172" t="n">
        <v>101</v>
      </c>
      <c r="B1867" s="172" t="inlineStr">
        <is>
          <t>6月</t>
        </is>
      </c>
      <c r="C1867" s="172" t="inlineStr">
        <is>
          <t>消金</t>
        </is>
      </c>
      <c r="D1867" s="172" t="inlineStr">
        <is>
          <t>赊销白条</t>
        </is>
      </c>
      <c r="E1867" s="172" t="inlineStr">
        <is>
          <t>东裕11号仲裕</t>
        </is>
      </c>
      <c r="F1867" s="172" t="inlineStr">
        <is>
          <t>银行间</t>
        </is>
      </c>
      <c r="G1867" s="172" t="inlineStr">
        <is>
          <t>中信建投</t>
        </is>
      </c>
      <c r="H1867" s="172" t="inlineStr">
        <is>
          <t>江苏银行/杭州银行/国信证券/国开证券</t>
        </is>
      </c>
      <c r="I1867" s="172" t="inlineStr">
        <is>
          <t>招行北分</t>
        </is>
      </c>
      <c r="J1867" s="172" t="n">
        <v>10</v>
      </c>
      <c r="K1867" s="172" t="inlineStr">
        <is>
          <t>12+12+9+3</t>
        </is>
      </c>
      <c r="L1867" s="200" t="n">
        <v>46198</v>
      </c>
      <c r="M1867" s="175" t="n">
        <v>0.0148</v>
      </c>
      <c r="N1867" s="176" t="n">
        <v>0.0182</v>
      </c>
      <c r="O1867" s="172" t="n">
        <v>2.3</v>
      </c>
      <c r="P1867" s="172" t="inlineStr">
        <is>
          <t>优先A</t>
        </is>
      </c>
      <c r="Q1867" s="175" t="n">
        <v>0.9</v>
      </c>
      <c r="R1867" s="192" t="n">
        <v>9</v>
      </c>
      <c r="S1867" s="172" t="inlineStr">
        <is>
          <t>AAA</t>
        </is>
      </c>
      <c r="T1867" s="175" t="n">
        <v>0.016</v>
      </c>
      <c r="U1867" s="172" t="n"/>
      <c r="V1867" s="172" t="n"/>
      <c r="W1867" s="175" t="n">
        <v>0.016</v>
      </c>
      <c r="X1867" s="172" t="inlineStr">
        <is>
          <t>国开证券</t>
        </is>
      </c>
      <c r="Y1867" s="191" t="n">
        <v>1</v>
      </c>
    </row>
    <row r="1868">
      <c r="A1868" s="172" t="n">
        <v>101</v>
      </c>
      <c r="B1868" s="172" t="inlineStr">
        <is>
          <t>6月</t>
        </is>
      </c>
      <c r="C1868" s="172" t="inlineStr">
        <is>
          <t>消金</t>
        </is>
      </c>
      <c r="D1868" s="172" t="inlineStr">
        <is>
          <t>赊销白条</t>
        </is>
      </c>
      <c r="E1868" s="172" t="inlineStr">
        <is>
          <t>东裕11号仲裕</t>
        </is>
      </c>
      <c r="F1868" s="172" t="inlineStr">
        <is>
          <t>银行间</t>
        </is>
      </c>
      <c r="G1868" s="172" t="inlineStr">
        <is>
          <t>中信建投</t>
        </is>
      </c>
      <c r="H1868" s="172" t="inlineStr">
        <is>
          <t>江苏银行/杭州银行/国信证券/国开证券</t>
        </is>
      </c>
      <c r="I1868" s="172" t="inlineStr">
        <is>
          <t>招行北分</t>
        </is>
      </c>
      <c r="J1868" s="172" t="n">
        <v>10</v>
      </c>
      <c r="K1868" s="172" t="inlineStr">
        <is>
          <t>12+12+9+3</t>
        </is>
      </c>
      <c r="L1868" s="200" t="n">
        <v>46198</v>
      </c>
      <c r="M1868" s="175" t="n">
        <v>0.0148</v>
      </c>
      <c r="N1868" s="176" t="n">
        <v>0.0182</v>
      </c>
      <c r="O1868" s="172" t="n">
        <v>2.3</v>
      </c>
      <c r="P1868" s="172" t="inlineStr">
        <is>
          <t>优先A</t>
        </is>
      </c>
      <c r="Q1868" s="175" t="n">
        <v>0.9</v>
      </c>
      <c r="R1868" s="192" t="n">
        <v>9</v>
      </c>
      <c r="S1868" s="172" t="inlineStr">
        <is>
          <t>AAA</t>
        </is>
      </c>
      <c r="T1868" s="175" t="n">
        <v>0.016</v>
      </c>
      <c r="U1868" s="172" t="n"/>
      <c r="V1868" s="172" t="n"/>
      <c r="W1868" s="175" t="n">
        <v>0.018</v>
      </c>
      <c r="X1868" s="172" t="inlineStr">
        <is>
          <t>国信证券（投行）</t>
        </is>
      </c>
      <c r="Y1868" s="191" t="n">
        <v>1.3</v>
      </c>
    </row>
    <row r="1869">
      <c r="A1869" s="172" t="n">
        <v>101</v>
      </c>
      <c r="B1869" s="172" t="inlineStr">
        <is>
          <t>6月</t>
        </is>
      </c>
      <c r="C1869" s="172" t="inlineStr">
        <is>
          <t>消金</t>
        </is>
      </c>
      <c r="D1869" s="172" t="inlineStr">
        <is>
          <t>赊销白条</t>
        </is>
      </c>
      <c r="E1869" s="172" t="inlineStr">
        <is>
          <t>东裕11号仲裕</t>
        </is>
      </c>
      <c r="F1869" s="172" t="inlineStr">
        <is>
          <t>银行间</t>
        </is>
      </c>
      <c r="G1869" s="172" t="inlineStr">
        <is>
          <t>中信建投</t>
        </is>
      </c>
      <c r="H1869" s="172" t="inlineStr">
        <is>
          <t>江苏银行/杭州银行/国信证券/国开证券</t>
        </is>
      </c>
      <c r="I1869" s="172" t="inlineStr">
        <is>
          <t>招行北分</t>
        </is>
      </c>
      <c r="J1869" s="172" t="n">
        <v>10</v>
      </c>
      <c r="K1869" s="172" t="inlineStr">
        <is>
          <t>12+12+9+3</t>
        </is>
      </c>
      <c r="L1869" s="200" t="n">
        <v>46198</v>
      </c>
      <c r="M1869" s="175" t="n">
        <v>0.0148</v>
      </c>
      <c r="N1869" s="176" t="n">
        <v>0.0182</v>
      </c>
      <c r="O1869" s="172" t="n">
        <v>2.3</v>
      </c>
      <c r="P1869" s="172" t="inlineStr">
        <is>
          <t>优先A</t>
        </is>
      </c>
      <c r="Q1869" s="175" t="n">
        <v>0.9</v>
      </c>
      <c r="R1869" s="192" t="n">
        <v>9</v>
      </c>
      <c r="S1869" s="172" t="inlineStr">
        <is>
          <t>AAA</t>
        </is>
      </c>
      <c r="T1869" s="175" t="n">
        <v>0.016</v>
      </c>
      <c r="U1869" s="172" t="n"/>
      <c r="V1869" s="172" t="n"/>
      <c r="W1869" s="175" t="n">
        <v>0.02</v>
      </c>
      <c r="X1869" s="172" t="inlineStr">
        <is>
          <t>信达证券</t>
        </is>
      </c>
      <c r="Y1869" s="191" t="n">
        <v>0.8</v>
      </c>
    </row>
    <row r="1870">
      <c r="A1870" s="172" t="n">
        <v>101</v>
      </c>
      <c r="B1870" s="172" t="inlineStr">
        <is>
          <t>6月</t>
        </is>
      </c>
      <c r="C1870" s="172" t="inlineStr">
        <is>
          <t>消金</t>
        </is>
      </c>
      <c r="D1870" s="172" t="inlineStr">
        <is>
          <t>赊销白条</t>
        </is>
      </c>
      <c r="E1870" s="172" t="inlineStr">
        <is>
          <t>东裕11号仲裕</t>
        </is>
      </c>
      <c r="F1870" s="172" t="inlineStr">
        <is>
          <t>银行间</t>
        </is>
      </c>
      <c r="G1870" s="172" t="inlineStr">
        <is>
          <t>中信建投</t>
        </is>
      </c>
      <c r="H1870" s="172" t="inlineStr">
        <is>
          <t>江苏银行/杭州银行/国信证券/国开证券</t>
        </is>
      </c>
      <c r="I1870" s="172" t="inlineStr">
        <is>
          <t>招行北分</t>
        </is>
      </c>
      <c r="J1870" s="172" t="n">
        <v>10</v>
      </c>
      <c r="K1870" s="172" t="inlineStr">
        <is>
          <t>12+12+9+3</t>
        </is>
      </c>
      <c r="L1870" s="200" t="n">
        <v>46198</v>
      </c>
      <c r="M1870" s="175" t="n">
        <v>0.0148</v>
      </c>
      <c r="N1870" s="176" t="n">
        <v>0.0182</v>
      </c>
      <c r="O1870" s="172" t="n">
        <v>2.3</v>
      </c>
      <c r="P1870" s="172" t="inlineStr">
        <is>
          <t>优先A</t>
        </is>
      </c>
      <c r="Q1870" s="175" t="n">
        <v>0.9</v>
      </c>
      <c r="R1870" s="192" t="n">
        <v>9</v>
      </c>
      <c r="S1870" s="172" t="inlineStr">
        <is>
          <t>AAA</t>
        </is>
      </c>
      <c r="T1870" s="175" t="n">
        <v>0.016</v>
      </c>
      <c r="U1870" s="172" t="n"/>
      <c r="V1870" s="172" t="n"/>
      <c r="W1870" s="175" t="n">
        <v>0.02</v>
      </c>
      <c r="X1870" s="172" t="inlineStr">
        <is>
          <t>中信证券自营</t>
        </is>
      </c>
      <c r="Y1870" s="191" t="n">
        <v>1</v>
      </c>
    </row>
    <row r="1871">
      <c r="A1871" s="172" t="n">
        <v>101</v>
      </c>
      <c r="B1871" s="172" t="inlineStr">
        <is>
          <t>6月</t>
        </is>
      </c>
      <c r="C1871" s="172" t="inlineStr">
        <is>
          <t>消金</t>
        </is>
      </c>
      <c r="D1871" s="172" t="inlineStr">
        <is>
          <t>赊销白条</t>
        </is>
      </c>
      <c r="E1871" s="172" t="inlineStr">
        <is>
          <t>东裕11号仲裕</t>
        </is>
      </c>
      <c r="F1871" s="172" t="inlineStr">
        <is>
          <t>银行间</t>
        </is>
      </c>
      <c r="G1871" s="172" t="inlineStr">
        <is>
          <t>中信建投</t>
        </is>
      </c>
      <c r="H1871" s="172" t="inlineStr">
        <is>
          <t>江苏银行/杭州银行/国信证券/国开证券</t>
        </is>
      </c>
      <c r="I1871" s="172" t="inlineStr">
        <is>
          <t>招行北分</t>
        </is>
      </c>
      <c r="J1871" s="172" t="n">
        <v>10</v>
      </c>
      <c r="K1871" s="172" t="inlineStr">
        <is>
          <t>12+12+9+3</t>
        </is>
      </c>
      <c r="L1871" s="200" t="n">
        <v>46198</v>
      </c>
      <c r="M1871" s="175" t="n">
        <v>0.0148</v>
      </c>
      <c r="N1871" s="176" t="n">
        <v>0.0182</v>
      </c>
      <c r="O1871" s="172" t="n">
        <v>2.3</v>
      </c>
      <c r="P1871" s="172" t="inlineStr">
        <is>
          <t>优先A</t>
        </is>
      </c>
      <c r="Q1871" s="175" t="n">
        <v>0.9</v>
      </c>
      <c r="R1871" s="192" t="n">
        <v>9</v>
      </c>
      <c r="S1871" s="172" t="inlineStr">
        <is>
          <t>AAA</t>
        </is>
      </c>
      <c r="T1871" s="175" t="n">
        <v>0.016</v>
      </c>
      <c r="U1871" s="172" t="n"/>
      <c r="V1871" s="172" t="n"/>
      <c r="W1871" s="175" t="n">
        <v>0.02</v>
      </c>
      <c r="X1871" s="172" t="inlineStr">
        <is>
          <t>建投机构部</t>
        </is>
      </c>
      <c r="Y1871" s="191" t="n">
        <v>0.5</v>
      </c>
    </row>
    <row r="1872">
      <c r="A1872" s="172" t="n">
        <v>101</v>
      </c>
      <c r="B1872" s="172" t="inlineStr">
        <is>
          <t>6月</t>
        </is>
      </c>
      <c r="C1872" s="172" t="inlineStr">
        <is>
          <t>消金</t>
        </is>
      </c>
      <c r="D1872" s="172" t="inlineStr">
        <is>
          <t>赊销白条</t>
        </is>
      </c>
      <c r="E1872" s="172" t="inlineStr">
        <is>
          <t>东裕11号仲裕</t>
        </is>
      </c>
      <c r="F1872" s="172" t="inlineStr">
        <is>
          <t>银行间</t>
        </is>
      </c>
      <c r="G1872" s="172" t="inlineStr">
        <is>
          <t>中信建投</t>
        </is>
      </c>
      <c r="H1872" s="172" t="inlineStr">
        <is>
          <t>江苏银行/杭州银行/国信证券/国开证券</t>
        </is>
      </c>
      <c r="I1872" s="172" t="inlineStr">
        <is>
          <t>招行北分</t>
        </is>
      </c>
      <c r="J1872" s="172" t="n">
        <v>10</v>
      </c>
      <c r="K1872" s="172" t="inlineStr">
        <is>
          <t>12+12+9+3</t>
        </is>
      </c>
      <c r="L1872" s="200" t="n">
        <v>46198</v>
      </c>
      <c r="M1872" s="175" t="n">
        <v>0.0148</v>
      </c>
      <c r="N1872" s="176" t="n">
        <v>0.0182</v>
      </c>
      <c r="O1872" s="172" t="n">
        <v>2.3</v>
      </c>
      <c r="P1872" s="172" t="inlineStr">
        <is>
          <t>优先A</t>
        </is>
      </c>
      <c r="Q1872" s="175" t="n">
        <v>0.9</v>
      </c>
      <c r="R1872" s="192" t="n">
        <v>9</v>
      </c>
      <c r="S1872" s="172" t="inlineStr">
        <is>
          <t>AAA</t>
        </is>
      </c>
      <c r="T1872" s="175" t="n">
        <v>0.016</v>
      </c>
      <c r="U1872" s="172" t="n"/>
      <c r="V1872" s="172" t="n"/>
      <c r="W1872" s="175" t="n">
        <v>0.024</v>
      </c>
      <c r="X1872" s="172" t="inlineStr">
        <is>
          <t>国信证券（固收）</t>
        </is>
      </c>
      <c r="Y1872" s="191" t="n">
        <v>0.8</v>
      </c>
    </row>
    <row r="1873">
      <c r="A1873" s="172" t="n">
        <v>101</v>
      </c>
      <c r="B1873" s="172" t="inlineStr">
        <is>
          <t>6月</t>
        </is>
      </c>
      <c r="C1873" s="172" t="inlineStr">
        <is>
          <t>消金</t>
        </is>
      </c>
      <c r="D1873" s="172" t="inlineStr">
        <is>
          <t>赊销白条</t>
        </is>
      </c>
      <c r="E1873" s="172" t="inlineStr">
        <is>
          <t>东裕11号仲裕</t>
        </is>
      </c>
      <c r="F1873" s="172" t="inlineStr">
        <is>
          <t>银行间</t>
        </is>
      </c>
      <c r="G1873" s="172" t="inlineStr">
        <is>
          <t>中信建投</t>
        </is>
      </c>
      <c r="H1873" s="172" t="inlineStr">
        <is>
          <t>江苏银行/杭州银行/国信证券/国开证券</t>
        </is>
      </c>
      <c r="I1873" s="172" t="inlineStr">
        <is>
          <t>招行北分</t>
        </is>
      </c>
      <c r="J1873" s="172" t="n">
        <v>10</v>
      </c>
      <c r="K1873" s="172" t="inlineStr">
        <is>
          <t>12+12+9+3</t>
        </is>
      </c>
      <c r="L1873" s="200" t="n">
        <v>46198</v>
      </c>
      <c r="M1873" s="175" t="n">
        <v>0.0148</v>
      </c>
      <c r="N1873" s="176" t="n">
        <v>0.0182</v>
      </c>
      <c r="O1873" s="172" t="n">
        <v>2.3</v>
      </c>
      <c r="P1873" s="172" t="inlineStr">
        <is>
          <t>优先A</t>
        </is>
      </c>
      <c r="Q1873" s="175" t="n">
        <v>0.9</v>
      </c>
      <c r="R1873" s="192" t="n">
        <v>9</v>
      </c>
      <c r="S1873" s="172" t="inlineStr">
        <is>
          <t>AAA</t>
        </is>
      </c>
      <c r="T1873" s="175" t="n">
        <v>0.016</v>
      </c>
      <c r="U1873" s="172" t="n"/>
      <c r="V1873" s="172" t="n"/>
      <c r="W1873" s="175" t="n">
        <v>0.024</v>
      </c>
      <c r="X1873" s="172" t="inlineStr">
        <is>
          <t>建投衍生品自营</t>
        </is>
      </c>
      <c r="Y1873" s="191" t="n">
        <v>1.35</v>
      </c>
    </row>
    <row r="1874">
      <c r="A1874" s="172" t="n">
        <v>101</v>
      </c>
      <c r="B1874" s="173" t="inlineStr">
        <is>
          <t>6月</t>
        </is>
      </c>
      <c r="C1874" s="173" t="inlineStr">
        <is>
          <t>消金</t>
        </is>
      </c>
      <c r="D1874" s="173" t="inlineStr">
        <is>
          <t>赊销白条</t>
        </is>
      </c>
      <c r="E1874" s="173" t="inlineStr">
        <is>
          <t>东裕11号仲裕</t>
        </is>
      </c>
      <c r="F1874" s="173" t="inlineStr">
        <is>
          <t>银行间</t>
        </is>
      </c>
      <c r="G1874" s="173" t="inlineStr">
        <is>
          <t>中信建投</t>
        </is>
      </c>
      <c r="H1874" s="173" t="inlineStr">
        <is>
          <t>江苏银行/杭州银行/国信证券/国开证券</t>
        </is>
      </c>
      <c r="I1874" s="173" t="inlineStr">
        <is>
          <t>招行北分</t>
        </is>
      </c>
      <c r="J1874" s="172" t="n">
        <v>10</v>
      </c>
      <c r="K1874" s="173" t="inlineStr">
        <is>
          <t>12+12+9+3</t>
        </is>
      </c>
      <c r="L1874" s="202" t="n">
        <v>46198</v>
      </c>
      <c r="M1874" s="175" t="n">
        <v>0.0148</v>
      </c>
      <c r="N1874" s="176" t="n">
        <v>0.0182</v>
      </c>
      <c r="O1874" s="191" t="n">
        <v>2.3</v>
      </c>
      <c r="P1874" s="177" t="inlineStr">
        <is>
          <t>优先B</t>
        </is>
      </c>
      <c r="Q1874" s="178" t="n">
        <v>0.03</v>
      </c>
      <c r="R1874" s="179" t="n">
        <v>0.3</v>
      </c>
      <c r="S1874" s="177" t="inlineStr">
        <is>
          <t>AA+</t>
        </is>
      </c>
      <c r="T1874" s="178" t="n">
        <v>0.0177</v>
      </c>
      <c r="U1874" s="177" t="inlineStr">
        <is>
          <t>交银理财</t>
        </is>
      </c>
      <c r="V1874" s="192" t="n">
        <v>0.09</v>
      </c>
      <c r="W1874" s="175" t="n">
        <v>0.017</v>
      </c>
      <c r="X1874" s="172" t="inlineStr">
        <is>
          <t>交银理财</t>
        </is>
      </c>
      <c r="Y1874" s="191" t="n">
        <v>0.09</v>
      </c>
    </row>
    <row r="1875">
      <c r="A1875" s="172" t="n">
        <v>101</v>
      </c>
      <c r="B1875" s="173" t="inlineStr">
        <is>
          <t>6月</t>
        </is>
      </c>
      <c r="C1875" s="173" t="inlineStr">
        <is>
          <t>消金</t>
        </is>
      </c>
      <c r="D1875" s="173" t="inlineStr">
        <is>
          <t>赊销白条</t>
        </is>
      </c>
      <c r="E1875" s="173" t="inlineStr">
        <is>
          <t>东裕11号仲裕</t>
        </is>
      </c>
      <c r="F1875" s="173" t="inlineStr">
        <is>
          <t>银行间</t>
        </is>
      </c>
      <c r="G1875" s="173" t="inlineStr">
        <is>
          <t>中信建投</t>
        </is>
      </c>
      <c r="H1875" s="173" t="inlineStr">
        <is>
          <t>江苏银行/杭州银行/国信证券/国开证券</t>
        </is>
      </c>
      <c r="I1875" s="173" t="inlineStr">
        <is>
          <t>招行北分</t>
        </is>
      </c>
      <c r="J1875" s="172" t="n">
        <v>10</v>
      </c>
      <c r="K1875" s="173" t="inlineStr">
        <is>
          <t>12+12+9+3</t>
        </is>
      </c>
      <c r="L1875" s="202" t="n">
        <v>46198</v>
      </c>
      <c r="M1875" s="175" t="n">
        <v>0.0148</v>
      </c>
      <c r="N1875" s="176" t="n">
        <v>0.0182</v>
      </c>
      <c r="O1875" s="191" t="n">
        <v>2.3</v>
      </c>
      <c r="P1875" s="172" t="inlineStr">
        <is>
          <t>优先B</t>
        </is>
      </c>
      <c r="Q1875" s="178" t="n">
        <v>0.03</v>
      </c>
      <c r="R1875" s="179" t="n">
        <v>0.3</v>
      </c>
      <c r="S1875" s="177" t="inlineStr">
        <is>
          <t>AA+</t>
        </is>
      </c>
      <c r="T1875" s="178" t="n">
        <v>0.0177</v>
      </c>
      <c r="U1875" s="177" t="inlineStr">
        <is>
          <t>招银理财</t>
        </is>
      </c>
      <c r="V1875" s="192" t="n">
        <v>0.09</v>
      </c>
      <c r="W1875" s="175" t="n">
        <v>0.017</v>
      </c>
      <c r="X1875" s="172" t="inlineStr">
        <is>
          <t>招银理财</t>
        </is>
      </c>
      <c r="Y1875" s="191" t="n">
        <v>0.09</v>
      </c>
    </row>
    <row r="1876">
      <c r="A1876" s="172" t="n">
        <v>101</v>
      </c>
      <c r="B1876" s="173" t="inlineStr">
        <is>
          <t>6月</t>
        </is>
      </c>
      <c r="C1876" s="173" t="inlineStr">
        <is>
          <t>消金</t>
        </is>
      </c>
      <c r="D1876" s="173" t="inlineStr">
        <is>
          <t>赊销白条</t>
        </is>
      </c>
      <c r="E1876" s="173" t="inlineStr">
        <is>
          <t>东裕11号仲裕</t>
        </is>
      </c>
      <c r="F1876" s="173" t="inlineStr">
        <is>
          <t>银行间</t>
        </is>
      </c>
      <c r="G1876" s="173" t="inlineStr">
        <is>
          <t>中信建投</t>
        </is>
      </c>
      <c r="H1876" s="173" t="inlineStr">
        <is>
          <t>江苏银行/杭州银行/国信证券/国开证券</t>
        </is>
      </c>
      <c r="I1876" s="173" t="inlineStr">
        <is>
          <t>招行北分</t>
        </is>
      </c>
      <c r="J1876" s="172" t="n">
        <v>10</v>
      </c>
      <c r="K1876" s="173" t="inlineStr">
        <is>
          <t>12+12+9+3</t>
        </is>
      </c>
      <c r="L1876" s="202" t="n">
        <v>46198</v>
      </c>
      <c r="M1876" s="175" t="n">
        <v>0.0148</v>
      </c>
      <c r="N1876" s="176" t="n">
        <v>0.0182</v>
      </c>
      <c r="O1876" s="191" t="n">
        <v>2.3</v>
      </c>
      <c r="P1876" s="172" t="inlineStr">
        <is>
          <t>优先B</t>
        </is>
      </c>
      <c r="Q1876" s="178" t="n">
        <v>0.03</v>
      </c>
      <c r="R1876" s="179" t="n">
        <v>0.3</v>
      </c>
      <c r="S1876" s="177" t="inlineStr">
        <is>
          <t>AA+</t>
        </is>
      </c>
      <c r="T1876" s="178" t="n">
        <v>0.0177</v>
      </c>
      <c r="U1876" s="177" t="inlineStr">
        <is>
          <t>平安理财</t>
        </is>
      </c>
      <c r="V1876" s="192" t="n">
        <v>0.07000000000000001</v>
      </c>
      <c r="W1876" s="175" t="n">
        <v>0.0172</v>
      </c>
      <c r="X1876" s="172" t="inlineStr">
        <is>
          <t>平安理财</t>
        </is>
      </c>
      <c r="Y1876" s="191" t="n">
        <v>0.07000000000000001</v>
      </c>
    </row>
    <row r="1877">
      <c r="A1877" s="172" t="n">
        <v>101</v>
      </c>
      <c r="B1877" s="173" t="inlineStr">
        <is>
          <t>6月</t>
        </is>
      </c>
      <c r="C1877" s="173" t="inlineStr">
        <is>
          <t>消金</t>
        </is>
      </c>
      <c r="D1877" s="173" t="inlineStr">
        <is>
          <t>赊销白条</t>
        </is>
      </c>
      <c r="E1877" s="173" t="inlineStr">
        <is>
          <t>东裕11号仲裕</t>
        </is>
      </c>
      <c r="F1877" s="173" t="inlineStr">
        <is>
          <t>银行间</t>
        </is>
      </c>
      <c r="G1877" s="173" t="inlineStr">
        <is>
          <t>中信建投</t>
        </is>
      </c>
      <c r="H1877" s="173" t="inlineStr">
        <is>
          <t>江苏银行/杭州银行/国信证券/国开证券</t>
        </is>
      </c>
      <c r="I1877" s="173" t="inlineStr">
        <is>
          <t>招行北分</t>
        </is>
      </c>
      <c r="J1877" s="172" t="n">
        <v>10</v>
      </c>
      <c r="K1877" s="173" t="inlineStr">
        <is>
          <t>12+12+9+3</t>
        </is>
      </c>
      <c r="L1877" s="202" t="n">
        <v>46198</v>
      </c>
      <c r="M1877" s="175" t="n">
        <v>0.0148</v>
      </c>
      <c r="N1877" s="176" t="n">
        <v>0.0182</v>
      </c>
      <c r="O1877" s="191" t="n">
        <v>2.3</v>
      </c>
      <c r="P1877" s="172" t="inlineStr">
        <is>
          <t>优先B</t>
        </is>
      </c>
      <c r="Q1877" s="178" t="n">
        <v>0.03</v>
      </c>
      <c r="R1877" s="179" t="n">
        <v>0.3</v>
      </c>
      <c r="S1877" s="177" t="inlineStr">
        <is>
          <t>AA+</t>
        </is>
      </c>
      <c r="T1877" s="178" t="n">
        <v>0.0177</v>
      </c>
      <c r="U1877" s="177" t="inlineStr">
        <is>
          <t>杭州联合银行</t>
        </is>
      </c>
      <c r="V1877" s="192" t="n">
        <v>0.05</v>
      </c>
      <c r="W1877" s="175" t="n">
        <v>0.0177</v>
      </c>
      <c r="X1877" s="172" t="inlineStr">
        <is>
          <t>杭州联合银行</t>
        </is>
      </c>
      <c r="Y1877" s="191" t="n">
        <v>0.09</v>
      </c>
    </row>
    <row r="1878">
      <c r="A1878" s="172" t="n">
        <v>101</v>
      </c>
      <c r="B1878" s="172" t="inlineStr">
        <is>
          <t>6月</t>
        </is>
      </c>
      <c r="C1878" s="172" t="inlineStr">
        <is>
          <t>消金</t>
        </is>
      </c>
      <c r="D1878" s="172" t="inlineStr">
        <is>
          <t>赊销白条</t>
        </is>
      </c>
      <c r="E1878" s="172" t="inlineStr">
        <is>
          <t>东裕11号仲裕</t>
        </is>
      </c>
      <c r="F1878" s="172" t="inlineStr">
        <is>
          <t>银行间</t>
        </is>
      </c>
      <c r="G1878" s="172" t="inlineStr">
        <is>
          <t>中信建投</t>
        </is>
      </c>
      <c r="H1878" s="172" t="inlineStr">
        <is>
          <t>江苏银行/杭州银行/国信证券/国开证券</t>
        </is>
      </c>
      <c r="I1878" s="172" t="inlineStr">
        <is>
          <t>招行北分</t>
        </is>
      </c>
      <c r="J1878" s="172" t="n">
        <v>10</v>
      </c>
      <c r="K1878" s="172" t="inlineStr">
        <is>
          <t>12+12+9+3</t>
        </is>
      </c>
      <c r="L1878" s="200" t="n">
        <v>46198</v>
      </c>
      <c r="M1878" s="175" t="n">
        <v>0.0148</v>
      </c>
      <c r="N1878" s="176" t="n">
        <v>0.0182</v>
      </c>
      <c r="O1878" s="172" t="n">
        <v>2.3</v>
      </c>
      <c r="P1878" s="172" t="inlineStr">
        <is>
          <t>优先B</t>
        </is>
      </c>
      <c r="Q1878" s="175" t="n">
        <v>0.03</v>
      </c>
      <c r="R1878" s="192" t="n">
        <v>0.3</v>
      </c>
      <c r="S1878" s="172" t="inlineStr">
        <is>
          <t>AA+</t>
        </is>
      </c>
      <c r="T1878" s="175" t="n">
        <v>0.0177</v>
      </c>
      <c r="U1878" s="172" t="n"/>
      <c r="V1878" s="172" t="n"/>
      <c r="W1878" s="175" t="n">
        <v>0.023</v>
      </c>
      <c r="X1878" s="172" t="inlineStr">
        <is>
          <t>中信证券自营</t>
        </is>
      </c>
      <c r="Y1878" s="191" t="n">
        <v>0.3</v>
      </c>
    </row>
    <row r="1879">
      <c r="A1879" s="172" t="n">
        <v>101</v>
      </c>
      <c r="B1879" s="173" t="inlineStr">
        <is>
          <t>6月</t>
        </is>
      </c>
      <c r="C1879" s="173" t="inlineStr">
        <is>
          <t>消金</t>
        </is>
      </c>
      <c r="D1879" s="173" t="inlineStr">
        <is>
          <t>赊销白条</t>
        </is>
      </c>
      <c r="E1879" s="173" t="inlineStr">
        <is>
          <t>东裕11号仲裕</t>
        </is>
      </c>
      <c r="F1879" s="173" t="inlineStr">
        <is>
          <t>银行间</t>
        </is>
      </c>
      <c r="G1879" s="173" t="inlineStr">
        <is>
          <t>中信建投</t>
        </is>
      </c>
      <c r="H1879" s="173" t="inlineStr">
        <is>
          <t>江苏银行/杭州银行/国信证券/国开证券</t>
        </is>
      </c>
      <c r="I1879" s="173" t="inlineStr">
        <is>
          <t>招行北分</t>
        </is>
      </c>
      <c r="J1879" s="172" t="n">
        <v>10</v>
      </c>
      <c r="K1879" s="173" t="inlineStr">
        <is>
          <t>12+12+9+3</t>
        </is>
      </c>
      <c r="L1879" s="202" t="n">
        <v>46198</v>
      </c>
      <c r="M1879" s="175" t="n">
        <v>0.0148</v>
      </c>
      <c r="N1879" s="176" t="n">
        <v>0.0182</v>
      </c>
      <c r="O1879" s="191" t="n">
        <v>2.3</v>
      </c>
      <c r="P1879" s="177" t="inlineStr">
        <is>
          <t>中间级</t>
        </is>
      </c>
      <c r="Q1879" s="178" t="n">
        <v>0.02</v>
      </c>
      <c r="R1879" s="179" t="n">
        <v>0.2</v>
      </c>
      <c r="S1879" s="177" t="inlineStr">
        <is>
          <t>A+</t>
        </is>
      </c>
      <c r="T1879" s="178" t="n">
        <v>0.031</v>
      </c>
      <c r="U1879" s="177" t="inlineStr">
        <is>
          <t>杭州联合银行</t>
        </is>
      </c>
      <c r="V1879" s="192" t="n">
        <v>0.06</v>
      </c>
      <c r="W1879" s="172" t="n"/>
      <c r="X1879" s="172" t="n"/>
      <c r="Y1879" s="172" t="n"/>
    </row>
    <row r="1880">
      <c r="A1880" s="172" t="n">
        <v>101</v>
      </c>
      <c r="B1880" s="173" t="inlineStr">
        <is>
          <t>6月</t>
        </is>
      </c>
      <c r="C1880" s="173" t="inlineStr">
        <is>
          <t>消金</t>
        </is>
      </c>
      <c r="D1880" s="173" t="inlineStr">
        <is>
          <t>赊销白条</t>
        </is>
      </c>
      <c r="E1880" s="173" t="inlineStr">
        <is>
          <t>东裕11号仲裕</t>
        </is>
      </c>
      <c r="F1880" s="173" t="inlineStr">
        <is>
          <t>银行间</t>
        </is>
      </c>
      <c r="G1880" s="173" t="inlineStr">
        <is>
          <t>中信建投</t>
        </is>
      </c>
      <c r="H1880" s="173" t="inlineStr">
        <is>
          <t>江苏银行/杭州银行/国信证券/国开证券</t>
        </is>
      </c>
      <c r="I1880" s="173" t="inlineStr">
        <is>
          <t>招行北分</t>
        </is>
      </c>
      <c r="J1880" s="172" t="n">
        <v>10</v>
      </c>
      <c r="K1880" s="173" t="inlineStr">
        <is>
          <t>12+12+9+3</t>
        </is>
      </c>
      <c r="L1880" s="202" t="n">
        <v>46198</v>
      </c>
      <c r="M1880" s="175" t="n">
        <v>0.0148</v>
      </c>
      <c r="N1880" s="176" t="n">
        <v>0.0182</v>
      </c>
      <c r="O1880" s="191" t="n">
        <v>2.3</v>
      </c>
      <c r="P1880" s="172" t="inlineStr">
        <is>
          <t>中间级</t>
        </is>
      </c>
      <c r="Q1880" s="178" t="n">
        <v>0.02</v>
      </c>
      <c r="R1880" s="179" t="n">
        <v>0.2</v>
      </c>
      <c r="S1880" s="177" t="inlineStr">
        <is>
          <t>A+</t>
        </is>
      </c>
      <c r="T1880" s="178" t="n">
        <v>0.031</v>
      </c>
      <c r="U1880" s="177" t="inlineStr">
        <is>
          <t>平安理财</t>
        </is>
      </c>
      <c r="V1880" s="192" t="n">
        <v>0.06</v>
      </c>
      <c r="W1880" s="172" t="n"/>
      <c r="X1880" s="172" t="n"/>
      <c r="Y1880" s="172" t="n"/>
    </row>
    <row r="1881">
      <c r="A1881" s="172" t="n">
        <v>101</v>
      </c>
      <c r="B1881" s="173" t="inlineStr">
        <is>
          <t>6月</t>
        </is>
      </c>
      <c r="C1881" s="173" t="inlineStr">
        <is>
          <t>消金</t>
        </is>
      </c>
      <c r="D1881" s="173" t="inlineStr">
        <is>
          <t>赊销白条</t>
        </is>
      </c>
      <c r="E1881" s="173" t="inlineStr">
        <is>
          <t>东裕11号仲裕</t>
        </is>
      </c>
      <c r="F1881" s="173" t="inlineStr">
        <is>
          <t>银行间</t>
        </is>
      </c>
      <c r="G1881" s="173" t="inlineStr">
        <is>
          <t>中信建投</t>
        </is>
      </c>
      <c r="H1881" s="173" t="inlineStr">
        <is>
          <t>江苏银行/杭州银行/国信证券/国开证券</t>
        </is>
      </c>
      <c r="I1881" s="173" t="inlineStr">
        <is>
          <t>招行北分</t>
        </is>
      </c>
      <c r="J1881" s="172" t="n">
        <v>10</v>
      </c>
      <c r="K1881" s="173" t="inlineStr">
        <is>
          <t>12+12+9+3</t>
        </is>
      </c>
      <c r="L1881" s="202" t="n">
        <v>46198</v>
      </c>
      <c r="M1881" s="175" t="n">
        <v>0.0148</v>
      </c>
      <c r="N1881" s="176" t="n">
        <v>0.0182</v>
      </c>
      <c r="O1881" s="191" t="n">
        <v>2.3</v>
      </c>
      <c r="P1881" s="172" t="inlineStr">
        <is>
          <t>中间级</t>
        </is>
      </c>
      <c r="Q1881" s="178" t="n">
        <v>0.02</v>
      </c>
      <c r="R1881" s="179" t="n">
        <v>0.2</v>
      </c>
      <c r="S1881" s="177" t="inlineStr">
        <is>
          <t>A+</t>
        </is>
      </c>
      <c r="T1881" s="178" t="n">
        <v>0.031</v>
      </c>
      <c r="U1881" s="177" t="inlineStr">
        <is>
          <t>招银理财</t>
        </is>
      </c>
      <c r="V1881" s="192" t="n">
        <v>0.06</v>
      </c>
      <c r="W1881" s="172" t="n"/>
      <c r="X1881" s="172" t="n"/>
      <c r="Y1881" s="172" t="n"/>
    </row>
    <row r="1882">
      <c r="A1882" s="172" t="n">
        <v>101</v>
      </c>
      <c r="B1882" s="173" t="inlineStr">
        <is>
          <t>6月</t>
        </is>
      </c>
      <c r="C1882" s="173" t="inlineStr">
        <is>
          <t>消金</t>
        </is>
      </c>
      <c r="D1882" s="173" t="inlineStr">
        <is>
          <t>赊销白条</t>
        </is>
      </c>
      <c r="E1882" s="173" t="inlineStr">
        <is>
          <t>东裕11号仲裕</t>
        </is>
      </c>
      <c r="F1882" s="173" t="inlineStr">
        <is>
          <t>银行间</t>
        </is>
      </c>
      <c r="G1882" s="173" t="inlineStr">
        <is>
          <t>中信建投</t>
        </is>
      </c>
      <c r="H1882" s="173" t="inlineStr">
        <is>
          <t>江苏银行/杭州银行/国信证券/国开证券</t>
        </is>
      </c>
      <c r="I1882" s="173" t="inlineStr">
        <is>
          <t>招行北分</t>
        </is>
      </c>
      <c r="J1882" s="172" t="n">
        <v>10</v>
      </c>
      <c r="K1882" s="173" t="inlineStr">
        <is>
          <t>12+12+9+3</t>
        </is>
      </c>
      <c r="L1882" s="202" t="n">
        <v>46198</v>
      </c>
      <c r="M1882" s="175" t="n">
        <v>0.0148</v>
      </c>
      <c r="N1882" s="176" t="n">
        <v>0.0182</v>
      </c>
      <c r="O1882" s="191" t="n">
        <v>2.3</v>
      </c>
      <c r="P1882" s="172" t="inlineStr">
        <is>
          <t>中间级</t>
        </is>
      </c>
      <c r="Q1882" s="178" t="n">
        <v>0.02</v>
      </c>
      <c r="R1882" s="179" t="n">
        <v>0.2</v>
      </c>
      <c r="S1882" s="177" t="inlineStr">
        <is>
          <t>A+</t>
        </is>
      </c>
      <c r="T1882" s="178" t="n">
        <v>0.031</v>
      </c>
      <c r="U1882" s="177" t="inlineStr">
        <is>
          <t>中信建投机构部</t>
        </is>
      </c>
      <c r="V1882" s="192" t="n">
        <v>0.02</v>
      </c>
      <c r="W1882" s="172" t="n"/>
      <c r="X1882" s="172" t="n"/>
      <c r="Y1882" s="172" t="n"/>
    </row>
    <row r="1883">
      <c r="A1883" s="172" t="n">
        <v>101</v>
      </c>
      <c r="B1883" s="173" t="inlineStr">
        <is>
          <t>6月</t>
        </is>
      </c>
      <c r="C1883" s="173" t="inlineStr">
        <is>
          <t>消金</t>
        </is>
      </c>
      <c r="D1883" s="173" t="inlineStr">
        <is>
          <t>赊销白条</t>
        </is>
      </c>
      <c r="E1883" s="173" t="inlineStr">
        <is>
          <t>东裕11号仲裕</t>
        </is>
      </c>
      <c r="F1883" s="173" t="inlineStr">
        <is>
          <t>银行间</t>
        </is>
      </c>
      <c r="G1883" s="173" t="inlineStr">
        <is>
          <t>中信建投</t>
        </is>
      </c>
      <c r="H1883" s="173" t="inlineStr">
        <is>
          <t>江苏银行/杭州银行/国信证券/国开证券</t>
        </is>
      </c>
      <c r="I1883" s="173" t="inlineStr">
        <is>
          <t>招行北分</t>
        </is>
      </c>
      <c r="J1883" s="172" t="n">
        <v>10</v>
      </c>
      <c r="K1883" s="173" t="inlineStr">
        <is>
          <t>12+12+9+3</t>
        </is>
      </c>
      <c r="L1883" s="202" t="n">
        <v>46198</v>
      </c>
      <c r="M1883" s="175" t="n">
        <v>0.0148</v>
      </c>
      <c r="N1883" s="176" t="n">
        <v>0.0182</v>
      </c>
      <c r="O1883" s="191" t="n">
        <v>2.3</v>
      </c>
      <c r="P1883" s="177" t="inlineStr">
        <is>
          <t>次级</t>
        </is>
      </c>
      <c r="Q1883" s="178" t="n">
        <v>0.05</v>
      </c>
      <c r="R1883" s="179" t="n">
        <v>0.5</v>
      </c>
      <c r="S1883" s="177" t="inlineStr">
        <is>
          <t>无</t>
        </is>
      </c>
      <c r="T1883" s="178" t="n">
        <v>0.045</v>
      </c>
      <c r="U1883" s="177" t="inlineStr">
        <is>
          <t>中信证券自营</t>
        </is>
      </c>
      <c r="V1883" s="195" t="n">
        <v>0.275</v>
      </c>
      <c r="W1883" s="172" t="n"/>
      <c r="X1883" s="172" t="n"/>
      <c r="Y1883" s="172" t="n"/>
    </row>
    <row r="1884">
      <c r="A1884" s="172" t="n">
        <v>101</v>
      </c>
      <c r="B1884" s="173" t="inlineStr">
        <is>
          <t>6月</t>
        </is>
      </c>
      <c r="C1884" s="173" t="inlineStr">
        <is>
          <t>消金</t>
        </is>
      </c>
      <c r="D1884" s="173" t="inlineStr">
        <is>
          <t>赊销白条</t>
        </is>
      </c>
      <c r="E1884" s="173" t="inlineStr">
        <is>
          <t>东裕11号仲裕</t>
        </is>
      </c>
      <c r="F1884" s="173" t="inlineStr">
        <is>
          <t>银行间</t>
        </is>
      </c>
      <c r="G1884" s="173" t="inlineStr">
        <is>
          <t>中信建投</t>
        </is>
      </c>
      <c r="H1884" s="173" t="inlineStr">
        <is>
          <t>江苏银行/杭州银行/国信证券/国开证券</t>
        </is>
      </c>
      <c r="I1884" s="173" t="inlineStr">
        <is>
          <t>招行北分</t>
        </is>
      </c>
      <c r="J1884" s="172" t="n">
        <v>10</v>
      </c>
      <c r="K1884" s="173" t="inlineStr">
        <is>
          <t>12+12+9+3</t>
        </is>
      </c>
      <c r="L1884" s="202" t="n">
        <v>46198</v>
      </c>
      <c r="M1884" s="175" t="n">
        <v>0.0148</v>
      </c>
      <c r="N1884" s="176" t="n">
        <v>0.0182</v>
      </c>
      <c r="O1884" s="191" t="n">
        <v>2.3</v>
      </c>
      <c r="P1884" s="172" t="inlineStr">
        <is>
          <t>次级</t>
        </is>
      </c>
      <c r="Q1884" s="178" t="n">
        <v>0.05</v>
      </c>
      <c r="R1884" s="179" t="n">
        <v>0.5</v>
      </c>
      <c r="S1884" s="177" t="inlineStr">
        <is>
          <t>无</t>
        </is>
      </c>
      <c r="T1884" s="178" t="n">
        <v>0.045</v>
      </c>
      <c r="U1884" s="177" t="inlineStr">
        <is>
          <t>中信证券投顾</t>
        </is>
      </c>
      <c r="V1884" s="195" t="n">
        <v>0.225</v>
      </c>
      <c r="W1884" s="172" t="n"/>
      <c r="X1884" s="172" t="n"/>
      <c r="Y1884" s="172" t="n"/>
    </row>
    <row r="1885">
      <c r="A1885" s="172" t="n">
        <v>102</v>
      </c>
      <c r="B1885" s="172" t="inlineStr">
        <is>
          <t>6月</t>
        </is>
      </c>
      <c r="C1885" s="172" t="inlineStr">
        <is>
          <t>企金</t>
        </is>
      </c>
      <c r="D1885" s="172" t="inlineStr">
        <is>
          <t>金采</t>
        </is>
      </c>
      <c r="E1885" s="172" t="inlineStr">
        <is>
          <t>金采8-5</t>
        </is>
      </c>
      <c r="F1885" s="172" t="inlineStr">
        <is>
          <t>上交所</t>
        </is>
      </c>
      <c r="G1885" s="172" t="inlineStr">
        <is>
          <t>华泰资管</t>
        </is>
      </c>
      <c r="H1885" s="172" t="inlineStr">
        <is>
          <t>华福证券</t>
        </is>
      </c>
      <c r="I1885" s="172" t="inlineStr">
        <is>
          <t>招行北分</t>
        </is>
      </c>
      <c r="J1885" s="172" t="n">
        <v>10</v>
      </c>
      <c r="K1885" s="172" t="inlineStr">
        <is>
          <t>7+12</t>
        </is>
      </c>
      <c r="L1885" s="202" t="n">
        <v>46198</v>
      </c>
      <c r="M1885" s="175" t="n">
        <v>0.0148</v>
      </c>
      <c r="N1885" s="176" t="n">
        <v>0.0191</v>
      </c>
      <c r="O1885" s="191" t="n">
        <v>1.1</v>
      </c>
      <c r="P1885" s="172" t="inlineStr">
        <is>
          <t>优先级</t>
        </is>
      </c>
      <c r="Q1885" s="175" t="n">
        <v>0.9</v>
      </c>
      <c r="R1885" s="192" t="n">
        <v>9</v>
      </c>
      <c r="S1885" s="172" t="inlineStr">
        <is>
          <t>AAA</t>
        </is>
      </c>
      <c r="T1885" s="175" t="n">
        <v>0.0165</v>
      </c>
      <c r="U1885" s="172" t="inlineStr">
        <is>
          <t>民生理财</t>
        </is>
      </c>
      <c r="V1885" s="191" t="n">
        <v>2.7</v>
      </c>
      <c r="W1885" s="175" t="n">
        <v>0.0155</v>
      </c>
      <c r="X1885" s="172" t="inlineStr">
        <is>
          <t>民生理财</t>
        </is>
      </c>
      <c r="Y1885" s="191" t="n">
        <v>2.7</v>
      </c>
    </row>
    <row r="1886">
      <c r="A1886" s="172" t="n">
        <v>102</v>
      </c>
      <c r="B1886" s="172" t="inlineStr">
        <is>
          <t>6月</t>
        </is>
      </c>
      <c r="C1886" s="172" t="inlineStr">
        <is>
          <t>企金</t>
        </is>
      </c>
      <c r="D1886" s="172" t="inlineStr">
        <is>
          <t>金采</t>
        </is>
      </c>
      <c r="E1886" s="172" t="inlineStr">
        <is>
          <t>金采8-5</t>
        </is>
      </c>
      <c r="F1886" s="172" t="inlineStr">
        <is>
          <t>上交所</t>
        </is>
      </c>
      <c r="G1886" s="172" t="inlineStr">
        <is>
          <t>华泰资管</t>
        </is>
      </c>
      <c r="H1886" s="172" t="inlineStr">
        <is>
          <t>华福证券</t>
        </is>
      </c>
      <c r="I1886" s="172" t="inlineStr">
        <is>
          <t>招行北分</t>
        </is>
      </c>
      <c r="J1886" s="172" t="n">
        <v>10</v>
      </c>
      <c r="K1886" s="172" t="inlineStr">
        <is>
          <t>7+12</t>
        </is>
      </c>
      <c r="L1886" s="202" t="n">
        <v>46198</v>
      </c>
      <c r="M1886" s="175" t="n">
        <v>0.0148</v>
      </c>
      <c r="N1886" s="176" t="n">
        <v>0.0191</v>
      </c>
      <c r="O1886" s="191" t="n">
        <v>1.1</v>
      </c>
      <c r="P1886" s="172" t="inlineStr">
        <is>
          <t>优先级</t>
        </is>
      </c>
      <c r="Q1886" s="175" t="n">
        <v>0.9</v>
      </c>
      <c r="R1886" s="192" t="n">
        <v>9</v>
      </c>
      <c r="S1886" s="172" t="inlineStr">
        <is>
          <t>AAA</t>
        </is>
      </c>
      <c r="T1886" s="175" t="n">
        <v>0.0165</v>
      </c>
      <c r="U1886" s="172" t="inlineStr">
        <is>
          <t>交银理财</t>
        </is>
      </c>
      <c r="V1886" s="191" t="n">
        <v>0.5</v>
      </c>
      <c r="W1886" s="175" t="n">
        <v>0.016</v>
      </c>
      <c r="X1886" s="172" t="inlineStr">
        <is>
          <t>交银理财</t>
        </is>
      </c>
      <c r="Y1886" s="191" t="n">
        <v>0.5</v>
      </c>
    </row>
    <row r="1887">
      <c r="A1887" s="172" t="n">
        <v>102</v>
      </c>
      <c r="B1887" s="172" t="inlineStr">
        <is>
          <t>6月</t>
        </is>
      </c>
      <c r="C1887" s="172" t="inlineStr">
        <is>
          <t>企金</t>
        </is>
      </c>
      <c r="D1887" s="172" t="inlineStr">
        <is>
          <t>金采</t>
        </is>
      </c>
      <c r="E1887" s="172" t="inlineStr">
        <is>
          <t>金采8-5</t>
        </is>
      </c>
      <c r="F1887" s="172" t="inlineStr">
        <is>
          <t>上交所</t>
        </is>
      </c>
      <c r="G1887" s="172" t="inlineStr">
        <is>
          <t>华泰资管</t>
        </is>
      </c>
      <c r="H1887" s="172" t="inlineStr">
        <is>
          <t>华福证券</t>
        </is>
      </c>
      <c r="I1887" s="172" t="inlineStr">
        <is>
          <t>招行北分</t>
        </is>
      </c>
      <c r="J1887" s="172" t="n">
        <v>10</v>
      </c>
      <c r="K1887" s="172" t="inlineStr">
        <is>
          <t>7+12</t>
        </is>
      </c>
      <c r="L1887" s="202" t="n">
        <v>46198</v>
      </c>
      <c r="M1887" s="175" t="n">
        <v>0.0148</v>
      </c>
      <c r="N1887" s="176" t="n">
        <v>0.0191</v>
      </c>
      <c r="O1887" s="191" t="n">
        <v>1.1</v>
      </c>
      <c r="P1887" s="172" t="inlineStr">
        <is>
          <t>优先级</t>
        </is>
      </c>
      <c r="Q1887" s="175" t="n">
        <v>0.9</v>
      </c>
      <c r="R1887" s="192" t="n">
        <v>9</v>
      </c>
      <c r="S1887" s="172" t="inlineStr">
        <is>
          <t>AAA</t>
        </is>
      </c>
      <c r="T1887" s="175" t="n">
        <v>0.0165</v>
      </c>
      <c r="U1887" s="172" t="inlineStr">
        <is>
          <t>中邮理财</t>
        </is>
      </c>
      <c r="V1887" s="191" t="n">
        <v>2.7</v>
      </c>
      <c r="W1887" s="175" t="n">
        <v>0.016</v>
      </c>
      <c r="X1887" s="172" t="inlineStr">
        <is>
          <t>中邮理财</t>
        </is>
      </c>
      <c r="Y1887" s="191" t="n">
        <v>2.7</v>
      </c>
    </row>
    <row r="1888">
      <c r="A1888" s="172" t="n">
        <v>102</v>
      </c>
      <c r="B1888" s="172" t="inlineStr">
        <is>
          <t>6月</t>
        </is>
      </c>
      <c r="C1888" s="172" t="inlineStr">
        <is>
          <t>企金</t>
        </is>
      </c>
      <c r="D1888" s="172" t="inlineStr">
        <is>
          <t>金采</t>
        </is>
      </c>
      <c r="E1888" s="172" t="inlineStr">
        <is>
          <t>金采8-5</t>
        </is>
      </c>
      <c r="F1888" s="172" t="inlineStr">
        <is>
          <t>上交所</t>
        </is>
      </c>
      <c r="G1888" s="172" t="inlineStr">
        <is>
          <t>华泰资管</t>
        </is>
      </c>
      <c r="H1888" s="172" t="inlineStr">
        <is>
          <t>华福证券</t>
        </is>
      </c>
      <c r="I1888" s="172" t="inlineStr">
        <is>
          <t>招行北分</t>
        </is>
      </c>
      <c r="J1888" s="172" t="n">
        <v>10</v>
      </c>
      <c r="K1888" s="172" t="inlineStr">
        <is>
          <t>7+12</t>
        </is>
      </c>
      <c r="L1888" s="202" t="n">
        <v>46198</v>
      </c>
      <c r="M1888" s="175" t="n">
        <v>0.0148</v>
      </c>
      <c r="N1888" s="176" t="n">
        <v>0.0191</v>
      </c>
      <c r="O1888" s="191" t="n">
        <v>1.1</v>
      </c>
      <c r="P1888" s="172" t="inlineStr">
        <is>
          <t>优先级</t>
        </is>
      </c>
      <c r="Q1888" s="175" t="n">
        <v>0.9</v>
      </c>
      <c r="R1888" s="192" t="n">
        <v>9</v>
      </c>
      <c r="S1888" s="172" t="inlineStr">
        <is>
          <t>AAA</t>
        </is>
      </c>
      <c r="T1888" s="175" t="n">
        <v>0.0165</v>
      </c>
      <c r="U1888" s="172" t="inlineStr">
        <is>
          <t>建信理财</t>
        </is>
      </c>
      <c r="V1888" s="191" t="n">
        <v>2.2</v>
      </c>
      <c r="W1888" s="175" t="n">
        <v>0.0165</v>
      </c>
      <c r="X1888" s="172" t="inlineStr">
        <is>
          <t>建信理财</t>
        </is>
      </c>
      <c r="Y1888" s="191" t="n">
        <v>2.2</v>
      </c>
    </row>
    <row r="1889">
      <c r="A1889" s="172" t="n">
        <v>102</v>
      </c>
      <c r="B1889" s="172" t="inlineStr">
        <is>
          <t>6月</t>
        </is>
      </c>
      <c r="C1889" s="172" t="inlineStr">
        <is>
          <t>企金</t>
        </is>
      </c>
      <c r="D1889" s="172" t="inlineStr">
        <is>
          <t>金采</t>
        </is>
      </c>
      <c r="E1889" s="172" t="inlineStr">
        <is>
          <t>金采8-5</t>
        </is>
      </c>
      <c r="F1889" s="172" t="inlineStr">
        <is>
          <t>上交所</t>
        </is>
      </c>
      <c r="G1889" s="172" t="inlineStr">
        <is>
          <t>华泰资管</t>
        </is>
      </c>
      <c r="H1889" s="172" t="inlineStr">
        <is>
          <t>华福证券</t>
        </is>
      </c>
      <c r="I1889" s="172" t="inlineStr">
        <is>
          <t>招行北分</t>
        </is>
      </c>
      <c r="J1889" s="172" t="n">
        <v>10</v>
      </c>
      <c r="K1889" s="172" t="inlineStr">
        <is>
          <t>7+12</t>
        </is>
      </c>
      <c r="L1889" s="202" t="n">
        <v>46198</v>
      </c>
      <c r="M1889" s="175" t="n">
        <v>0.0148</v>
      </c>
      <c r="N1889" s="176" t="n">
        <v>0.0191</v>
      </c>
      <c r="O1889" s="191" t="n">
        <v>1.1</v>
      </c>
      <c r="P1889" s="172" t="inlineStr">
        <is>
          <t>优先级</t>
        </is>
      </c>
      <c r="Q1889" s="175" t="n">
        <v>0.9</v>
      </c>
      <c r="R1889" s="192" t="n">
        <v>9</v>
      </c>
      <c r="S1889" s="172" t="inlineStr">
        <is>
          <t>AAA</t>
        </is>
      </c>
      <c r="T1889" s="175" t="n">
        <v>0.0165</v>
      </c>
      <c r="U1889" s="172" t="inlineStr">
        <is>
          <t>宝武财务</t>
        </is>
      </c>
      <c r="V1889" s="191" t="n">
        <v>0.35</v>
      </c>
      <c r="W1889" s="175" t="n">
        <v>0.0165</v>
      </c>
      <c r="X1889" s="172" t="inlineStr">
        <is>
          <t>宝武财务</t>
        </is>
      </c>
      <c r="Y1889" s="191" t="n">
        <v>0.35</v>
      </c>
    </row>
    <row r="1890">
      <c r="A1890" s="172" t="n">
        <v>102</v>
      </c>
      <c r="B1890" s="172" t="inlineStr">
        <is>
          <t>6月</t>
        </is>
      </c>
      <c r="C1890" s="172" t="inlineStr">
        <is>
          <t>企金</t>
        </is>
      </c>
      <c r="D1890" s="172" t="inlineStr">
        <is>
          <t>金采</t>
        </is>
      </c>
      <c r="E1890" s="172" t="inlineStr">
        <is>
          <t>金采8-5</t>
        </is>
      </c>
      <c r="F1890" s="172" t="inlineStr">
        <is>
          <t>上交所</t>
        </is>
      </c>
      <c r="G1890" s="172" t="inlineStr">
        <is>
          <t>华泰资管</t>
        </is>
      </c>
      <c r="H1890" s="172" t="inlineStr">
        <is>
          <t>华福证券</t>
        </is>
      </c>
      <c r="I1890" s="172" t="inlineStr">
        <is>
          <t>招行北分</t>
        </is>
      </c>
      <c r="J1890" s="172" t="n">
        <v>10</v>
      </c>
      <c r="K1890" s="172" t="inlineStr">
        <is>
          <t>7+12</t>
        </is>
      </c>
      <c r="L1890" s="202" t="n">
        <v>46198</v>
      </c>
      <c r="M1890" s="175" t="n">
        <v>0.0148</v>
      </c>
      <c r="N1890" s="176" t="n">
        <v>0.0191</v>
      </c>
      <c r="O1890" s="191" t="n">
        <v>1.1</v>
      </c>
      <c r="P1890" s="172" t="inlineStr">
        <is>
          <t>优先级</t>
        </is>
      </c>
      <c r="Q1890" s="175" t="n">
        <v>0.9</v>
      </c>
      <c r="R1890" s="192" t="n">
        <v>9</v>
      </c>
      <c r="S1890" s="172" t="inlineStr">
        <is>
          <t>AAA</t>
        </is>
      </c>
      <c r="T1890" s="175" t="n">
        <v>0.0165</v>
      </c>
      <c r="U1890" s="172" t="inlineStr">
        <is>
          <t>华泰资管</t>
        </is>
      </c>
      <c r="V1890" s="191" t="n">
        <v>0.1</v>
      </c>
      <c r="W1890" s="175" t="n">
        <v>0.0165</v>
      </c>
      <c r="X1890" s="172" t="inlineStr">
        <is>
          <t>华泰资管</t>
        </is>
      </c>
      <c r="Y1890" s="191" t="n">
        <v>0.1</v>
      </c>
    </row>
    <row r="1891">
      <c r="A1891" s="172" t="n">
        <v>102</v>
      </c>
      <c r="B1891" s="172" t="inlineStr">
        <is>
          <t>6月</t>
        </is>
      </c>
      <c r="C1891" s="172" t="inlineStr">
        <is>
          <t>企金</t>
        </is>
      </c>
      <c r="D1891" s="172" t="inlineStr">
        <is>
          <t>金采</t>
        </is>
      </c>
      <c r="E1891" s="172" t="inlineStr">
        <is>
          <t>金采8-5</t>
        </is>
      </c>
      <c r="F1891" s="172" t="inlineStr">
        <is>
          <t>上交所</t>
        </is>
      </c>
      <c r="G1891" s="172" t="inlineStr">
        <is>
          <t>华泰资管</t>
        </is>
      </c>
      <c r="H1891" s="172" t="inlineStr">
        <is>
          <t>华福证券</t>
        </is>
      </c>
      <c r="I1891" s="172" t="inlineStr">
        <is>
          <t>招行北分</t>
        </is>
      </c>
      <c r="J1891" s="172" t="n">
        <v>10</v>
      </c>
      <c r="K1891" s="172" t="inlineStr">
        <is>
          <t>7+12</t>
        </is>
      </c>
      <c r="L1891" s="202" t="n">
        <v>46198</v>
      </c>
      <c r="M1891" s="175" t="n">
        <v>0.0148</v>
      </c>
      <c r="N1891" s="176" t="n">
        <v>0.0191</v>
      </c>
      <c r="O1891" s="191" t="n">
        <v>1.1</v>
      </c>
      <c r="P1891" s="172" t="inlineStr">
        <is>
          <t>优先级</t>
        </is>
      </c>
      <c r="Q1891" s="175" t="n">
        <v>0.9</v>
      </c>
      <c r="R1891" s="192" t="n">
        <v>9</v>
      </c>
      <c r="S1891" s="172" t="inlineStr">
        <is>
          <t>AAA</t>
        </is>
      </c>
      <c r="T1891" s="175" t="n">
        <v>0.0165</v>
      </c>
      <c r="U1891" s="172" t="inlineStr">
        <is>
          <t>邦汇保理</t>
        </is>
      </c>
      <c r="V1891" s="191" t="n">
        <v>0.45</v>
      </c>
      <c r="W1891" s="172" t="n"/>
      <c r="X1891" s="172" t="n"/>
      <c r="Y1891" s="172" t="n"/>
    </row>
    <row r="1892">
      <c r="A1892" s="172" t="n">
        <v>102</v>
      </c>
      <c r="B1892" s="172" t="inlineStr">
        <is>
          <t>6月</t>
        </is>
      </c>
      <c r="C1892" s="172" t="inlineStr">
        <is>
          <t>企金</t>
        </is>
      </c>
      <c r="D1892" s="172" t="inlineStr">
        <is>
          <t>金采</t>
        </is>
      </c>
      <c r="E1892" s="172" t="inlineStr">
        <is>
          <t>金采8-5</t>
        </is>
      </c>
      <c r="F1892" s="172" t="inlineStr">
        <is>
          <t>上交所</t>
        </is>
      </c>
      <c r="G1892" s="172" t="inlineStr">
        <is>
          <t>华泰资管</t>
        </is>
      </c>
      <c r="H1892" s="172" t="inlineStr">
        <is>
          <t>华福证券</t>
        </is>
      </c>
      <c r="I1892" s="172" t="inlineStr">
        <is>
          <t>招行北分</t>
        </is>
      </c>
      <c r="J1892" s="172" t="n">
        <v>10</v>
      </c>
      <c r="K1892" s="172" t="inlineStr">
        <is>
          <t>7+12</t>
        </is>
      </c>
      <c r="L1892" s="200" t="n">
        <v>46198</v>
      </c>
      <c r="M1892" s="175" t="n">
        <v>0.0148</v>
      </c>
      <c r="N1892" s="176" t="n">
        <v>0.0191</v>
      </c>
      <c r="O1892" s="172" t="n">
        <v>1.1</v>
      </c>
      <c r="P1892" s="172" t="inlineStr">
        <is>
          <t>优先级</t>
        </is>
      </c>
      <c r="Q1892" s="175" t="n">
        <v>0.9</v>
      </c>
      <c r="R1892" s="192" t="n">
        <v>9</v>
      </c>
      <c r="S1892" s="172" t="inlineStr">
        <is>
          <t>AAA</t>
        </is>
      </c>
      <c r="T1892" s="175" t="n">
        <v>0.0165</v>
      </c>
      <c r="U1892" s="172" t="n"/>
      <c r="V1892" s="172" t="n"/>
      <c r="W1892" s="175" t="n">
        <v>0.015</v>
      </c>
      <c r="X1892" s="172" t="inlineStr">
        <is>
          <t>厦门汇正</t>
        </is>
      </c>
      <c r="Y1892" s="191" t="n">
        <v>0.45</v>
      </c>
    </row>
    <row r="1893">
      <c r="A1893" s="172" t="n">
        <v>102</v>
      </c>
      <c r="B1893" s="172" t="inlineStr">
        <is>
          <t>6月</t>
        </is>
      </c>
      <c r="C1893" s="172" t="inlineStr">
        <is>
          <t>企金</t>
        </is>
      </c>
      <c r="D1893" s="172" t="inlineStr">
        <is>
          <t>金采</t>
        </is>
      </c>
      <c r="E1893" s="172" t="inlineStr">
        <is>
          <t>金采8-5</t>
        </is>
      </c>
      <c r="F1893" s="172" t="inlineStr">
        <is>
          <t>上交所</t>
        </is>
      </c>
      <c r="G1893" s="172" t="inlineStr">
        <is>
          <t>华泰资管</t>
        </is>
      </c>
      <c r="H1893" s="172" t="inlineStr">
        <is>
          <t>华福证券</t>
        </is>
      </c>
      <c r="I1893" s="172" t="inlineStr">
        <is>
          <t>招行北分</t>
        </is>
      </c>
      <c r="J1893" s="172" t="n">
        <v>10</v>
      </c>
      <c r="K1893" s="172" t="inlineStr">
        <is>
          <t>7+12</t>
        </is>
      </c>
      <c r="L1893" s="200" t="n">
        <v>46198</v>
      </c>
      <c r="M1893" s="175" t="n">
        <v>0.0148</v>
      </c>
      <c r="N1893" s="176" t="n">
        <v>0.0191</v>
      </c>
      <c r="O1893" s="172" t="n">
        <v>1.1</v>
      </c>
      <c r="P1893" s="172" t="inlineStr">
        <is>
          <t>优先级</t>
        </is>
      </c>
      <c r="Q1893" s="175" t="n">
        <v>0.9</v>
      </c>
      <c r="R1893" s="192" t="n">
        <v>9</v>
      </c>
      <c r="S1893" s="172" t="inlineStr">
        <is>
          <t>AAA</t>
        </is>
      </c>
      <c r="T1893" s="175" t="n">
        <v>0.0165</v>
      </c>
      <c r="U1893" s="172" t="n"/>
      <c r="V1893" s="172" t="n"/>
      <c r="W1893" s="175" t="n">
        <v>0.017</v>
      </c>
      <c r="X1893" s="172" t="inlineStr">
        <is>
          <t>华福证券</t>
        </is>
      </c>
      <c r="Y1893" s="191" t="n">
        <v>1.35</v>
      </c>
    </row>
    <row r="1894">
      <c r="A1894" s="172" t="n">
        <v>102</v>
      </c>
      <c r="B1894" s="172" t="inlineStr">
        <is>
          <t>6月</t>
        </is>
      </c>
      <c r="C1894" s="172" t="inlineStr">
        <is>
          <t>企金</t>
        </is>
      </c>
      <c r="D1894" s="172" t="inlineStr">
        <is>
          <t>金采</t>
        </is>
      </c>
      <c r="E1894" s="172" t="inlineStr">
        <is>
          <t>金采8-5</t>
        </is>
      </c>
      <c r="F1894" s="172" t="inlineStr">
        <is>
          <t>上交所</t>
        </is>
      </c>
      <c r="G1894" s="172" t="inlineStr">
        <is>
          <t>华泰资管</t>
        </is>
      </c>
      <c r="H1894" s="172" t="inlineStr">
        <is>
          <t>华福证券</t>
        </is>
      </c>
      <c r="I1894" s="172" t="inlineStr">
        <is>
          <t>招行北分</t>
        </is>
      </c>
      <c r="J1894" s="172" t="n">
        <v>10</v>
      </c>
      <c r="K1894" s="172" t="inlineStr">
        <is>
          <t>7+12</t>
        </is>
      </c>
      <c r="L1894" s="200" t="n">
        <v>46198</v>
      </c>
      <c r="M1894" s="175" t="n">
        <v>0.0148</v>
      </c>
      <c r="N1894" s="176" t="n">
        <v>0.0191</v>
      </c>
      <c r="O1894" s="172" t="n">
        <v>1.1</v>
      </c>
      <c r="P1894" s="172" t="inlineStr">
        <is>
          <t>优先级</t>
        </is>
      </c>
      <c r="Q1894" s="175" t="n">
        <v>0.9</v>
      </c>
      <c r="R1894" s="192" t="n">
        <v>9</v>
      </c>
      <c r="S1894" s="172" t="inlineStr">
        <is>
          <t>AAA</t>
        </is>
      </c>
      <c r="T1894" s="175" t="n">
        <v>0.0165</v>
      </c>
      <c r="U1894" s="172" t="n"/>
      <c r="V1894" s="172" t="n"/>
      <c r="W1894" s="175" t="n">
        <v>0.02</v>
      </c>
      <c r="X1894" s="172" t="inlineStr">
        <is>
          <t>朗姿韩亚</t>
        </is>
      </c>
      <c r="Y1894" s="191" t="n">
        <v>0.5</v>
      </c>
    </row>
    <row r="1895">
      <c r="A1895" s="172" t="n">
        <v>102</v>
      </c>
      <c r="B1895" s="172" t="inlineStr">
        <is>
          <t>6月</t>
        </is>
      </c>
      <c r="C1895" s="172" t="inlineStr">
        <is>
          <t>企金</t>
        </is>
      </c>
      <c r="D1895" s="172" t="inlineStr">
        <is>
          <t>金采</t>
        </is>
      </c>
      <c r="E1895" s="172" t="inlineStr">
        <is>
          <t>金采8-5</t>
        </is>
      </c>
      <c r="F1895" s="172" t="inlineStr">
        <is>
          <t>上交所</t>
        </is>
      </c>
      <c r="G1895" s="172" t="inlineStr">
        <is>
          <t>华泰资管</t>
        </is>
      </c>
      <c r="H1895" s="172" t="inlineStr">
        <is>
          <t>华福证券</t>
        </is>
      </c>
      <c r="I1895" s="172" t="inlineStr">
        <is>
          <t>招行北分</t>
        </is>
      </c>
      <c r="J1895" s="172" t="n">
        <v>10</v>
      </c>
      <c r="K1895" s="172" t="inlineStr">
        <is>
          <t>7+12</t>
        </is>
      </c>
      <c r="L1895" s="200" t="n">
        <v>46198</v>
      </c>
      <c r="M1895" s="175" t="n">
        <v>0.0148</v>
      </c>
      <c r="N1895" s="176" t="n">
        <v>0.0191</v>
      </c>
      <c r="O1895" s="172" t="n">
        <v>1.1</v>
      </c>
      <c r="P1895" s="172" t="inlineStr">
        <is>
          <t>优先级</t>
        </is>
      </c>
      <c r="Q1895" s="175" t="n">
        <v>0.9</v>
      </c>
      <c r="R1895" s="192" t="n">
        <v>9</v>
      </c>
      <c r="S1895" s="172" t="inlineStr">
        <is>
          <t>AAA</t>
        </is>
      </c>
      <c r="T1895" s="175" t="n">
        <v>0.0165</v>
      </c>
      <c r="U1895" s="172" t="n"/>
      <c r="V1895" s="172" t="n"/>
      <c r="W1895" s="175" t="n">
        <v>0.024</v>
      </c>
      <c r="X1895" s="172" t="inlineStr">
        <is>
          <t>国联证券</t>
        </is>
      </c>
      <c r="Y1895" s="191" t="n">
        <v>1</v>
      </c>
    </row>
    <row r="1896">
      <c r="A1896" s="172" t="n">
        <v>102</v>
      </c>
      <c r="B1896" s="172" t="inlineStr">
        <is>
          <t>6月</t>
        </is>
      </c>
      <c r="C1896" s="172" t="inlineStr">
        <is>
          <t>企金</t>
        </is>
      </c>
      <c r="D1896" s="172" t="inlineStr">
        <is>
          <t>金采</t>
        </is>
      </c>
      <c r="E1896" s="172" t="inlineStr">
        <is>
          <t>金采8-5</t>
        </is>
      </c>
      <c r="F1896" s="172" t="inlineStr">
        <is>
          <t>上交所</t>
        </is>
      </c>
      <c r="G1896" s="172" t="inlineStr">
        <is>
          <t>华泰资管</t>
        </is>
      </c>
      <c r="H1896" s="172" t="inlineStr">
        <is>
          <t>华福证券</t>
        </is>
      </c>
      <c r="I1896" s="172" t="inlineStr">
        <is>
          <t>招行北分</t>
        </is>
      </c>
      <c r="J1896" s="172" t="n">
        <v>10</v>
      </c>
      <c r="K1896" s="172" t="inlineStr">
        <is>
          <t>7+12</t>
        </is>
      </c>
      <c r="L1896" s="200" t="n">
        <v>46198</v>
      </c>
      <c r="M1896" s="175" t="n">
        <v>0.0148</v>
      </c>
      <c r="N1896" s="176" t="n">
        <v>0.0191</v>
      </c>
      <c r="O1896" s="172" t="n">
        <v>1.1</v>
      </c>
      <c r="P1896" s="172" t="inlineStr">
        <is>
          <t>优先级</t>
        </is>
      </c>
      <c r="Q1896" s="175" t="n">
        <v>0.9</v>
      </c>
      <c r="R1896" s="192" t="n">
        <v>9</v>
      </c>
      <c r="S1896" s="172" t="inlineStr">
        <is>
          <t>AAA</t>
        </is>
      </c>
      <c r="T1896" s="175" t="n">
        <v>0.0165</v>
      </c>
      <c r="U1896" s="172" t="n"/>
      <c r="V1896" s="172" t="n"/>
      <c r="W1896" s="175" t="n">
        <v>0.024</v>
      </c>
      <c r="X1896" s="172" t="inlineStr">
        <is>
          <t>利曦基金</t>
        </is>
      </c>
      <c r="Y1896" s="191" t="n">
        <v>2</v>
      </c>
    </row>
    <row r="1897">
      <c r="A1897" s="172" t="n">
        <v>102</v>
      </c>
      <c r="B1897" s="172" t="inlineStr">
        <is>
          <t>6月</t>
        </is>
      </c>
      <c r="C1897" s="172" t="inlineStr">
        <is>
          <t>企金</t>
        </is>
      </c>
      <c r="D1897" s="172" t="inlineStr">
        <is>
          <t>金采</t>
        </is>
      </c>
      <c r="E1897" s="172" t="inlineStr">
        <is>
          <t>金采8-5</t>
        </is>
      </c>
      <c r="F1897" s="172" t="inlineStr">
        <is>
          <t>上交所</t>
        </is>
      </c>
      <c r="G1897" s="172" t="inlineStr">
        <is>
          <t>华泰资管</t>
        </is>
      </c>
      <c r="H1897" s="172" t="inlineStr">
        <is>
          <t>华福证券</t>
        </is>
      </c>
      <c r="I1897" s="172" t="inlineStr">
        <is>
          <t>招行北分</t>
        </is>
      </c>
      <c r="J1897" s="172" t="n">
        <v>10</v>
      </c>
      <c r="K1897" s="172" t="inlineStr">
        <is>
          <t>7+12</t>
        </is>
      </c>
      <c r="L1897" s="202" t="n">
        <v>46198</v>
      </c>
      <c r="M1897" s="175" t="n">
        <v>0.0148</v>
      </c>
      <c r="N1897" s="176" t="n">
        <v>0.0191</v>
      </c>
      <c r="O1897" s="191" t="n">
        <v>1.1</v>
      </c>
      <c r="P1897" s="172" t="inlineStr">
        <is>
          <t>中间级</t>
        </is>
      </c>
      <c r="Q1897" s="175" t="n">
        <v>0.05</v>
      </c>
      <c r="R1897" s="192" t="n">
        <v>0.5</v>
      </c>
      <c r="S1897" s="175" t="inlineStr">
        <is>
          <t>AA</t>
        </is>
      </c>
      <c r="T1897" s="175" t="n">
        <v>0.031</v>
      </c>
      <c r="U1897" s="172" t="inlineStr">
        <is>
          <t>邦汇保理</t>
        </is>
      </c>
      <c r="V1897" s="193" t="n">
        <v>0.025</v>
      </c>
      <c r="W1897" s="172" t="n"/>
      <c r="X1897" s="172" t="n"/>
      <c r="Y1897" s="172" t="n"/>
    </row>
    <row r="1898">
      <c r="A1898" s="172" t="n">
        <v>102</v>
      </c>
      <c r="B1898" s="172" t="inlineStr">
        <is>
          <t>6月</t>
        </is>
      </c>
      <c r="C1898" s="172" t="inlineStr">
        <is>
          <t>企金</t>
        </is>
      </c>
      <c r="D1898" s="172" t="inlineStr">
        <is>
          <t>金采</t>
        </is>
      </c>
      <c r="E1898" s="172" t="inlineStr">
        <is>
          <t>金采8-5</t>
        </is>
      </c>
      <c r="F1898" s="172" t="inlineStr">
        <is>
          <t>上交所</t>
        </is>
      </c>
      <c r="G1898" s="172" t="inlineStr">
        <is>
          <t>华泰资管</t>
        </is>
      </c>
      <c r="H1898" s="172" t="inlineStr">
        <is>
          <t>华福证券</t>
        </is>
      </c>
      <c r="I1898" s="172" t="inlineStr">
        <is>
          <t>招行北分</t>
        </is>
      </c>
      <c r="J1898" s="172" t="n">
        <v>10</v>
      </c>
      <c r="K1898" s="172" t="inlineStr">
        <is>
          <t>7+12</t>
        </is>
      </c>
      <c r="L1898" s="202" t="n">
        <v>46198</v>
      </c>
      <c r="M1898" s="175" t="n">
        <v>0.0148</v>
      </c>
      <c r="N1898" s="176" t="n">
        <v>0.0191</v>
      </c>
      <c r="O1898" s="191" t="n">
        <v>1.1</v>
      </c>
      <c r="P1898" s="172" t="inlineStr">
        <is>
          <t>中间级</t>
        </is>
      </c>
      <c r="Q1898" s="175" t="n">
        <v>0.05</v>
      </c>
      <c r="R1898" s="192" t="n">
        <v>0.5</v>
      </c>
      <c r="S1898" s="175" t="inlineStr">
        <is>
          <t>AA</t>
        </is>
      </c>
      <c r="T1898" s="175" t="n">
        <v>0.031</v>
      </c>
      <c r="U1898" s="172" t="inlineStr">
        <is>
          <t>利曦基金</t>
        </is>
      </c>
      <c r="V1898" s="191" t="n">
        <v>0.2</v>
      </c>
      <c r="W1898" s="172" t="n"/>
      <c r="X1898" s="172" t="n"/>
      <c r="Y1898" s="172" t="n"/>
    </row>
    <row r="1899">
      <c r="A1899" s="172" t="n">
        <v>102</v>
      </c>
      <c r="B1899" s="172" t="inlineStr">
        <is>
          <t>6月</t>
        </is>
      </c>
      <c r="C1899" s="172" t="inlineStr">
        <is>
          <t>企金</t>
        </is>
      </c>
      <c r="D1899" s="172" t="inlineStr">
        <is>
          <t>金采</t>
        </is>
      </c>
      <c r="E1899" s="172" t="inlineStr">
        <is>
          <t>金采8-5</t>
        </is>
      </c>
      <c r="F1899" s="172" t="inlineStr">
        <is>
          <t>上交所</t>
        </is>
      </c>
      <c r="G1899" s="172" t="inlineStr">
        <is>
          <t>华泰资管</t>
        </is>
      </c>
      <c r="H1899" s="172" t="inlineStr">
        <is>
          <t>华福证券</t>
        </is>
      </c>
      <c r="I1899" s="172" t="inlineStr">
        <is>
          <t>招行北分</t>
        </is>
      </c>
      <c r="J1899" s="172" t="n">
        <v>10</v>
      </c>
      <c r="K1899" s="172" t="inlineStr">
        <is>
          <t>7+12</t>
        </is>
      </c>
      <c r="L1899" s="202" t="n">
        <v>46198</v>
      </c>
      <c r="M1899" s="175" t="n">
        <v>0.0148</v>
      </c>
      <c r="N1899" s="176" t="n">
        <v>0.0191</v>
      </c>
      <c r="O1899" s="191" t="n">
        <v>1.1</v>
      </c>
      <c r="P1899" s="172" t="inlineStr">
        <is>
          <t>中间级</t>
        </is>
      </c>
      <c r="Q1899" s="175" t="n">
        <v>0.05</v>
      </c>
      <c r="R1899" s="192" t="n">
        <v>0.5</v>
      </c>
      <c r="S1899" s="175" t="inlineStr">
        <is>
          <t>AA</t>
        </is>
      </c>
      <c r="T1899" s="175" t="n">
        <v>0.031</v>
      </c>
      <c r="U1899" s="172" t="inlineStr">
        <is>
          <t>广发证券自营</t>
        </is>
      </c>
      <c r="V1899" s="193" t="n">
        <v>0.075</v>
      </c>
      <c r="W1899" s="172" t="n"/>
      <c r="X1899" s="172" t="n"/>
      <c r="Y1899" s="172" t="n"/>
    </row>
    <row r="1900">
      <c r="A1900" s="172" t="n">
        <v>102</v>
      </c>
      <c r="B1900" s="172" t="inlineStr">
        <is>
          <t>6月</t>
        </is>
      </c>
      <c r="C1900" s="172" t="inlineStr">
        <is>
          <t>企金</t>
        </is>
      </c>
      <c r="D1900" s="172" t="inlineStr">
        <is>
          <t>金采</t>
        </is>
      </c>
      <c r="E1900" s="172" t="inlineStr">
        <is>
          <t>金采8-5</t>
        </is>
      </c>
      <c r="F1900" s="172" t="inlineStr">
        <is>
          <t>上交所</t>
        </is>
      </c>
      <c r="G1900" s="172" t="inlineStr">
        <is>
          <t>华泰资管</t>
        </is>
      </c>
      <c r="H1900" s="172" t="inlineStr">
        <is>
          <t>华福证券</t>
        </is>
      </c>
      <c r="I1900" s="172" t="inlineStr">
        <is>
          <t>招行北分</t>
        </is>
      </c>
      <c r="J1900" s="172" t="n">
        <v>10</v>
      </c>
      <c r="K1900" s="172" t="inlineStr">
        <is>
          <t>7+12</t>
        </is>
      </c>
      <c r="L1900" s="202" t="n">
        <v>46198</v>
      </c>
      <c r="M1900" s="175" t="n">
        <v>0.0148</v>
      </c>
      <c r="N1900" s="176" t="n">
        <v>0.0191</v>
      </c>
      <c r="O1900" s="191" t="n">
        <v>1.1</v>
      </c>
      <c r="P1900" s="172" t="inlineStr">
        <is>
          <t>中间级</t>
        </is>
      </c>
      <c r="Q1900" s="175" t="n">
        <v>0.05</v>
      </c>
      <c r="R1900" s="192" t="n">
        <v>0.5</v>
      </c>
      <c r="S1900" s="175" t="inlineStr">
        <is>
          <t>AA</t>
        </is>
      </c>
      <c r="T1900" s="175" t="n">
        <v>0.031</v>
      </c>
      <c r="U1900" s="172" t="inlineStr">
        <is>
          <t>申万宏源自营</t>
        </is>
      </c>
      <c r="V1900" s="191" t="n">
        <v>0.08</v>
      </c>
      <c r="W1900" s="172" t="n"/>
      <c r="X1900" s="172" t="n"/>
      <c r="Y1900" s="172" t="n"/>
    </row>
    <row r="1901">
      <c r="A1901" s="172" t="n">
        <v>102</v>
      </c>
      <c r="B1901" s="172" t="inlineStr">
        <is>
          <t>6月</t>
        </is>
      </c>
      <c r="C1901" s="172" t="inlineStr">
        <is>
          <t>企金</t>
        </is>
      </c>
      <c r="D1901" s="172" t="inlineStr">
        <is>
          <t>金采</t>
        </is>
      </c>
      <c r="E1901" s="172" t="inlineStr">
        <is>
          <t>金采8-5</t>
        </is>
      </c>
      <c r="F1901" s="172" t="inlineStr">
        <is>
          <t>上交所</t>
        </is>
      </c>
      <c r="G1901" s="172" t="inlineStr">
        <is>
          <t>华泰资管</t>
        </is>
      </c>
      <c r="H1901" s="172" t="inlineStr">
        <is>
          <t>华福证券</t>
        </is>
      </c>
      <c r="I1901" s="172" t="inlineStr">
        <is>
          <t>招行北分</t>
        </is>
      </c>
      <c r="J1901" s="172" t="n">
        <v>10</v>
      </c>
      <c r="K1901" s="172" t="inlineStr">
        <is>
          <t>7+12</t>
        </is>
      </c>
      <c r="L1901" s="202" t="n">
        <v>46198</v>
      </c>
      <c r="M1901" s="175" t="n">
        <v>0.0148</v>
      </c>
      <c r="N1901" s="176" t="n">
        <v>0.0191</v>
      </c>
      <c r="O1901" s="191" t="n">
        <v>1.1</v>
      </c>
      <c r="P1901" s="172" t="inlineStr">
        <is>
          <t>中间级</t>
        </is>
      </c>
      <c r="Q1901" s="175" t="n">
        <v>0.05</v>
      </c>
      <c r="R1901" s="192" t="n">
        <v>0.5</v>
      </c>
      <c r="S1901" s="175" t="inlineStr">
        <is>
          <t>AA</t>
        </is>
      </c>
      <c r="T1901" s="175" t="n">
        <v>0.031</v>
      </c>
      <c r="U1901" s="172" t="inlineStr">
        <is>
          <t>朗姿韩亚</t>
        </is>
      </c>
      <c r="V1901" s="191" t="n">
        <v>0.12</v>
      </c>
      <c r="W1901" s="172" t="n"/>
      <c r="X1901" s="172" t="n"/>
      <c r="Y1901" s="172" t="n"/>
    </row>
    <row r="1902">
      <c r="A1902" s="172" t="n">
        <v>102</v>
      </c>
      <c r="B1902" s="172" t="inlineStr">
        <is>
          <t>6月</t>
        </is>
      </c>
      <c r="C1902" s="172" t="inlineStr">
        <is>
          <t>企金</t>
        </is>
      </c>
      <c r="D1902" s="172" t="inlineStr">
        <is>
          <t>金采</t>
        </is>
      </c>
      <c r="E1902" s="172" t="inlineStr">
        <is>
          <t>金采8-5</t>
        </is>
      </c>
      <c r="F1902" s="172" t="inlineStr">
        <is>
          <t>上交所</t>
        </is>
      </c>
      <c r="G1902" s="172" t="inlineStr">
        <is>
          <t>华泰资管</t>
        </is>
      </c>
      <c r="H1902" s="172" t="inlineStr">
        <is>
          <t>华福证券</t>
        </is>
      </c>
      <c r="I1902" s="172" t="inlineStr">
        <is>
          <t>招行北分</t>
        </is>
      </c>
      <c r="J1902" s="172" t="n">
        <v>10</v>
      </c>
      <c r="K1902" s="172" t="inlineStr">
        <is>
          <t>7+12</t>
        </is>
      </c>
      <c r="L1902" s="202" t="n">
        <v>46198</v>
      </c>
      <c r="M1902" s="175" t="n">
        <v>0.0148</v>
      </c>
      <c r="N1902" s="176" t="n">
        <v>0.0191</v>
      </c>
      <c r="O1902" s="191" t="n">
        <v>1.1</v>
      </c>
      <c r="P1902" s="172" t="inlineStr">
        <is>
          <t>次级</t>
        </is>
      </c>
      <c r="Q1902" s="175" t="n">
        <v>0.05</v>
      </c>
      <c r="R1902" s="192" t="n">
        <v>0.5</v>
      </c>
      <c r="S1902" s="175" t="inlineStr">
        <is>
          <t>无</t>
        </is>
      </c>
      <c r="T1902" s="175" t="n">
        <v>0.0455</v>
      </c>
      <c r="U1902" s="172" t="inlineStr">
        <is>
          <t>朗姿韩亚</t>
        </is>
      </c>
      <c r="V1902" s="191" t="n">
        <v>0.2</v>
      </c>
      <c r="W1902" s="172" t="n"/>
      <c r="X1902" s="172" t="n"/>
      <c r="Y1902" s="172" t="n"/>
    </row>
    <row r="1903">
      <c r="A1903" s="172" t="n">
        <v>102</v>
      </c>
      <c r="B1903" s="172" t="inlineStr">
        <is>
          <t>6月</t>
        </is>
      </c>
      <c r="C1903" s="172" t="inlineStr">
        <is>
          <t>企金</t>
        </is>
      </c>
      <c r="D1903" s="172" t="inlineStr">
        <is>
          <t>金采</t>
        </is>
      </c>
      <c r="E1903" s="172" t="inlineStr">
        <is>
          <t>金采8-5</t>
        </is>
      </c>
      <c r="F1903" s="172" t="inlineStr">
        <is>
          <t>上交所</t>
        </is>
      </c>
      <c r="G1903" s="172" t="inlineStr">
        <is>
          <t>华泰资管</t>
        </is>
      </c>
      <c r="H1903" s="172" t="inlineStr">
        <is>
          <t>华福证券</t>
        </is>
      </c>
      <c r="I1903" s="172" t="inlineStr">
        <is>
          <t>招行北分</t>
        </is>
      </c>
      <c r="J1903" s="172" t="n">
        <v>10</v>
      </c>
      <c r="K1903" s="172" t="inlineStr">
        <is>
          <t>7+12</t>
        </is>
      </c>
      <c r="L1903" s="202" t="n">
        <v>46198</v>
      </c>
      <c r="M1903" s="175" t="n">
        <v>0.0148</v>
      </c>
      <c r="N1903" s="176" t="n">
        <v>0.0191</v>
      </c>
      <c r="O1903" s="191" t="n">
        <v>1.1</v>
      </c>
      <c r="P1903" s="172" t="inlineStr">
        <is>
          <t>次级</t>
        </is>
      </c>
      <c r="Q1903" s="175" t="n">
        <v>0.05</v>
      </c>
      <c r="R1903" s="192" t="n">
        <v>0.5</v>
      </c>
      <c r="S1903" s="175" t="inlineStr">
        <is>
          <t>无</t>
        </is>
      </c>
      <c r="T1903" s="175" t="n">
        <v>0.0455</v>
      </c>
      <c r="U1903" s="172" t="inlineStr">
        <is>
          <t>中泰证券自营</t>
        </is>
      </c>
      <c r="V1903" s="191" t="n">
        <v>0.1</v>
      </c>
      <c r="W1903" s="172" t="n"/>
      <c r="X1903" s="172" t="n"/>
      <c r="Y1903" s="172" t="n"/>
    </row>
    <row r="1904">
      <c r="A1904" s="172" t="n">
        <v>102</v>
      </c>
      <c r="B1904" s="172" t="inlineStr">
        <is>
          <t>6月</t>
        </is>
      </c>
      <c r="C1904" s="172" t="inlineStr">
        <is>
          <t>企金</t>
        </is>
      </c>
      <c r="D1904" s="172" t="inlineStr">
        <is>
          <t>金采</t>
        </is>
      </c>
      <c r="E1904" s="172" t="inlineStr">
        <is>
          <t>金采8-5</t>
        </is>
      </c>
      <c r="F1904" s="172" t="inlineStr">
        <is>
          <t>上交所</t>
        </is>
      </c>
      <c r="G1904" s="172" t="inlineStr">
        <is>
          <t>华泰资管</t>
        </is>
      </c>
      <c r="H1904" s="172" t="inlineStr">
        <is>
          <t>华福证券</t>
        </is>
      </c>
      <c r="I1904" s="172" t="inlineStr">
        <is>
          <t>招行北分</t>
        </is>
      </c>
      <c r="J1904" s="172" t="n">
        <v>10</v>
      </c>
      <c r="K1904" s="172" t="inlineStr">
        <is>
          <t>7+12</t>
        </is>
      </c>
      <c r="L1904" s="202" t="n">
        <v>46198</v>
      </c>
      <c r="M1904" s="175" t="n">
        <v>0.0148</v>
      </c>
      <c r="N1904" s="176" t="n">
        <v>0.0191</v>
      </c>
      <c r="O1904" s="191" t="n">
        <v>1.1</v>
      </c>
      <c r="P1904" s="172" t="inlineStr">
        <is>
          <t>次级</t>
        </is>
      </c>
      <c r="Q1904" s="175" t="n">
        <v>0.05</v>
      </c>
      <c r="R1904" s="192" t="n">
        <v>0.5</v>
      </c>
      <c r="S1904" s="175" t="inlineStr">
        <is>
          <t>无</t>
        </is>
      </c>
      <c r="T1904" s="175" t="n">
        <v>0.0455</v>
      </c>
      <c r="U1904" s="172" t="inlineStr">
        <is>
          <t>国联证券自营</t>
        </is>
      </c>
      <c r="V1904" s="193" t="n">
        <v>0.175</v>
      </c>
      <c r="W1904" s="172" t="n"/>
      <c r="X1904" s="172" t="n"/>
      <c r="Y1904" s="172" t="n"/>
    </row>
    <row r="1905">
      <c r="A1905" s="172" t="n">
        <v>102</v>
      </c>
      <c r="B1905" s="172" t="inlineStr">
        <is>
          <t>6月</t>
        </is>
      </c>
      <c r="C1905" s="172" t="inlineStr">
        <is>
          <t>企金</t>
        </is>
      </c>
      <c r="D1905" s="172" t="inlineStr">
        <is>
          <t>金采</t>
        </is>
      </c>
      <c r="E1905" s="172" t="inlineStr">
        <is>
          <t>金采8-5</t>
        </is>
      </c>
      <c r="F1905" s="172" t="inlineStr">
        <is>
          <t>上交所</t>
        </is>
      </c>
      <c r="G1905" s="172" t="inlineStr">
        <is>
          <t>华泰资管</t>
        </is>
      </c>
      <c r="H1905" s="172" t="inlineStr">
        <is>
          <t>华福证券</t>
        </is>
      </c>
      <c r="I1905" s="172" t="inlineStr">
        <is>
          <t>招行北分</t>
        </is>
      </c>
      <c r="J1905" s="172" t="n">
        <v>10</v>
      </c>
      <c r="K1905" s="172" t="inlineStr">
        <is>
          <t>7+12</t>
        </is>
      </c>
      <c r="L1905" s="202" t="n">
        <v>46198</v>
      </c>
      <c r="M1905" s="175" t="n">
        <v>0.0148</v>
      </c>
      <c r="N1905" s="176" t="n">
        <v>0.0191</v>
      </c>
      <c r="O1905" s="191" t="n">
        <v>1.1</v>
      </c>
      <c r="P1905" s="172" t="inlineStr">
        <is>
          <t>次级</t>
        </is>
      </c>
      <c r="Q1905" s="175" t="n">
        <v>0.05</v>
      </c>
      <c r="R1905" s="192" t="n">
        <v>0.5</v>
      </c>
      <c r="S1905" s="175" t="inlineStr">
        <is>
          <t>无</t>
        </is>
      </c>
      <c r="T1905" s="175" t="n">
        <v>0.0455</v>
      </c>
      <c r="U1905" s="172" t="inlineStr">
        <is>
          <t>邦汇保理</t>
        </is>
      </c>
      <c r="V1905" s="193" t="n">
        <v>0.025</v>
      </c>
      <c r="W1905" s="172" t="n"/>
      <c r="X1905" s="172" t="n"/>
      <c r="Y1905" s="172" t="n"/>
    </row>
    <row r="1906">
      <c r="A1906" s="172" t="n">
        <v>103</v>
      </c>
      <c r="B1906" s="172" t="inlineStr">
        <is>
          <t>6月</t>
        </is>
      </c>
      <c r="C1906" s="172" t="inlineStr">
        <is>
          <t>企金</t>
        </is>
      </c>
      <c r="D1906" s="172" t="inlineStr">
        <is>
          <t>信托企业主贷</t>
        </is>
      </c>
      <c r="E1906" s="172" t="inlineStr">
        <is>
          <t>启赢3-3</t>
        </is>
      </c>
      <c r="F1906" s="172" t="inlineStr">
        <is>
          <t>银行间</t>
        </is>
      </c>
      <c r="G1906" s="172" t="inlineStr">
        <is>
          <t>中信建投</t>
        </is>
      </c>
      <c r="H1906" s="172" t="inlineStr">
        <is>
          <t>国泰海通/中信证券/光大证券</t>
        </is>
      </c>
      <c r="I1906" s="172" t="inlineStr">
        <is>
          <t>工银天津</t>
        </is>
      </c>
      <c r="J1906" s="172" t="n">
        <v>15</v>
      </c>
      <c r="K1906" s="172" t="inlineStr">
        <is>
          <t>9+24</t>
        </is>
      </c>
      <c r="L1906" s="202" t="n">
        <v>46198</v>
      </c>
      <c r="M1906" s="175" t="n">
        <v>0.0148</v>
      </c>
      <c r="N1906" s="176" t="n">
        <v>0.0199</v>
      </c>
      <c r="O1906" s="191" t="n">
        <v>1.73</v>
      </c>
      <c r="P1906" s="172" t="inlineStr">
        <is>
          <t>优先A</t>
        </is>
      </c>
      <c r="Q1906" s="175" t="n">
        <v>0.83</v>
      </c>
      <c r="R1906" s="192">
        <f>Q1257*J1257</f>
        <v/>
      </c>
      <c r="S1906" s="172" t="inlineStr">
        <is>
          <t>AAA</t>
        </is>
      </c>
      <c r="T1906" s="175" t="n">
        <v>0.0168</v>
      </c>
      <c r="U1906" s="172" t="inlineStr">
        <is>
          <t>渝农商理财</t>
        </is>
      </c>
      <c r="V1906" s="191" t="n">
        <v>2.93</v>
      </c>
      <c r="W1906" s="175" t="n">
        <v>0.016</v>
      </c>
      <c r="X1906" s="172" t="inlineStr">
        <is>
          <t>渝农商理财</t>
        </is>
      </c>
      <c r="Y1906" s="191" t="n">
        <v>1.06</v>
      </c>
    </row>
    <row r="1907">
      <c r="A1907" s="172" t="n">
        <v>103</v>
      </c>
      <c r="B1907" s="172" t="inlineStr">
        <is>
          <t>6月</t>
        </is>
      </c>
      <c r="C1907" s="172" t="inlineStr">
        <is>
          <t>企金</t>
        </is>
      </c>
      <c r="D1907" s="172" t="inlineStr">
        <is>
          <t>信托企业主贷</t>
        </is>
      </c>
      <c r="E1907" s="172" t="inlineStr">
        <is>
          <t>启赢3-3</t>
        </is>
      </c>
      <c r="F1907" s="172" t="inlineStr">
        <is>
          <t>银行间</t>
        </is>
      </c>
      <c r="G1907" s="172" t="inlineStr">
        <is>
          <t>中信建投</t>
        </is>
      </c>
      <c r="H1907" s="172" t="inlineStr">
        <is>
          <t>国泰海通/中信证券/光大证券</t>
        </is>
      </c>
      <c r="I1907" s="172" t="inlineStr">
        <is>
          <t>工银天津</t>
        </is>
      </c>
      <c r="J1907" s="172" t="n">
        <v>15</v>
      </c>
      <c r="K1907" s="172" t="inlineStr">
        <is>
          <t>9+24</t>
        </is>
      </c>
      <c r="L1907" s="200" t="n">
        <v>46198</v>
      </c>
      <c r="M1907" s="175" t="n">
        <v>0.0148</v>
      </c>
      <c r="N1907" s="176" t="n">
        <v>0.0199</v>
      </c>
      <c r="O1907" s="172" t="n">
        <v>1.73</v>
      </c>
      <c r="P1907" s="172" t="inlineStr">
        <is>
          <t>优先A</t>
        </is>
      </c>
      <c r="Q1907" s="175" t="n">
        <v>0.83</v>
      </c>
      <c r="R1907" s="172">
        <f>Q1257*J1257</f>
        <v/>
      </c>
      <c r="S1907" s="172" t="inlineStr">
        <is>
          <t>AAA</t>
        </is>
      </c>
      <c r="T1907" s="175" t="n">
        <v>0.0168</v>
      </c>
      <c r="U1907" s="172" t="n"/>
      <c r="V1907" s="172" t="n"/>
      <c r="W1907" s="175" t="n">
        <v>0.0165</v>
      </c>
      <c r="X1907" s="172" t="inlineStr">
        <is>
          <t>渝农商理财</t>
        </is>
      </c>
      <c r="Y1907" s="191" t="n">
        <v>1.87</v>
      </c>
    </row>
    <row r="1908">
      <c r="A1908" s="172" t="n">
        <v>103</v>
      </c>
      <c r="B1908" s="172" t="inlineStr">
        <is>
          <t>6月</t>
        </is>
      </c>
      <c r="C1908" s="172" t="inlineStr">
        <is>
          <t>企金</t>
        </is>
      </c>
      <c r="D1908" s="172" t="inlineStr">
        <is>
          <t>信托企业主贷</t>
        </is>
      </c>
      <c r="E1908" s="172" t="inlineStr">
        <is>
          <t>启赢3-3</t>
        </is>
      </c>
      <c r="F1908" s="172" t="inlineStr">
        <is>
          <t>银行间</t>
        </is>
      </c>
      <c r="G1908" s="172" t="inlineStr">
        <is>
          <t>中信建投</t>
        </is>
      </c>
      <c r="H1908" s="172" t="inlineStr">
        <is>
          <t>国泰海通/中信证券/光大证券</t>
        </is>
      </c>
      <c r="I1908" s="172" t="inlineStr">
        <is>
          <t>工银天津</t>
        </is>
      </c>
      <c r="J1908" s="172" t="n">
        <v>15</v>
      </c>
      <c r="K1908" s="172" t="inlineStr">
        <is>
          <t>9+24</t>
        </is>
      </c>
      <c r="L1908" s="200" t="n">
        <v>46198</v>
      </c>
      <c r="M1908" s="175" t="n">
        <v>0.0148</v>
      </c>
      <c r="N1908" s="176" t="n">
        <v>0.0199</v>
      </c>
      <c r="O1908" s="172" t="n">
        <v>1.73</v>
      </c>
      <c r="P1908" s="172" t="inlineStr">
        <is>
          <t>优先A</t>
        </is>
      </c>
      <c r="Q1908" s="175" t="n">
        <v>0.83</v>
      </c>
      <c r="R1908" s="172">
        <f>Q1257*J1257</f>
        <v/>
      </c>
      <c r="S1908" s="172" t="inlineStr">
        <is>
          <t>AAA</t>
        </is>
      </c>
      <c r="T1908" s="175" t="n">
        <v>0.0168</v>
      </c>
      <c r="U1908" s="172" t="n"/>
      <c r="V1908" s="172" t="n"/>
      <c r="W1908" s="175" t="n">
        <v>0.017</v>
      </c>
      <c r="X1908" s="172" t="inlineStr">
        <is>
          <t>渝农商理财</t>
        </is>
      </c>
      <c r="Y1908" s="191" t="n">
        <v>0.3</v>
      </c>
    </row>
    <row r="1909">
      <c r="A1909" s="172" t="n">
        <v>103</v>
      </c>
      <c r="B1909" s="172" t="inlineStr">
        <is>
          <t>6月</t>
        </is>
      </c>
      <c r="C1909" s="172" t="inlineStr">
        <is>
          <t>企金</t>
        </is>
      </c>
      <c r="D1909" s="172" t="inlineStr">
        <is>
          <t>信托企业主贷</t>
        </is>
      </c>
      <c r="E1909" s="172" t="inlineStr">
        <is>
          <t>启赢3-3</t>
        </is>
      </c>
      <c r="F1909" s="172" t="inlineStr">
        <is>
          <t>银行间</t>
        </is>
      </c>
      <c r="G1909" s="172" t="inlineStr">
        <is>
          <t>中信建投</t>
        </is>
      </c>
      <c r="H1909" s="172" t="inlineStr">
        <is>
          <t>国泰海通/中信证券/光大证券</t>
        </is>
      </c>
      <c r="I1909" s="172" t="inlineStr">
        <is>
          <t>工银天津</t>
        </is>
      </c>
      <c r="J1909" s="172" t="n">
        <v>15</v>
      </c>
      <c r="K1909" s="172" t="inlineStr">
        <is>
          <t>9+24</t>
        </is>
      </c>
      <c r="L1909" s="200" t="n">
        <v>46198</v>
      </c>
      <c r="M1909" s="175" t="n">
        <v>0.0148</v>
      </c>
      <c r="N1909" s="176" t="n">
        <v>0.0199</v>
      </c>
      <c r="O1909" s="172" t="n">
        <v>1.73</v>
      </c>
      <c r="P1909" s="172" t="inlineStr">
        <is>
          <t>优先A</t>
        </is>
      </c>
      <c r="Q1909" s="175" t="n">
        <v>0.83</v>
      </c>
      <c r="R1909" s="172">
        <f>Q1257*J1257</f>
        <v/>
      </c>
      <c r="S1909" s="172" t="inlineStr">
        <is>
          <t>AAA</t>
        </is>
      </c>
      <c r="T1909" s="175" t="n">
        <v>0.0168</v>
      </c>
      <c r="U1909" s="172" t="n"/>
      <c r="V1909" s="172" t="n"/>
      <c r="W1909" s="175" t="n">
        <v>0.0175</v>
      </c>
      <c r="X1909" s="172" t="inlineStr">
        <is>
          <t>渝农商理财</t>
        </is>
      </c>
      <c r="Y1909" s="191" t="n">
        <v>0.5</v>
      </c>
    </row>
    <row r="1910">
      <c r="A1910" s="172" t="n">
        <v>103</v>
      </c>
      <c r="B1910" s="172" t="inlineStr">
        <is>
          <t>6月</t>
        </is>
      </c>
      <c r="C1910" s="172" t="inlineStr">
        <is>
          <t>企金</t>
        </is>
      </c>
      <c r="D1910" s="172" t="inlineStr">
        <is>
          <t>信托企业主贷</t>
        </is>
      </c>
      <c r="E1910" s="172" t="inlineStr">
        <is>
          <t>启赢3-3</t>
        </is>
      </c>
      <c r="F1910" s="172" t="inlineStr">
        <is>
          <t>银行间</t>
        </is>
      </c>
      <c r="G1910" s="172" t="inlineStr">
        <is>
          <t>中信建投</t>
        </is>
      </c>
      <c r="H1910" s="172" t="inlineStr">
        <is>
          <t>国泰海通/中信证券/光大证券</t>
        </is>
      </c>
      <c r="I1910" s="172" t="inlineStr">
        <is>
          <t>工银天津</t>
        </is>
      </c>
      <c r="J1910" s="172" t="n">
        <v>15</v>
      </c>
      <c r="K1910" s="172" t="inlineStr">
        <is>
          <t>9+24</t>
        </is>
      </c>
      <c r="L1910" s="202" t="n">
        <v>46198</v>
      </c>
      <c r="M1910" s="175" t="n">
        <v>0.0148</v>
      </c>
      <c r="N1910" s="176" t="n">
        <v>0.0199</v>
      </c>
      <c r="O1910" s="191" t="n">
        <v>1.73</v>
      </c>
      <c r="P1910" s="172" t="inlineStr">
        <is>
          <t>优先A</t>
        </is>
      </c>
      <c r="Q1910" s="175" t="n">
        <v>0.83</v>
      </c>
      <c r="R1910" s="192">
        <f>Q1257*J1257</f>
        <v/>
      </c>
      <c r="S1910" s="172" t="inlineStr">
        <is>
          <t>AAA</t>
        </is>
      </c>
      <c r="T1910" s="175" t="n">
        <v>0.0168</v>
      </c>
      <c r="U1910" s="172" t="inlineStr">
        <is>
          <t>中邮理财</t>
        </is>
      </c>
      <c r="V1910" s="191" t="n">
        <v>2.7</v>
      </c>
      <c r="W1910" s="175" t="n">
        <v>0.0165</v>
      </c>
      <c r="X1910" s="172" t="inlineStr">
        <is>
          <t>中邮理财</t>
        </is>
      </c>
      <c r="Y1910" s="191" t="n">
        <v>1.7</v>
      </c>
    </row>
    <row r="1911">
      <c r="A1911" s="172" t="n">
        <v>103</v>
      </c>
      <c r="B1911" s="172" t="inlineStr">
        <is>
          <t>6月</t>
        </is>
      </c>
      <c r="C1911" s="172" t="inlineStr">
        <is>
          <t>企金</t>
        </is>
      </c>
      <c r="D1911" s="172" t="inlineStr">
        <is>
          <t>信托企业主贷</t>
        </is>
      </c>
      <c r="E1911" s="172" t="inlineStr">
        <is>
          <t>启赢3-3</t>
        </is>
      </c>
      <c r="F1911" s="172" t="inlineStr">
        <is>
          <t>银行间</t>
        </is>
      </c>
      <c r="G1911" s="172" t="inlineStr">
        <is>
          <t>中信建投</t>
        </is>
      </c>
      <c r="H1911" s="172" t="inlineStr">
        <is>
          <t>国泰海通/中信证券/光大证券</t>
        </is>
      </c>
      <c r="I1911" s="172" t="inlineStr">
        <is>
          <t>工银天津</t>
        </is>
      </c>
      <c r="J1911" s="172" t="n">
        <v>15</v>
      </c>
      <c r="K1911" s="172" t="inlineStr">
        <is>
          <t>9+24</t>
        </is>
      </c>
      <c r="L1911" s="200" t="n">
        <v>46198</v>
      </c>
      <c r="M1911" s="175" t="n">
        <v>0.0148</v>
      </c>
      <c r="N1911" s="176" t="n">
        <v>0.0199</v>
      </c>
      <c r="O1911" s="172" t="n">
        <v>1.73</v>
      </c>
      <c r="P1911" s="172" t="inlineStr">
        <is>
          <t>优先A</t>
        </is>
      </c>
      <c r="Q1911" s="175" t="n">
        <v>0.83</v>
      </c>
      <c r="R1911" s="172">
        <f>Q1257*J1257</f>
        <v/>
      </c>
      <c r="S1911" s="172" t="inlineStr">
        <is>
          <t>AAA</t>
        </is>
      </c>
      <c r="T1911" s="175" t="n">
        <v>0.0168</v>
      </c>
      <c r="U1911" s="172" t="n"/>
      <c r="V1911" s="172" t="n"/>
      <c r="W1911" s="175" t="n">
        <v>0.0167</v>
      </c>
      <c r="X1911" s="172" t="inlineStr">
        <is>
          <t>中邮理财</t>
        </is>
      </c>
      <c r="Y1911" s="191" t="n">
        <v>1</v>
      </c>
    </row>
    <row r="1912">
      <c r="A1912" s="172" t="n">
        <v>103</v>
      </c>
      <c r="B1912" s="172" t="inlineStr">
        <is>
          <t>6月</t>
        </is>
      </c>
      <c r="C1912" s="172" t="inlineStr">
        <is>
          <t>企金</t>
        </is>
      </c>
      <c r="D1912" s="172" t="inlineStr">
        <is>
          <t>信托企业主贷</t>
        </is>
      </c>
      <c r="E1912" s="172" t="inlineStr">
        <is>
          <t>启赢3-3</t>
        </is>
      </c>
      <c r="F1912" s="172" t="inlineStr">
        <is>
          <t>银行间</t>
        </is>
      </c>
      <c r="G1912" s="172" t="inlineStr">
        <is>
          <t>中信建投</t>
        </is>
      </c>
      <c r="H1912" s="172" t="inlineStr">
        <is>
          <t>国泰海通/中信证券/光大证券</t>
        </is>
      </c>
      <c r="I1912" s="172" t="inlineStr">
        <is>
          <t>工银天津</t>
        </is>
      </c>
      <c r="J1912" s="172" t="n">
        <v>15</v>
      </c>
      <c r="K1912" s="172" t="inlineStr">
        <is>
          <t>9+24</t>
        </is>
      </c>
      <c r="L1912" s="200" t="n">
        <v>46198</v>
      </c>
      <c r="M1912" s="175" t="n">
        <v>0.0148</v>
      </c>
      <c r="N1912" s="176" t="n">
        <v>0.0199</v>
      </c>
      <c r="O1912" s="172" t="n">
        <v>1.73</v>
      </c>
      <c r="P1912" s="172" t="inlineStr">
        <is>
          <t>优先A</t>
        </is>
      </c>
      <c r="Q1912" s="175" t="n">
        <v>0.83</v>
      </c>
      <c r="R1912" s="172">
        <f>Q1257*J1257</f>
        <v/>
      </c>
      <c r="S1912" s="172" t="inlineStr">
        <is>
          <t>AAA</t>
        </is>
      </c>
      <c r="T1912" s="175" t="n">
        <v>0.0168</v>
      </c>
      <c r="U1912" s="172" t="n"/>
      <c r="V1912" s="172" t="n"/>
      <c r="W1912" s="175" t="n">
        <v>0.0169</v>
      </c>
      <c r="X1912" s="172" t="inlineStr">
        <is>
          <t>中邮理财</t>
        </is>
      </c>
      <c r="Y1912" s="191" t="n">
        <v>1.035</v>
      </c>
    </row>
    <row r="1913">
      <c r="A1913" s="172" t="n">
        <v>103</v>
      </c>
      <c r="B1913" s="172" t="inlineStr">
        <is>
          <t>6月</t>
        </is>
      </c>
      <c r="C1913" s="172" t="inlineStr">
        <is>
          <t>企金</t>
        </is>
      </c>
      <c r="D1913" s="172" t="inlineStr">
        <is>
          <t>信托企业主贷</t>
        </is>
      </c>
      <c r="E1913" s="172" t="inlineStr">
        <is>
          <t>启赢3-3</t>
        </is>
      </c>
      <c r="F1913" s="172" t="inlineStr">
        <is>
          <t>银行间</t>
        </is>
      </c>
      <c r="G1913" s="172" t="inlineStr">
        <is>
          <t>中信建投</t>
        </is>
      </c>
      <c r="H1913" s="172" t="inlineStr">
        <is>
          <t>国泰海通/中信证券/光大证券</t>
        </is>
      </c>
      <c r="I1913" s="172" t="inlineStr">
        <is>
          <t>工银天津</t>
        </is>
      </c>
      <c r="J1913" s="172" t="n">
        <v>15</v>
      </c>
      <c r="K1913" s="172" t="inlineStr">
        <is>
          <t>9+24</t>
        </is>
      </c>
      <c r="L1913" s="202" t="n">
        <v>46198</v>
      </c>
      <c r="M1913" s="175" t="n">
        <v>0.0148</v>
      </c>
      <c r="N1913" s="176" t="n">
        <v>0.0199</v>
      </c>
      <c r="O1913" s="191" t="n">
        <v>1.73</v>
      </c>
      <c r="P1913" s="172" t="inlineStr">
        <is>
          <t>优先A</t>
        </is>
      </c>
      <c r="Q1913" s="175" t="n">
        <v>0.83</v>
      </c>
      <c r="R1913" s="192">
        <f>Q1257*J1257</f>
        <v/>
      </c>
      <c r="S1913" s="172" t="inlineStr">
        <is>
          <t>AAA</t>
        </is>
      </c>
      <c r="T1913" s="175" t="n">
        <v>0.0168</v>
      </c>
      <c r="U1913" s="172" t="inlineStr">
        <is>
          <t>交银理财</t>
        </is>
      </c>
      <c r="V1913" s="191" t="n">
        <v>2.4</v>
      </c>
      <c r="W1913" s="175" t="n">
        <v>0.016</v>
      </c>
      <c r="X1913" s="172" t="inlineStr">
        <is>
          <t>交银理财</t>
        </is>
      </c>
      <c r="Y1913" s="191" t="n">
        <v>0.5</v>
      </c>
    </row>
    <row r="1914">
      <c r="A1914" s="172" t="n">
        <v>103</v>
      </c>
      <c r="B1914" s="172" t="inlineStr">
        <is>
          <t>6月</t>
        </is>
      </c>
      <c r="C1914" s="172" t="inlineStr">
        <is>
          <t>企金</t>
        </is>
      </c>
      <c r="D1914" s="172" t="inlineStr">
        <is>
          <t>信托企业主贷</t>
        </is>
      </c>
      <c r="E1914" s="172" t="inlineStr">
        <is>
          <t>启赢3-3</t>
        </is>
      </c>
      <c r="F1914" s="172" t="inlineStr">
        <is>
          <t>银行间</t>
        </is>
      </c>
      <c r="G1914" s="172" t="inlineStr">
        <is>
          <t>中信建投</t>
        </is>
      </c>
      <c r="H1914" s="172" t="inlineStr">
        <is>
          <t>国泰海通/中信证券/光大证券</t>
        </is>
      </c>
      <c r="I1914" s="172" t="inlineStr">
        <is>
          <t>工银天津</t>
        </is>
      </c>
      <c r="J1914" s="172" t="n">
        <v>15</v>
      </c>
      <c r="K1914" s="172" t="inlineStr">
        <is>
          <t>9+24</t>
        </is>
      </c>
      <c r="L1914" s="200" t="n">
        <v>46198</v>
      </c>
      <c r="M1914" s="175" t="n">
        <v>0.0148</v>
      </c>
      <c r="N1914" s="176" t="n">
        <v>0.0199</v>
      </c>
      <c r="O1914" s="172" t="n">
        <v>1.73</v>
      </c>
      <c r="P1914" s="172" t="inlineStr">
        <is>
          <t>优先A</t>
        </is>
      </c>
      <c r="Q1914" s="175" t="n">
        <v>0.83</v>
      </c>
      <c r="R1914" s="172">
        <f>Q1257*J1257</f>
        <v/>
      </c>
      <c r="S1914" s="172" t="inlineStr">
        <is>
          <t>AAA</t>
        </is>
      </c>
      <c r="T1914" s="175" t="n">
        <v>0.0168</v>
      </c>
      <c r="U1914" s="172" t="n"/>
      <c r="V1914" s="172" t="n"/>
      <c r="W1914" s="175" t="n">
        <v>0.0165</v>
      </c>
      <c r="X1914" s="172" t="inlineStr">
        <is>
          <t>交银理财</t>
        </is>
      </c>
      <c r="Y1914" s="191" t="n">
        <v>1.9</v>
      </c>
    </row>
    <row r="1915">
      <c r="A1915" s="172" t="n">
        <v>103</v>
      </c>
      <c r="B1915" s="172" t="inlineStr">
        <is>
          <t>6月</t>
        </is>
      </c>
      <c r="C1915" s="172" t="inlineStr">
        <is>
          <t>企金</t>
        </is>
      </c>
      <c r="D1915" s="172" t="inlineStr">
        <is>
          <t>信托企业主贷</t>
        </is>
      </c>
      <c r="E1915" s="172" t="inlineStr">
        <is>
          <t>启赢3-3</t>
        </is>
      </c>
      <c r="F1915" s="172" t="inlineStr">
        <is>
          <t>银行间</t>
        </is>
      </c>
      <c r="G1915" s="172" t="inlineStr">
        <is>
          <t>中信建投</t>
        </is>
      </c>
      <c r="H1915" s="172" t="inlineStr">
        <is>
          <t>国泰海通/中信证券/光大证券</t>
        </is>
      </c>
      <c r="I1915" s="172" t="inlineStr">
        <is>
          <t>工银天津</t>
        </is>
      </c>
      <c r="J1915" s="172" t="n">
        <v>15</v>
      </c>
      <c r="K1915" s="172" t="inlineStr">
        <is>
          <t>9+24</t>
        </is>
      </c>
      <c r="L1915" s="202" t="n">
        <v>46198</v>
      </c>
      <c r="M1915" s="175" t="n">
        <v>0.0148</v>
      </c>
      <c r="N1915" s="176" t="n">
        <v>0.0199</v>
      </c>
      <c r="O1915" s="191" t="n">
        <v>1.73</v>
      </c>
      <c r="P1915" s="172" t="inlineStr">
        <is>
          <t>优先A</t>
        </is>
      </c>
      <c r="Q1915" s="175" t="n">
        <v>0.83</v>
      </c>
      <c r="R1915" s="192">
        <f>Q1257*J1257</f>
        <v/>
      </c>
      <c r="S1915" s="172" t="inlineStr">
        <is>
          <t>AAA</t>
        </is>
      </c>
      <c r="T1915" s="175" t="n">
        <v>0.0168</v>
      </c>
      <c r="U1915" s="172" t="inlineStr">
        <is>
          <t>中信证券资管</t>
        </is>
      </c>
      <c r="V1915" s="191" t="n">
        <v>1.5</v>
      </c>
      <c r="W1915" s="175" t="n">
        <v>0.0168</v>
      </c>
      <c r="X1915" s="172" t="inlineStr">
        <is>
          <t>中信证券资管</t>
        </is>
      </c>
      <c r="Y1915" s="191" t="n">
        <v>1.5</v>
      </c>
    </row>
    <row r="1916">
      <c r="A1916" s="172" t="n">
        <v>103</v>
      </c>
      <c r="B1916" s="172" t="inlineStr">
        <is>
          <t>6月</t>
        </is>
      </c>
      <c r="C1916" s="172" t="inlineStr">
        <is>
          <t>企金</t>
        </is>
      </c>
      <c r="D1916" s="172" t="inlineStr">
        <is>
          <t>信托企业主贷</t>
        </is>
      </c>
      <c r="E1916" s="172" t="inlineStr">
        <is>
          <t>启赢3-3</t>
        </is>
      </c>
      <c r="F1916" s="172" t="inlineStr">
        <is>
          <t>银行间</t>
        </is>
      </c>
      <c r="G1916" s="172" t="inlineStr">
        <is>
          <t>中信建投</t>
        </is>
      </c>
      <c r="H1916" s="172" t="inlineStr">
        <is>
          <t>国泰海通/中信证券/光大证券</t>
        </is>
      </c>
      <c r="I1916" s="172" t="inlineStr">
        <is>
          <t>工银天津</t>
        </is>
      </c>
      <c r="J1916" s="172" t="n">
        <v>15</v>
      </c>
      <c r="K1916" s="172" t="inlineStr">
        <is>
          <t>9+24</t>
        </is>
      </c>
      <c r="L1916" s="200" t="n">
        <v>46198</v>
      </c>
      <c r="M1916" s="175" t="n">
        <v>0.0148</v>
      </c>
      <c r="N1916" s="176" t="n">
        <v>0.0199</v>
      </c>
      <c r="O1916" s="172" t="n">
        <v>1.73</v>
      </c>
      <c r="P1916" s="172" t="inlineStr">
        <is>
          <t>优先A</t>
        </is>
      </c>
      <c r="Q1916" s="175" t="n">
        <v>0.83</v>
      </c>
      <c r="R1916" s="172">
        <f>Q1257*J1257</f>
        <v/>
      </c>
      <c r="S1916" s="172" t="inlineStr">
        <is>
          <t>AAA</t>
        </is>
      </c>
      <c r="T1916" s="175" t="n">
        <v>0.0168</v>
      </c>
      <c r="U1916" s="172" t="n"/>
      <c r="V1916" s="172" t="n"/>
      <c r="W1916" s="175" t="n">
        <v>0.0169</v>
      </c>
      <c r="X1916" s="172" t="inlineStr">
        <is>
          <t>中信证券资管</t>
        </is>
      </c>
      <c r="Y1916" s="191" t="n">
        <v>0.5</v>
      </c>
    </row>
    <row r="1917">
      <c r="A1917" s="172" t="n">
        <v>103</v>
      </c>
      <c r="B1917" s="172" t="inlineStr">
        <is>
          <t>6月</t>
        </is>
      </c>
      <c r="C1917" s="172" t="inlineStr">
        <is>
          <t>企金</t>
        </is>
      </c>
      <c r="D1917" s="172" t="inlineStr">
        <is>
          <t>信托企业主贷</t>
        </is>
      </c>
      <c r="E1917" s="172" t="inlineStr">
        <is>
          <t>启赢3-3</t>
        </is>
      </c>
      <c r="F1917" s="172" t="inlineStr">
        <is>
          <t>银行间</t>
        </is>
      </c>
      <c r="G1917" s="172" t="inlineStr">
        <is>
          <t>中信建投</t>
        </is>
      </c>
      <c r="H1917" s="172" t="inlineStr">
        <is>
          <t>国泰海通/中信证券/光大证券</t>
        </is>
      </c>
      <c r="I1917" s="172" t="inlineStr">
        <is>
          <t>工银天津</t>
        </is>
      </c>
      <c r="J1917" s="172" t="n">
        <v>15</v>
      </c>
      <c r="K1917" s="172" t="inlineStr">
        <is>
          <t>9+24</t>
        </is>
      </c>
      <c r="L1917" s="202" t="n">
        <v>46198</v>
      </c>
      <c r="M1917" s="175" t="n">
        <v>0.0148</v>
      </c>
      <c r="N1917" s="176" t="n">
        <v>0.0199</v>
      </c>
      <c r="O1917" s="191" t="n">
        <v>1.73</v>
      </c>
      <c r="P1917" s="172" t="inlineStr">
        <is>
          <t>优先A</t>
        </is>
      </c>
      <c r="Q1917" s="175" t="n">
        <v>0.83</v>
      </c>
      <c r="R1917" s="192">
        <f>Q1257*J1257</f>
        <v/>
      </c>
      <c r="S1917" s="172" t="inlineStr">
        <is>
          <t>AAA</t>
        </is>
      </c>
      <c r="T1917" s="175" t="n">
        <v>0.0168</v>
      </c>
      <c r="U1917" s="172" t="inlineStr">
        <is>
          <t>易方达基金</t>
        </is>
      </c>
      <c r="V1917" s="191" t="n">
        <v>1</v>
      </c>
      <c r="W1917" s="175" t="n">
        <v>0.0168</v>
      </c>
      <c r="X1917" s="172" t="inlineStr">
        <is>
          <t>易方达基金</t>
        </is>
      </c>
      <c r="Y1917" s="191" t="n">
        <v>1</v>
      </c>
    </row>
    <row r="1918">
      <c r="A1918" s="172" t="n">
        <v>103</v>
      </c>
      <c r="B1918" s="172" t="inlineStr">
        <is>
          <t>6月</t>
        </is>
      </c>
      <c r="C1918" s="172" t="inlineStr">
        <is>
          <t>企金</t>
        </is>
      </c>
      <c r="D1918" s="172" t="inlineStr">
        <is>
          <t>信托企业主贷</t>
        </is>
      </c>
      <c r="E1918" s="172" t="inlineStr">
        <is>
          <t>启赢3-3</t>
        </is>
      </c>
      <c r="F1918" s="172" t="inlineStr">
        <is>
          <t>银行间</t>
        </is>
      </c>
      <c r="G1918" s="172" t="inlineStr">
        <is>
          <t>中信建投</t>
        </is>
      </c>
      <c r="H1918" s="172" t="inlineStr">
        <is>
          <t>国泰海通/中信证券/光大证券</t>
        </is>
      </c>
      <c r="I1918" s="172" t="inlineStr">
        <is>
          <t>工银天津</t>
        </is>
      </c>
      <c r="J1918" s="172" t="n">
        <v>15</v>
      </c>
      <c r="K1918" s="172" t="inlineStr">
        <is>
          <t>9+24</t>
        </is>
      </c>
      <c r="L1918" s="200" t="n">
        <v>46198</v>
      </c>
      <c r="M1918" s="175" t="n">
        <v>0.0148</v>
      </c>
      <c r="N1918" s="176" t="n">
        <v>0.0199</v>
      </c>
      <c r="O1918" s="172" t="n">
        <v>1.73</v>
      </c>
      <c r="P1918" s="172" t="inlineStr">
        <is>
          <t>优先A</t>
        </is>
      </c>
      <c r="Q1918" s="175" t="n">
        <v>0.83</v>
      </c>
      <c r="R1918" s="172">
        <f>Q1257*J1257</f>
        <v/>
      </c>
      <c r="S1918" s="172" t="inlineStr">
        <is>
          <t>AAA</t>
        </is>
      </c>
      <c r="T1918" s="175" t="n">
        <v>0.0168</v>
      </c>
      <c r="U1918" s="172" t="n"/>
      <c r="V1918" s="172" t="n"/>
      <c r="W1918" s="175" t="n">
        <v>0.0169</v>
      </c>
      <c r="X1918" s="172" t="inlineStr">
        <is>
          <t>易方达基金</t>
        </is>
      </c>
      <c r="Y1918" s="191" t="n">
        <v>0.5</v>
      </c>
    </row>
    <row r="1919">
      <c r="A1919" s="172" t="n">
        <v>103</v>
      </c>
      <c r="B1919" s="172" t="inlineStr">
        <is>
          <t>6月</t>
        </is>
      </c>
      <c r="C1919" s="172" t="inlineStr">
        <is>
          <t>企金</t>
        </is>
      </c>
      <c r="D1919" s="172" t="inlineStr">
        <is>
          <t>信托企业主贷</t>
        </is>
      </c>
      <c r="E1919" s="172" t="inlineStr">
        <is>
          <t>启赢3-3</t>
        </is>
      </c>
      <c r="F1919" s="172" t="inlineStr">
        <is>
          <t>银行间</t>
        </is>
      </c>
      <c r="G1919" s="172" t="inlineStr">
        <is>
          <t>中信建投</t>
        </is>
      </c>
      <c r="H1919" s="172" t="inlineStr">
        <is>
          <t>国泰海通/中信证券/光大证券</t>
        </is>
      </c>
      <c r="I1919" s="172" t="inlineStr">
        <is>
          <t>工银天津</t>
        </is>
      </c>
      <c r="J1919" s="172" t="n">
        <v>15</v>
      </c>
      <c r="K1919" s="172" t="inlineStr">
        <is>
          <t>9+24</t>
        </is>
      </c>
      <c r="L1919" s="200" t="n">
        <v>46198</v>
      </c>
      <c r="M1919" s="175" t="n">
        <v>0.0148</v>
      </c>
      <c r="N1919" s="176" t="n">
        <v>0.0199</v>
      </c>
      <c r="O1919" s="172" t="n">
        <v>1.73</v>
      </c>
      <c r="P1919" s="172" t="inlineStr">
        <is>
          <t>优先A</t>
        </is>
      </c>
      <c r="Q1919" s="175" t="n">
        <v>0.83</v>
      </c>
      <c r="R1919" s="172">
        <f>Q1257*J1257</f>
        <v/>
      </c>
      <c r="S1919" s="172" t="inlineStr">
        <is>
          <t>AAA</t>
        </is>
      </c>
      <c r="T1919" s="175" t="n">
        <v>0.0168</v>
      </c>
      <c r="U1919" s="172" t="n"/>
      <c r="V1919" s="172" t="n"/>
      <c r="W1919" s="175" t="n">
        <v>0.0172</v>
      </c>
      <c r="X1919" s="172" t="inlineStr">
        <is>
          <t>易方达基金</t>
        </is>
      </c>
      <c r="Y1919" s="191" t="n">
        <v>0.5</v>
      </c>
    </row>
    <row r="1920">
      <c r="A1920" s="172" t="n">
        <v>103</v>
      </c>
      <c r="B1920" s="172" t="inlineStr">
        <is>
          <t>6月</t>
        </is>
      </c>
      <c r="C1920" s="172" t="inlineStr">
        <is>
          <t>企金</t>
        </is>
      </c>
      <c r="D1920" s="172" t="inlineStr">
        <is>
          <t>信托企业主贷</t>
        </is>
      </c>
      <c r="E1920" s="172" t="inlineStr">
        <is>
          <t>启赢3-3</t>
        </is>
      </c>
      <c r="F1920" s="172" t="inlineStr">
        <is>
          <t>银行间</t>
        </is>
      </c>
      <c r="G1920" s="172" t="inlineStr">
        <is>
          <t>中信建投</t>
        </is>
      </c>
      <c r="H1920" s="172" t="inlineStr">
        <is>
          <t>国泰海通/中信证券/光大证券</t>
        </is>
      </c>
      <c r="I1920" s="172" t="inlineStr">
        <is>
          <t>工银天津</t>
        </is>
      </c>
      <c r="J1920" s="172" t="n">
        <v>15</v>
      </c>
      <c r="K1920" s="172" t="inlineStr">
        <is>
          <t>9+24</t>
        </is>
      </c>
      <c r="L1920" s="200" t="n">
        <v>46198</v>
      </c>
      <c r="M1920" s="175" t="n">
        <v>0.0148</v>
      </c>
      <c r="N1920" s="176" t="n">
        <v>0.0199</v>
      </c>
      <c r="O1920" s="172" t="n">
        <v>1.73</v>
      </c>
      <c r="P1920" s="172" t="inlineStr">
        <is>
          <t>优先A</t>
        </is>
      </c>
      <c r="Q1920" s="175" t="n">
        <v>0.83</v>
      </c>
      <c r="R1920" s="172">
        <f>Q1257*J1257</f>
        <v/>
      </c>
      <c r="S1920" s="172" t="inlineStr">
        <is>
          <t>AAA</t>
        </is>
      </c>
      <c r="T1920" s="175" t="n">
        <v>0.0168</v>
      </c>
      <c r="U1920" s="172" t="n"/>
      <c r="V1920" s="172" t="n"/>
      <c r="W1920" s="175" t="n">
        <v>0.0175</v>
      </c>
      <c r="X1920" s="172" t="inlineStr">
        <is>
          <t>易方达基金</t>
        </is>
      </c>
      <c r="Y1920" s="191" t="n">
        <v>0.2</v>
      </c>
    </row>
    <row r="1921">
      <c r="A1921" s="172" t="n">
        <v>103</v>
      </c>
      <c r="B1921" s="172" t="inlineStr">
        <is>
          <t>6月</t>
        </is>
      </c>
      <c r="C1921" s="172" t="inlineStr">
        <is>
          <t>企金</t>
        </is>
      </c>
      <c r="D1921" s="172" t="inlineStr">
        <is>
          <t>信托企业主贷</t>
        </is>
      </c>
      <c r="E1921" s="172" t="inlineStr">
        <is>
          <t>启赢3-3</t>
        </is>
      </c>
      <c r="F1921" s="172" t="inlineStr">
        <is>
          <t>银行间</t>
        </is>
      </c>
      <c r="G1921" s="172" t="inlineStr">
        <is>
          <t>中信建投</t>
        </is>
      </c>
      <c r="H1921" s="172" t="inlineStr">
        <is>
          <t>国泰海通/中信证券/光大证券</t>
        </is>
      </c>
      <c r="I1921" s="172" t="inlineStr">
        <is>
          <t>工银天津</t>
        </is>
      </c>
      <c r="J1921" s="172" t="n">
        <v>15</v>
      </c>
      <c r="K1921" s="172" t="inlineStr">
        <is>
          <t>9+24</t>
        </is>
      </c>
      <c r="L1921" s="202" t="n">
        <v>46198</v>
      </c>
      <c r="M1921" s="175" t="n">
        <v>0.0148</v>
      </c>
      <c r="N1921" s="176" t="n">
        <v>0.0199</v>
      </c>
      <c r="O1921" s="191" t="n">
        <v>1.73</v>
      </c>
      <c r="P1921" s="172" t="inlineStr">
        <is>
          <t>优先A</t>
        </is>
      </c>
      <c r="Q1921" s="175" t="n">
        <v>0.83</v>
      </c>
      <c r="R1921" s="192">
        <f>Q1257*J1257</f>
        <v/>
      </c>
      <c r="S1921" s="172" t="inlineStr">
        <is>
          <t>AAA</t>
        </is>
      </c>
      <c r="T1921" s="175" t="n">
        <v>0.0168</v>
      </c>
      <c r="U1921" s="172" t="inlineStr">
        <is>
          <t>建信信托</t>
        </is>
      </c>
      <c r="V1921" s="191" t="n">
        <v>1</v>
      </c>
      <c r="W1921" s="175" t="n">
        <v>0.0165</v>
      </c>
      <c r="X1921" s="172" t="inlineStr">
        <is>
          <t>建信信托</t>
        </is>
      </c>
      <c r="Y1921" s="191" t="n">
        <v>1</v>
      </c>
    </row>
    <row r="1922">
      <c r="A1922" s="172" t="n">
        <v>103</v>
      </c>
      <c r="B1922" s="172" t="inlineStr">
        <is>
          <t>6月</t>
        </is>
      </c>
      <c r="C1922" s="172" t="inlineStr">
        <is>
          <t>企金</t>
        </is>
      </c>
      <c r="D1922" s="172" t="inlineStr">
        <is>
          <t>信托企业主贷</t>
        </is>
      </c>
      <c r="E1922" s="172" t="inlineStr">
        <is>
          <t>启赢3-3</t>
        </is>
      </c>
      <c r="F1922" s="172" t="inlineStr">
        <is>
          <t>银行间</t>
        </is>
      </c>
      <c r="G1922" s="172" t="inlineStr">
        <is>
          <t>中信建投</t>
        </is>
      </c>
      <c r="H1922" s="172" t="inlineStr">
        <is>
          <t>国泰海通/中信证券/光大证券</t>
        </is>
      </c>
      <c r="I1922" s="172" t="inlineStr">
        <is>
          <t>工银天津</t>
        </is>
      </c>
      <c r="J1922" s="172" t="n">
        <v>15</v>
      </c>
      <c r="K1922" s="172" t="inlineStr">
        <is>
          <t>9+24</t>
        </is>
      </c>
      <c r="L1922" s="202" t="n">
        <v>46198</v>
      </c>
      <c r="M1922" s="175" t="n">
        <v>0.0148</v>
      </c>
      <c r="N1922" s="176" t="n">
        <v>0.0199</v>
      </c>
      <c r="O1922" s="191" t="n">
        <v>1.73</v>
      </c>
      <c r="P1922" s="172" t="inlineStr">
        <is>
          <t>优先A</t>
        </is>
      </c>
      <c r="Q1922" s="175" t="n">
        <v>0.83</v>
      </c>
      <c r="R1922" s="192">
        <f>Q1257*J1257</f>
        <v/>
      </c>
      <c r="S1922" s="172" t="inlineStr">
        <is>
          <t>AAA</t>
        </is>
      </c>
      <c r="T1922" s="175" t="n">
        <v>0.0168</v>
      </c>
      <c r="U1922" s="172" t="inlineStr">
        <is>
          <t>沛轩投资</t>
        </is>
      </c>
      <c r="V1922" s="191" t="n">
        <v>0.52</v>
      </c>
      <c r="W1922" s="175" t="n">
        <v>0.0165</v>
      </c>
      <c r="X1922" s="172" t="inlineStr">
        <is>
          <t>沛轩投资</t>
        </is>
      </c>
      <c r="Y1922" s="191" t="n">
        <v>0.52</v>
      </c>
    </row>
    <row r="1923">
      <c r="A1923" s="172" t="n">
        <v>103</v>
      </c>
      <c r="B1923" s="172" t="inlineStr">
        <is>
          <t>6月</t>
        </is>
      </c>
      <c r="C1923" s="172" t="inlineStr">
        <is>
          <t>企金</t>
        </is>
      </c>
      <c r="D1923" s="172" t="inlineStr">
        <is>
          <t>信托企业主贷</t>
        </is>
      </c>
      <c r="E1923" s="172" t="inlineStr">
        <is>
          <t>启赢3-3</t>
        </is>
      </c>
      <c r="F1923" s="172" t="inlineStr">
        <is>
          <t>银行间</t>
        </is>
      </c>
      <c r="G1923" s="172" t="inlineStr">
        <is>
          <t>中信建投</t>
        </is>
      </c>
      <c r="H1923" s="172" t="inlineStr">
        <is>
          <t>国泰海通/中信证券/光大证券</t>
        </is>
      </c>
      <c r="I1923" s="172" t="inlineStr">
        <is>
          <t>工银天津</t>
        </is>
      </c>
      <c r="J1923" s="172" t="n">
        <v>15</v>
      </c>
      <c r="K1923" s="172" t="inlineStr">
        <is>
          <t>9+24</t>
        </is>
      </c>
      <c r="L1923" s="202" t="n">
        <v>46198</v>
      </c>
      <c r="M1923" s="175" t="n">
        <v>0.0148</v>
      </c>
      <c r="N1923" s="176" t="n">
        <v>0.0199</v>
      </c>
      <c r="O1923" s="191" t="n">
        <v>1.73</v>
      </c>
      <c r="P1923" s="172" t="inlineStr">
        <is>
          <t>优先A</t>
        </is>
      </c>
      <c r="Q1923" s="175" t="n">
        <v>0.83</v>
      </c>
      <c r="R1923" s="192">
        <f>Q1257*J1257</f>
        <v/>
      </c>
      <c r="S1923" s="172" t="inlineStr">
        <is>
          <t>AAA</t>
        </is>
      </c>
      <c r="T1923" s="175" t="n">
        <v>0.0168</v>
      </c>
      <c r="U1923" s="172" t="inlineStr">
        <is>
          <t>中金自营</t>
        </is>
      </c>
      <c r="V1923" s="191" t="n">
        <v>0.4</v>
      </c>
      <c r="W1923" s="175" t="n">
        <v>0.0168</v>
      </c>
      <c r="X1923" s="172" t="inlineStr">
        <is>
          <t>中金自营</t>
        </is>
      </c>
      <c r="Y1923" s="191" t="n">
        <v>0.4</v>
      </c>
    </row>
    <row r="1924">
      <c r="A1924" s="172" t="n">
        <v>103</v>
      </c>
      <c r="B1924" s="172" t="inlineStr">
        <is>
          <t>6月</t>
        </is>
      </c>
      <c r="C1924" s="172" t="inlineStr">
        <is>
          <t>企金</t>
        </is>
      </c>
      <c r="D1924" s="172" t="inlineStr">
        <is>
          <t>信托企业主贷</t>
        </is>
      </c>
      <c r="E1924" s="172" t="inlineStr">
        <is>
          <t>启赢3-3</t>
        </is>
      </c>
      <c r="F1924" s="172" t="inlineStr">
        <is>
          <t>银行间</t>
        </is>
      </c>
      <c r="G1924" s="172" t="inlineStr">
        <is>
          <t>中信建投</t>
        </is>
      </c>
      <c r="H1924" s="172" t="inlineStr">
        <is>
          <t>国泰海通/中信证券/光大证券</t>
        </is>
      </c>
      <c r="I1924" s="172" t="inlineStr">
        <is>
          <t>工银天津</t>
        </is>
      </c>
      <c r="J1924" s="172" t="n">
        <v>15</v>
      </c>
      <c r="K1924" s="172" t="inlineStr">
        <is>
          <t>9+24</t>
        </is>
      </c>
      <c r="L1924" s="200" t="n">
        <v>46198</v>
      </c>
      <c r="M1924" s="175" t="n">
        <v>0.0148</v>
      </c>
      <c r="N1924" s="176" t="n">
        <v>0.0199</v>
      </c>
      <c r="O1924" s="172" t="n">
        <v>1.73</v>
      </c>
      <c r="P1924" s="172" t="inlineStr">
        <is>
          <t>优先A</t>
        </is>
      </c>
      <c r="Q1924" s="175" t="n">
        <v>0.83</v>
      </c>
      <c r="R1924" s="172">
        <f>Q1257*J1257</f>
        <v/>
      </c>
      <c r="S1924" s="172" t="inlineStr">
        <is>
          <t>AAA</t>
        </is>
      </c>
      <c r="T1924" s="175" t="n">
        <v>0.0168</v>
      </c>
      <c r="U1924" s="172" t="n"/>
      <c r="V1924" s="172" t="n"/>
      <c r="W1924" s="175" t="n">
        <v>0.017</v>
      </c>
      <c r="X1924" s="172" t="inlineStr">
        <is>
          <t>中金自营</t>
        </is>
      </c>
      <c r="Y1924" s="191" t="n">
        <v>0.4</v>
      </c>
    </row>
    <row r="1925">
      <c r="A1925" s="172" t="n">
        <v>103</v>
      </c>
      <c r="B1925" s="172" t="inlineStr">
        <is>
          <t>6月</t>
        </is>
      </c>
      <c r="C1925" s="172" t="inlineStr">
        <is>
          <t>企金</t>
        </is>
      </c>
      <c r="D1925" s="172" t="inlineStr">
        <is>
          <t>信托企业主贷</t>
        </is>
      </c>
      <c r="E1925" s="172" t="inlineStr">
        <is>
          <t>启赢3-3</t>
        </is>
      </c>
      <c r="F1925" s="172" t="inlineStr">
        <is>
          <t>银行间</t>
        </is>
      </c>
      <c r="G1925" s="172" t="inlineStr">
        <is>
          <t>中信建投</t>
        </is>
      </c>
      <c r="H1925" s="172" t="inlineStr">
        <is>
          <t>国泰海通/中信证券/光大证券</t>
        </is>
      </c>
      <c r="I1925" s="172" t="inlineStr">
        <is>
          <t>工银天津</t>
        </is>
      </c>
      <c r="J1925" s="172" t="n">
        <v>15</v>
      </c>
      <c r="K1925" s="172" t="inlineStr">
        <is>
          <t>9+24</t>
        </is>
      </c>
      <c r="L1925" s="200" t="n">
        <v>46198</v>
      </c>
      <c r="M1925" s="175" t="n">
        <v>0.0148</v>
      </c>
      <c r="N1925" s="176" t="n">
        <v>0.0199</v>
      </c>
      <c r="O1925" s="172" t="n">
        <v>1.73</v>
      </c>
      <c r="P1925" s="172" t="inlineStr">
        <is>
          <t>优先A</t>
        </is>
      </c>
      <c r="Q1925" s="175" t="n">
        <v>0.83</v>
      </c>
      <c r="R1925" s="172">
        <f>Q1257*J1257</f>
        <v/>
      </c>
      <c r="S1925" s="172" t="inlineStr">
        <is>
          <t>AAA</t>
        </is>
      </c>
      <c r="T1925" s="175" t="n">
        <v>0.0168</v>
      </c>
      <c r="U1925" s="172" t="n"/>
      <c r="V1925" s="172" t="n"/>
      <c r="W1925" s="175" t="n">
        <v>0.017</v>
      </c>
      <c r="X1925" s="172" t="inlineStr">
        <is>
          <t>建投衍生品投顾</t>
        </is>
      </c>
      <c r="Y1925" s="191" t="n">
        <v>1</v>
      </c>
    </row>
    <row r="1926">
      <c r="A1926" s="172" t="n">
        <v>103</v>
      </c>
      <c r="B1926" s="172" t="inlineStr">
        <is>
          <t>6月</t>
        </is>
      </c>
      <c r="C1926" s="172" t="inlineStr">
        <is>
          <t>企金</t>
        </is>
      </c>
      <c r="D1926" s="172" t="inlineStr">
        <is>
          <t>信托企业主贷</t>
        </is>
      </c>
      <c r="E1926" s="172" t="inlineStr">
        <is>
          <t>启赢3-3</t>
        </is>
      </c>
      <c r="F1926" s="172" t="inlineStr">
        <is>
          <t>银行间</t>
        </is>
      </c>
      <c r="G1926" s="172" t="inlineStr">
        <is>
          <t>中信建投</t>
        </is>
      </c>
      <c r="H1926" s="172" t="inlineStr">
        <is>
          <t>国泰海通/中信证券/光大证券</t>
        </is>
      </c>
      <c r="I1926" s="172" t="inlineStr">
        <is>
          <t>工银天津</t>
        </is>
      </c>
      <c r="J1926" s="172" t="n">
        <v>15</v>
      </c>
      <c r="K1926" s="172" t="inlineStr">
        <is>
          <t>9+24</t>
        </is>
      </c>
      <c r="L1926" s="200" t="n">
        <v>46198</v>
      </c>
      <c r="M1926" s="175" t="n">
        <v>0.0148</v>
      </c>
      <c r="N1926" s="176" t="n">
        <v>0.0199</v>
      </c>
      <c r="O1926" s="172" t="n">
        <v>1.73</v>
      </c>
      <c r="P1926" s="172" t="inlineStr">
        <is>
          <t>优先A</t>
        </is>
      </c>
      <c r="Q1926" s="175" t="n">
        <v>0.83</v>
      </c>
      <c r="R1926" s="172">
        <f>Q1257*J1257</f>
        <v/>
      </c>
      <c r="S1926" s="172" t="inlineStr">
        <is>
          <t>AAA</t>
        </is>
      </c>
      <c r="T1926" s="175" t="n">
        <v>0.0168</v>
      </c>
      <c r="U1926" s="172" t="n"/>
      <c r="V1926" s="172" t="n"/>
      <c r="W1926" s="175" t="n">
        <v>0.02</v>
      </c>
      <c r="X1926" s="172" t="inlineStr">
        <is>
          <t>信达证券</t>
        </is>
      </c>
      <c r="Y1926" s="191" t="n">
        <v>0.8</v>
      </c>
    </row>
    <row r="1927">
      <c r="A1927" s="172" t="n">
        <v>103</v>
      </c>
      <c r="B1927" s="172" t="inlineStr">
        <is>
          <t>6月</t>
        </is>
      </c>
      <c r="C1927" s="172" t="inlineStr">
        <is>
          <t>企金</t>
        </is>
      </c>
      <c r="D1927" s="172" t="inlineStr">
        <is>
          <t>信托企业主贷</t>
        </is>
      </c>
      <c r="E1927" s="172" t="inlineStr">
        <is>
          <t>启赢3-3</t>
        </is>
      </c>
      <c r="F1927" s="172" t="inlineStr">
        <is>
          <t>银行间</t>
        </is>
      </c>
      <c r="G1927" s="172" t="inlineStr">
        <is>
          <t>中信建投</t>
        </is>
      </c>
      <c r="H1927" s="172" t="inlineStr">
        <is>
          <t>国泰海通/中信证券/光大证券</t>
        </is>
      </c>
      <c r="I1927" s="172" t="inlineStr">
        <is>
          <t>工银天津</t>
        </is>
      </c>
      <c r="J1927" s="172" t="n">
        <v>15</v>
      </c>
      <c r="K1927" s="172" t="inlineStr">
        <is>
          <t>9+24</t>
        </is>
      </c>
      <c r="L1927" s="200" t="n">
        <v>46198</v>
      </c>
      <c r="M1927" s="175" t="n">
        <v>0.0148</v>
      </c>
      <c r="N1927" s="176" t="n">
        <v>0.0199</v>
      </c>
      <c r="O1927" s="172" t="n">
        <v>1.73</v>
      </c>
      <c r="P1927" s="172" t="inlineStr">
        <is>
          <t>优先A</t>
        </is>
      </c>
      <c r="Q1927" s="175" t="n">
        <v>0.83</v>
      </c>
      <c r="R1927" s="172">
        <f>Q1257*J1257</f>
        <v/>
      </c>
      <c r="S1927" s="172" t="inlineStr">
        <is>
          <t>AAA</t>
        </is>
      </c>
      <c r="T1927" s="175" t="n">
        <v>0.0168</v>
      </c>
      <c r="U1927" s="172" t="n"/>
      <c r="V1927" s="172" t="n"/>
      <c r="W1927" s="175" t="n">
        <v>0.024</v>
      </c>
      <c r="X1927" s="172" t="inlineStr">
        <is>
          <t>建投机构部</t>
        </is>
      </c>
      <c r="Y1927" s="191" t="n">
        <v>0.5</v>
      </c>
    </row>
    <row r="1928">
      <c r="A1928" s="172" t="n">
        <v>103</v>
      </c>
      <c r="B1928" s="172" t="inlineStr">
        <is>
          <t>6月</t>
        </is>
      </c>
      <c r="C1928" s="172" t="inlineStr">
        <is>
          <t>企金</t>
        </is>
      </c>
      <c r="D1928" s="172" t="inlineStr">
        <is>
          <t>信托企业主贷</t>
        </is>
      </c>
      <c r="E1928" s="172" t="inlineStr">
        <is>
          <t>启赢3-3</t>
        </is>
      </c>
      <c r="F1928" s="172" t="inlineStr">
        <is>
          <t>银行间</t>
        </is>
      </c>
      <c r="G1928" s="172" t="inlineStr">
        <is>
          <t>中信建投</t>
        </is>
      </c>
      <c r="H1928" s="172" t="inlineStr">
        <is>
          <t>国泰海通/中信证券/光大证券</t>
        </is>
      </c>
      <c r="I1928" s="172" t="inlineStr">
        <is>
          <t>工银天津</t>
        </is>
      </c>
      <c r="J1928" s="172" t="n">
        <v>15</v>
      </c>
      <c r="K1928" s="172" t="inlineStr">
        <is>
          <t>9+24</t>
        </is>
      </c>
      <c r="L1928" s="200" t="n">
        <v>46198</v>
      </c>
      <c r="M1928" s="175" t="n">
        <v>0.0148</v>
      </c>
      <c r="N1928" s="176" t="n">
        <v>0.0199</v>
      </c>
      <c r="O1928" s="172" t="n">
        <v>1.73</v>
      </c>
      <c r="P1928" s="172" t="inlineStr">
        <is>
          <t>优先A</t>
        </is>
      </c>
      <c r="Q1928" s="175" t="n">
        <v>0.83</v>
      </c>
      <c r="R1928" s="172">
        <f>Q1257*J1257</f>
        <v/>
      </c>
      <c r="S1928" s="172" t="inlineStr">
        <is>
          <t>AAA</t>
        </is>
      </c>
      <c r="T1928" s="175" t="n">
        <v>0.0168</v>
      </c>
      <c r="U1928" s="172" t="n"/>
      <c r="V1928" s="172" t="n"/>
      <c r="W1928" s="175" t="n">
        <v>0.024</v>
      </c>
      <c r="X1928" s="172" t="inlineStr">
        <is>
          <t>建投衍生品自营</t>
        </is>
      </c>
      <c r="Y1928" s="191" t="n">
        <v>1.8</v>
      </c>
    </row>
    <row r="1929">
      <c r="A1929" s="172" t="n">
        <v>103</v>
      </c>
      <c r="B1929" s="172" t="inlineStr">
        <is>
          <t>6月</t>
        </is>
      </c>
      <c r="C1929" s="172" t="inlineStr">
        <is>
          <t>企金</t>
        </is>
      </c>
      <c r="D1929" s="172" t="inlineStr">
        <is>
          <t>信托企业主贷</t>
        </is>
      </c>
      <c r="E1929" s="172" t="inlineStr">
        <is>
          <t>启赢3-3</t>
        </is>
      </c>
      <c r="F1929" s="172" t="inlineStr">
        <is>
          <t>银行间</t>
        </is>
      </c>
      <c r="G1929" s="172" t="inlineStr">
        <is>
          <t>中信建投</t>
        </is>
      </c>
      <c r="H1929" s="172" t="inlineStr">
        <is>
          <t>国泰海通/中信证券/光大证券</t>
        </is>
      </c>
      <c r="I1929" s="172" t="inlineStr">
        <is>
          <t>工银天津</t>
        </is>
      </c>
      <c r="J1929" s="172" t="n">
        <v>15</v>
      </c>
      <c r="K1929" s="172" t="inlineStr">
        <is>
          <t>9+24</t>
        </is>
      </c>
      <c r="L1929" s="200" t="n">
        <v>46198</v>
      </c>
      <c r="M1929" s="175" t="n">
        <v>0.0148</v>
      </c>
      <c r="N1929" s="176" t="n">
        <v>0.0199</v>
      </c>
      <c r="O1929" s="172" t="n">
        <v>1.73</v>
      </c>
      <c r="P1929" s="172" t="inlineStr">
        <is>
          <t>优先A</t>
        </is>
      </c>
      <c r="Q1929" s="175" t="n">
        <v>0.83</v>
      </c>
      <c r="R1929" s="172">
        <f>Q1257*J1257</f>
        <v/>
      </c>
      <c r="S1929" s="172" t="inlineStr">
        <is>
          <t>AAA</t>
        </is>
      </c>
      <c r="T1929" s="175" t="n">
        <v>0.0168</v>
      </c>
      <c r="U1929" s="172" t="n"/>
      <c r="V1929" s="172" t="n"/>
      <c r="W1929" s="175" t="n">
        <v>0.024</v>
      </c>
      <c r="X1929" s="172" t="inlineStr">
        <is>
          <t>华宝资管</t>
        </is>
      </c>
      <c r="Y1929" s="191" t="n">
        <v>1</v>
      </c>
    </row>
    <row r="1930">
      <c r="A1930" s="172" t="n">
        <v>103</v>
      </c>
      <c r="B1930" s="172" t="inlineStr">
        <is>
          <t>6月</t>
        </is>
      </c>
      <c r="C1930" s="172" t="inlineStr">
        <is>
          <t>企金</t>
        </is>
      </c>
      <c r="D1930" s="172" t="inlineStr">
        <is>
          <t>信托企业主贷</t>
        </is>
      </c>
      <c r="E1930" s="172" t="inlineStr">
        <is>
          <t>启赢3-3</t>
        </is>
      </c>
      <c r="F1930" s="172" t="inlineStr">
        <is>
          <t>银行间</t>
        </is>
      </c>
      <c r="G1930" s="172" t="inlineStr">
        <is>
          <t>中信建投</t>
        </is>
      </c>
      <c r="H1930" s="172" t="inlineStr">
        <is>
          <t>国泰海通/中信证券/光大证券</t>
        </is>
      </c>
      <c r="I1930" s="172" t="inlineStr">
        <is>
          <t>工银天津</t>
        </is>
      </c>
      <c r="J1930" s="172" t="n">
        <v>15</v>
      </c>
      <c r="K1930" s="172" t="inlineStr">
        <is>
          <t>9+24</t>
        </is>
      </c>
      <c r="L1930" s="202" t="n">
        <v>46198</v>
      </c>
      <c r="M1930" s="175" t="n">
        <v>0.0148</v>
      </c>
      <c r="N1930" s="176" t="n">
        <v>0.0199</v>
      </c>
      <c r="O1930" s="191" t="n">
        <v>1.73</v>
      </c>
      <c r="P1930" s="172" t="inlineStr">
        <is>
          <t>优先B</t>
        </is>
      </c>
      <c r="Q1930" s="175" t="n">
        <v>0.05</v>
      </c>
      <c r="R1930" s="192">
        <f>J1257*Q1265</f>
        <v/>
      </c>
      <c r="S1930" s="175" t="inlineStr">
        <is>
          <t>AA+</t>
        </is>
      </c>
      <c r="T1930" s="175" t="n">
        <v>0.018</v>
      </c>
      <c r="U1930" s="172" t="inlineStr">
        <is>
          <t>建信信托</t>
        </is>
      </c>
      <c r="V1930" s="191" t="n">
        <v>0.3</v>
      </c>
      <c r="W1930" s="175" t="n">
        <v>0.018</v>
      </c>
      <c r="X1930" s="172" t="inlineStr">
        <is>
          <t>建信信托</t>
        </is>
      </c>
      <c r="Y1930" s="191" t="n">
        <v>0.3</v>
      </c>
    </row>
    <row r="1931">
      <c r="A1931" s="172" t="n">
        <v>103</v>
      </c>
      <c r="B1931" s="172" t="inlineStr">
        <is>
          <t>6月</t>
        </is>
      </c>
      <c r="C1931" s="172" t="inlineStr">
        <is>
          <t>企金</t>
        </is>
      </c>
      <c r="D1931" s="172" t="inlineStr">
        <is>
          <t>信托企业主贷</t>
        </is>
      </c>
      <c r="E1931" s="172" t="inlineStr">
        <is>
          <t>启赢3-3</t>
        </is>
      </c>
      <c r="F1931" s="172" t="inlineStr">
        <is>
          <t>银行间</t>
        </is>
      </c>
      <c r="G1931" s="172" t="inlineStr">
        <is>
          <t>中信建投</t>
        </is>
      </c>
      <c r="H1931" s="172" t="inlineStr">
        <is>
          <t>国泰海通/中信证券/光大证券</t>
        </is>
      </c>
      <c r="I1931" s="172" t="inlineStr">
        <is>
          <t>工银天津</t>
        </is>
      </c>
      <c r="J1931" s="172" t="n">
        <v>15</v>
      </c>
      <c r="K1931" s="172" t="inlineStr">
        <is>
          <t>9+24</t>
        </is>
      </c>
      <c r="L1931" s="202" t="n">
        <v>46198</v>
      </c>
      <c r="M1931" s="175" t="n">
        <v>0.0148</v>
      </c>
      <c r="N1931" s="176" t="n">
        <v>0.0199</v>
      </c>
      <c r="O1931" s="191" t="n">
        <v>1.73</v>
      </c>
      <c r="P1931" s="172" t="inlineStr">
        <is>
          <t>优先B</t>
        </is>
      </c>
      <c r="Q1931" s="175" t="n">
        <v>0.05</v>
      </c>
      <c r="R1931" s="192">
        <f>J1257*Q1265</f>
        <v/>
      </c>
      <c r="S1931" s="175" t="inlineStr">
        <is>
          <t>AA+</t>
        </is>
      </c>
      <c r="T1931" s="175" t="n">
        <v>0.018</v>
      </c>
      <c r="U1931" s="172" t="inlineStr">
        <is>
          <t>交银理财</t>
        </is>
      </c>
      <c r="V1931" s="191" t="n">
        <v>0.22</v>
      </c>
      <c r="W1931" s="175" t="n">
        <v>0.017</v>
      </c>
      <c r="X1931" s="172" t="inlineStr">
        <is>
          <t>交银理财</t>
        </is>
      </c>
      <c r="Y1931" s="191" t="n">
        <v>0.22</v>
      </c>
    </row>
    <row r="1932">
      <c r="A1932" s="172" t="n">
        <v>103</v>
      </c>
      <c r="B1932" s="172" t="inlineStr">
        <is>
          <t>6月</t>
        </is>
      </c>
      <c r="C1932" s="172" t="inlineStr">
        <is>
          <t>企金</t>
        </is>
      </c>
      <c r="D1932" s="172" t="inlineStr">
        <is>
          <t>信托企业主贷</t>
        </is>
      </c>
      <c r="E1932" s="172" t="inlineStr">
        <is>
          <t>启赢3-3</t>
        </is>
      </c>
      <c r="F1932" s="172" t="inlineStr">
        <is>
          <t>银行间</t>
        </is>
      </c>
      <c r="G1932" s="172" t="inlineStr">
        <is>
          <t>中信建投</t>
        </is>
      </c>
      <c r="H1932" s="172" t="inlineStr">
        <is>
          <t>国泰海通/中信证券/光大证券</t>
        </is>
      </c>
      <c r="I1932" s="172" t="inlineStr">
        <is>
          <t>工银天津</t>
        </is>
      </c>
      <c r="J1932" s="172" t="n">
        <v>15</v>
      </c>
      <c r="K1932" s="172" t="inlineStr">
        <is>
          <t>9+24</t>
        </is>
      </c>
      <c r="L1932" s="202" t="n">
        <v>46198</v>
      </c>
      <c r="M1932" s="175" t="n">
        <v>0.0148</v>
      </c>
      <c r="N1932" s="176" t="n">
        <v>0.0199</v>
      </c>
      <c r="O1932" s="191" t="n">
        <v>1.73</v>
      </c>
      <c r="P1932" s="172" t="inlineStr">
        <is>
          <t>优先B</t>
        </is>
      </c>
      <c r="Q1932" s="175" t="n">
        <v>0.05</v>
      </c>
      <c r="R1932" s="192">
        <f>J1257*Q1265</f>
        <v/>
      </c>
      <c r="S1932" s="175" t="inlineStr">
        <is>
          <t>AA+</t>
        </is>
      </c>
      <c r="T1932" s="175" t="n">
        <v>0.018</v>
      </c>
      <c r="U1932" s="172" t="inlineStr">
        <is>
          <t>中信证券资管</t>
        </is>
      </c>
      <c r="V1932" s="191" t="n">
        <v>0.18</v>
      </c>
      <c r="W1932" s="175" t="n">
        <v>0.0174</v>
      </c>
      <c r="X1932" s="172" t="inlineStr">
        <is>
          <t>中信证券资管</t>
        </is>
      </c>
      <c r="Y1932" s="191" t="n">
        <v>0.18</v>
      </c>
    </row>
    <row r="1933">
      <c r="A1933" s="172" t="n">
        <v>103</v>
      </c>
      <c r="B1933" s="172" t="inlineStr">
        <is>
          <t>6月</t>
        </is>
      </c>
      <c r="C1933" s="172" t="inlineStr">
        <is>
          <t>企金</t>
        </is>
      </c>
      <c r="D1933" s="172" t="inlineStr">
        <is>
          <t>信托企业主贷</t>
        </is>
      </c>
      <c r="E1933" s="172" t="inlineStr">
        <is>
          <t>启赢3-3</t>
        </is>
      </c>
      <c r="F1933" s="172" t="inlineStr">
        <is>
          <t>银行间</t>
        </is>
      </c>
      <c r="G1933" s="172" t="inlineStr">
        <is>
          <t>中信建投</t>
        </is>
      </c>
      <c r="H1933" s="172" t="inlineStr">
        <is>
          <t>国泰海通/中信证券/光大证券</t>
        </is>
      </c>
      <c r="I1933" s="172" t="inlineStr">
        <is>
          <t>工银天津</t>
        </is>
      </c>
      <c r="J1933" s="172" t="n">
        <v>15</v>
      </c>
      <c r="K1933" s="172" t="inlineStr">
        <is>
          <t>9+24</t>
        </is>
      </c>
      <c r="L1933" s="200" t="n">
        <v>46198</v>
      </c>
      <c r="M1933" s="175" t="n">
        <v>0.0148</v>
      </c>
      <c r="N1933" s="176" t="n">
        <v>0.0199</v>
      </c>
      <c r="O1933" s="172" t="n">
        <v>1.73</v>
      </c>
      <c r="P1933" s="172" t="inlineStr">
        <is>
          <t>优先B</t>
        </is>
      </c>
      <c r="Q1933" s="175" t="n">
        <v>0.05</v>
      </c>
      <c r="R1933" s="172">
        <f>J1257*Q1265</f>
        <v/>
      </c>
      <c r="S1933" s="172" t="inlineStr">
        <is>
          <t>AA+</t>
        </is>
      </c>
      <c r="T1933" s="175" t="n">
        <v>0.018</v>
      </c>
      <c r="U1933" s="172" t="n"/>
      <c r="V1933" s="172" t="n"/>
      <c r="W1933" s="175" t="n">
        <v>0.02</v>
      </c>
      <c r="X1933" s="172" t="inlineStr">
        <is>
          <t>中信证券资管</t>
        </is>
      </c>
      <c r="Y1933" s="191" t="n">
        <v>0.1</v>
      </c>
    </row>
    <row r="1934">
      <c r="A1934" s="172" t="n">
        <v>103</v>
      </c>
      <c r="B1934" s="172" t="inlineStr">
        <is>
          <t>6月</t>
        </is>
      </c>
      <c r="C1934" s="172" t="inlineStr">
        <is>
          <t>企金</t>
        </is>
      </c>
      <c r="D1934" s="172" t="inlineStr">
        <is>
          <t>信托企业主贷</t>
        </is>
      </c>
      <c r="E1934" s="172" t="inlineStr">
        <is>
          <t>启赢3-3</t>
        </is>
      </c>
      <c r="F1934" s="172" t="inlineStr">
        <is>
          <t>银行间</t>
        </is>
      </c>
      <c r="G1934" s="172" t="inlineStr">
        <is>
          <t>中信建投</t>
        </is>
      </c>
      <c r="H1934" s="172" t="inlineStr">
        <is>
          <t>国泰海通/中信证券/光大证券</t>
        </is>
      </c>
      <c r="I1934" s="172" t="inlineStr">
        <is>
          <t>工银天津</t>
        </is>
      </c>
      <c r="J1934" s="172" t="n">
        <v>15</v>
      </c>
      <c r="K1934" s="172" t="inlineStr">
        <is>
          <t>9+24</t>
        </is>
      </c>
      <c r="L1934" s="202" t="n">
        <v>46198</v>
      </c>
      <c r="M1934" s="175" t="n">
        <v>0.0148</v>
      </c>
      <c r="N1934" s="176" t="n">
        <v>0.0199</v>
      </c>
      <c r="O1934" s="191" t="n">
        <v>1.73</v>
      </c>
      <c r="P1934" s="172" t="inlineStr">
        <is>
          <t>优先B</t>
        </is>
      </c>
      <c r="Q1934" s="175" t="n">
        <v>0.05</v>
      </c>
      <c r="R1934" s="192">
        <f>J1257*Q1265</f>
        <v/>
      </c>
      <c r="S1934" s="175" t="inlineStr">
        <is>
          <t>AA+</t>
        </is>
      </c>
      <c r="T1934" s="175" t="n">
        <v>0.018</v>
      </c>
      <c r="U1934" s="172" t="inlineStr">
        <is>
          <t>中信建投投行</t>
        </is>
      </c>
      <c r="V1934" s="191" t="n">
        <v>0.05</v>
      </c>
      <c r="W1934" s="175" t="n">
        <v>0.018</v>
      </c>
      <c r="X1934" s="172" t="inlineStr">
        <is>
          <t>中信建投</t>
        </is>
      </c>
      <c r="Y1934" s="191" t="n">
        <v>0.05</v>
      </c>
    </row>
    <row r="1935">
      <c r="A1935" s="172" t="n">
        <v>103</v>
      </c>
      <c r="B1935" s="172" t="inlineStr">
        <is>
          <t>6月</t>
        </is>
      </c>
      <c r="C1935" s="172" t="inlineStr">
        <is>
          <t>企金</t>
        </is>
      </c>
      <c r="D1935" s="172" t="inlineStr">
        <is>
          <t>信托企业主贷</t>
        </is>
      </c>
      <c r="E1935" s="172" t="inlineStr">
        <is>
          <t>启赢3-3</t>
        </is>
      </c>
      <c r="F1935" s="172" t="inlineStr">
        <is>
          <t>银行间</t>
        </is>
      </c>
      <c r="G1935" s="172" t="inlineStr">
        <is>
          <t>中信建投</t>
        </is>
      </c>
      <c r="H1935" s="172" t="inlineStr">
        <is>
          <t>国泰海通/中信证券/光大证券</t>
        </is>
      </c>
      <c r="I1935" s="172" t="inlineStr">
        <is>
          <t>工银天津</t>
        </is>
      </c>
      <c r="J1935" s="172" t="n">
        <v>15</v>
      </c>
      <c r="K1935" s="172" t="inlineStr">
        <is>
          <t>9+24</t>
        </is>
      </c>
      <c r="L1935" s="200" t="n">
        <v>46198</v>
      </c>
      <c r="M1935" s="175" t="n">
        <v>0.0148</v>
      </c>
      <c r="N1935" s="176" t="n">
        <v>0.0199</v>
      </c>
      <c r="O1935" s="172" t="n">
        <v>1.73</v>
      </c>
      <c r="P1935" s="172" t="inlineStr">
        <is>
          <t>优先B</t>
        </is>
      </c>
      <c r="Q1935" s="175" t="n">
        <v>0.05</v>
      </c>
      <c r="R1935" s="172">
        <f>J1257*Q1265</f>
        <v/>
      </c>
      <c r="S1935" s="172" t="inlineStr">
        <is>
          <t>AA+</t>
        </is>
      </c>
      <c r="T1935" s="175" t="n">
        <v>0.018</v>
      </c>
      <c r="U1935" s="172" t="n"/>
      <c r="V1935" s="172" t="n"/>
      <c r="W1935" s="175" t="n">
        <v>0.019</v>
      </c>
      <c r="X1935" s="172" t="inlineStr">
        <is>
          <t>中金自营</t>
        </is>
      </c>
      <c r="Y1935" s="191" t="n">
        <v>0.3</v>
      </c>
    </row>
    <row r="1936">
      <c r="A1936" s="172" t="n">
        <v>103</v>
      </c>
      <c r="B1936" s="172" t="inlineStr">
        <is>
          <t>6月</t>
        </is>
      </c>
      <c r="C1936" s="172" t="inlineStr">
        <is>
          <t>企金</t>
        </is>
      </c>
      <c r="D1936" s="172" t="inlineStr">
        <is>
          <t>信托企业主贷</t>
        </is>
      </c>
      <c r="E1936" s="172" t="inlineStr">
        <is>
          <t>启赢3-3</t>
        </is>
      </c>
      <c r="F1936" s="172" t="inlineStr">
        <is>
          <t>银行间</t>
        </is>
      </c>
      <c r="G1936" s="172" t="inlineStr">
        <is>
          <t>中信建投</t>
        </is>
      </c>
      <c r="H1936" s="172" t="inlineStr">
        <is>
          <t>国泰海通/中信证券/光大证券</t>
        </is>
      </c>
      <c r="I1936" s="172" t="inlineStr">
        <is>
          <t>工银天津</t>
        </is>
      </c>
      <c r="J1936" s="172" t="n">
        <v>15</v>
      </c>
      <c r="K1936" s="172" t="inlineStr">
        <is>
          <t>9+24</t>
        </is>
      </c>
      <c r="L1936" s="202" t="n">
        <v>46198</v>
      </c>
      <c r="M1936" s="175" t="n">
        <v>0.0148</v>
      </c>
      <c r="N1936" s="176" t="n">
        <v>0.0199</v>
      </c>
      <c r="O1936" s="191" t="n">
        <v>1.73</v>
      </c>
      <c r="P1936" s="172" t="inlineStr">
        <is>
          <t>中间级</t>
        </is>
      </c>
      <c r="Q1936" s="175" t="n">
        <v>0.07000000000000001</v>
      </c>
      <c r="R1936" s="192">
        <f>J1257*Q1269</f>
        <v/>
      </c>
      <c r="S1936" s="175" t="inlineStr">
        <is>
          <t>AA-</t>
        </is>
      </c>
      <c r="T1936" s="175" t="n">
        <v>0.031</v>
      </c>
      <c r="U1936" s="172" t="inlineStr">
        <is>
          <t>中金投顾</t>
        </is>
      </c>
      <c r="V1936" s="191" t="n">
        <v>0.35</v>
      </c>
      <c r="W1936" s="172" t="n"/>
      <c r="X1936" s="172" t="n"/>
      <c r="Y1936" s="172" t="n"/>
    </row>
    <row r="1937">
      <c r="A1937" s="172" t="n">
        <v>103</v>
      </c>
      <c r="B1937" s="172" t="inlineStr">
        <is>
          <t>6月</t>
        </is>
      </c>
      <c r="C1937" s="172" t="inlineStr">
        <is>
          <t>企金</t>
        </is>
      </c>
      <c r="D1937" s="172" t="inlineStr">
        <is>
          <t>信托企业主贷</t>
        </is>
      </c>
      <c r="E1937" s="172" t="inlineStr">
        <is>
          <t>启赢3-3</t>
        </is>
      </c>
      <c r="F1937" s="172" t="inlineStr">
        <is>
          <t>银行间</t>
        </is>
      </c>
      <c r="G1937" s="172" t="inlineStr">
        <is>
          <t>中信建投</t>
        </is>
      </c>
      <c r="H1937" s="172" t="inlineStr">
        <is>
          <t>国泰海通/中信证券/光大证券</t>
        </is>
      </c>
      <c r="I1937" s="172" t="inlineStr">
        <is>
          <t>工银天津</t>
        </is>
      </c>
      <c r="J1937" s="172" t="n">
        <v>15</v>
      </c>
      <c r="K1937" s="172" t="inlineStr">
        <is>
          <t>9+24</t>
        </is>
      </c>
      <c r="L1937" s="202" t="n">
        <v>46198</v>
      </c>
      <c r="M1937" s="175" t="n">
        <v>0.0148</v>
      </c>
      <c r="N1937" s="176" t="n">
        <v>0.0199</v>
      </c>
      <c r="O1937" s="191" t="n">
        <v>1.73</v>
      </c>
      <c r="P1937" s="172" t="inlineStr">
        <is>
          <t>中间级</t>
        </is>
      </c>
      <c r="Q1937" s="175" t="n">
        <v>0.07000000000000001</v>
      </c>
      <c r="R1937" s="192">
        <f>J1257*Q1269</f>
        <v/>
      </c>
      <c r="S1937" s="175" t="inlineStr">
        <is>
          <t>AA-</t>
        </is>
      </c>
      <c r="T1937" s="175" t="n">
        <v>0.031</v>
      </c>
      <c r="U1937" s="172" t="inlineStr">
        <is>
          <t>建信信托</t>
        </is>
      </c>
      <c r="V1937" s="191" t="n">
        <v>0.3</v>
      </c>
      <c r="W1937" s="172" t="n"/>
      <c r="X1937" s="172" t="n"/>
      <c r="Y1937" s="172" t="n"/>
    </row>
    <row r="1938">
      <c r="A1938" s="172" t="n">
        <v>103</v>
      </c>
      <c r="B1938" s="172" t="inlineStr">
        <is>
          <t>6月</t>
        </is>
      </c>
      <c r="C1938" s="172" t="inlineStr">
        <is>
          <t>企金</t>
        </is>
      </c>
      <c r="D1938" s="172" t="inlineStr">
        <is>
          <t>信托企业主贷</t>
        </is>
      </c>
      <c r="E1938" s="172" t="inlineStr">
        <is>
          <t>启赢3-3</t>
        </is>
      </c>
      <c r="F1938" s="172" t="inlineStr">
        <is>
          <t>银行间</t>
        </is>
      </c>
      <c r="G1938" s="172" t="inlineStr">
        <is>
          <t>中信建投</t>
        </is>
      </c>
      <c r="H1938" s="172" t="inlineStr">
        <is>
          <t>国泰海通/中信证券/光大证券</t>
        </is>
      </c>
      <c r="I1938" s="172" t="inlineStr">
        <is>
          <t>工银天津</t>
        </is>
      </c>
      <c r="J1938" s="172" t="n">
        <v>15</v>
      </c>
      <c r="K1938" s="172" t="inlineStr">
        <is>
          <t>9+24</t>
        </is>
      </c>
      <c r="L1938" s="202" t="n">
        <v>46198</v>
      </c>
      <c r="M1938" s="175" t="n">
        <v>0.0148</v>
      </c>
      <c r="N1938" s="176" t="n">
        <v>0.0199</v>
      </c>
      <c r="O1938" s="191" t="n">
        <v>1.73</v>
      </c>
      <c r="P1938" s="172" t="inlineStr">
        <is>
          <t>中间级</t>
        </is>
      </c>
      <c r="Q1938" s="175" t="n">
        <v>0.07000000000000001</v>
      </c>
      <c r="R1938" s="192">
        <f>J1257*Q1269</f>
        <v/>
      </c>
      <c r="S1938" s="175" t="inlineStr">
        <is>
          <t>AA-</t>
        </is>
      </c>
      <c r="T1938" s="175" t="n">
        <v>0.031</v>
      </c>
      <c r="U1938" s="172" t="inlineStr">
        <is>
          <t>西部证券自营</t>
        </is>
      </c>
      <c r="V1938" s="191" t="n">
        <v>0.2</v>
      </c>
      <c r="W1938" s="172" t="n"/>
      <c r="X1938" s="172" t="n"/>
      <c r="Y1938" s="172" t="n"/>
    </row>
    <row r="1939">
      <c r="A1939" s="172" t="n">
        <v>103</v>
      </c>
      <c r="B1939" s="172" t="inlineStr">
        <is>
          <t>6月</t>
        </is>
      </c>
      <c r="C1939" s="172" t="inlineStr">
        <is>
          <t>企金</t>
        </is>
      </c>
      <c r="D1939" s="172" t="inlineStr">
        <is>
          <t>信托企业主贷</t>
        </is>
      </c>
      <c r="E1939" s="172" t="inlineStr">
        <is>
          <t>启赢3-3</t>
        </is>
      </c>
      <c r="F1939" s="172" t="inlineStr">
        <is>
          <t>银行间</t>
        </is>
      </c>
      <c r="G1939" s="172" t="inlineStr">
        <is>
          <t>中信建投</t>
        </is>
      </c>
      <c r="H1939" s="172" t="inlineStr">
        <is>
          <t>国泰海通/中信证券/光大证券</t>
        </is>
      </c>
      <c r="I1939" s="172" t="inlineStr">
        <is>
          <t>工银天津</t>
        </is>
      </c>
      <c r="J1939" s="172" t="n">
        <v>15</v>
      </c>
      <c r="K1939" s="172" t="inlineStr">
        <is>
          <t>9+24</t>
        </is>
      </c>
      <c r="L1939" s="202" t="n">
        <v>46198</v>
      </c>
      <c r="M1939" s="175" t="n">
        <v>0.0148</v>
      </c>
      <c r="N1939" s="176" t="n">
        <v>0.0199</v>
      </c>
      <c r="O1939" s="191" t="n">
        <v>1.73</v>
      </c>
      <c r="P1939" s="172" t="inlineStr">
        <is>
          <t>中间级</t>
        </is>
      </c>
      <c r="Q1939" s="175" t="n">
        <v>0.07000000000000001</v>
      </c>
      <c r="R1939" s="192">
        <f>J1257*Q1269</f>
        <v/>
      </c>
      <c r="S1939" s="175" t="inlineStr">
        <is>
          <t>AA-</t>
        </is>
      </c>
      <c r="T1939" s="175" t="n">
        <v>0.031</v>
      </c>
      <c r="U1939" s="172" t="inlineStr">
        <is>
          <t>朗姿韩亚</t>
        </is>
      </c>
      <c r="V1939" s="191" t="n">
        <v>0.2</v>
      </c>
      <c r="W1939" s="172" t="n"/>
      <c r="X1939" s="172" t="n"/>
      <c r="Y1939" s="172" t="n"/>
    </row>
    <row r="1940">
      <c r="A1940" s="172" t="n">
        <v>103</v>
      </c>
      <c r="B1940" s="172" t="inlineStr">
        <is>
          <t>6月</t>
        </is>
      </c>
      <c r="C1940" s="172" t="inlineStr">
        <is>
          <t>企金</t>
        </is>
      </c>
      <c r="D1940" s="172" t="inlineStr">
        <is>
          <t>信托企业主贷</t>
        </is>
      </c>
      <c r="E1940" s="172" t="inlineStr">
        <is>
          <t>启赢3-3</t>
        </is>
      </c>
      <c r="F1940" s="172" t="inlineStr">
        <is>
          <t>银行间</t>
        </is>
      </c>
      <c r="G1940" s="172" t="inlineStr">
        <is>
          <t>中信建投</t>
        </is>
      </c>
      <c r="H1940" s="172" t="inlineStr">
        <is>
          <t>国泰海通/中信证券/光大证券</t>
        </is>
      </c>
      <c r="I1940" s="172" t="inlineStr">
        <is>
          <t>工银天津</t>
        </is>
      </c>
      <c r="J1940" s="172" t="n">
        <v>15</v>
      </c>
      <c r="K1940" s="172" t="inlineStr">
        <is>
          <t>9+24</t>
        </is>
      </c>
      <c r="L1940" s="202" t="n">
        <v>46198</v>
      </c>
      <c r="M1940" s="175" t="n">
        <v>0.0148</v>
      </c>
      <c r="N1940" s="176" t="n">
        <v>0.0199</v>
      </c>
      <c r="O1940" s="191" t="n">
        <v>1.73</v>
      </c>
      <c r="P1940" s="172" t="inlineStr">
        <is>
          <t>次级</t>
        </is>
      </c>
      <c r="Q1940" s="175" t="n">
        <v>0.05</v>
      </c>
      <c r="R1940" s="192">
        <f>J1257*Q1273</f>
        <v/>
      </c>
      <c r="S1940" s="175" t="inlineStr">
        <is>
          <t>无</t>
        </is>
      </c>
      <c r="T1940" s="175" t="n">
        <v>0.0515</v>
      </c>
      <c r="U1940" s="172" t="inlineStr">
        <is>
          <t>国信证券自营</t>
        </is>
      </c>
      <c r="V1940" s="193" t="n">
        <v>0.275</v>
      </c>
      <c r="W1940" s="172" t="n"/>
      <c r="X1940" s="172" t="n"/>
      <c r="Y1940" s="172" t="n"/>
    </row>
    <row r="1941">
      <c r="A1941" s="172" t="n">
        <v>103</v>
      </c>
      <c r="B1941" s="172" t="inlineStr">
        <is>
          <t>6月</t>
        </is>
      </c>
      <c r="C1941" s="172" t="inlineStr">
        <is>
          <t>企金</t>
        </is>
      </c>
      <c r="D1941" s="172" t="inlineStr">
        <is>
          <t>信托企业主贷</t>
        </is>
      </c>
      <c r="E1941" s="172" t="inlineStr">
        <is>
          <t>启赢3-3</t>
        </is>
      </c>
      <c r="F1941" s="172" t="inlineStr">
        <is>
          <t>银行间</t>
        </is>
      </c>
      <c r="G1941" s="172" t="inlineStr">
        <is>
          <t>中信建投</t>
        </is>
      </c>
      <c r="H1941" s="172" t="inlineStr">
        <is>
          <t>国泰海通/中信证券/光大证券</t>
        </is>
      </c>
      <c r="I1941" s="172" t="inlineStr">
        <is>
          <t>工银天津</t>
        </is>
      </c>
      <c r="J1941" s="172" t="n">
        <v>15</v>
      </c>
      <c r="K1941" s="172" t="inlineStr">
        <is>
          <t>9+24</t>
        </is>
      </c>
      <c r="L1941" s="202" t="n">
        <v>46198</v>
      </c>
      <c r="M1941" s="175" t="n">
        <v>0.0148</v>
      </c>
      <c r="N1941" s="176" t="n">
        <v>0.0199</v>
      </c>
      <c r="O1941" s="191" t="n">
        <v>1.73</v>
      </c>
      <c r="P1941" s="172" t="inlineStr">
        <is>
          <t>次级</t>
        </is>
      </c>
      <c r="Q1941" s="175" t="n">
        <v>0.05</v>
      </c>
      <c r="R1941" s="192">
        <f>J1257*Q1273</f>
        <v/>
      </c>
      <c r="S1941" s="175" t="inlineStr">
        <is>
          <t>无</t>
        </is>
      </c>
      <c r="T1941" s="175" t="n">
        <v>0.0515</v>
      </c>
      <c r="U1941" s="172" t="inlineStr">
        <is>
          <t>华泰证券自营</t>
        </is>
      </c>
      <c r="V1941" s="191" t="n">
        <v>0.11</v>
      </c>
      <c r="W1941" s="172" t="n"/>
      <c r="X1941" s="172" t="n"/>
      <c r="Y1941" s="172" t="n"/>
    </row>
    <row r="1942">
      <c r="A1942" s="172" t="n">
        <v>103</v>
      </c>
      <c r="B1942" s="172" t="inlineStr">
        <is>
          <t>6月</t>
        </is>
      </c>
      <c r="C1942" s="172" t="inlineStr">
        <is>
          <t>企金</t>
        </is>
      </c>
      <c r="D1942" s="172" t="inlineStr">
        <is>
          <t>信托企业主贷</t>
        </is>
      </c>
      <c r="E1942" s="172" t="inlineStr">
        <is>
          <t>启赢3-3</t>
        </is>
      </c>
      <c r="F1942" s="172" t="inlineStr">
        <is>
          <t>银行间</t>
        </is>
      </c>
      <c r="G1942" s="172" t="inlineStr">
        <is>
          <t>中信建投</t>
        </is>
      </c>
      <c r="H1942" s="172" t="inlineStr">
        <is>
          <t>国泰海通/中信证券/光大证券</t>
        </is>
      </c>
      <c r="I1942" s="172" t="inlineStr">
        <is>
          <t>工银天津</t>
        </is>
      </c>
      <c r="J1942" s="172" t="n">
        <v>15</v>
      </c>
      <c r="K1942" s="172" t="inlineStr">
        <is>
          <t>9+24</t>
        </is>
      </c>
      <c r="L1942" s="202" t="n">
        <v>46198</v>
      </c>
      <c r="M1942" s="175" t="n">
        <v>0.0148</v>
      </c>
      <c r="N1942" s="176" t="n">
        <v>0.0199</v>
      </c>
      <c r="O1942" s="191" t="n">
        <v>1.73</v>
      </c>
      <c r="P1942" s="172" t="inlineStr">
        <is>
          <t>次级</t>
        </is>
      </c>
      <c r="Q1942" s="175" t="n">
        <v>0.05</v>
      </c>
      <c r="R1942" s="192">
        <f>J1257*Q1273</f>
        <v/>
      </c>
      <c r="S1942" s="175" t="inlineStr">
        <is>
          <t>无</t>
        </is>
      </c>
      <c r="T1942" s="175" t="n">
        <v>0.0515</v>
      </c>
      <c r="U1942" s="172" t="inlineStr">
        <is>
          <t>国泰海通自营</t>
        </is>
      </c>
      <c r="V1942" s="193" t="n">
        <v>0.255</v>
      </c>
      <c r="W1942" s="172" t="n"/>
      <c r="X1942" s="172" t="n"/>
      <c r="Y1942" s="172" t="n"/>
    </row>
    <row r="1943">
      <c r="A1943" s="172" t="n">
        <v>103</v>
      </c>
      <c r="B1943" s="172" t="inlineStr">
        <is>
          <t>6月</t>
        </is>
      </c>
      <c r="C1943" s="172" t="inlineStr">
        <is>
          <t>企金</t>
        </is>
      </c>
      <c r="D1943" s="172" t="inlineStr">
        <is>
          <t>信托企业主贷</t>
        </is>
      </c>
      <c r="E1943" s="172" t="inlineStr">
        <is>
          <t>启赢3-3</t>
        </is>
      </c>
      <c r="F1943" s="172" t="inlineStr">
        <is>
          <t>银行间</t>
        </is>
      </c>
      <c r="G1943" s="172" t="inlineStr">
        <is>
          <t>中信建投</t>
        </is>
      </c>
      <c r="H1943" s="172" t="inlineStr">
        <is>
          <t>国泰海通/中信证券/光大证券</t>
        </is>
      </c>
      <c r="I1943" s="172" t="inlineStr">
        <is>
          <t>工银天津</t>
        </is>
      </c>
      <c r="J1943" s="172" t="n">
        <v>15</v>
      </c>
      <c r="K1943" s="172" t="inlineStr">
        <is>
          <t>9+24</t>
        </is>
      </c>
      <c r="L1943" s="202" t="n">
        <v>46198</v>
      </c>
      <c r="M1943" s="175" t="n">
        <v>0.0148</v>
      </c>
      <c r="N1943" s="176" t="n">
        <v>0.0199</v>
      </c>
      <c r="O1943" s="191" t="n">
        <v>1.73</v>
      </c>
      <c r="P1943" s="172" t="inlineStr">
        <is>
          <t>次级</t>
        </is>
      </c>
      <c r="Q1943" s="175" t="n">
        <v>0.05</v>
      </c>
      <c r="R1943" s="192">
        <f>J1257*Q1273</f>
        <v/>
      </c>
      <c r="S1943" s="175" t="inlineStr">
        <is>
          <t>无</t>
        </is>
      </c>
      <c r="T1943" s="175" t="n">
        <v>0.0515</v>
      </c>
      <c r="U1943" s="172" t="inlineStr">
        <is>
          <t>华兴证券自营</t>
        </is>
      </c>
      <c r="V1943" s="191" t="n">
        <v>0.11</v>
      </c>
      <c r="W1943" s="172" t="n"/>
      <c r="X1943" s="172" t="n"/>
      <c r="Y1943" s="172" t="n"/>
    </row>
    <row r="1944">
      <c r="A1944" s="172" t="n">
        <v>104</v>
      </c>
      <c r="B1944" s="173" t="inlineStr">
        <is>
          <t>6月</t>
        </is>
      </c>
      <c r="C1944" s="173" t="inlineStr">
        <is>
          <t>消金</t>
        </is>
      </c>
      <c r="D1944" s="173" t="inlineStr">
        <is>
          <t>汽车融资租赁</t>
        </is>
      </c>
      <c r="E1944" s="173" t="inlineStr">
        <is>
          <t>尚乘1-2</t>
        </is>
      </c>
      <c r="F1944" s="173" t="inlineStr">
        <is>
          <t>上交所</t>
        </is>
      </c>
      <c r="G1944" s="173" t="inlineStr">
        <is>
          <t>国泰海通</t>
        </is>
      </c>
      <c r="H1944" s="173" t="inlineStr">
        <is>
          <t>兴业证券</t>
        </is>
      </c>
      <c r="I1944" s="173" t="inlineStr">
        <is>
          <t>青岛银行</t>
        </is>
      </c>
      <c r="J1944" s="172" t="n">
        <v>6.5</v>
      </c>
      <c r="K1944" s="173" t="inlineStr">
        <is>
          <t>0+49</t>
        </is>
      </c>
      <c r="L1944" s="202" t="n">
        <v>46198</v>
      </c>
      <c r="M1944" s="175" t="n">
        <v>0.0148</v>
      </c>
      <c r="N1944" s="176" t="n">
        <v>0.02775</v>
      </c>
      <c r="O1944" s="172" t="n">
        <v>1.95</v>
      </c>
      <c r="P1944" s="177" t="inlineStr">
        <is>
          <t>优先A1</t>
        </is>
      </c>
      <c r="Q1944" s="178" t="n">
        <v>0.3615</v>
      </c>
      <c r="R1944" s="179" t="n">
        <v>2.35</v>
      </c>
      <c r="S1944" s="177" t="inlineStr">
        <is>
          <t>AAA</t>
        </is>
      </c>
      <c r="T1944" s="178" t="n">
        <v>0.017</v>
      </c>
      <c r="U1944" s="177" t="inlineStr">
        <is>
          <t>石嘴山银行</t>
        </is>
      </c>
      <c r="V1944" s="192" t="n">
        <v>0.2</v>
      </c>
      <c r="W1944" s="175" t="n">
        <v>0.017</v>
      </c>
      <c r="X1944" s="172" t="inlineStr">
        <is>
          <t>石嘴山银行</t>
        </is>
      </c>
      <c r="Y1944" s="191" t="n">
        <v>0.2</v>
      </c>
    </row>
    <row r="1945">
      <c r="A1945" s="172" t="n">
        <v>104</v>
      </c>
      <c r="B1945" s="173" t="inlineStr">
        <is>
          <t>6月</t>
        </is>
      </c>
      <c r="C1945" s="173" t="inlineStr">
        <is>
          <t>消金</t>
        </is>
      </c>
      <c r="D1945" s="173" t="inlineStr">
        <is>
          <t>汽车融资租赁</t>
        </is>
      </c>
      <c r="E1945" s="173" t="inlineStr">
        <is>
          <t>尚乘1-2</t>
        </is>
      </c>
      <c r="F1945" s="173" t="inlineStr">
        <is>
          <t>上交所</t>
        </is>
      </c>
      <c r="G1945" s="173" t="inlineStr">
        <is>
          <t>国泰海通</t>
        </is>
      </c>
      <c r="H1945" s="173" t="inlineStr">
        <is>
          <t>兴业证券</t>
        </is>
      </c>
      <c r="I1945" s="173" t="inlineStr">
        <is>
          <t>青岛银行</t>
        </is>
      </c>
      <c r="J1945" s="172" t="n">
        <v>6.5</v>
      </c>
      <c r="K1945" s="173" t="inlineStr">
        <is>
          <t>0+49</t>
        </is>
      </c>
      <c r="L1945" s="202" t="n">
        <v>46198</v>
      </c>
      <c r="M1945" s="175" t="n">
        <v>0.0148</v>
      </c>
      <c r="N1945" s="176" t="n">
        <v>0.02775</v>
      </c>
      <c r="O1945" s="172" t="n">
        <v>1.95</v>
      </c>
      <c r="P1945" s="172" t="inlineStr">
        <is>
          <t>优先A1</t>
        </is>
      </c>
      <c r="Q1945" s="178" t="n">
        <v>0.3615</v>
      </c>
      <c r="R1945" s="179" t="n">
        <v>2.35</v>
      </c>
      <c r="S1945" s="177" t="inlineStr">
        <is>
          <t>AAA</t>
        </is>
      </c>
      <c r="T1945" s="178" t="n">
        <v>0.017</v>
      </c>
      <c r="U1945" s="172" t="inlineStr">
        <is>
          <t>京东租赁</t>
        </is>
      </c>
      <c r="V1945" s="192" t="n">
        <v>0.12</v>
      </c>
      <c r="W1945" s="172" t="n"/>
      <c r="X1945" s="172" t="n"/>
      <c r="Y1945" s="172" t="n"/>
    </row>
    <row r="1946">
      <c r="A1946" s="172" t="n">
        <v>104</v>
      </c>
      <c r="B1946" s="173" t="inlineStr">
        <is>
          <t>6月</t>
        </is>
      </c>
      <c r="C1946" s="173" t="inlineStr">
        <is>
          <t>消金</t>
        </is>
      </c>
      <c r="D1946" s="173" t="inlineStr">
        <is>
          <t>汽车融资租赁</t>
        </is>
      </c>
      <c r="E1946" s="173" t="inlineStr">
        <is>
          <t>尚乘1-2</t>
        </is>
      </c>
      <c r="F1946" s="173" t="inlineStr">
        <is>
          <t>上交所</t>
        </is>
      </c>
      <c r="G1946" s="173" t="inlineStr">
        <is>
          <t>国泰海通</t>
        </is>
      </c>
      <c r="H1946" s="173" t="inlineStr">
        <is>
          <t>兴业证券</t>
        </is>
      </c>
      <c r="I1946" s="173" t="inlineStr">
        <is>
          <t>青岛银行</t>
        </is>
      </c>
      <c r="J1946" s="172" t="n">
        <v>6.5</v>
      </c>
      <c r="K1946" s="173" t="inlineStr">
        <is>
          <t>0+49</t>
        </is>
      </c>
      <c r="L1946" s="202" t="n">
        <v>46198</v>
      </c>
      <c r="M1946" s="175" t="n">
        <v>0.0148</v>
      </c>
      <c r="N1946" s="176" t="n">
        <v>0.02775</v>
      </c>
      <c r="O1946" s="172" t="n">
        <v>1.95</v>
      </c>
      <c r="P1946" s="172" t="inlineStr">
        <is>
          <t>优先A1</t>
        </is>
      </c>
      <c r="Q1946" s="178" t="n">
        <v>0.3615</v>
      </c>
      <c r="R1946" s="179" t="n">
        <v>2.35</v>
      </c>
      <c r="S1946" s="177" t="inlineStr">
        <is>
          <t>AAA</t>
        </is>
      </c>
      <c r="T1946" s="178" t="n">
        <v>0.017</v>
      </c>
      <c r="U1946" s="177" t="inlineStr">
        <is>
          <t>青岛银行</t>
        </is>
      </c>
      <c r="V1946" s="192" t="n">
        <v>0.6</v>
      </c>
      <c r="W1946" s="175" t="n">
        <v>0.017</v>
      </c>
      <c r="X1946" s="172" t="inlineStr">
        <is>
          <t>青岛银行</t>
        </is>
      </c>
      <c r="Y1946" s="191" t="n">
        <v>0.7</v>
      </c>
    </row>
    <row r="1947">
      <c r="A1947" s="172" t="n">
        <v>104</v>
      </c>
      <c r="B1947" s="173" t="inlineStr">
        <is>
          <t>6月</t>
        </is>
      </c>
      <c r="C1947" s="173" t="inlineStr">
        <is>
          <t>消金</t>
        </is>
      </c>
      <c r="D1947" s="173" t="inlineStr">
        <is>
          <t>汽车融资租赁</t>
        </is>
      </c>
      <c r="E1947" s="173" t="inlineStr">
        <is>
          <t>尚乘1-2</t>
        </is>
      </c>
      <c r="F1947" s="173" t="inlineStr">
        <is>
          <t>上交所</t>
        </is>
      </c>
      <c r="G1947" s="173" t="inlineStr">
        <is>
          <t>国泰海通</t>
        </is>
      </c>
      <c r="H1947" s="173" t="inlineStr">
        <is>
          <t>兴业证券</t>
        </is>
      </c>
      <c r="I1947" s="173" t="inlineStr">
        <is>
          <t>青岛银行</t>
        </is>
      </c>
      <c r="J1947" s="172" t="n">
        <v>6.5</v>
      </c>
      <c r="K1947" s="173" t="inlineStr">
        <is>
          <t>0+49</t>
        </is>
      </c>
      <c r="L1947" s="202" t="n">
        <v>46198</v>
      </c>
      <c r="M1947" s="175" t="n">
        <v>0.0148</v>
      </c>
      <c r="N1947" s="176" t="n">
        <v>0.02775</v>
      </c>
      <c r="O1947" s="172" t="n">
        <v>1.95</v>
      </c>
      <c r="P1947" s="172" t="inlineStr">
        <is>
          <t>优先A1</t>
        </is>
      </c>
      <c r="Q1947" s="178" t="n">
        <v>0.3615</v>
      </c>
      <c r="R1947" s="179" t="n">
        <v>2.35</v>
      </c>
      <c r="S1947" s="177" t="inlineStr">
        <is>
          <t>AAA</t>
        </is>
      </c>
      <c r="T1947" s="178" t="n">
        <v>0.017</v>
      </c>
      <c r="U1947" s="177" t="inlineStr">
        <is>
          <t>中信投顾</t>
        </is>
      </c>
      <c r="V1947" s="192" t="n">
        <v>0.23</v>
      </c>
      <c r="W1947" s="175" t="n">
        <v>0.017</v>
      </c>
      <c r="X1947" s="172" t="inlineStr">
        <is>
          <t>中信投顾</t>
        </is>
      </c>
      <c r="Y1947" s="191" t="n">
        <v>0.23</v>
      </c>
    </row>
    <row r="1948">
      <c r="A1948" s="172" t="n">
        <v>104</v>
      </c>
      <c r="B1948" s="173" t="inlineStr">
        <is>
          <t>6月</t>
        </is>
      </c>
      <c r="C1948" s="173" t="inlineStr">
        <is>
          <t>消金</t>
        </is>
      </c>
      <c r="D1948" s="173" t="inlineStr">
        <is>
          <t>汽车融资租赁</t>
        </is>
      </c>
      <c r="E1948" s="173" t="inlineStr">
        <is>
          <t>尚乘1-2</t>
        </is>
      </c>
      <c r="F1948" s="173" t="inlineStr">
        <is>
          <t>上交所</t>
        </is>
      </c>
      <c r="G1948" s="173" t="inlineStr">
        <is>
          <t>国泰海通</t>
        </is>
      </c>
      <c r="H1948" s="173" t="inlineStr">
        <is>
          <t>兴业证券</t>
        </is>
      </c>
      <c r="I1948" s="173" t="inlineStr">
        <is>
          <t>青岛银行</t>
        </is>
      </c>
      <c r="J1948" s="172" t="n">
        <v>6.5</v>
      </c>
      <c r="K1948" s="173" t="inlineStr">
        <is>
          <t>0+49</t>
        </is>
      </c>
      <c r="L1948" s="202" t="n">
        <v>46198</v>
      </c>
      <c r="M1948" s="175" t="n">
        <v>0.0148</v>
      </c>
      <c r="N1948" s="176" t="n">
        <v>0.02775</v>
      </c>
      <c r="O1948" s="172" t="n">
        <v>1.95</v>
      </c>
      <c r="P1948" s="172" t="inlineStr">
        <is>
          <t>优先A1</t>
        </is>
      </c>
      <c r="Q1948" s="178" t="n">
        <v>0.3615</v>
      </c>
      <c r="R1948" s="179" t="n">
        <v>2.35</v>
      </c>
      <c r="S1948" s="177" t="inlineStr">
        <is>
          <t>AAA</t>
        </is>
      </c>
      <c r="T1948" s="178" t="n">
        <v>0.017</v>
      </c>
      <c r="U1948" s="177" t="inlineStr">
        <is>
          <t>华夏理财</t>
        </is>
      </c>
      <c r="V1948" s="192" t="n">
        <v>0.6</v>
      </c>
      <c r="W1948" s="175" t="n">
        <v>0.017</v>
      </c>
      <c r="X1948" s="172" t="inlineStr">
        <is>
          <t>华夏理财</t>
        </is>
      </c>
      <c r="Y1948" s="191" t="n">
        <v>0.7</v>
      </c>
    </row>
    <row r="1949">
      <c r="A1949" s="172" t="n">
        <v>104</v>
      </c>
      <c r="B1949" s="173" t="inlineStr">
        <is>
          <t>6月</t>
        </is>
      </c>
      <c r="C1949" s="173" t="inlineStr">
        <is>
          <t>消金</t>
        </is>
      </c>
      <c r="D1949" s="173" t="inlineStr">
        <is>
          <t>汽车融资租赁</t>
        </is>
      </c>
      <c r="E1949" s="173" t="inlineStr">
        <is>
          <t>尚乘1-2</t>
        </is>
      </c>
      <c r="F1949" s="173" t="inlineStr">
        <is>
          <t>上交所</t>
        </is>
      </c>
      <c r="G1949" s="173" t="inlineStr">
        <is>
          <t>国泰海通</t>
        </is>
      </c>
      <c r="H1949" s="173" t="inlineStr">
        <is>
          <t>兴业证券</t>
        </is>
      </c>
      <c r="I1949" s="173" t="inlineStr">
        <is>
          <t>青岛银行</t>
        </is>
      </c>
      <c r="J1949" s="172" t="n">
        <v>6.5</v>
      </c>
      <c r="K1949" s="173" t="inlineStr">
        <is>
          <t>0+49</t>
        </is>
      </c>
      <c r="L1949" s="202" t="n">
        <v>46198</v>
      </c>
      <c r="M1949" s="175" t="n">
        <v>0.0148</v>
      </c>
      <c r="N1949" s="176" t="n">
        <v>0.02775</v>
      </c>
      <c r="O1949" s="172" t="n">
        <v>1.95</v>
      </c>
      <c r="P1949" s="172" t="inlineStr">
        <is>
          <t>优先A1</t>
        </is>
      </c>
      <c r="Q1949" s="178" t="n">
        <v>0.3615</v>
      </c>
      <c r="R1949" s="179" t="n">
        <v>2.35</v>
      </c>
      <c r="S1949" s="177" t="inlineStr">
        <is>
          <t>AAA</t>
        </is>
      </c>
      <c r="T1949" s="178" t="n">
        <v>0.017</v>
      </c>
      <c r="U1949" s="177" t="inlineStr">
        <is>
          <t>中邮理财</t>
        </is>
      </c>
      <c r="V1949" s="192" t="n">
        <v>0.6</v>
      </c>
      <c r="W1949" s="175" t="n">
        <v>0.017</v>
      </c>
      <c r="X1949" s="172" t="inlineStr">
        <is>
          <t>中邮理财</t>
        </is>
      </c>
      <c r="Y1949" s="191" t="n">
        <v>0.705</v>
      </c>
    </row>
    <row r="1950">
      <c r="A1950" s="172" t="n">
        <v>104</v>
      </c>
      <c r="B1950" s="172" t="inlineStr">
        <is>
          <t>6月</t>
        </is>
      </c>
      <c r="C1950" s="172" t="inlineStr">
        <is>
          <t>消金</t>
        </is>
      </c>
      <c r="D1950" s="172" t="inlineStr">
        <is>
          <t>汽车融资租赁</t>
        </is>
      </c>
      <c r="E1950" s="172" t="inlineStr">
        <is>
          <t>尚乘1-2</t>
        </is>
      </c>
      <c r="F1950" s="172" t="inlineStr">
        <is>
          <t>上交所</t>
        </is>
      </c>
      <c r="G1950" s="172" t="inlineStr">
        <is>
          <t>国泰海通</t>
        </is>
      </c>
      <c r="H1950" s="172" t="inlineStr">
        <is>
          <t>兴业证券</t>
        </is>
      </c>
      <c r="I1950" s="172" t="inlineStr">
        <is>
          <t>青岛银行</t>
        </is>
      </c>
      <c r="J1950" s="172" t="n">
        <v>6.5</v>
      </c>
      <c r="K1950" s="172" t="inlineStr">
        <is>
          <t>0+49</t>
        </is>
      </c>
      <c r="L1950" s="208" t="n">
        <v>46198</v>
      </c>
      <c r="M1950" s="175" t="n">
        <v>0.0148</v>
      </c>
      <c r="N1950" s="176" t="n">
        <v>0.02775</v>
      </c>
      <c r="O1950" s="172" t="n">
        <v>1.95</v>
      </c>
      <c r="P1950" s="172" t="inlineStr">
        <is>
          <t>优先A1</t>
        </is>
      </c>
      <c r="Q1950" s="175" t="n">
        <v>0.3615</v>
      </c>
      <c r="R1950" s="192" t="n">
        <v>2.35</v>
      </c>
      <c r="S1950" s="172" t="inlineStr">
        <is>
          <t>AAA</t>
        </is>
      </c>
      <c r="T1950" s="175" t="n">
        <v>0.017</v>
      </c>
      <c r="U1950" s="172" t="n"/>
      <c r="V1950" s="172" t="n"/>
      <c r="W1950" s="175" t="n">
        <v>0.0179</v>
      </c>
      <c r="X1950" s="172" t="inlineStr">
        <is>
          <t>汇华理财</t>
        </is>
      </c>
      <c r="Y1950" s="191" t="n">
        <v>0.3</v>
      </c>
    </row>
    <row r="1951">
      <c r="A1951" s="172" t="n">
        <v>104</v>
      </c>
      <c r="B1951" s="172" t="inlineStr">
        <is>
          <t>6月</t>
        </is>
      </c>
      <c r="C1951" s="172" t="inlineStr">
        <is>
          <t>消金</t>
        </is>
      </c>
      <c r="D1951" s="172" t="inlineStr">
        <is>
          <t>汽车融资租赁</t>
        </is>
      </c>
      <c r="E1951" s="172" t="inlineStr">
        <is>
          <t>尚乘1-2</t>
        </is>
      </c>
      <c r="F1951" s="172" t="inlineStr">
        <is>
          <t>上交所</t>
        </is>
      </c>
      <c r="G1951" s="172" t="inlineStr">
        <is>
          <t>国泰海通</t>
        </is>
      </c>
      <c r="H1951" s="172" t="inlineStr">
        <is>
          <t>兴业证券</t>
        </is>
      </c>
      <c r="I1951" s="172" t="inlineStr">
        <is>
          <t>青岛银行</t>
        </is>
      </c>
      <c r="J1951" s="172" t="n">
        <v>6.5</v>
      </c>
      <c r="K1951" s="172" t="inlineStr">
        <is>
          <t>0+49</t>
        </is>
      </c>
      <c r="L1951" s="208" t="n">
        <v>46198</v>
      </c>
      <c r="M1951" s="175" t="n">
        <v>0.0148</v>
      </c>
      <c r="N1951" s="176" t="n">
        <v>0.02775</v>
      </c>
      <c r="O1951" s="172" t="n">
        <v>1.95</v>
      </c>
      <c r="P1951" s="172" t="inlineStr">
        <is>
          <t>优先A1</t>
        </is>
      </c>
      <c r="Q1951" s="175" t="n">
        <v>0.3615</v>
      </c>
      <c r="R1951" s="192" t="n">
        <v>2.35</v>
      </c>
      <c r="S1951" s="172" t="inlineStr">
        <is>
          <t>AAA</t>
        </is>
      </c>
      <c r="T1951" s="175" t="n">
        <v>0.017</v>
      </c>
      <c r="U1951" s="172" t="n"/>
      <c r="V1951" s="172" t="n"/>
      <c r="W1951" s="175" t="n">
        <v>0.0179</v>
      </c>
      <c r="X1951" s="172" t="inlineStr">
        <is>
          <t>申万投顾</t>
        </is>
      </c>
      <c r="Y1951" s="191" t="n">
        <v>0.2</v>
      </c>
    </row>
    <row r="1952">
      <c r="A1952" s="172" t="n">
        <v>104</v>
      </c>
      <c r="B1952" s="172" t="inlineStr">
        <is>
          <t>6月</t>
        </is>
      </c>
      <c r="C1952" s="172" t="inlineStr">
        <is>
          <t>消金</t>
        </is>
      </c>
      <c r="D1952" s="172" t="inlineStr">
        <is>
          <t>汽车融资租赁</t>
        </is>
      </c>
      <c r="E1952" s="172" t="inlineStr">
        <is>
          <t>尚乘1-2</t>
        </is>
      </c>
      <c r="F1952" s="172" t="inlineStr">
        <is>
          <t>上交所</t>
        </is>
      </c>
      <c r="G1952" s="172" t="inlineStr">
        <is>
          <t>国泰海通</t>
        </is>
      </c>
      <c r="H1952" s="172" t="inlineStr">
        <is>
          <t>兴业证券</t>
        </is>
      </c>
      <c r="I1952" s="172" t="inlineStr">
        <is>
          <t>青岛银行</t>
        </is>
      </c>
      <c r="J1952" s="172" t="n">
        <v>6.5</v>
      </c>
      <c r="K1952" s="172" t="inlineStr">
        <is>
          <t>0+49</t>
        </is>
      </c>
      <c r="L1952" s="208" t="n">
        <v>46198</v>
      </c>
      <c r="M1952" s="175" t="n">
        <v>0.0148</v>
      </c>
      <c r="N1952" s="176" t="n">
        <v>0.02775</v>
      </c>
      <c r="O1952" s="172" t="n">
        <v>1.95</v>
      </c>
      <c r="P1952" s="172" t="inlineStr">
        <is>
          <t>优先A1</t>
        </is>
      </c>
      <c r="Q1952" s="175" t="n">
        <v>0.3615</v>
      </c>
      <c r="R1952" s="192" t="n">
        <v>2.35</v>
      </c>
      <c r="S1952" s="172" t="inlineStr">
        <is>
          <t>AAA</t>
        </is>
      </c>
      <c r="T1952" s="175" t="n">
        <v>0.017</v>
      </c>
      <c r="U1952" s="172" t="n"/>
      <c r="V1952" s="172" t="n"/>
      <c r="W1952" s="175" t="n">
        <v>0.027</v>
      </c>
      <c r="X1952" s="172" t="inlineStr">
        <is>
          <t>财通资管</t>
        </is>
      </c>
      <c r="Y1952" s="191" t="n">
        <v>0.7</v>
      </c>
    </row>
    <row r="1953">
      <c r="A1953" s="172" t="n">
        <v>104</v>
      </c>
      <c r="B1953" s="173" t="inlineStr">
        <is>
          <t>6月</t>
        </is>
      </c>
      <c r="C1953" s="173" t="inlineStr">
        <is>
          <t>消金</t>
        </is>
      </c>
      <c r="D1953" s="173" t="inlineStr">
        <is>
          <t>汽车融资租赁</t>
        </is>
      </c>
      <c r="E1953" s="173" t="inlineStr">
        <is>
          <t>尚乘1-2</t>
        </is>
      </c>
      <c r="F1953" s="173" t="inlineStr">
        <is>
          <t>上交所</t>
        </is>
      </c>
      <c r="G1953" s="173" t="inlineStr">
        <is>
          <t>国泰海通</t>
        </is>
      </c>
      <c r="H1953" s="173" t="inlineStr">
        <is>
          <t>兴业证券</t>
        </is>
      </c>
      <c r="I1953" s="173" t="inlineStr">
        <is>
          <t>青岛银行</t>
        </is>
      </c>
      <c r="J1953" s="172" t="n">
        <v>6.5</v>
      </c>
      <c r="K1953" s="173" t="inlineStr">
        <is>
          <t>0+49</t>
        </is>
      </c>
      <c r="L1953" s="202" t="n">
        <v>46198</v>
      </c>
      <c r="M1953" s="175" t="n">
        <v>0.0148</v>
      </c>
      <c r="N1953" s="176" t="n">
        <v>0.02775</v>
      </c>
      <c r="O1953" s="172" t="n">
        <v>1.95</v>
      </c>
      <c r="P1953" s="177" t="inlineStr">
        <is>
          <t>优先A2</t>
        </is>
      </c>
      <c r="Q1953" s="178" t="n">
        <v>0.3923</v>
      </c>
      <c r="R1953" s="179" t="n">
        <v>2.55</v>
      </c>
      <c r="S1953" s="177" t="inlineStr">
        <is>
          <t>AAA</t>
        </is>
      </c>
      <c r="T1953" s="178" t="n">
        <v>0.019</v>
      </c>
      <c r="U1953" s="177" t="inlineStr">
        <is>
          <t>重庆富民银行</t>
        </is>
      </c>
      <c r="V1953" s="192" t="n">
        <v>0.23</v>
      </c>
      <c r="W1953" s="175" t="n">
        <v>0.019</v>
      </c>
      <c r="X1953" s="172" t="inlineStr">
        <is>
          <t>富民银行</t>
        </is>
      </c>
      <c r="Y1953" s="191" t="n">
        <v>0.24</v>
      </c>
    </row>
    <row r="1954">
      <c r="A1954" s="172" t="n">
        <v>104</v>
      </c>
      <c r="B1954" s="173" t="inlineStr">
        <is>
          <t>6月</t>
        </is>
      </c>
      <c r="C1954" s="173" t="inlineStr">
        <is>
          <t>消金</t>
        </is>
      </c>
      <c r="D1954" s="173" t="inlineStr">
        <is>
          <t>汽车融资租赁</t>
        </is>
      </c>
      <c r="E1954" s="173" t="inlineStr">
        <is>
          <t>尚乘1-2</t>
        </is>
      </c>
      <c r="F1954" s="173" t="inlineStr">
        <is>
          <t>上交所</t>
        </is>
      </c>
      <c r="G1954" s="173" t="inlineStr">
        <is>
          <t>国泰海通</t>
        </is>
      </c>
      <c r="H1954" s="173" t="inlineStr">
        <is>
          <t>兴业证券</t>
        </is>
      </c>
      <c r="I1954" s="173" t="inlineStr">
        <is>
          <t>青岛银行</t>
        </is>
      </c>
      <c r="J1954" s="172" t="n">
        <v>6.5</v>
      </c>
      <c r="K1954" s="173" t="inlineStr">
        <is>
          <t>0+49</t>
        </is>
      </c>
      <c r="L1954" s="202" t="n">
        <v>46198</v>
      </c>
      <c r="M1954" s="175" t="n">
        <v>0.0148</v>
      </c>
      <c r="N1954" s="176" t="n">
        <v>0.02775</v>
      </c>
      <c r="O1954" s="172" t="n">
        <v>1.95</v>
      </c>
      <c r="P1954" s="172" t="inlineStr">
        <is>
          <t>优先A2</t>
        </is>
      </c>
      <c r="Q1954" s="178" t="n">
        <v>0.3923</v>
      </c>
      <c r="R1954" s="179" t="n">
        <v>2.55</v>
      </c>
      <c r="S1954" s="177" t="inlineStr">
        <is>
          <t>AAA</t>
        </is>
      </c>
      <c r="T1954" s="178" t="n">
        <v>0.019</v>
      </c>
      <c r="U1954" s="177" t="inlineStr">
        <is>
          <t>石嘴山银行</t>
        </is>
      </c>
      <c r="V1954" s="192" t="n">
        <v>0.47</v>
      </c>
      <c r="W1954" s="175" t="n">
        <v>0.019</v>
      </c>
      <c r="X1954" s="172" t="inlineStr">
        <is>
          <t>石嘴山银行</t>
        </is>
      </c>
      <c r="Y1954" s="191" t="n">
        <v>0.5</v>
      </c>
    </row>
    <row r="1955">
      <c r="A1955" s="172" t="n">
        <v>104</v>
      </c>
      <c r="B1955" s="173" t="inlineStr">
        <is>
          <t>6月</t>
        </is>
      </c>
      <c r="C1955" s="173" t="inlineStr">
        <is>
          <t>消金</t>
        </is>
      </c>
      <c r="D1955" s="173" t="inlineStr">
        <is>
          <t>汽车融资租赁</t>
        </is>
      </c>
      <c r="E1955" s="173" t="inlineStr">
        <is>
          <t>尚乘1-2</t>
        </is>
      </c>
      <c r="F1955" s="173" t="inlineStr">
        <is>
          <t>上交所</t>
        </is>
      </c>
      <c r="G1955" s="173" t="inlineStr">
        <is>
          <t>国泰海通</t>
        </is>
      </c>
      <c r="H1955" s="173" t="inlineStr">
        <is>
          <t>兴业证券</t>
        </is>
      </c>
      <c r="I1955" s="173" t="inlineStr">
        <is>
          <t>青岛银行</t>
        </is>
      </c>
      <c r="J1955" s="172" t="n">
        <v>6.5</v>
      </c>
      <c r="K1955" s="173" t="inlineStr">
        <is>
          <t>0+49</t>
        </is>
      </c>
      <c r="L1955" s="202" t="n">
        <v>46198</v>
      </c>
      <c r="M1955" s="175" t="n">
        <v>0.0148</v>
      </c>
      <c r="N1955" s="176" t="n">
        <v>0.02775</v>
      </c>
      <c r="O1955" s="172" t="n">
        <v>1.95</v>
      </c>
      <c r="P1955" s="172" t="inlineStr">
        <is>
          <t>优先A2</t>
        </is>
      </c>
      <c r="Q1955" s="178" t="n">
        <v>0.3923</v>
      </c>
      <c r="R1955" s="179" t="n">
        <v>2.55</v>
      </c>
      <c r="S1955" s="177" t="inlineStr">
        <is>
          <t>AAA</t>
        </is>
      </c>
      <c r="T1955" s="178" t="n">
        <v>0.019</v>
      </c>
      <c r="U1955" s="177" t="inlineStr">
        <is>
          <t>京东租赁</t>
        </is>
      </c>
      <c r="V1955" s="192" t="n">
        <v>0.13</v>
      </c>
      <c r="W1955" s="172" t="n"/>
      <c r="X1955" s="172" t="n"/>
      <c r="Y1955" s="172" t="n"/>
    </row>
    <row r="1956">
      <c r="A1956" s="172" t="n">
        <v>104</v>
      </c>
      <c r="B1956" s="173" t="inlineStr">
        <is>
          <t>6月</t>
        </is>
      </c>
      <c r="C1956" s="173" t="inlineStr">
        <is>
          <t>消金</t>
        </is>
      </c>
      <c r="D1956" s="173" t="inlineStr">
        <is>
          <t>汽车融资租赁</t>
        </is>
      </c>
      <c r="E1956" s="173" t="inlineStr">
        <is>
          <t>尚乘1-2</t>
        </is>
      </c>
      <c r="F1956" s="173" t="inlineStr">
        <is>
          <t>上交所</t>
        </is>
      </c>
      <c r="G1956" s="173" t="inlineStr">
        <is>
          <t>国泰海通</t>
        </is>
      </c>
      <c r="H1956" s="173" t="inlineStr">
        <is>
          <t>兴业证券</t>
        </is>
      </c>
      <c r="I1956" s="173" t="inlineStr">
        <is>
          <t>青岛银行</t>
        </is>
      </c>
      <c r="J1956" s="172" t="n">
        <v>6.5</v>
      </c>
      <c r="K1956" s="173" t="inlineStr">
        <is>
          <t>0+49</t>
        </is>
      </c>
      <c r="L1956" s="202" t="n">
        <v>46198</v>
      </c>
      <c r="M1956" s="175" t="n">
        <v>0.0148</v>
      </c>
      <c r="N1956" s="176" t="n">
        <v>0.02775</v>
      </c>
      <c r="O1956" s="172" t="n">
        <v>1.95</v>
      </c>
      <c r="P1956" s="172" t="inlineStr">
        <is>
          <t>优先A2</t>
        </is>
      </c>
      <c r="Q1956" s="178" t="n">
        <v>0.3923</v>
      </c>
      <c r="R1956" s="179" t="n">
        <v>2.55</v>
      </c>
      <c r="S1956" s="177" t="inlineStr">
        <is>
          <t>AAA</t>
        </is>
      </c>
      <c r="T1956" s="178" t="n">
        <v>0.019</v>
      </c>
      <c r="U1956" s="177" t="inlineStr">
        <is>
          <t>紫金信托</t>
        </is>
      </c>
      <c r="V1956" s="192" t="n">
        <v>0.28</v>
      </c>
      <c r="W1956" s="175" t="n">
        <v>0.019</v>
      </c>
      <c r="X1956" s="172" t="inlineStr">
        <is>
          <t>紫金信托</t>
        </is>
      </c>
      <c r="Y1956" s="191" t="n">
        <v>0.3</v>
      </c>
    </row>
    <row r="1957">
      <c r="A1957" s="172" t="n">
        <v>104</v>
      </c>
      <c r="B1957" s="173" t="inlineStr">
        <is>
          <t>6月</t>
        </is>
      </c>
      <c r="C1957" s="173" t="inlineStr">
        <is>
          <t>消金</t>
        </is>
      </c>
      <c r="D1957" s="173" t="inlineStr">
        <is>
          <t>汽车融资租赁</t>
        </is>
      </c>
      <c r="E1957" s="173" t="inlineStr">
        <is>
          <t>尚乘1-2</t>
        </is>
      </c>
      <c r="F1957" s="173" t="inlineStr">
        <is>
          <t>上交所</t>
        </is>
      </c>
      <c r="G1957" s="173" t="inlineStr">
        <is>
          <t>国泰海通</t>
        </is>
      </c>
      <c r="H1957" s="173" t="inlineStr">
        <is>
          <t>兴业证券</t>
        </is>
      </c>
      <c r="I1957" s="173" t="inlineStr">
        <is>
          <t>青岛银行</t>
        </is>
      </c>
      <c r="J1957" s="172" t="n">
        <v>6.5</v>
      </c>
      <c r="K1957" s="173" t="inlineStr">
        <is>
          <t>0+49</t>
        </is>
      </c>
      <c r="L1957" s="202" t="n">
        <v>46198</v>
      </c>
      <c r="M1957" s="175" t="n">
        <v>0.0148</v>
      </c>
      <c r="N1957" s="176" t="n">
        <v>0.02775</v>
      </c>
      <c r="O1957" s="172" t="n">
        <v>1.95</v>
      </c>
      <c r="P1957" s="172" t="inlineStr">
        <is>
          <t>优先A2</t>
        </is>
      </c>
      <c r="Q1957" s="178" t="n">
        <v>0.3923</v>
      </c>
      <c r="R1957" s="179" t="n">
        <v>2.55</v>
      </c>
      <c r="S1957" s="177" t="inlineStr">
        <is>
          <t>AAA</t>
        </is>
      </c>
      <c r="T1957" s="178" t="n">
        <v>0.019</v>
      </c>
      <c r="U1957" s="177" t="inlineStr">
        <is>
          <t>中金财富</t>
        </is>
      </c>
      <c r="V1957" s="192" t="n">
        <v>0.35</v>
      </c>
      <c r="W1957" s="175" t="n">
        <v>0.019</v>
      </c>
      <c r="X1957" s="172" t="inlineStr">
        <is>
          <t>中金财富</t>
        </is>
      </c>
      <c r="Y1957" s="191" t="n">
        <v>0.35</v>
      </c>
    </row>
    <row r="1958">
      <c r="A1958" s="172" t="n">
        <v>104</v>
      </c>
      <c r="B1958" s="173" t="inlineStr">
        <is>
          <t>6月</t>
        </is>
      </c>
      <c r="C1958" s="173" t="inlineStr">
        <is>
          <t>消金</t>
        </is>
      </c>
      <c r="D1958" s="173" t="inlineStr">
        <is>
          <t>汽车融资租赁</t>
        </is>
      </c>
      <c r="E1958" s="173" t="inlineStr">
        <is>
          <t>尚乘1-2</t>
        </is>
      </c>
      <c r="F1958" s="173" t="inlineStr">
        <is>
          <t>上交所</t>
        </is>
      </c>
      <c r="G1958" s="173" t="inlineStr">
        <is>
          <t>国泰海通</t>
        </is>
      </c>
      <c r="H1958" s="173" t="inlineStr">
        <is>
          <t>兴业证券</t>
        </is>
      </c>
      <c r="I1958" s="173" t="inlineStr">
        <is>
          <t>青岛银行</t>
        </is>
      </c>
      <c r="J1958" s="172" t="n">
        <v>6.5</v>
      </c>
      <c r="K1958" s="173" t="inlineStr">
        <is>
          <t>0+49</t>
        </is>
      </c>
      <c r="L1958" s="202" t="n">
        <v>46198</v>
      </c>
      <c r="M1958" s="175" t="n">
        <v>0.0148</v>
      </c>
      <c r="N1958" s="176" t="n">
        <v>0.02775</v>
      </c>
      <c r="O1958" s="172" t="n">
        <v>1.95</v>
      </c>
      <c r="P1958" s="172" t="inlineStr">
        <is>
          <t>优先A2</t>
        </is>
      </c>
      <c r="Q1958" s="178" t="n">
        <v>0.3923</v>
      </c>
      <c r="R1958" s="179" t="n">
        <v>2.55</v>
      </c>
      <c r="S1958" s="177" t="inlineStr">
        <is>
          <t>AAA</t>
        </is>
      </c>
      <c r="T1958" s="178" t="n">
        <v>0.019</v>
      </c>
      <c r="U1958" s="177" t="inlineStr">
        <is>
          <t>青岛银行</t>
        </is>
      </c>
      <c r="V1958" s="192" t="n">
        <v>0.7</v>
      </c>
      <c r="W1958" s="175" t="n">
        <v>0.019</v>
      </c>
      <c r="X1958" s="172" t="inlineStr">
        <is>
          <t>青岛银行</t>
        </is>
      </c>
      <c r="Y1958" s="191" t="n">
        <v>0.76</v>
      </c>
    </row>
    <row r="1959">
      <c r="A1959" s="172" t="n">
        <v>104</v>
      </c>
      <c r="B1959" s="173" t="inlineStr">
        <is>
          <t>6月</t>
        </is>
      </c>
      <c r="C1959" s="173" t="inlineStr">
        <is>
          <t>消金</t>
        </is>
      </c>
      <c r="D1959" s="173" t="inlineStr">
        <is>
          <t>汽车融资租赁</t>
        </is>
      </c>
      <c r="E1959" s="173" t="inlineStr">
        <is>
          <t>尚乘1-2</t>
        </is>
      </c>
      <c r="F1959" s="173" t="inlineStr">
        <is>
          <t>上交所</t>
        </is>
      </c>
      <c r="G1959" s="173" t="inlineStr">
        <is>
          <t>国泰海通</t>
        </is>
      </c>
      <c r="H1959" s="173" t="inlineStr">
        <is>
          <t>兴业证券</t>
        </is>
      </c>
      <c r="I1959" s="173" t="inlineStr">
        <is>
          <t>青岛银行</t>
        </is>
      </c>
      <c r="J1959" s="172" t="n">
        <v>6.5</v>
      </c>
      <c r="K1959" s="173" t="inlineStr">
        <is>
          <t>0+49</t>
        </is>
      </c>
      <c r="L1959" s="202" t="n">
        <v>46198</v>
      </c>
      <c r="M1959" s="175" t="n">
        <v>0.0148</v>
      </c>
      <c r="N1959" s="176" t="n">
        <v>0.02775</v>
      </c>
      <c r="O1959" s="172" t="n">
        <v>1.95</v>
      </c>
      <c r="P1959" s="172" t="inlineStr">
        <is>
          <t>优先A2</t>
        </is>
      </c>
      <c r="Q1959" s="178" t="n">
        <v>0.3923</v>
      </c>
      <c r="R1959" s="179" t="n">
        <v>2.55</v>
      </c>
      <c r="S1959" s="177" t="inlineStr">
        <is>
          <t>AAA</t>
        </is>
      </c>
      <c r="T1959" s="178" t="n">
        <v>0.019</v>
      </c>
      <c r="U1959" s="177" t="inlineStr">
        <is>
          <t>中信证券投顾</t>
        </is>
      </c>
      <c r="V1959" s="192" t="n">
        <v>0.25</v>
      </c>
      <c r="W1959" s="172" t="n"/>
      <c r="X1959" s="172" t="n"/>
      <c r="Y1959" s="172" t="n"/>
    </row>
    <row r="1960">
      <c r="A1960" s="172" t="n">
        <v>104</v>
      </c>
      <c r="B1960" s="173" t="inlineStr">
        <is>
          <t>6月</t>
        </is>
      </c>
      <c r="C1960" s="173" t="inlineStr">
        <is>
          <t>消金</t>
        </is>
      </c>
      <c r="D1960" s="173" t="inlineStr">
        <is>
          <t>汽车融资租赁</t>
        </is>
      </c>
      <c r="E1960" s="173" t="inlineStr">
        <is>
          <t>尚乘1-2</t>
        </is>
      </c>
      <c r="F1960" s="173" t="inlineStr">
        <is>
          <t>上交所</t>
        </is>
      </c>
      <c r="G1960" s="173" t="inlineStr">
        <is>
          <t>国泰海通</t>
        </is>
      </c>
      <c r="H1960" s="173" t="inlineStr">
        <is>
          <t>兴业证券</t>
        </is>
      </c>
      <c r="I1960" s="173" t="inlineStr">
        <is>
          <t>青岛银行</t>
        </is>
      </c>
      <c r="J1960" s="172" t="n">
        <v>6.5</v>
      </c>
      <c r="K1960" s="173" t="inlineStr">
        <is>
          <t>0+49</t>
        </is>
      </c>
      <c r="L1960" s="202" t="n">
        <v>46198</v>
      </c>
      <c r="M1960" s="175" t="n">
        <v>0.0148</v>
      </c>
      <c r="N1960" s="176" t="n">
        <v>0.02775</v>
      </c>
      <c r="O1960" s="172" t="n">
        <v>1.95</v>
      </c>
      <c r="P1960" s="172" t="inlineStr">
        <is>
          <t>优先A2</t>
        </is>
      </c>
      <c r="Q1960" s="178" t="n">
        <v>0.3923</v>
      </c>
      <c r="R1960" s="179" t="n">
        <v>2.55</v>
      </c>
      <c r="S1960" s="177" t="inlineStr">
        <is>
          <t>AAA</t>
        </is>
      </c>
      <c r="T1960" s="178" t="n">
        <v>0.019</v>
      </c>
      <c r="U1960" s="177" t="inlineStr">
        <is>
          <t>广发证券资管</t>
        </is>
      </c>
      <c r="V1960" s="192" t="n">
        <v>0.14</v>
      </c>
      <c r="W1960" s="172" t="n"/>
      <c r="X1960" s="172" t="n"/>
      <c r="Y1960" s="172" t="n"/>
    </row>
    <row r="1961">
      <c r="A1961" s="172" t="n">
        <v>104</v>
      </c>
      <c r="B1961" s="172" t="inlineStr">
        <is>
          <t>6月</t>
        </is>
      </c>
      <c r="C1961" s="172" t="inlineStr">
        <is>
          <t>消金</t>
        </is>
      </c>
      <c r="D1961" s="172" t="inlineStr">
        <is>
          <t>汽车融资租赁</t>
        </is>
      </c>
      <c r="E1961" s="172" t="inlineStr">
        <is>
          <t>尚乘1-2</t>
        </is>
      </c>
      <c r="F1961" s="172" t="inlineStr">
        <is>
          <t>上交所</t>
        </is>
      </c>
      <c r="G1961" s="172" t="inlineStr">
        <is>
          <t>国泰海通</t>
        </is>
      </c>
      <c r="H1961" s="172" t="inlineStr">
        <is>
          <t>兴业证券</t>
        </is>
      </c>
      <c r="I1961" s="172" t="inlineStr">
        <is>
          <t>青岛银行</t>
        </is>
      </c>
      <c r="J1961" s="172" t="n">
        <v>6.5</v>
      </c>
      <c r="K1961" s="172" t="inlineStr">
        <is>
          <t>0+49</t>
        </is>
      </c>
      <c r="L1961" s="208" t="n">
        <v>46198</v>
      </c>
      <c r="M1961" s="175" t="n">
        <v>0.0148</v>
      </c>
      <c r="N1961" s="176" t="n">
        <v>0.02775</v>
      </c>
      <c r="O1961" s="172" t="n">
        <v>1.95</v>
      </c>
      <c r="P1961" s="172" t="inlineStr">
        <is>
          <t>优先A2</t>
        </is>
      </c>
      <c r="Q1961" s="175" t="n">
        <v>0.3923</v>
      </c>
      <c r="R1961" s="192" t="n">
        <v>2.55</v>
      </c>
      <c r="S1961" s="172" t="inlineStr">
        <is>
          <t>AAA</t>
        </is>
      </c>
      <c r="T1961" s="175" t="n">
        <v>0.019</v>
      </c>
      <c r="U1961" s="172" t="n"/>
      <c r="V1961" s="172" t="n"/>
      <c r="W1961" s="175" t="n">
        <v>0.019</v>
      </c>
      <c r="X1961" s="172" t="inlineStr">
        <is>
          <t>中信投顾</t>
        </is>
      </c>
      <c r="Y1961" s="191" t="n">
        <v>0.26</v>
      </c>
    </row>
    <row r="1962">
      <c r="A1962" s="172" t="n">
        <v>104</v>
      </c>
      <c r="B1962" s="172" t="inlineStr">
        <is>
          <t>6月</t>
        </is>
      </c>
      <c r="C1962" s="172" t="inlineStr">
        <is>
          <t>消金</t>
        </is>
      </c>
      <c r="D1962" s="172" t="inlineStr">
        <is>
          <t>汽车融资租赁</t>
        </is>
      </c>
      <c r="E1962" s="172" t="inlineStr">
        <is>
          <t>尚乘1-2</t>
        </is>
      </c>
      <c r="F1962" s="172" t="inlineStr">
        <is>
          <t>上交所</t>
        </is>
      </c>
      <c r="G1962" s="172" t="inlineStr">
        <is>
          <t>国泰海通</t>
        </is>
      </c>
      <c r="H1962" s="172" t="inlineStr">
        <is>
          <t>兴业证券</t>
        </is>
      </c>
      <c r="I1962" s="172" t="inlineStr">
        <is>
          <t>青岛银行</t>
        </is>
      </c>
      <c r="J1962" s="172" t="n">
        <v>6.5</v>
      </c>
      <c r="K1962" s="172" t="inlineStr">
        <is>
          <t>0+49</t>
        </is>
      </c>
      <c r="L1962" s="208" t="n">
        <v>46198</v>
      </c>
      <c r="M1962" s="175" t="n">
        <v>0.0148</v>
      </c>
      <c r="N1962" s="176" t="n">
        <v>0.02775</v>
      </c>
      <c r="O1962" s="172" t="n">
        <v>1.95</v>
      </c>
      <c r="P1962" s="172" t="inlineStr">
        <is>
          <t>优先A2</t>
        </is>
      </c>
      <c r="Q1962" s="175" t="n">
        <v>0.3923</v>
      </c>
      <c r="R1962" s="192" t="n">
        <v>2.55</v>
      </c>
      <c r="S1962" s="172" t="inlineStr">
        <is>
          <t>AAA</t>
        </is>
      </c>
      <c r="T1962" s="175" t="n">
        <v>0.019</v>
      </c>
      <c r="U1962" s="172" t="n"/>
      <c r="V1962" s="172" t="n"/>
      <c r="W1962" s="175" t="n">
        <v>0.019</v>
      </c>
      <c r="X1962" s="172" t="inlineStr">
        <is>
          <t>广发资管</t>
        </is>
      </c>
      <c r="Y1962" s="191" t="n">
        <v>0.2</v>
      </c>
    </row>
    <row r="1963">
      <c r="A1963" s="172" t="n">
        <v>104</v>
      </c>
      <c r="B1963" s="172" t="inlineStr">
        <is>
          <t>6月</t>
        </is>
      </c>
      <c r="C1963" s="172" t="inlineStr">
        <is>
          <t>消金</t>
        </is>
      </c>
      <c r="D1963" s="172" t="inlineStr">
        <is>
          <t>汽车融资租赁</t>
        </is>
      </c>
      <c r="E1963" s="172" t="inlineStr">
        <is>
          <t>尚乘1-2</t>
        </is>
      </c>
      <c r="F1963" s="172" t="inlineStr">
        <is>
          <t>上交所</t>
        </is>
      </c>
      <c r="G1963" s="172" t="inlineStr">
        <is>
          <t>国泰海通</t>
        </is>
      </c>
      <c r="H1963" s="172" t="inlineStr">
        <is>
          <t>兴业证券</t>
        </is>
      </c>
      <c r="I1963" s="172" t="inlineStr">
        <is>
          <t>青岛银行</t>
        </is>
      </c>
      <c r="J1963" s="172" t="n">
        <v>6.5</v>
      </c>
      <c r="K1963" s="172" t="inlineStr">
        <is>
          <t>0+49</t>
        </is>
      </c>
      <c r="L1963" s="208" t="n">
        <v>46198</v>
      </c>
      <c r="M1963" s="175" t="n">
        <v>0.0148</v>
      </c>
      <c r="N1963" s="176" t="n">
        <v>0.02775</v>
      </c>
      <c r="O1963" s="172" t="n">
        <v>1.95</v>
      </c>
      <c r="P1963" s="172" t="inlineStr">
        <is>
          <t>优先A2</t>
        </is>
      </c>
      <c r="Q1963" s="175" t="n">
        <v>0.3923</v>
      </c>
      <c r="R1963" s="192" t="n">
        <v>2.55</v>
      </c>
      <c r="S1963" s="172" t="inlineStr">
        <is>
          <t>AAA</t>
        </is>
      </c>
      <c r="T1963" s="175" t="n">
        <v>0.019</v>
      </c>
      <c r="U1963" s="172" t="n"/>
      <c r="V1963" s="172" t="n"/>
      <c r="W1963" s="175" t="n">
        <v>0.029</v>
      </c>
      <c r="X1963" s="172" t="inlineStr">
        <is>
          <t>财通资管</t>
        </is>
      </c>
      <c r="Y1963" s="191" t="n">
        <v>0.33</v>
      </c>
    </row>
    <row r="1964">
      <c r="A1964" s="172" t="n">
        <v>104</v>
      </c>
      <c r="B1964" s="173" t="inlineStr">
        <is>
          <t>6月</t>
        </is>
      </c>
      <c r="C1964" s="173" t="inlineStr">
        <is>
          <t>消金</t>
        </is>
      </c>
      <c r="D1964" s="173" t="inlineStr">
        <is>
          <t>汽车融资租赁</t>
        </is>
      </c>
      <c r="E1964" s="173" t="inlineStr">
        <is>
          <t>尚乘1-2</t>
        </is>
      </c>
      <c r="F1964" s="173" t="inlineStr">
        <is>
          <t>上交所</t>
        </is>
      </c>
      <c r="G1964" s="173" t="inlineStr">
        <is>
          <t>国泰海通</t>
        </is>
      </c>
      <c r="H1964" s="173" t="inlineStr">
        <is>
          <t>兴业证券</t>
        </is>
      </c>
      <c r="I1964" s="173" t="inlineStr">
        <is>
          <t>青岛银行</t>
        </is>
      </c>
      <c r="J1964" s="172" t="n">
        <v>6.5</v>
      </c>
      <c r="K1964" s="173" t="inlineStr">
        <is>
          <t>0+49</t>
        </is>
      </c>
      <c r="L1964" s="202" t="n">
        <v>46198</v>
      </c>
      <c r="M1964" s="175" t="n">
        <v>0.0148</v>
      </c>
      <c r="N1964" s="176" t="n">
        <v>0.02775</v>
      </c>
      <c r="O1964" s="172" t="n">
        <v>1.95</v>
      </c>
      <c r="P1964" s="177" t="inlineStr">
        <is>
          <t>优先B</t>
        </is>
      </c>
      <c r="Q1964" s="178" t="inlineStr">
        <is>
          <t>12.31%，</t>
        </is>
      </c>
      <c r="R1964" s="179" t="n">
        <v>0.8</v>
      </c>
      <c r="S1964" s="177" t="inlineStr">
        <is>
          <t>AA+</t>
        </is>
      </c>
      <c r="T1964" s="178" t="n">
        <v>0.031</v>
      </c>
      <c r="U1964" s="177" t="inlineStr">
        <is>
          <t>重庆富民银行</t>
        </is>
      </c>
      <c r="V1964" s="192" t="n">
        <v>0.16</v>
      </c>
      <c r="W1964" s="172" t="n"/>
      <c r="X1964" s="172" t="n"/>
      <c r="Y1964" s="172" t="n"/>
    </row>
    <row r="1965">
      <c r="A1965" s="172" t="n">
        <v>104</v>
      </c>
      <c r="B1965" s="173" t="inlineStr">
        <is>
          <t>6月</t>
        </is>
      </c>
      <c r="C1965" s="173" t="inlineStr">
        <is>
          <t>消金</t>
        </is>
      </c>
      <c r="D1965" s="173" t="inlineStr">
        <is>
          <t>汽车融资租赁</t>
        </is>
      </c>
      <c r="E1965" s="173" t="inlineStr">
        <is>
          <t>尚乘1-2</t>
        </is>
      </c>
      <c r="F1965" s="173" t="inlineStr">
        <is>
          <t>上交所</t>
        </is>
      </c>
      <c r="G1965" s="173" t="inlineStr">
        <is>
          <t>国泰海通</t>
        </is>
      </c>
      <c r="H1965" s="173" t="inlineStr">
        <is>
          <t>兴业证券</t>
        </is>
      </c>
      <c r="I1965" s="173" t="inlineStr">
        <is>
          <t>青岛银行</t>
        </is>
      </c>
      <c r="J1965" s="172" t="n">
        <v>6.5</v>
      </c>
      <c r="K1965" s="173" t="inlineStr">
        <is>
          <t>0+49</t>
        </is>
      </c>
      <c r="L1965" s="202" t="n">
        <v>46198</v>
      </c>
      <c r="M1965" s="175" t="n">
        <v>0.0148</v>
      </c>
      <c r="N1965" s="176" t="n">
        <v>0.02775</v>
      </c>
      <c r="O1965" s="172" t="n">
        <v>1.95</v>
      </c>
      <c r="P1965" s="172" t="inlineStr">
        <is>
          <t>优先B</t>
        </is>
      </c>
      <c r="Q1965" s="178" t="inlineStr">
        <is>
          <t>12.31%，</t>
        </is>
      </c>
      <c r="R1965" s="179" t="n">
        <v>0.8</v>
      </c>
      <c r="S1965" s="177" t="inlineStr">
        <is>
          <t>AA+</t>
        </is>
      </c>
      <c r="T1965" s="178" t="n">
        <v>0.031</v>
      </c>
      <c r="U1965" s="177" t="inlineStr">
        <is>
          <t>中金投顾</t>
        </is>
      </c>
      <c r="V1965" s="192" t="n">
        <v>0.2</v>
      </c>
      <c r="W1965" s="172" t="n"/>
      <c r="X1965" s="172" t="n"/>
      <c r="Y1965" s="172" t="n"/>
    </row>
    <row r="1966">
      <c r="A1966" s="172" t="n">
        <v>104</v>
      </c>
      <c r="B1966" s="173" t="inlineStr">
        <is>
          <t>6月</t>
        </is>
      </c>
      <c r="C1966" s="173" t="inlineStr">
        <is>
          <t>消金</t>
        </is>
      </c>
      <c r="D1966" s="173" t="inlineStr">
        <is>
          <t>汽车融资租赁</t>
        </is>
      </c>
      <c r="E1966" s="173" t="inlineStr">
        <is>
          <t>尚乘1-2</t>
        </is>
      </c>
      <c r="F1966" s="173" t="inlineStr">
        <is>
          <t>上交所</t>
        </is>
      </c>
      <c r="G1966" s="173" t="inlineStr">
        <is>
          <t>国泰海通</t>
        </is>
      </c>
      <c r="H1966" s="173" t="inlineStr">
        <is>
          <t>兴业证券</t>
        </is>
      </c>
      <c r="I1966" s="173" t="inlineStr">
        <is>
          <t>青岛银行</t>
        </is>
      </c>
      <c r="J1966" s="172" t="n">
        <v>6.5</v>
      </c>
      <c r="K1966" s="173" t="inlineStr">
        <is>
          <t>0+49</t>
        </is>
      </c>
      <c r="L1966" s="202" t="n">
        <v>46198</v>
      </c>
      <c r="M1966" s="175" t="n">
        <v>0.0148</v>
      </c>
      <c r="N1966" s="176" t="n">
        <v>0.02775</v>
      </c>
      <c r="O1966" s="172" t="n">
        <v>1.95</v>
      </c>
      <c r="P1966" s="172" t="inlineStr">
        <is>
          <t>优先B</t>
        </is>
      </c>
      <c r="Q1966" s="178" t="inlineStr">
        <is>
          <t>12.31%，</t>
        </is>
      </c>
      <c r="R1966" s="179" t="n">
        <v>0.8</v>
      </c>
      <c r="S1966" s="177" t="inlineStr">
        <is>
          <t>AA+</t>
        </is>
      </c>
      <c r="T1966" s="178" t="n">
        <v>0.031</v>
      </c>
      <c r="U1966" s="177" t="inlineStr">
        <is>
          <t>广发证券资管</t>
        </is>
      </c>
      <c r="V1966" s="192" t="n">
        <v>0.1</v>
      </c>
      <c r="W1966" s="172" t="n"/>
      <c r="X1966" s="172" t="n"/>
      <c r="Y1966" s="172" t="n"/>
    </row>
    <row r="1967">
      <c r="A1967" s="172" t="n">
        <v>104</v>
      </c>
      <c r="B1967" s="173" t="inlineStr">
        <is>
          <t>6月</t>
        </is>
      </c>
      <c r="C1967" s="173" t="inlineStr">
        <is>
          <t>消金</t>
        </is>
      </c>
      <c r="D1967" s="173" t="inlineStr">
        <is>
          <t>汽车融资租赁</t>
        </is>
      </c>
      <c r="E1967" s="173" t="inlineStr">
        <is>
          <t>尚乘1-2</t>
        </is>
      </c>
      <c r="F1967" s="173" t="inlineStr">
        <is>
          <t>上交所</t>
        </is>
      </c>
      <c r="G1967" s="173" t="inlineStr">
        <is>
          <t>国泰海通</t>
        </is>
      </c>
      <c r="H1967" s="173" t="inlineStr">
        <is>
          <t>兴业证券</t>
        </is>
      </c>
      <c r="I1967" s="173" t="inlineStr">
        <is>
          <t>青岛银行</t>
        </is>
      </c>
      <c r="J1967" s="172" t="n">
        <v>6.5</v>
      </c>
      <c r="K1967" s="173" t="inlineStr">
        <is>
          <t>0+49</t>
        </is>
      </c>
      <c r="L1967" s="202" t="n">
        <v>46198</v>
      </c>
      <c r="M1967" s="175" t="n">
        <v>0.0148</v>
      </c>
      <c r="N1967" s="176" t="n">
        <v>0.02775</v>
      </c>
      <c r="O1967" s="172" t="n">
        <v>1.95</v>
      </c>
      <c r="P1967" s="172" t="inlineStr">
        <is>
          <t>优先B</t>
        </is>
      </c>
      <c r="Q1967" s="178" t="inlineStr">
        <is>
          <t>12.31%，</t>
        </is>
      </c>
      <c r="R1967" s="179" t="n">
        <v>0.8</v>
      </c>
      <c r="S1967" s="177" t="inlineStr">
        <is>
          <t>AA+</t>
        </is>
      </c>
      <c r="T1967" s="178" t="n">
        <v>0.031</v>
      </c>
      <c r="U1967" s="177" t="inlineStr">
        <is>
          <t>南海农商资管</t>
        </is>
      </c>
      <c r="V1967" s="192" t="n">
        <v>0.1</v>
      </c>
      <c r="W1967" s="172" t="n"/>
      <c r="X1967" s="172" t="n"/>
      <c r="Y1967" s="172" t="n"/>
    </row>
    <row r="1968">
      <c r="A1968" s="172" t="n">
        <v>104</v>
      </c>
      <c r="B1968" s="173" t="inlineStr">
        <is>
          <t>6月</t>
        </is>
      </c>
      <c r="C1968" s="173" t="inlineStr">
        <is>
          <t>消金</t>
        </is>
      </c>
      <c r="D1968" s="173" t="inlineStr">
        <is>
          <t>汽车融资租赁</t>
        </is>
      </c>
      <c r="E1968" s="173" t="inlineStr">
        <is>
          <t>尚乘1-2</t>
        </is>
      </c>
      <c r="F1968" s="173" t="inlineStr">
        <is>
          <t>上交所</t>
        </is>
      </c>
      <c r="G1968" s="173" t="inlineStr">
        <is>
          <t>国泰海通</t>
        </is>
      </c>
      <c r="H1968" s="173" t="inlineStr">
        <is>
          <t>兴业证券</t>
        </is>
      </c>
      <c r="I1968" s="173" t="inlineStr">
        <is>
          <t>青岛银行</t>
        </is>
      </c>
      <c r="J1968" s="172" t="n">
        <v>6.5</v>
      </c>
      <c r="K1968" s="173" t="inlineStr">
        <is>
          <t>0+49</t>
        </is>
      </c>
      <c r="L1968" s="202" t="n">
        <v>46198</v>
      </c>
      <c r="M1968" s="175" t="n">
        <v>0.0148</v>
      </c>
      <c r="N1968" s="176" t="n">
        <v>0.02775</v>
      </c>
      <c r="O1968" s="172" t="n">
        <v>1.95</v>
      </c>
      <c r="P1968" s="172" t="inlineStr">
        <is>
          <t>优先B</t>
        </is>
      </c>
      <c r="Q1968" s="178" t="inlineStr">
        <is>
          <t>12.31%，</t>
        </is>
      </c>
      <c r="R1968" s="179" t="n">
        <v>0.8</v>
      </c>
      <c r="S1968" s="177" t="inlineStr">
        <is>
          <t>AA+</t>
        </is>
      </c>
      <c r="T1968" s="178" t="n">
        <v>0.031</v>
      </c>
      <c r="U1968" s="177" t="inlineStr">
        <is>
          <t>紫金信托</t>
        </is>
      </c>
      <c r="V1968" s="192" t="n">
        <v>0.2</v>
      </c>
      <c r="W1968" s="172" t="n"/>
      <c r="X1968" s="172" t="n"/>
      <c r="Y1968" s="172" t="n"/>
    </row>
    <row r="1969">
      <c r="A1969" s="172" t="n">
        <v>104</v>
      </c>
      <c r="B1969" s="173" t="inlineStr">
        <is>
          <t>6月</t>
        </is>
      </c>
      <c r="C1969" s="173" t="inlineStr">
        <is>
          <t>消金</t>
        </is>
      </c>
      <c r="D1969" s="173" t="inlineStr">
        <is>
          <t>汽车融资租赁</t>
        </is>
      </c>
      <c r="E1969" s="173" t="inlineStr">
        <is>
          <t>尚乘1-2</t>
        </is>
      </c>
      <c r="F1969" s="173" t="inlineStr">
        <is>
          <t>上交所</t>
        </is>
      </c>
      <c r="G1969" s="173" t="inlineStr">
        <is>
          <t>国泰海通</t>
        </is>
      </c>
      <c r="H1969" s="173" t="inlineStr">
        <is>
          <t>兴业证券</t>
        </is>
      </c>
      <c r="I1969" s="173" t="inlineStr">
        <is>
          <t>青岛银行</t>
        </is>
      </c>
      <c r="J1969" s="172" t="n">
        <v>6.5</v>
      </c>
      <c r="K1969" s="173" t="inlineStr">
        <is>
          <t>0+49</t>
        </is>
      </c>
      <c r="L1969" s="202" t="n">
        <v>46198</v>
      </c>
      <c r="M1969" s="175" t="n">
        <v>0.0148</v>
      </c>
      <c r="N1969" s="176" t="n">
        <v>0.02775</v>
      </c>
      <c r="O1969" s="172" t="n">
        <v>1.95</v>
      </c>
      <c r="P1969" s="172" t="inlineStr">
        <is>
          <t>优先B</t>
        </is>
      </c>
      <c r="Q1969" s="178" t="inlineStr">
        <is>
          <t>12.31%，</t>
        </is>
      </c>
      <c r="R1969" s="179" t="n">
        <v>0.8</v>
      </c>
      <c r="S1969" s="177" t="inlineStr">
        <is>
          <t>AA+</t>
        </is>
      </c>
      <c r="T1969" s="178" t="n">
        <v>0.031</v>
      </c>
      <c r="U1969" s="177" t="inlineStr">
        <is>
          <t>京东租赁</t>
        </is>
      </c>
      <c r="V1969" s="192" t="n">
        <v>0.04</v>
      </c>
      <c r="W1969" s="172" t="n"/>
      <c r="X1969" s="172" t="n"/>
      <c r="Y1969" s="172" t="n"/>
    </row>
    <row r="1970">
      <c r="A1970" s="172" t="n">
        <v>104</v>
      </c>
      <c r="B1970" s="173" t="inlineStr">
        <is>
          <t>6月</t>
        </is>
      </c>
      <c r="C1970" s="173" t="inlineStr">
        <is>
          <t>消金</t>
        </is>
      </c>
      <c r="D1970" s="173" t="inlineStr">
        <is>
          <t>汽车融资租赁</t>
        </is>
      </c>
      <c r="E1970" s="173" t="inlineStr">
        <is>
          <t>尚乘1-2</t>
        </is>
      </c>
      <c r="F1970" s="173" t="inlineStr">
        <is>
          <t>上交所</t>
        </is>
      </c>
      <c r="G1970" s="173" t="inlineStr">
        <is>
          <t>国泰海通</t>
        </is>
      </c>
      <c r="H1970" s="173" t="inlineStr">
        <is>
          <t>兴业证券</t>
        </is>
      </c>
      <c r="I1970" s="173" t="inlineStr">
        <is>
          <t>青岛银行</t>
        </is>
      </c>
      <c r="J1970" s="172" t="n">
        <v>6.5</v>
      </c>
      <c r="K1970" s="173" t="inlineStr">
        <is>
          <t>0+49</t>
        </is>
      </c>
      <c r="L1970" s="202" t="n">
        <v>46198</v>
      </c>
      <c r="M1970" s="175" t="n">
        <v>0.0148</v>
      </c>
      <c r="N1970" s="176" t="n">
        <v>0.02775</v>
      </c>
      <c r="O1970" s="172" t="n">
        <v>1.95</v>
      </c>
      <c r="P1970" s="177" t="inlineStr">
        <is>
          <t>次级</t>
        </is>
      </c>
      <c r="Q1970" s="178" t="n">
        <v>0.1231</v>
      </c>
      <c r="R1970" s="179" t="n">
        <v>0.8</v>
      </c>
      <c r="S1970" s="177" t="inlineStr">
        <is>
          <t>无</t>
        </is>
      </c>
      <c r="T1970" s="178" t="n">
        <v>0.052</v>
      </c>
      <c r="U1970" s="177" t="inlineStr">
        <is>
          <t>东家铂睿</t>
        </is>
      </c>
      <c r="V1970" s="192" t="n">
        <v>0.2</v>
      </c>
      <c r="W1970" s="172" t="n"/>
      <c r="X1970" s="172" t="n"/>
      <c r="Y1970" s="172" t="n"/>
    </row>
    <row r="1971">
      <c r="A1971" s="172" t="n">
        <v>104</v>
      </c>
      <c r="B1971" s="173" t="inlineStr">
        <is>
          <t>6月</t>
        </is>
      </c>
      <c r="C1971" s="173" t="inlineStr">
        <is>
          <t>消金</t>
        </is>
      </c>
      <c r="D1971" s="173" t="inlineStr">
        <is>
          <t>汽车融资租赁</t>
        </is>
      </c>
      <c r="E1971" s="173" t="inlineStr">
        <is>
          <t>尚乘1-2</t>
        </is>
      </c>
      <c r="F1971" s="173" t="inlineStr">
        <is>
          <t>上交所</t>
        </is>
      </c>
      <c r="G1971" s="173" t="inlineStr">
        <is>
          <t>国泰海通</t>
        </is>
      </c>
      <c r="H1971" s="173" t="inlineStr">
        <is>
          <t>兴业证券</t>
        </is>
      </c>
      <c r="I1971" s="173" t="inlineStr">
        <is>
          <t>青岛银行</t>
        </is>
      </c>
      <c r="J1971" s="172" t="n">
        <v>6.5</v>
      </c>
      <c r="K1971" s="173" t="inlineStr">
        <is>
          <t>0+49</t>
        </is>
      </c>
      <c r="L1971" s="202" t="n">
        <v>46198</v>
      </c>
      <c r="M1971" s="175" t="n">
        <v>0.0148</v>
      </c>
      <c r="N1971" s="176" t="n">
        <v>0.02775</v>
      </c>
      <c r="O1971" s="172" t="n">
        <v>1.95</v>
      </c>
      <c r="P1971" s="172" t="inlineStr">
        <is>
          <t>次级</t>
        </is>
      </c>
      <c r="Q1971" s="178" t="n">
        <v>0.1231</v>
      </c>
      <c r="R1971" s="179" t="n">
        <v>0.8</v>
      </c>
      <c r="S1971" s="177" t="inlineStr">
        <is>
          <t>无</t>
        </is>
      </c>
      <c r="T1971" s="178" t="n">
        <v>0.052</v>
      </c>
      <c r="U1971" s="177" t="inlineStr">
        <is>
          <t>朗资韩亚</t>
        </is>
      </c>
      <c r="V1971" s="192" t="n">
        <v>0.46</v>
      </c>
      <c r="W1971" s="172" t="n"/>
      <c r="X1971" s="172" t="n"/>
      <c r="Y1971" s="172" t="n"/>
    </row>
    <row r="1972">
      <c r="A1972" s="172" t="n">
        <v>104</v>
      </c>
      <c r="B1972" s="173" t="inlineStr">
        <is>
          <t>6月</t>
        </is>
      </c>
      <c r="C1972" s="173" t="inlineStr">
        <is>
          <t>消金</t>
        </is>
      </c>
      <c r="D1972" s="173" t="inlineStr">
        <is>
          <t>汽车融资租赁</t>
        </is>
      </c>
      <c r="E1972" s="173" t="inlineStr">
        <is>
          <t>尚乘1-2</t>
        </is>
      </c>
      <c r="F1972" s="173" t="inlineStr">
        <is>
          <t>上交所</t>
        </is>
      </c>
      <c r="G1972" s="173" t="inlineStr">
        <is>
          <t>国泰海通</t>
        </is>
      </c>
      <c r="H1972" s="173" t="inlineStr">
        <is>
          <t>兴业证券</t>
        </is>
      </c>
      <c r="I1972" s="173" t="inlineStr">
        <is>
          <t>青岛银行</t>
        </is>
      </c>
      <c r="J1972" s="172" t="n">
        <v>6.5</v>
      </c>
      <c r="K1972" s="173" t="inlineStr">
        <is>
          <t>0+49</t>
        </is>
      </c>
      <c r="L1972" s="202" t="n">
        <v>46198</v>
      </c>
      <c r="M1972" s="175" t="n">
        <v>0.0148</v>
      </c>
      <c r="N1972" s="176" t="n">
        <v>0.02775</v>
      </c>
      <c r="O1972" s="172" t="n">
        <v>1.95</v>
      </c>
      <c r="P1972" s="172" t="inlineStr">
        <is>
          <t>次级</t>
        </is>
      </c>
      <c r="Q1972" s="178" t="n">
        <v>0.1231</v>
      </c>
      <c r="R1972" s="179" t="n">
        <v>0.8</v>
      </c>
      <c r="S1972" s="177" t="inlineStr">
        <is>
          <t>无</t>
        </is>
      </c>
      <c r="T1972" s="178" t="n">
        <v>0.052</v>
      </c>
      <c r="U1972" s="177" t="inlineStr">
        <is>
          <t>思达星汇</t>
        </is>
      </c>
      <c r="V1972" s="192" t="n">
        <v>0.1</v>
      </c>
      <c r="W1972" s="172" t="n"/>
      <c r="X1972" s="172" t="n"/>
      <c r="Y1972" s="172" t="n"/>
    </row>
    <row r="1973">
      <c r="A1973" s="172" t="n">
        <v>104</v>
      </c>
      <c r="B1973" s="173" t="inlineStr">
        <is>
          <t>6月</t>
        </is>
      </c>
      <c r="C1973" s="173" t="inlineStr">
        <is>
          <t>消金</t>
        </is>
      </c>
      <c r="D1973" s="173" t="inlineStr">
        <is>
          <t>汽车融资租赁</t>
        </is>
      </c>
      <c r="E1973" s="173" t="inlineStr">
        <is>
          <t>尚乘1-2</t>
        </is>
      </c>
      <c r="F1973" s="173" t="inlineStr">
        <is>
          <t>上交所</t>
        </is>
      </c>
      <c r="G1973" s="173" t="inlineStr">
        <is>
          <t>国泰海通</t>
        </is>
      </c>
      <c r="H1973" s="173" t="inlineStr">
        <is>
          <t>兴业证券</t>
        </is>
      </c>
      <c r="I1973" s="173" t="inlineStr">
        <is>
          <t>青岛银行</t>
        </is>
      </c>
      <c r="J1973" s="172" t="n">
        <v>6.5</v>
      </c>
      <c r="K1973" s="173" t="inlineStr">
        <is>
          <t>0+49</t>
        </is>
      </c>
      <c r="L1973" s="202" t="n">
        <v>46198</v>
      </c>
      <c r="M1973" s="175" t="n">
        <v>0.0148</v>
      </c>
      <c r="N1973" s="176" t="n">
        <v>0.02775</v>
      </c>
      <c r="O1973" s="172" t="n">
        <v>1.95</v>
      </c>
      <c r="P1973" s="172" t="inlineStr">
        <is>
          <t>次级</t>
        </is>
      </c>
      <c r="Q1973" s="178" t="n">
        <v>0.1231</v>
      </c>
      <c r="R1973" s="179" t="n">
        <v>0.8</v>
      </c>
      <c r="S1973" s="177" t="inlineStr">
        <is>
          <t>无</t>
        </is>
      </c>
      <c r="T1973" s="178" t="n">
        <v>0.052</v>
      </c>
      <c r="U1973" s="177" t="inlineStr">
        <is>
          <t>京东租赁</t>
        </is>
      </c>
      <c r="V1973" s="192" t="n">
        <v>0.04</v>
      </c>
      <c r="W1973" s="172" t="n"/>
      <c r="X1973" s="172" t="n"/>
      <c r="Y1973" s="172" t="n"/>
    </row>
    <row r="1974">
      <c r="A1974" s="172" t="n">
        <v>105</v>
      </c>
      <c r="B1974" s="173" t="inlineStr">
        <is>
          <t>6月</t>
        </is>
      </c>
      <c r="C1974" s="173" t="inlineStr">
        <is>
          <t>消金</t>
        </is>
      </c>
      <c r="D1974" s="173" t="inlineStr">
        <is>
          <t>信托白条</t>
        </is>
      </c>
      <c r="E1974" s="173" t="inlineStr">
        <is>
          <t>钰泽5-1</t>
        </is>
      </c>
      <c r="F1974" s="173" t="inlineStr">
        <is>
          <t>非标</t>
        </is>
      </c>
      <c r="G1974" s="173" t="inlineStr">
        <is>
          <t>西藏信托</t>
        </is>
      </c>
      <c r="H1974" s="173" t="inlineStr">
        <is>
          <t>-</t>
        </is>
      </c>
      <c r="I1974" s="173" t="inlineStr">
        <is>
          <t>中行北分</t>
        </is>
      </c>
      <c r="J1974" s="172" t="n">
        <v>6</v>
      </c>
      <c r="K1974" s="173" t="inlineStr">
        <is>
          <t>6+18</t>
        </is>
      </c>
      <c r="L1974" s="202" t="n">
        <v>46198</v>
      </c>
      <c r="M1974" s="175" t="n">
        <v>0.0148</v>
      </c>
      <c r="N1974" s="176" t="n">
        <v>0.02905</v>
      </c>
      <c r="O1974" s="172" t="inlineStr">
        <is>
          <t>-</t>
        </is>
      </c>
      <c r="P1974" s="177" t="inlineStr">
        <is>
          <t>平层</t>
        </is>
      </c>
      <c r="Q1974" s="178" t="inlineStr">
        <is>
          <t>-</t>
        </is>
      </c>
      <c r="R1974" s="192" t="n">
        <v>6</v>
      </c>
      <c r="S1974" s="177" t="inlineStr">
        <is>
          <t>无</t>
        </is>
      </c>
      <c r="T1974" s="178" t="n">
        <v>0.026</v>
      </c>
      <c r="U1974" s="177" t="inlineStr">
        <is>
          <t>中邮理财</t>
        </is>
      </c>
      <c r="V1974" s="191" t="n">
        <v>6</v>
      </c>
      <c r="W1974" s="172" t="n"/>
      <c r="X1974" s="172" t="n"/>
      <c r="Y1974" s="172" t="n"/>
    </row>
    <row r="1975">
      <c r="A1975" s="172" t="n">
        <v>106</v>
      </c>
      <c r="B1975" s="173" t="inlineStr">
        <is>
          <t>6月</t>
        </is>
      </c>
      <c r="C1975" s="173" t="inlineStr">
        <is>
          <t>消金</t>
        </is>
      </c>
      <c r="D1975" s="173" t="inlineStr">
        <is>
          <t>信托白条</t>
        </is>
      </c>
      <c r="E1975" s="173" t="inlineStr">
        <is>
          <t>钰泽5-2</t>
        </is>
      </c>
      <c r="F1975" s="173" t="inlineStr">
        <is>
          <t>非标</t>
        </is>
      </c>
      <c r="G1975" s="173" t="inlineStr">
        <is>
          <t>西藏信托</t>
        </is>
      </c>
      <c r="H1975" s="173" t="inlineStr">
        <is>
          <t>-</t>
        </is>
      </c>
      <c r="I1975" s="173" t="inlineStr">
        <is>
          <t>中行北分</t>
        </is>
      </c>
      <c r="J1975" s="172" t="n">
        <v>8.1</v>
      </c>
      <c r="K1975" s="173" t="inlineStr">
        <is>
          <t>6+18</t>
        </is>
      </c>
      <c r="L1975" s="202" t="n">
        <v>46199</v>
      </c>
      <c r="M1975" s="175" t="n">
        <v>0.0148</v>
      </c>
      <c r="N1975" s="176" t="n">
        <v>0.02905</v>
      </c>
      <c r="O1975" s="172" t="inlineStr">
        <is>
          <t>-</t>
        </is>
      </c>
      <c r="P1975" s="177" t="inlineStr">
        <is>
          <t>平层</t>
        </is>
      </c>
      <c r="Q1975" s="178" t="inlineStr">
        <is>
          <t>-</t>
        </is>
      </c>
      <c r="R1975" s="192" t="n">
        <v>8.1</v>
      </c>
      <c r="S1975" s="177" t="inlineStr">
        <is>
          <t>无</t>
        </is>
      </c>
      <c r="T1975" s="178" t="n">
        <v>0.026</v>
      </c>
      <c r="U1975" s="177" t="inlineStr">
        <is>
          <t>中邮理财</t>
        </is>
      </c>
      <c r="V1975" s="191" t="n">
        <v>8.1</v>
      </c>
      <c r="W1975" s="172" t="n"/>
      <c r="X1975" s="172" t="n"/>
      <c r="Y1975" s="172" t="n"/>
    </row>
    <row r="1976">
      <c r="A1976" s="172" t="n">
        <v>107</v>
      </c>
      <c r="B1976" s="172" t="inlineStr">
        <is>
          <t>6月</t>
        </is>
      </c>
      <c r="C1976" s="173" t="inlineStr">
        <is>
          <t>消金</t>
        </is>
      </c>
      <c r="D1976" s="173" t="inlineStr">
        <is>
          <t>金条&amp;白取混发</t>
        </is>
      </c>
      <c r="E1976" s="173" t="inlineStr">
        <is>
          <t>东樾4号夏樾（4-2）</t>
        </is>
      </c>
      <c r="F1976" s="173" t="inlineStr">
        <is>
          <t>银行间</t>
        </is>
      </c>
      <c r="G1976" s="173" t="inlineStr">
        <is>
          <t>招商证券</t>
        </is>
      </c>
      <c r="H1976" s="173" t="inlineStr">
        <is>
          <t>国泰海通/光大证券/中信证券/国信证券</t>
        </is>
      </c>
      <c r="I1976" s="173" t="inlineStr">
        <is>
          <t>中行北分</t>
        </is>
      </c>
      <c r="J1976" s="172" t="n">
        <v>10</v>
      </c>
      <c r="K1976" s="173" t="inlineStr">
        <is>
          <t>12+10+12</t>
        </is>
      </c>
      <c r="L1976" s="202" t="n">
        <v>46199</v>
      </c>
      <c r="M1976" s="175" t="n">
        <v>0.0148</v>
      </c>
      <c r="N1976" s="176" t="n">
        <v>0.02131</v>
      </c>
      <c r="O1976" s="172" t="n">
        <v>1.5</v>
      </c>
      <c r="P1976" s="177" t="inlineStr">
        <is>
          <t>优先A</t>
        </is>
      </c>
      <c r="Q1976" s="178" t="n">
        <v>0.9</v>
      </c>
      <c r="R1976" s="179">
        <f>Q1303*J1303</f>
        <v/>
      </c>
      <c r="S1976" s="177" t="inlineStr">
        <is>
          <t>AAA</t>
        </is>
      </c>
      <c r="T1976" s="178" t="n">
        <v>0.0165</v>
      </c>
      <c r="U1976" s="177" t="inlineStr">
        <is>
          <t>光大证券投行</t>
        </is>
      </c>
      <c r="V1976" s="192" t="n">
        <v>0.4</v>
      </c>
      <c r="W1976" s="175" t="n">
        <v>0.0165</v>
      </c>
      <c r="X1976" s="172" t="inlineStr">
        <is>
          <t>光大证券</t>
        </is>
      </c>
      <c r="Y1976" s="191" t="n">
        <v>0.5</v>
      </c>
    </row>
    <row r="1977">
      <c r="A1977" s="172" t="n">
        <v>107</v>
      </c>
      <c r="B1977" s="172" t="inlineStr">
        <is>
          <t>6月</t>
        </is>
      </c>
      <c r="C1977" s="172" t="inlineStr">
        <is>
          <t>消金</t>
        </is>
      </c>
      <c r="D1977" s="172" t="inlineStr">
        <is>
          <t>金条&amp;白取混发</t>
        </is>
      </c>
      <c r="E1977" s="172" t="inlineStr">
        <is>
          <t>东樾4号夏樾（4-2）</t>
        </is>
      </c>
      <c r="F1977" s="172" t="inlineStr">
        <is>
          <t>银行间</t>
        </is>
      </c>
      <c r="G1977" s="172" t="inlineStr">
        <is>
          <t>招商证券</t>
        </is>
      </c>
      <c r="H1977" s="172" t="inlineStr">
        <is>
          <t>国泰海通/光大证券/中信证券/国信证券</t>
        </is>
      </c>
      <c r="I1977" s="172" t="inlineStr">
        <is>
          <t>中行北分</t>
        </is>
      </c>
      <c r="J1977" s="172" t="n">
        <v>10</v>
      </c>
      <c r="K1977" s="172" t="inlineStr">
        <is>
          <t>12+10+12</t>
        </is>
      </c>
      <c r="L1977" s="208" t="n">
        <v>46199</v>
      </c>
      <c r="M1977" s="175" t="n">
        <v>0.0148</v>
      </c>
      <c r="N1977" s="176" t="n">
        <v>0.02131</v>
      </c>
      <c r="O1977" s="172" t="n">
        <v>1.5</v>
      </c>
      <c r="P1977" s="172" t="inlineStr">
        <is>
          <t>优先A</t>
        </is>
      </c>
      <c r="Q1977" s="175" t="n">
        <v>0.9</v>
      </c>
      <c r="R1977" s="172">
        <f>Q1303*J1303</f>
        <v/>
      </c>
      <c r="S1977" s="172" t="inlineStr">
        <is>
          <t>AAA</t>
        </is>
      </c>
      <c r="T1977" s="175" t="n">
        <v>0.0165</v>
      </c>
      <c r="U1977" s="172" t="n"/>
      <c r="V1977" s="172" t="n"/>
      <c r="W1977" s="175" t="n">
        <v>0.024</v>
      </c>
      <c r="X1977" s="172" t="inlineStr">
        <is>
          <t>光大证券</t>
        </is>
      </c>
      <c r="Y1977" s="191" t="n">
        <v>0.5</v>
      </c>
    </row>
    <row r="1978">
      <c r="A1978" s="172" t="n">
        <v>107</v>
      </c>
      <c r="B1978" s="172" t="inlineStr">
        <is>
          <t>6月</t>
        </is>
      </c>
      <c r="C1978" s="173" t="inlineStr">
        <is>
          <t>消金</t>
        </is>
      </c>
      <c r="D1978" s="173" t="inlineStr">
        <is>
          <t>金条&amp;白取混发</t>
        </is>
      </c>
      <c r="E1978" s="173" t="inlineStr">
        <is>
          <t>东樾4号夏樾（4-2）</t>
        </is>
      </c>
      <c r="F1978" s="173" t="inlineStr">
        <is>
          <t>银行间</t>
        </is>
      </c>
      <c r="G1978" s="173" t="inlineStr">
        <is>
          <t>招商证券</t>
        </is>
      </c>
      <c r="H1978" s="173" t="inlineStr">
        <is>
          <t>国泰海通/光大证券/中信证券/国信证券</t>
        </is>
      </c>
      <c r="I1978" s="173" t="inlineStr">
        <is>
          <t>中行北分</t>
        </is>
      </c>
      <c r="J1978" s="172" t="n">
        <v>10</v>
      </c>
      <c r="K1978" s="173" t="inlineStr">
        <is>
          <t>12+10+12</t>
        </is>
      </c>
      <c r="L1978" s="202" t="n">
        <v>46199</v>
      </c>
      <c r="M1978" s="175" t="n">
        <v>0.0148</v>
      </c>
      <c r="N1978" s="176" t="n">
        <v>0.02131</v>
      </c>
      <c r="O1978" s="172" t="n">
        <v>1.5</v>
      </c>
      <c r="P1978" s="172" t="inlineStr">
        <is>
          <t>优先A</t>
        </is>
      </c>
      <c r="Q1978" s="178" t="n">
        <v>0.9</v>
      </c>
      <c r="R1978" s="179">
        <f>Q1303*J1303</f>
        <v/>
      </c>
      <c r="S1978" s="177" t="inlineStr">
        <is>
          <t>AAA</t>
        </is>
      </c>
      <c r="T1978" s="178" t="n">
        <v>0.0165</v>
      </c>
      <c r="U1978" s="177" t="inlineStr">
        <is>
          <t>国泰海通投行</t>
        </is>
      </c>
      <c r="V1978" s="192" t="n">
        <v>0.4</v>
      </c>
      <c r="W1978" s="175" t="n">
        <v>0.0165</v>
      </c>
      <c r="X1978" s="172" t="inlineStr">
        <is>
          <t>国泰海通</t>
        </is>
      </c>
      <c r="Y1978" s="191" t="n">
        <v>1</v>
      </c>
    </row>
    <row r="1979">
      <c r="A1979" s="172" t="n">
        <v>107</v>
      </c>
      <c r="B1979" s="172" t="inlineStr">
        <is>
          <t>6月</t>
        </is>
      </c>
      <c r="C1979" s="173" t="inlineStr">
        <is>
          <t>消金</t>
        </is>
      </c>
      <c r="D1979" s="173" t="inlineStr">
        <is>
          <t>金条&amp;白取混发</t>
        </is>
      </c>
      <c r="E1979" s="173" t="inlineStr">
        <is>
          <t>东樾4号夏樾（4-2）</t>
        </is>
      </c>
      <c r="F1979" s="173" t="inlineStr">
        <is>
          <t>银行间</t>
        </is>
      </c>
      <c r="G1979" s="173" t="inlineStr">
        <is>
          <t>招商证券</t>
        </is>
      </c>
      <c r="H1979" s="173" t="inlineStr">
        <is>
          <t>国泰海通/光大证券/中信证券/国信证券</t>
        </is>
      </c>
      <c r="I1979" s="173" t="inlineStr">
        <is>
          <t>中行北分</t>
        </is>
      </c>
      <c r="J1979" s="172" t="n">
        <v>10</v>
      </c>
      <c r="K1979" s="173" t="inlineStr">
        <is>
          <t>12+10+12</t>
        </is>
      </c>
      <c r="L1979" s="202" t="n">
        <v>46199</v>
      </c>
      <c r="M1979" s="175" t="n">
        <v>0.0148</v>
      </c>
      <c r="N1979" s="176" t="n">
        <v>0.02131</v>
      </c>
      <c r="O1979" s="172" t="n">
        <v>1.5</v>
      </c>
      <c r="P1979" s="172" t="inlineStr">
        <is>
          <t>优先A</t>
        </is>
      </c>
      <c r="Q1979" s="178" t="n">
        <v>0.9</v>
      </c>
      <c r="R1979" s="179">
        <f>Q1303*J1303</f>
        <v/>
      </c>
      <c r="S1979" s="177" t="inlineStr">
        <is>
          <t>AAA</t>
        </is>
      </c>
      <c r="T1979" s="178" t="n">
        <v>0.0165</v>
      </c>
      <c r="U1979" s="177" t="inlineStr">
        <is>
          <t>国信证券投行</t>
        </is>
      </c>
      <c r="V1979" s="192" t="n">
        <v>0.4</v>
      </c>
      <c r="W1979" s="175" t="n">
        <v>0.0165</v>
      </c>
      <c r="X1979" s="172" t="inlineStr">
        <is>
          <t>国信证券</t>
        </is>
      </c>
      <c r="Y1979" s="191" t="n">
        <v>1.3</v>
      </c>
    </row>
    <row r="1980">
      <c r="A1980" s="172" t="n">
        <v>107</v>
      </c>
      <c r="B1980" s="172" t="inlineStr">
        <is>
          <t>6月</t>
        </is>
      </c>
      <c r="C1980" s="173" t="inlineStr">
        <is>
          <t>消金</t>
        </is>
      </c>
      <c r="D1980" s="173" t="inlineStr">
        <is>
          <t>金条&amp;白取混发</t>
        </is>
      </c>
      <c r="E1980" s="173" t="inlineStr">
        <is>
          <t>东樾4号夏樾（4-2）</t>
        </is>
      </c>
      <c r="F1980" s="173" t="inlineStr">
        <is>
          <t>银行间</t>
        </is>
      </c>
      <c r="G1980" s="173" t="inlineStr">
        <is>
          <t>招商证券</t>
        </is>
      </c>
      <c r="H1980" s="173" t="inlineStr">
        <is>
          <t>国泰海通/光大证券/中信证券/国信证券</t>
        </is>
      </c>
      <c r="I1980" s="173" t="inlineStr">
        <is>
          <t>中行北分</t>
        </is>
      </c>
      <c r="J1980" s="172" t="n">
        <v>10</v>
      </c>
      <c r="K1980" s="173" t="inlineStr">
        <is>
          <t>12+10+12</t>
        </is>
      </c>
      <c r="L1980" s="202" t="n">
        <v>46199</v>
      </c>
      <c r="M1980" s="175" t="n">
        <v>0.0148</v>
      </c>
      <c r="N1980" s="176" t="n">
        <v>0.02131</v>
      </c>
      <c r="O1980" s="172" t="n">
        <v>1.5</v>
      </c>
      <c r="P1980" s="172" t="inlineStr">
        <is>
          <t>优先A</t>
        </is>
      </c>
      <c r="Q1980" s="178" t="n">
        <v>0.9</v>
      </c>
      <c r="R1980" s="179">
        <f>Q1303*J1303</f>
        <v/>
      </c>
      <c r="S1980" s="177" t="inlineStr">
        <is>
          <t>AAA</t>
        </is>
      </c>
      <c r="T1980" s="178" t="n">
        <v>0.0165</v>
      </c>
      <c r="U1980" s="177" t="inlineStr">
        <is>
          <t>交银理财</t>
        </is>
      </c>
      <c r="V1980" s="192" t="n">
        <v>1.5</v>
      </c>
      <c r="W1980" s="175" t="n">
        <v>0.016</v>
      </c>
      <c r="X1980" s="172" t="inlineStr">
        <is>
          <t>交银理财</t>
        </is>
      </c>
      <c r="Y1980" s="191" t="n">
        <v>0.5</v>
      </c>
    </row>
    <row r="1981">
      <c r="A1981" s="172" t="n">
        <v>107</v>
      </c>
      <c r="B1981" s="172" t="inlineStr">
        <is>
          <t>6月</t>
        </is>
      </c>
      <c r="C1981" s="172" t="inlineStr">
        <is>
          <t>消金</t>
        </is>
      </c>
      <c r="D1981" s="172" t="inlineStr">
        <is>
          <t>金条&amp;白取混发</t>
        </is>
      </c>
      <c r="E1981" s="172" t="inlineStr">
        <is>
          <t>东樾4号夏樾（4-2）</t>
        </is>
      </c>
      <c r="F1981" s="172" t="inlineStr">
        <is>
          <t>银行间</t>
        </is>
      </c>
      <c r="G1981" s="172" t="inlineStr">
        <is>
          <t>招商证券</t>
        </is>
      </c>
      <c r="H1981" s="172" t="inlineStr">
        <is>
          <t>国泰海通/光大证券/中信证券/国信证券</t>
        </is>
      </c>
      <c r="I1981" s="172" t="inlineStr">
        <is>
          <t>中行北分</t>
        </is>
      </c>
      <c r="J1981" s="172" t="n">
        <v>10</v>
      </c>
      <c r="K1981" s="172" t="inlineStr">
        <is>
          <t>12+10+12</t>
        </is>
      </c>
      <c r="L1981" s="208" t="n">
        <v>46199</v>
      </c>
      <c r="M1981" s="175" t="n">
        <v>0.0148</v>
      </c>
      <c r="N1981" s="176" t="n">
        <v>0.02131</v>
      </c>
      <c r="O1981" s="172" t="n">
        <v>1.5</v>
      </c>
      <c r="P1981" s="172" t="inlineStr">
        <is>
          <t>优先A</t>
        </is>
      </c>
      <c r="Q1981" s="175" t="n">
        <v>0.9</v>
      </c>
      <c r="R1981" s="172">
        <f>Q1303*J1303</f>
        <v/>
      </c>
      <c r="S1981" s="172" t="inlineStr">
        <is>
          <t>AAA</t>
        </is>
      </c>
      <c r="T1981" s="175" t="n">
        <v>0.0165</v>
      </c>
      <c r="U1981" s="172" t="n"/>
      <c r="V1981" s="172" t="n"/>
      <c r="W1981" s="175" t="n">
        <v>0.0165</v>
      </c>
      <c r="X1981" s="172" t="inlineStr">
        <is>
          <t>交银理财</t>
        </is>
      </c>
      <c r="Y1981" s="191" t="n">
        <v>1</v>
      </c>
    </row>
    <row r="1982">
      <c r="A1982" s="172" t="n">
        <v>107</v>
      </c>
      <c r="B1982" s="172" t="inlineStr">
        <is>
          <t>6月</t>
        </is>
      </c>
      <c r="C1982" s="173" t="inlineStr">
        <is>
          <t>消金</t>
        </is>
      </c>
      <c r="D1982" s="173" t="inlineStr">
        <is>
          <t>金条&amp;白取混发</t>
        </is>
      </c>
      <c r="E1982" s="173" t="inlineStr">
        <is>
          <t>东樾4号夏樾（4-2）</t>
        </is>
      </c>
      <c r="F1982" s="173" t="inlineStr">
        <is>
          <t>银行间</t>
        </is>
      </c>
      <c r="G1982" s="173" t="inlineStr">
        <is>
          <t>招商证券</t>
        </is>
      </c>
      <c r="H1982" s="173" t="inlineStr">
        <is>
          <t>国泰海通/光大证券/中信证券/国信证券</t>
        </is>
      </c>
      <c r="I1982" s="173" t="inlineStr">
        <is>
          <t>中行北分</t>
        </is>
      </c>
      <c r="J1982" s="172" t="n">
        <v>10</v>
      </c>
      <c r="K1982" s="173" t="inlineStr">
        <is>
          <t>12+10+12</t>
        </is>
      </c>
      <c r="L1982" s="202" t="n">
        <v>46199</v>
      </c>
      <c r="M1982" s="175" t="n">
        <v>0.0148</v>
      </c>
      <c r="N1982" s="176" t="n">
        <v>0.02131</v>
      </c>
      <c r="O1982" s="172" t="n">
        <v>1.5</v>
      </c>
      <c r="P1982" s="172" t="inlineStr">
        <is>
          <t>优先A</t>
        </is>
      </c>
      <c r="Q1982" s="178" t="n">
        <v>0.9</v>
      </c>
      <c r="R1982" s="179">
        <f>Q1303*J1303</f>
        <v/>
      </c>
      <c r="S1982" s="177" t="inlineStr">
        <is>
          <t>AAA</t>
        </is>
      </c>
      <c r="T1982" s="178" t="n">
        <v>0.0165</v>
      </c>
      <c r="U1982" s="177" t="inlineStr">
        <is>
          <t>利曦基金</t>
        </is>
      </c>
      <c r="V1982" s="192" t="n">
        <v>0.5</v>
      </c>
      <c r="W1982" s="175" t="n">
        <v>0.0165</v>
      </c>
      <c r="X1982" s="172" t="inlineStr">
        <is>
          <t>利曦私募基金</t>
        </is>
      </c>
      <c r="Y1982" s="191" t="n">
        <v>0.5</v>
      </c>
    </row>
    <row r="1983">
      <c r="A1983" s="172" t="n">
        <v>107</v>
      </c>
      <c r="B1983" s="172" t="inlineStr">
        <is>
          <t>6月</t>
        </is>
      </c>
      <c r="C1983" s="172" t="inlineStr">
        <is>
          <t>消金</t>
        </is>
      </c>
      <c r="D1983" s="172" t="inlineStr">
        <is>
          <t>金条&amp;白取混发</t>
        </is>
      </c>
      <c r="E1983" s="172" t="inlineStr">
        <is>
          <t>东樾4号夏樾（4-2）</t>
        </is>
      </c>
      <c r="F1983" s="172" t="inlineStr">
        <is>
          <t>银行间</t>
        </is>
      </c>
      <c r="G1983" s="172" t="inlineStr">
        <is>
          <t>招商证券</t>
        </is>
      </c>
      <c r="H1983" s="172" t="inlineStr">
        <is>
          <t>国泰海通/光大证券/中信证券/国信证券</t>
        </is>
      </c>
      <c r="I1983" s="172" t="inlineStr">
        <is>
          <t>中行北分</t>
        </is>
      </c>
      <c r="J1983" s="172" t="n">
        <v>10</v>
      </c>
      <c r="K1983" s="172" t="inlineStr">
        <is>
          <t>12+10+12</t>
        </is>
      </c>
      <c r="L1983" s="208" t="n">
        <v>46199</v>
      </c>
      <c r="M1983" s="175" t="n">
        <v>0.0148</v>
      </c>
      <c r="N1983" s="176" t="n">
        <v>0.02131</v>
      </c>
      <c r="O1983" s="172" t="n">
        <v>1.5</v>
      </c>
      <c r="P1983" s="172" t="inlineStr">
        <is>
          <t>优先A</t>
        </is>
      </c>
      <c r="Q1983" s="175" t="n">
        <v>0.9</v>
      </c>
      <c r="R1983" s="172">
        <f>Q1303*J1303</f>
        <v/>
      </c>
      <c r="S1983" s="172" t="inlineStr">
        <is>
          <t>AAA</t>
        </is>
      </c>
      <c r="T1983" s="175" t="n">
        <v>0.0165</v>
      </c>
      <c r="U1983" s="172" t="n"/>
      <c r="V1983" s="172" t="n"/>
      <c r="W1983" s="175" t="n">
        <v>0.024</v>
      </c>
      <c r="X1983" s="172" t="inlineStr">
        <is>
          <t>利曦私募基金</t>
        </is>
      </c>
      <c r="Y1983" s="191" t="n">
        <v>1</v>
      </c>
    </row>
    <row r="1984">
      <c r="A1984" s="172" t="n">
        <v>107</v>
      </c>
      <c r="B1984" s="172" t="inlineStr">
        <is>
          <t>6月</t>
        </is>
      </c>
      <c r="C1984" s="173" t="inlineStr">
        <is>
          <t>消金</t>
        </is>
      </c>
      <c r="D1984" s="173" t="inlineStr">
        <is>
          <t>金条&amp;白取混发</t>
        </is>
      </c>
      <c r="E1984" s="173" t="inlineStr">
        <is>
          <t>东樾4号夏樾（4-2）</t>
        </is>
      </c>
      <c r="F1984" s="173" t="inlineStr">
        <is>
          <t>银行间</t>
        </is>
      </c>
      <c r="G1984" s="173" t="inlineStr">
        <is>
          <t>招商证券</t>
        </is>
      </c>
      <c r="H1984" s="173" t="inlineStr">
        <is>
          <t>国泰海通/光大证券/中信证券/国信证券</t>
        </is>
      </c>
      <c r="I1984" s="173" t="inlineStr">
        <is>
          <t>中行北分</t>
        </is>
      </c>
      <c r="J1984" s="172" t="n">
        <v>10</v>
      </c>
      <c r="K1984" s="173" t="inlineStr">
        <is>
          <t>12+10+12</t>
        </is>
      </c>
      <c r="L1984" s="202" t="n">
        <v>46199</v>
      </c>
      <c r="M1984" s="175" t="n">
        <v>0.0148</v>
      </c>
      <c r="N1984" s="176" t="n">
        <v>0.02131</v>
      </c>
      <c r="O1984" s="172" t="n">
        <v>1.5</v>
      </c>
      <c r="P1984" s="172" t="inlineStr">
        <is>
          <t>优先A</t>
        </is>
      </c>
      <c r="Q1984" s="178" t="n">
        <v>0.9</v>
      </c>
      <c r="R1984" s="179">
        <f>Q1303*J1303</f>
        <v/>
      </c>
      <c r="S1984" s="177" t="inlineStr">
        <is>
          <t>AAA</t>
        </is>
      </c>
      <c r="T1984" s="178" t="n">
        <v>0.0165</v>
      </c>
      <c r="U1984" s="177" t="inlineStr">
        <is>
          <t>申万宏源自营</t>
        </is>
      </c>
      <c r="V1984" s="192" t="n">
        <v>0.5</v>
      </c>
      <c r="W1984" s="175" t="n">
        <v>0.0165</v>
      </c>
      <c r="X1984" s="172" t="inlineStr">
        <is>
          <t>申万宏源-北京</t>
        </is>
      </c>
      <c r="Y1984" s="191" t="n">
        <v>0.5</v>
      </c>
    </row>
    <row r="1985">
      <c r="A1985" s="172" t="n">
        <v>107</v>
      </c>
      <c r="B1985" s="172" t="inlineStr">
        <is>
          <t>6月</t>
        </is>
      </c>
      <c r="C1985" s="173" t="inlineStr">
        <is>
          <t>消金</t>
        </is>
      </c>
      <c r="D1985" s="173" t="inlineStr">
        <is>
          <t>金条&amp;白取混发</t>
        </is>
      </c>
      <c r="E1985" s="173" t="inlineStr">
        <is>
          <t>东樾4号夏樾（4-2）</t>
        </is>
      </c>
      <c r="F1985" s="173" t="inlineStr">
        <is>
          <t>银行间</t>
        </is>
      </c>
      <c r="G1985" s="173" t="inlineStr">
        <is>
          <t>招商证券</t>
        </is>
      </c>
      <c r="H1985" s="173" t="inlineStr">
        <is>
          <t>国泰海通/光大证券/中信证券/国信证券</t>
        </is>
      </c>
      <c r="I1985" s="173" t="inlineStr">
        <is>
          <t>中行北分</t>
        </is>
      </c>
      <c r="J1985" s="172" t="n">
        <v>10</v>
      </c>
      <c r="K1985" s="173" t="inlineStr">
        <is>
          <t>12+10+12</t>
        </is>
      </c>
      <c r="L1985" s="202" t="n">
        <v>46199</v>
      </c>
      <c r="M1985" s="175" t="n">
        <v>0.0148</v>
      </c>
      <c r="N1985" s="176" t="n">
        <v>0.02131</v>
      </c>
      <c r="O1985" s="172" t="n">
        <v>1.5</v>
      </c>
      <c r="P1985" s="172" t="inlineStr">
        <is>
          <t>优先A</t>
        </is>
      </c>
      <c r="Q1985" s="178" t="n">
        <v>0.9</v>
      </c>
      <c r="R1985" s="179">
        <f>Q1303*J1303</f>
        <v/>
      </c>
      <c r="S1985" s="177" t="inlineStr">
        <is>
          <t>AAA</t>
        </is>
      </c>
      <c r="T1985" s="178" t="n">
        <v>0.0165</v>
      </c>
      <c r="U1985" s="177" t="inlineStr">
        <is>
          <t>招商证券投行</t>
        </is>
      </c>
      <c r="V1985" s="192" t="n">
        <v>0.7</v>
      </c>
      <c r="W1985" s="175" t="n">
        <v>0.0165</v>
      </c>
      <c r="X1985" s="172" t="inlineStr">
        <is>
          <t>招商证券</t>
        </is>
      </c>
      <c r="Y1985" s="191" t="n">
        <v>1</v>
      </c>
    </row>
    <row r="1986">
      <c r="A1986" s="172" t="n">
        <v>107</v>
      </c>
      <c r="B1986" s="172" t="inlineStr">
        <is>
          <t>6月</t>
        </is>
      </c>
      <c r="C1986" s="173" t="inlineStr">
        <is>
          <t>消金</t>
        </is>
      </c>
      <c r="D1986" s="173" t="inlineStr">
        <is>
          <t>金条&amp;白取混发</t>
        </is>
      </c>
      <c r="E1986" s="173" t="inlineStr">
        <is>
          <t>东樾4号夏樾（4-2）</t>
        </is>
      </c>
      <c r="F1986" s="173" t="inlineStr">
        <is>
          <t>银行间</t>
        </is>
      </c>
      <c r="G1986" s="173" t="inlineStr">
        <is>
          <t>招商证券</t>
        </is>
      </c>
      <c r="H1986" s="173" t="inlineStr">
        <is>
          <t>国泰海通/光大证券/中信证券/国信证券</t>
        </is>
      </c>
      <c r="I1986" s="173" t="inlineStr">
        <is>
          <t>中行北分</t>
        </is>
      </c>
      <c r="J1986" s="172" t="n">
        <v>10</v>
      </c>
      <c r="K1986" s="173" t="inlineStr">
        <is>
          <t>12+10+12</t>
        </is>
      </c>
      <c r="L1986" s="202" t="n">
        <v>46199</v>
      </c>
      <c r="M1986" s="175" t="n">
        <v>0.0148</v>
      </c>
      <c r="N1986" s="176" t="n">
        <v>0.02131</v>
      </c>
      <c r="O1986" s="172" t="n">
        <v>1.5</v>
      </c>
      <c r="P1986" s="172" t="inlineStr">
        <is>
          <t>优先A</t>
        </is>
      </c>
      <c r="Q1986" s="178" t="n">
        <v>0.9</v>
      </c>
      <c r="R1986" s="179">
        <f>Q1303*J1303</f>
        <v/>
      </c>
      <c r="S1986" s="177" t="inlineStr">
        <is>
          <t>AAA</t>
        </is>
      </c>
      <c r="T1986" s="178" t="n">
        <v>0.0165</v>
      </c>
      <c r="U1986" s="177" t="inlineStr">
        <is>
          <t>中金投顾</t>
        </is>
      </c>
      <c r="V1986" s="192" t="n">
        <v>0.5</v>
      </c>
      <c r="W1986" s="175" t="n">
        <v>0.0165</v>
      </c>
      <c r="X1986" s="172" t="inlineStr">
        <is>
          <t>中金投顾</t>
        </is>
      </c>
      <c r="Y1986" s="191" t="n">
        <v>0.5</v>
      </c>
    </row>
    <row r="1987">
      <c r="A1987" s="172" t="n">
        <v>107</v>
      </c>
      <c r="B1987" s="172" t="inlineStr">
        <is>
          <t>6月</t>
        </is>
      </c>
      <c r="C1987" s="173" t="inlineStr">
        <is>
          <t>消金</t>
        </is>
      </c>
      <c r="D1987" s="173" t="inlineStr">
        <is>
          <t>金条&amp;白取混发</t>
        </is>
      </c>
      <c r="E1987" s="173" t="inlineStr">
        <is>
          <t>东樾4号夏樾（4-2）</t>
        </is>
      </c>
      <c r="F1987" s="173" t="inlineStr">
        <is>
          <t>银行间</t>
        </is>
      </c>
      <c r="G1987" s="173" t="inlineStr">
        <is>
          <t>招商证券</t>
        </is>
      </c>
      <c r="H1987" s="173" t="inlineStr">
        <is>
          <t>国泰海通/光大证券/中信证券/国信证券</t>
        </is>
      </c>
      <c r="I1987" s="173" t="inlineStr">
        <is>
          <t>中行北分</t>
        </is>
      </c>
      <c r="J1987" s="172" t="n">
        <v>10</v>
      </c>
      <c r="K1987" s="173" t="inlineStr">
        <is>
          <t>12+10+12</t>
        </is>
      </c>
      <c r="L1987" s="202" t="n">
        <v>46199</v>
      </c>
      <c r="M1987" s="175" t="n">
        <v>0.0148</v>
      </c>
      <c r="N1987" s="176" t="n">
        <v>0.02131</v>
      </c>
      <c r="O1987" s="172" t="n">
        <v>1.5</v>
      </c>
      <c r="P1987" s="172" t="inlineStr">
        <is>
          <t>优先A</t>
        </is>
      </c>
      <c r="Q1987" s="178" t="n">
        <v>0.9</v>
      </c>
      <c r="R1987" s="179">
        <f>Q1303*J1303</f>
        <v/>
      </c>
      <c r="S1987" s="177" t="inlineStr">
        <is>
          <t>AAA</t>
        </is>
      </c>
      <c r="T1987" s="178" t="n">
        <v>0.0165</v>
      </c>
      <c r="U1987" s="177" t="inlineStr">
        <is>
          <t>中信证券投行</t>
        </is>
      </c>
      <c r="V1987" s="192" t="n">
        <v>0.4</v>
      </c>
      <c r="W1987" s="175" t="n">
        <v>0.0165</v>
      </c>
      <c r="X1987" s="172" t="inlineStr">
        <is>
          <t>中信证券</t>
        </is>
      </c>
      <c r="Y1987" s="191" t="n">
        <v>1</v>
      </c>
    </row>
    <row r="1988">
      <c r="A1988" s="172" t="n">
        <v>107</v>
      </c>
      <c r="B1988" s="172" t="inlineStr">
        <is>
          <t>6月</t>
        </is>
      </c>
      <c r="C1988" s="173" t="inlineStr">
        <is>
          <t>消金</t>
        </is>
      </c>
      <c r="D1988" s="173" t="inlineStr">
        <is>
          <t>金条&amp;白取混发</t>
        </is>
      </c>
      <c r="E1988" s="173" t="inlineStr">
        <is>
          <t>东樾4号夏樾（4-2）</t>
        </is>
      </c>
      <c r="F1988" s="173" t="inlineStr">
        <is>
          <t>银行间</t>
        </is>
      </c>
      <c r="G1988" s="173" t="inlineStr">
        <is>
          <t>招商证券</t>
        </is>
      </c>
      <c r="H1988" s="173" t="inlineStr">
        <is>
          <t>国泰海通/光大证券/中信证券/国信证券</t>
        </is>
      </c>
      <c r="I1988" s="173" t="inlineStr">
        <is>
          <t>中行北分</t>
        </is>
      </c>
      <c r="J1988" s="172" t="n">
        <v>10</v>
      </c>
      <c r="K1988" s="173" t="inlineStr">
        <is>
          <t>12+10+12</t>
        </is>
      </c>
      <c r="L1988" s="202" t="n">
        <v>46199</v>
      </c>
      <c r="M1988" s="175" t="n">
        <v>0.0148</v>
      </c>
      <c r="N1988" s="176" t="n">
        <v>0.02131</v>
      </c>
      <c r="O1988" s="172" t="n">
        <v>1.5</v>
      </c>
      <c r="P1988" s="172" t="inlineStr">
        <is>
          <t>优先A</t>
        </is>
      </c>
      <c r="Q1988" s="178" t="n">
        <v>0.9</v>
      </c>
      <c r="R1988" s="179">
        <f>Q1303*J1303</f>
        <v/>
      </c>
      <c r="S1988" s="177" t="inlineStr">
        <is>
          <t>AAA</t>
        </is>
      </c>
      <c r="T1988" s="178" t="n">
        <v>0.0165</v>
      </c>
      <c r="U1988" s="177" t="inlineStr">
        <is>
          <t>中邮理财</t>
        </is>
      </c>
      <c r="V1988" s="192" t="n">
        <v>1.7</v>
      </c>
      <c r="W1988" s="175" t="n">
        <v>0.0165</v>
      </c>
      <c r="X1988" s="172" t="inlineStr">
        <is>
          <t>中邮理财</t>
        </is>
      </c>
      <c r="Y1988" s="191" t="n">
        <v>1.7</v>
      </c>
    </row>
    <row r="1989">
      <c r="A1989" s="172" t="n">
        <v>107</v>
      </c>
      <c r="B1989" s="172" t="inlineStr">
        <is>
          <t>6月</t>
        </is>
      </c>
      <c r="C1989" s="172" t="inlineStr">
        <is>
          <t>消金</t>
        </is>
      </c>
      <c r="D1989" s="172" t="inlineStr">
        <is>
          <t>金条&amp;白取混发</t>
        </is>
      </c>
      <c r="E1989" s="172" t="inlineStr">
        <is>
          <t>东樾4号夏樾（4-2）</t>
        </is>
      </c>
      <c r="F1989" s="172" t="inlineStr">
        <is>
          <t>银行间</t>
        </is>
      </c>
      <c r="G1989" s="172" t="inlineStr">
        <is>
          <t>招商证券</t>
        </is>
      </c>
      <c r="H1989" s="172" t="inlineStr">
        <is>
          <t>国泰海通/光大证券/中信证券/国信证券</t>
        </is>
      </c>
      <c r="I1989" s="172" t="inlineStr">
        <is>
          <t>中行北分</t>
        </is>
      </c>
      <c r="J1989" s="172" t="n">
        <v>10</v>
      </c>
      <c r="K1989" s="172" t="inlineStr">
        <is>
          <t>12+10+12</t>
        </is>
      </c>
      <c r="L1989" s="208" t="n">
        <v>46199</v>
      </c>
      <c r="M1989" s="175" t="n">
        <v>0.0148</v>
      </c>
      <c r="N1989" s="176" t="n">
        <v>0.02131</v>
      </c>
      <c r="O1989" s="172" t="n">
        <v>1.5</v>
      </c>
      <c r="P1989" s="172" t="inlineStr">
        <is>
          <t>优先A</t>
        </is>
      </c>
      <c r="Q1989" s="175" t="n">
        <v>0.9</v>
      </c>
      <c r="R1989" s="172">
        <f>Q1303*J1303</f>
        <v/>
      </c>
      <c r="S1989" s="172" t="inlineStr">
        <is>
          <t>AAA</t>
        </is>
      </c>
      <c r="T1989" s="175" t="n">
        <v>0.0165</v>
      </c>
      <c r="U1989" s="172" t="n"/>
      <c r="V1989" s="172" t="n"/>
      <c r="W1989" s="175" t="n">
        <v>0.0168</v>
      </c>
      <c r="X1989" s="172" t="inlineStr">
        <is>
          <t>中邮理财</t>
        </is>
      </c>
      <c r="Y1989" s="191" t="n">
        <v>1</v>
      </c>
    </row>
    <row r="1990">
      <c r="A1990" s="172" t="n">
        <v>107</v>
      </c>
      <c r="B1990" s="172" t="inlineStr">
        <is>
          <t>6月</t>
        </is>
      </c>
      <c r="C1990" s="173" t="inlineStr">
        <is>
          <t>消金</t>
        </is>
      </c>
      <c r="D1990" s="173" t="inlineStr">
        <is>
          <t>金条&amp;白取混发</t>
        </is>
      </c>
      <c r="E1990" s="173" t="inlineStr">
        <is>
          <t>东樾4号夏樾（4-2）</t>
        </is>
      </c>
      <c r="F1990" s="173" t="inlineStr">
        <is>
          <t>银行间</t>
        </is>
      </c>
      <c r="G1990" s="173" t="inlineStr">
        <is>
          <t>招商证券</t>
        </is>
      </c>
      <c r="H1990" s="173" t="inlineStr">
        <is>
          <t>国泰海通/光大证券/中信证券/国信证券</t>
        </is>
      </c>
      <c r="I1990" s="173" t="inlineStr">
        <is>
          <t>中行北分</t>
        </is>
      </c>
      <c r="J1990" s="172" t="n">
        <v>10</v>
      </c>
      <c r="K1990" s="173" t="inlineStr">
        <is>
          <t>12+10+12</t>
        </is>
      </c>
      <c r="L1990" s="202" t="n">
        <v>46199</v>
      </c>
      <c r="M1990" s="175" t="n">
        <v>0.0148</v>
      </c>
      <c r="N1990" s="176" t="n">
        <v>0.02131</v>
      </c>
      <c r="O1990" s="172" t="n">
        <v>1.5</v>
      </c>
      <c r="P1990" s="172" t="inlineStr">
        <is>
          <t>优先A</t>
        </is>
      </c>
      <c r="Q1990" s="178" t="n">
        <v>0.9</v>
      </c>
      <c r="R1990" s="179">
        <f>Q1303*J1303</f>
        <v/>
      </c>
      <c r="S1990" s="177" t="inlineStr">
        <is>
          <t>AAA</t>
        </is>
      </c>
      <c r="T1990" s="178" t="n">
        <v>0.0165</v>
      </c>
      <c r="U1990" s="177" t="inlineStr">
        <is>
          <t>招银理财</t>
        </is>
      </c>
      <c r="V1990" s="192" t="n">
        <v>2</v>
      </c>
      <c r="W1990" s="175" t="n">
        <v>0.0159</v>
      </c>
      <c r="X1990" s="172" t="inlineStr">
        <is>
          <t>招银理财</t>
        </is>
      </c>
      <c r="Y1990" s="191" t="n">
        <v>2</v>
      </c>
    </row>
    <row r="1991">
      <c r="A1991" s="172" t="n">
        <v>107</v>
      </c>
      <c r="B1991" s="172" t="inlineStr">
        <is>
          <t>6月</t>
        </is>
      </c>
      <c r="C1991" s="172" t="inlineStr">
        <is>
          <t>消金</t>
        </is>
      </c>
      <c r="D1991" s="172" t="inlineStr">
        <is>
          <t>金条&amp;白取混发</t>
        </is>
      </c>
      <c r="E1991" s="172" t="inlineStr">
        <is>
          <t>东樾4号夏樾（4-2）</t>
        </is>
      </c>
      <c r="F1991" s="172" t="inlineStr">
        <is>
          <t>银行间</t>
        </is>
      </c>
      <c r="G1991" s="172" t="inlineStr">
        <is>
          <t>招商证券</t>
        </is>
      </c>
      <c r="H1991" s="172" t="inlineStr">
        <is>
          <t>国泰海通/光大证券/中信证券/国信证券</t>
        </is>
      </c>
      <c r="I1991" s="172" t="inlineStr">
        <is>
          <t>中行北分</t>
        </is>
      </c>
      <c r="J1991" s="172" t="n">
        <v>10</v>
      </c>
      <c r="K1991" s="172" t="inlineStr">
        <is>
          <t>12+10+12</t>
        </is>
      </c>
      <c r="L1991" s="208" t="n">
        <v>46199</v>
      </c>
      <c r="M1991" s="175" t="n">
        <v>0.0148</v>
      </c>
      <c r="N1991" s="176" t="n">
        <v>0.02131</v>
      </c>
      <c r="O1991" s="172" t="n">
        <v>1.5</v>
      </c>
      <c r="P1991" s="172" t="inlineStr">
        <is>
          <t>优先A</t>
        </is>
      </c>
      <c r="Q1991" s="175" t="n">
        <v>0.9</v>
      </c>
      <c r="R1991" s="172">
        <f>Q1303*J1303</f>
        <v/>
      </c>
      <c r="S1991" s="172" t="inlineStr">
        <is>
          <t>AAA</t>
        </is>
      </c>
      <c r="T1991" s="175" t="n">
        <v>0.0165</v>
      </c>
      <c r="U1991" s="172" t="n"/>
      <c r="V1991" s="172" t="n"/>
      <c r="W1991" s="175" t="n">
        <v>0.017</v>
      </c>
      <c r="X1991" s="172" t="inlineStr">
        <is>
          <t>中金自营</t>
        </is>
      </c>
      <c r="Y1991" s="191" t="n">
        <v>0.8</v>
      </c>
    </row>
    <row r="1992">
      <c r="A1992" s="172" t="n">
        <v>107</v>
      </c>
      <c r="B1992" s="172" t="inlineStr">
        <is>
          <t>6月</t>
        </is>
      </c>
      <c r="C1992" s="172" t="inlineStr">
        <is>
          <t>消金</t>
        </is>
      </c>
      <c r="D1992" s="172" t="inlineStr">
        <is>
          <t>金条&amp;白取混发</t>
        </is>
      </c>
      <c r="E1992" s="172" t="inlineStr">
        <is>
          <t>东樾4号夏樾（4-2）</t>
        </is>
      </c>
      <c r="F1992" s="172" t="inlineStr">
        <is>
          <t>银行间</t>
        </is>
      </c>
      <c r="G1992" s="172" t="inlineStr">
        <is>
          <t>招商证券</t>
        </is>
      </c>
      <c r="H1992" s="172" t="inlineStr">
        <is>
          <t>国泰海通/光大证券/中信证券/国信证券</t>
        </is>
      </c>
      <c r="I1992" s="172" t="inlineStr">
        <is>
          <t>中行北分</t>
        </is>
      </c>
      <c r="J1992" s="172" t="n">
        <v>10</v>
      </c>
      <c r="K1992" s="172" t="inlineStr">
        <is>
          <t>12+10+12</t>
        </is>
      </c>
      <c r="L1992" s="208" t="n">
        <v>46199</v>
      </c>
      <c r="M1992" s="175" t="n">
        <v>0.0148</v>
      </c>
      <c r="N1992" s="176" t="n">
        <v>0.02131</v>
      </c>
      <c r="O1992" s="172" t="n">
        <v>1.5</v>
      </c>
      <c r="P1992" s="172" t="inlineStr">
        <is>
          <t>优先A</t>
        </is>
      </c>
      <c r="Q1992" s="175" t="n">
        <v>0.9</v>
      </c>
      <c r="R1992" s="172">
        <f>Q1303*J1303</f>
        <v/>
      </c>
      <c r="S1992" s="172" t="inlineStr">
        <is>
          <t>AAA</t>
        </is>
      </c>
      <c r="T1992" s="175" t="n">
        <v>0.0165</v>
      </c>
      <c r="U1992" s="172" t="n"/>
      <c r="V1992" s="172" t="n"/>
      <c r="W1992" s="175" t="n">
        <v>0.017</v>
      </c>
      <c r="X1992" s="172" t="inlineStr">
        <is>
          <t>广银理财</t>
        </is>
      </c>
      <c r="Y1992" s="191" t="n">
        <v>0.5</v>
      </c>
    </row>
    <row r="1993">
      <c r="A1993" s="172" t="n">
        <v>107</v>
      </c>
      <c r="B1993" s="172" t="inlineStr">
        <is>
          <t>6月</t>
        </is>
      </c>
      <c r="C1993" s="173" t="inlineStr">
        <is>
          <t>消金</t>
        </is>
      </c>
      <c r="D1993" s="173" t="inlineStr">
        <is>
          <t>金条&amp;白取混发</t>
        </is>
      </c>
      <c r="E1993" s="173" t="inlineStr">
        <is>
          <t>东樾4号夏樾（4-2）</t>
        </is>
      </c>
      <c r="F1993" s="173" t="inlineStr">
        <is>
          <t>银行间</t>
        </is>
      </c>
      <c r="G1993" s="173" t="inlineStr">
        <is>
          <t>招商证券</t>
        </is>
      </c>
      <c r="H1993" s="173" t="inlineStr">
        <is>
          <t>国泰海通/光大证券/中信证券/国信证券</t>
        </is>
      </c>
      <c r="I1993" s="173" t="inlineStr">
        <is>
          <t>中行北分</t>
        </is>
      </c>
      <c r="J1993" s="172" t="n">
        <v>10</v>
      </c>
      <c r="K1993" s="173" t="inlineStr">
        <is>
          <t>12+10+12</t>
        </is>
      </c>
      <c r="L1993" s="202" t="n">
        <v>46199</v>
      </c>
      <c r="M1993" s="175" t="n">
        <v>0.0148</v>
      </c>
      <c r="N1993" s="176" t="n">
        <v>0.02131</v>
      </c>
      <c r="O1993" s="172" t="n">
        <v>1.5</v>
      </c>
      <c r="P1993" s="177" t="inlineStr">
        <is>
          <t>优先B</t>
        </is>
      </c>
      <c r="Q1993" s="178" t="n">
        <v>0.03</v>
      </c>
      <c r="R1993" s="179">
        <f>J1303*Q1314</f>
        <v/>
      </c>
      <c r="S1993" s="177" t="inlineStr">
        <is>
          <t>AA+</t>
        </is>
      </c>
      <c r="T1993" s="178" t="n">
        <v>0.0175</v>
      </c>
      <c r="U1993" s="177" t="inlineStr">
        <is>
          <t>东方财富证券</t>
        </is>
      </c>
      <c r="V1993" s="192" t="n">
        <v>0.2</v>
      </c>
      <c r="W1993" s="175" t="n">
        <v>0.0175</v>
      </c>
      <c r="X1993" s="172" t="inlineStr">
        <is>
          <t>东方财富证券</t>
        </is>
      </c>
      <c r="Y1993" s="191" t="n">
        <v>0.2</v>
      </c>
    </row>
    <row r="1994">
      <c r="A1994" s="172" t="n">
        <v>107</v>
      </c>
      <c r="B1994" s="172" t="inlineStr">
        <is>
          <t>6月</t>
        </is>
      </c>
      <c r="C1994" s="173" t="inlineStr">
        <is>
          <t>消金</t>
        </is>
      </c>
      <c r="D1994" s="173" t="inlineStr">
        <is>
          <t>金条&amp;白取混发</t>
        </is>
      </c>
      <c r="E1994" s="173" t="inlineStr">
        <is>
          <t>东樾4号夏樾（4-2）</t>
        </is>
      </c>
      <c r="F1994" s="173" t="inlineStr">
        <is>
          <t>银行间</t>
        </is>
      </c>
      <c r="G1994" s="173" t="inlineStr">
        <is>
          <t>招商证券</t>
        </is>
      </c>
      <c r="H1994" s="173" t="inlineStr">
        <is>
          <t>国泰海通/光大证券/中信证券/国信证券</t>
        </is>
      </c>
      <c r="I1994" s="173" t="inlineStr">
        <is>
          <t>中行北分</t>
        </is>
      </c>
      <c r="J1994" s="172" t="n">
        <v>10</v>
      </c>
      <c r="K1994" s="173" t="inlineStr">
        <is>
          <t>12+10+12</t>
        </is>
      </c>
      <c r="L1994" s="202" t="n">
        <v>46199</v>
      </c>
      <c r="M1994" s="175" t="n">
        <v>0.0148</v>
      </c>
      <c r="N1994" s="176" t="n">
        <v>0.02131</v>
      </c>
      <c r="O1994" s="172" t="n">
        <v>1.5</v>
      </c>
      <c r="P1994" s="172" t="inlineStr">
        <is>
          <t>优先B</t>
        </is>
      </c>
      <c r="Q1994" s="178" t="n">
        <v>0.03</v>
      </c>
      <c r="R1994" s="179">
        <f>J1303*Q1314</f>
        <v/>
      </c>
      <c r="S1994" s="177" t="inlineStr">
        <is>
          <t>AA+</t>
        </is>
      </c>
      <c r="T1994" s="178" t="n">
        <v>0.0175</v>
      </c>
      <c r="U1994" s="177" t="inlineStr">
        <is>
          <t>交银理财</t>
        </is>
      </c>
      <c r="V1994" s="192" t="n">
        <v>0.09</v>
      </c>
      <c r="W1994" s="175" t="n">
        <v>0.017</v>
      </c>
      <c r="X1994" s="172" t="inlineStr">
        <is>
          <t>交银理财</t>
        </is>
      </c>
      <c r="Y1994" s="191" t="n">
        <v>0.09</v>
      </c>
    </row>
    <row r="1995">
      <c r="A1995" s="172" t="n">
        <v>107</v>
      </c>
      <c r="B1995" s="172" t="inlineStr">
        <is>
          <t>6月</t>
        </is>
      </c>
      <c r="C1995" s="173" t="inlineStr">
        <is>
          <t>消金</t>
        </is>
      </c>
      <c r="D1995" s="173" t="inlineStr">
        <is>
          <t>金条&amp;白取混发</t>
        </is>
      </c>
      <c r="E1995" s="173" t="inlineStr">
        <is>
          <t>东樾4号夏樾（4-2）</t>
        </is>
      </c>
      <c r="F1995" s="173" t="inlineStr">
        <is>
          <t>银行间</t>
        </is>
      </c>
      <c r="G1995" s="173" t="inlineStr">
        <is>
          <t>招商证券</t>
        </is>
      </c>
      <c r="H1995" s="173" t="inlineStr">
        <is>
          <t>国泰海通/光大证券/中信证券/国信证券</t>
        </is>
      </c>
      <c r="I1995" s="173" t="inlineStr">
        <is>
          <t>中行北分</t>
        </is>
      </c>
      <c r="J1995" s="172" t="n">
        <v>10</v>
      </c>
      <c r="K1995" s="173" t="inlineStr">
        <is>
          <t>12+10+12</t>
        </is>
      </c>
      <c r="L1995" s="202" t="n">
        <v>46199</v>
      </c>
      <c r="M1995" s="175" t="n">
        <v>0.0148</v>
      </c>
      <c r="N1995" s="176" t="n">
        <v>0.02131</v>
      </c>
      <c r="O1995" s="172" t="n">
        <v>1.5</v>
      </c>
      <c r="P1995" s="172" t="inlineStr">
        <is>
          <t>优先B</t>
        </is>
      </c>
      <c r="Q1995" s="178" t="n">
        <v>0.03</v>
      </c>
      <c r="R1995" s="179">
        <f>J1303*Q1314</f>
        <v/>
      </c>
      <c r="S1995" s="177" t="inlineStr">
        <is>
          <t>AA+</t>
        </is>
      </c>
      <c r="T1995" s="178" t="n">
        <v>0.0175</v>
      </c>
      <c r="U1995" s="177" t="inlineStr">
        <is>
          <t>中信建投衍生品</t>
        </is>
      </c>
      <c r="V1995" s="192" t="n">
        <v>0.01</v>
      </c>
      <c r="W1995" s="175" t="n">
        <v>0.0175</v>
      </c>
      <c r="X1995" s="172" t="inlineStr">
        <is>
          <t>中信建投-衍生品</t>
        </is>
      </c>
      <c r="Y1995" s="191" t="n">
        <v>0.01</v>
      </c>
    </row>
    <row r="1996">
      <c r="A1996" s="172" t="n">
        <v>107</v>
      </c>
      <c r="B1996" s="172" t="inlineStr">
        <is>
          <t>6月</t>
        </is>
      </c>
      <c r="C1996" s="172" t="inlineStr">
        <is>
          <t>消金</t>
        </is>
      </c>
      <c r="D1996" s="172" t="inlineStr">
        <is>
          <t>金条&amp;白取混发</t>
        </is>
      </c>
      <c r="E1996" s="172" t="inlineStr">
        <is>
          <t>东樾4号夏樾（4-2）</t>
        </is>
      </c>
      <c r="F1996" s="172" t="inlineStr">
        <is>
          <t>银行间</t>
        </is>
      </c>
      <c r="G1996" s="172" t="inlineStr">
        <is>
          <t>招商证券</t>
        </is>
      </c>
      <c r="H1996" s="172" t="inlineStr">
        <is>
          <t>国泰海通/光大证券/中信证券/国信证券</t>
        </is>
      </c>
      <c r="I1996" s="172" t="inlineStr">
        <is>
          <t>中行北分</t>
        </is>
      </c>
      <c r="J1996" s="172" t="n">
        <v>10</v>
      </c>
      <c r="K1996" s="172" t="inlineStr">
        <is>
          <t>12+10+12</t>
        </is>
      </c>
      <c r="L1996" s="208" t="n">
        <v>46199</v>
      </c>
      <c r="M1996" s="175" t="n">
        <v>0.0148</v>
      </c>
      <c r="N1996" s="176" t="n">
        <v>0.02131</v>
      </c>
      <c r="O1996" s="172" t="n">
        <v>1.5</v>
      </c>
      <c r="P1996" s="172" t="inlineStr">
        <is>
          <t>优先B</t>
        </is>
      </c>
      <c r="Q1996" s="175" t="n">
        <v>0.03</v>
      </c>
      <c r="R1996" s="172">
        <f>J1303*Q1314</f>
        <v/>
      </c>
      <c r="S1996" s="172" t="inlineStr">
        <is>
          <t>AA+</t>
        </is>
      </c>
      <c r="T1996" s="175" t="n">
        <v>0.0175</v>
      </c>
      <c r="U1996" s="172" t="n"/>
      <c r="V1996" s="172" t="n"/>
      <c r="W1996" s="175" t="n">
        <v>0.02</v>
      </c>
      <c r="X1996" s="172" t="inlineStr">
        <is>
          <t>中金自营</t>
        </is>
      </c>
      <c r="Y1996" s="191" t="n">
        <v>0.2</v>
      </c>
    </row>
    <row r="1997">
      <c r="A1997" s="172" t="n">
        <v>107</v>
      </c>
      <c r="B1997" s="172" t="inlineStr">
        <is>
          <t>6月</t>
        </is>
      </c>
      <c r="C1997" s="173" t="inlineStr">
        <is>
          <t>消金</t>
        </is>
      </c>
      <c r="D1997" s="173" t="inlineStr">
        <is>
          <t>金条&amp;白取混发</t>
        </is>
      </c>
      <c r="E1997" s="173" t="inlineStr">
        <is>
          <t>东樾4号夏樾（4-2）</t>
        </is>
      </c>
      <c r="F1997" s="173" t="inlineStr">
        <is>
          <t>银行间</t>
        </is>
      </c>
      <c r="G1997" s="173" t="inlineStr">
        <is>
          <t>招商证券</t>
        </is>
      </c>
      <c r="H1997" s="173" t="inlineStr">
        <is>
          <t>国泰海通/光大证券/中信证券/国信证券</t>
        </is>
      </c>
      <c r="I1997" s="173" t="inlineStr">
        <is>
          <t>中行北分</t>
        </is>
      </c>
      <c r="J1997" s="172" t="n">
        <v>10</v>
      </c>
      <c r="K1997" s="173" t="inlineStr">
        <is>
          <t>12+10+12</t>
        </is>
      </c>
      <c r="L1997" s="202" t="n">
        <v>46199</v>
      </c>
      <c r="M1997" s="175" t="n">
        <v>0.0148</v>
      </c>
      <c r="N1997" s="176" t="n">
        <v>0.02131</v>
      </c>
      <c r="O1997" s="172" t="n">
        <v>1.5</v>
      </c>
      <c r="P1997" s="177" t="inlineStr">
        <is>
          <t>中间级</t>
        </is>
      </c>
      <c r="Q1997" s="178" t="n">
        <v>0.02</v>
      </c>
      <c r="R1997" s="179">
        <f>Q1317*J1303</f>
        <v/>
      </c>
      <c r="S1997" s="177" t="inlineStr">
        <is>
          <t>A+</t>
        </is>
      </c>
      <c r="T1997" s="178" t="n">
        <v>0.031</v>
      </c>
      <c r="U1997" s="177" t="inlineStr">
        <is>
          <t>汇华理财</t>
        </is>
      </c>
      <c r="V1997" s="192" t="n">
        <v>0.04</v>
      </c>
      <c r="W1997" s="172" t="n"/>
      <c r="X1997" s="172" t="n"/>
      <c r="Y1997" s="172" t="n"/>
    </row>
    <row r="1998">
      <c r="A1998" s="172" t="n">
        <v>107</v>
      </c>
      <c r="B1998" s="172" t="inlineStr">
        <is>
          <t>6月</t>
        </is>
      </c>
      <c r="C1998" s="173" t="inlineStr">
        <is>
          <t>消金</t>
        </is>
      </c>
      <c r="D1998" s="173" t="inlineStr">
        <is>
          <t>金条&amp;白取混发</t>
        </is>
      </c>
      <c r="E1998" s="173" t="inlineStr">
        <is>
          <t>东樾4号夏樾（4-2）</t>
        </is>
      </c>
      <c r="F1998" s="173" t="inlineStr">
        <is>
          <t>银行间</t>
        </is>
      </c>
      <c r="G1998" s="173" t="inlineStr">
        <is>
          <t>招商证券</t>
        </is>
      </c>
      <c r="H1998" s="173" t="inlineStr">
        <is>
          <t>国泰海通/光大证券/中信证券/国信证券</t>
        </is>
      </c>
      <c r="I1998" s="173" t="inlineStr">
        <is>
          <t>中行北分</t>
        </is>
      </c>
      <c r="J1998" s="172" t="n">
        <v>10</v>
      </c>
      <c r="K1998" s="173" t="inlineStr">
        <is>
          <t>12+10+12</t>
        </is>
      </c>
      <c r="L1998" s="202" t="n">
        <v>46199</v>
      </c>
      <c r="M1998" s="175" t="n">
        <v>0.0148</v>
      </c>
      <c r="N1998" s="176" t="n">
        <v>0.02131</v>
      </c>
      <c r="O1998" s="172" t="n">
        <v>1.5</v>
      </c>
      <c r="P1998" s="172" t="inlineStr">
        <is>
          <t>中间级</t>
        </is>
      </c>
      <c r="Q1998" s="178" t="n">
        <v>0.02</v>
      </c>
      <c r="R1998" s="179">
        <f>Q1317*J1303</f>
        <v/>
      </c>
      <c r="S1998" s="177" t="inlineStr">
        <is>
          <t>A+</t>
        </is>
      </c>
      <c r="T1998" s="178" t="n">
        <v>0.031</v>
      </c>
      <c r="U1998" s="177" t="inlineStr">
        <is>
          <t>利曦基金</t>
        </is>
      </c>
      <c r="V1998" s="192" t="n">
        <v>0.16</v>
      </c>
      <c r="W1998" s="172" t="n"/>
      <c r="X1998" s="172" t="n"/>
      <c r="Y1998" s="172" t="n"/>
    </row>
    <row r="1999">
      <c r="A1999" s="172" t="n">
        <v>107</v>
      </c>
      <c r="B1999" s="172" t="inlineStr">
        <is>
          <t>6月</t>
        </is>
      </c>
      <c r="C1999" s="173" t="inlineStr">
        <is>
          <t>消金</t>
        </is>
      </c>
      <c r="D1999" s="173" t="inlineStr">
        <is>
          <t>金条&amp;白取混发</t>
        </is>
      </c>
      <c r="E1999" s="173" t="inlineStr">
        <is>
          <t>东樾4号夏樾（4-2）</t>
        </is>
      </c>
      <c r="F1999" s="173" t="inlineStr">
        <is>
          <t>银行间</t>
        </is>
      </c>
      <c r="G1999" s="173" t="inlineStr">
        <is>
          <t>招商证券</t>
        </is>
      </c>
      <c r="H1999" s="173" t="inlineStr">
        <is>
          <t>国泰海通/光大证券/中信证券/国信证券</t>
        </is>
      </c>
      <c r="I1999" s="173" t="inlineStr">
        <is>
          <t>中行北分</t>
        </is>
      </c>
      <c r="J1999" s="172" t="n">
        <v>10</v>
      </c>
      <c r="K1999" s="173" t="inlineStr">
        <is>
          <t>12+10+12</t>
        </is>
      </c>
      <c r="L1999" s="202" t="n">
        <v>46199</v>
      </c>
      <c r="M1999" s="175" t="n">
        <v>0.0148</v>
      </c>
      <c r="N1999" s="176" t="n">
        <v>0.02131</v>
      </c>
      <c r="O1999" s="172" t="n">
        <v>1.5</v>
      </c>
      <c r="P1999" s="177" t="inlineStr">
        <is>
          <t>受益权</t>
        </is>
      </c>
      <c r="Q1999" s="178" t="n">
        <v>0.05</v>
      </c>
      <c r="R1999" s="179">
        <f>Q1319*J1303</f>
        <v/>
      </c>
      <c r="S1999" s="177" t="inlineStr">
        <is>
          <t>无</t>
        </is>
      </c>
      <c r="T1999" s="178" t="n">
        <v>0.0495</v>
      </c>
      <c r="U1999" s="177" t="inlineStr">
        <is>
          <t>中信建投衍生品</t>
        </is>
      </c>
      <c r="V1999" s="192" t="n">
        <v>0.2</v>
      </c>
      <c r="W1999" s="172" t="n"/>
      <c r="X1999" s="172" t="n"/>
      <c r="Y1999" s="172" t="n"/>
    </row>
    <row r="2000">
      <c r="A2000" s="172" t="n">
        <v>107</v>
      </c>
      <c r="B2000" s="172" t="inlineStr">
        <is>
          <t>6月</t>
        </is>
      </c>
      <c r="C2000" s="173" t="inlineStr">
        <is>
          <t>消金</t>
        </is>
      </c>
      <c r="D2000" s="173" t="inlineStr">
        <is>
          <t>金条&amp;白取混发</t>
        </is>
      </c>
      <c r="E2000" s="173" t="inlineStr">
        <is>
          <t>东樾4号夏樾（4-2）</t>
        </is>
      </c>
      <c r="F2000" s="173" t="inlineStr">
        <is>
          <t>银行间</t>
        </is>
      </c>
      <c r="G2000" s="173" t="inlineStr">
        <is>
          <t>招商证券</t>
        </is>
      </c>
      <c r="H2000" s="173" t="inlineStr">
        <is>
          <t>国泰海通/光大证券/中信证券/国信证券</t>
        </is>
      </c>
      <c r="I2000" s="173" t="inlineStr">
        <is>
          <t>中行北分</t>
        </is>
      </c>
      <c r="J2000" s="172" t="n">
        <v>10</v>
      </c>
      <c r="K2000" s="173" t="inlineStr">
        <is>
          <t>12+10+12</t>
        </is>
      </c>
      <c r="L2000" s="202" t="n">
        <v>46199</v>
      </c>
      <c r="M2000" s="175" t="n">
        <v>0.0148</v>
      </c>
      <c r="N2000" s="176" t="n">
        <v>0.02131</v>
      </c>
      <c r="O2000" s="172" t="n">
        <v>1.5</v>
      </c>
      <c r="P2000" s="172" t="inlineStr">
        <is>
          <t>受益权</t>
        </is>
      </c>
      <c r="Q2000" s="178" t="n">
        <v>0.05</v>
      </c>
      <c r="R2000" s="179">
        <f>Q1319*J1303</f>
        <v/>
      </c>
      <c r="S2000" s="177" t="inlineStr">
        <is>
          <t>无</t>
        </is>
      </c>
      <c r="T2000" s="178" t="n">
        <v>0.0495</v>
      </c>
      <c r="U2000" s="177" t="inlineStr">
        <is>
          <t>国泰海通自营</t>
        </is>
      </c>
      <c r="V2000" s="192" t="n">
        <v>0.2</v>
      </c>
      <c r="W2000" s="172" t="n"/>
      <c r="X2000" s="172" t="n"/>
      <c r="Y2000" s="172" t="n"/>
    </row>
    <row r="2001">
      <c r="A2001" s="172" t="n">
        <v>107</v>
      </c>
      <c r="B2001" s="172" t="inlineStr">
        <is>
          <t>6月</t>
        </is>
      </c>
      <c r="C2001" s="173" t="inlineStr">
        <is>
          <t>消金</t>
        </is>
      </c>
      <c r="D2001" s="173" t="inlineStr">
        <is>
          <t>金条&amp;白取混发</t>
        </is>
      </c>
      <c r="E2001" s="173" t="inlineStr">
        <is>
          <t>东樾4号夏樾（4-2）</t>
        </is>
      </c>
      <c r="F2001" s="173" t="inlineStr">
        <is>
          <t>银行间</t>
        </is>
      </c>
      <c r="G2001" s="173" t="inlineStr">
        <is>
          <t>招商证券</t>
        </is>
      </c>
      <c r="H2001" s="173" t="inlineStr">
        <is>
          <t>国泰海通/光大证券/中信证券/国信证券</t>
        </is>
      </c>
      <c r="I2001" s="173" t="inlineStr">
        <is>
          <t>中行北分</t>
        </is>
      </c>
      <c r="J2001" s="172" t="n">
        <v>10</v>
      </c>
      <c r="K2001" s="173" t="inlineStr">
        <is>
          <t>12+10+12</t>
        </is>
      </c>
      <c r="L2001" s="202" t="n">
        <v>46199</v>
      </c>
      <c r="M2001" s="175" t="n">
        <v>0.0148</v>
      </c>
      <c r="N2001" s="176" t="n">
        <v>0.02131</v>
      </c>
      <c r="O2001" s="172" t="n">
        <v>1.5</v>
      </c>
      <c r="P2001" s="172" t="inlineStr">
        <is>
          <t>受益权</t>
        </is>
      </c>
      <c r="Q2001" s="178" t="n">
        <v>0.05</v>
      </c>
      <c r="R2001" s="179">
        <f>Q1319*J1303</f>
        <v/>
      </c>
      <c r="S2001" s="177" t="inlineStr">
        <is>
          <t>无</t>
        </is>
      </c>
      <c r="T2001" s="178" t="n">
        <v>0.0495</v>
      </c>
      <c r="U2001" s="177" t="inlineStr">
        <is>
          <t>中信建投机构部</t>
        </is>
      </c>
      <c r="V2001" s="192" t="n">
        <v>0.1</v>
      </c>
      <c r="W2001" s="172" t="n"/>
      <c r="X2001" s="172" t="n"/>
      <c r="Y2001" s="172" t="n"/>
    </row>
    <row r="2002">
      <c r="A2002" s="172" t="n">
        <v>108</v>
      </c>
      <c r="B2002" s="173" t="inlineStr">
        <is>
          <t>6月</t>
        </is>
      </c>
      <c r="C2002" s="173" t="inlineStr">
        <is>
          <t>消金</t>
        </is>
      </c>
      <c r="D2002" s="173" t="inlineStr">
        <is>
          <t>信托白条</t>
        </is>
      </c>
      <c r="E2002" s="173" t="inlineStr">
        <is>
          <t>钰泽6号</t>
        </is>
      </c>
      <c r="F2002" s="173" t="inlineStr">
        <is>
          <t>非标</t>
        </is>
      </c>
      <c r="G2002" s="173" t="inlineStr">
        <is>
          <t>西藏信托</t>
        </is>
      </c>
      <c r="H2002" s="173" t="inlineStr">
        <is>
          <t>-</t>
        </is>
      </c>
      <c r="I2002" s="173" t="inlineStr">
        <is>
          <t>中行北分</t>
        </is>
      </c>
      <c r="J2002" s="207" t="n">
        <v>7.9</v>
      </c>
      <c r="K2002" s="173" t="inlineStr">
        <is>
          <t>11+1</t>
        </is>
      </c>
      <c r="L2002" s="202" t="n">
        <v>46202</v>
      </c>
      <c r="M2002" s="175" t="n">
        <v>0.0148</v>
      </c>
      <c r="N2002" s="176" t="n">
        <v>0.02905</v>
      </c>
      <c r="O2002" s="172" t="inlineStr">
        <is>
          <t>-</t>
        </is>
      </c>
      <c r="P2002" s="177" t="inlineStr">
        <is>
          <t>平层</t>
        </is>
      </c>
      <c r="Q2002" s="172" t="inlineStr">
        <is>
          <t>-</t>
        </is>
      </c>
      <c r="R2002" s="192" t="n">
        <v>7.9</v>
      </c>
      <c r="S2002" s="177" t="inlineStr">
        <is>
          <t>无</t>
        </is>
      </c>
      <c r="T2002" s="178" t="n">
        <v>0.026</v>
      </c>
      <c r="U2002" s="177" t="inlineStr">
        <is>
          <t>中银理财</t>
        </is>
      </c>
      <c r="V2002" s="207" t="n">
        <v>7.9</v>
      </c>
      <c r="W2002" s="172" t="n"/>
      <c r="X2002" s="172" t="n"/>
      <c r="Y2002" s="172" t="n"/>
    </row>
    <row r="2003">
      <c r="A2003" s="172" t="n">
        <v>109</v>
      </c>
      <c r="B2003" s="173" t="inlineStr">
        <is>
          <t>6月</t>
        </is>
      </c>
      <c r="C2003" s="173" t="inlineStr">
        <is>
          <t>消金</t>
        </is>
      </c>
      <c r="D2003" s="173" t="inlineStr">
        <is>
          <t>信托企业主贷</t>
        </is>
      </c>
      <c r="E2003" s="173" t="inlineStr">
        <is>
          <t>锦实1号</t>
        </is>
      </c>
      <c r="F2003" s="173" t="inlineStr">
        <is>
          <t>非标</t>
        </is>
      </c>
      <c r="G2003" s="173" t="inlineStr">
        <is>
          <t>天津信托</t>
        </is>
      </c>
      <c r="H2003" s="173" t="inlineStr">
        <is>
          <t>-</t>
        </is>
      </c>
      <c r="I2003" s="173" t="inlineStr">
        <is>
          <t>南京银行</t>
        </is>
      </c>
      <c r="J2003" s="207" t="n">
        <v>6</v>
      </c>
      <c r="K2003" s="173" t="inlineStr">
        <is>
          <t>10+2</t>
        </is>
      </c>
      <c r="L2003" s="202" t="n">
        <v>46202</v>
      </c>
      <c r="M2003" s="175" t="n">
        <v>0.0148</v>
      </c>
      <c r="N2003" s="176" t="n">
        <v>0.02805</v>
      </c>
      <c r="O2003" s="172" t="inlineStr">
        <is>
          <t>-</t>
        </is>
      </c>
      <c r="P2003" s="177" t="inlineStr">
        <is>
          <t>平层</t>
        </is>
      </c>
      <c r="Q2003" s="172" t="inlineStr">
        <is>
          <t>-</t>
        </is>
      </c>
      <c r="R2003" s="192" t="n">
        <v>6</v>
      </c>
      <c r="S2003" s="177" t="inlineStr">
        <is>
          <t>无</t>
        </is>
      </c>
      <c r="T2003" s="178" t="n">
        <v>0.025</v>
      </c>
      <c r="U2003" s="177" t="inlineStr">
        <is>
          <t>南银理财</t>
        </is>
      </c>
      <c r="V2003" s="207" t="n">
        <v>6</v>
      </c>
      <c r="W2003" s="172" t="n"/>
      <c r="X2003" s="172" t="n"/>
      <c r="Y2003" s="172" t="n"/>
    </row>
    <row r="2004">
      <c r="A2004" s="172" t="n">
        <v>110</v>
      </c>
      <c r="B2004" s="173" t="inlineStr">
        <is>
          <t>6月</t>
        </is>
      </c>
      <c r="C2004" s="173" t="inlineStr">
        <is>
          <t>消金</t>
        </is>
      </c>
      <c r="D2004" s="173" t="inlineStr">
        <is>
          <t>信托白条</t>
        </is>
      </c>
      <c r="E2004" s="173" t="inlineStr">
        <is>
          <t>格昱28号</t>
        </is>
      </c>
      <c r="F2004" s="173" t="inlineStr">
        <is>
          <t>非标</t>
        </is>
      </c>
      <c r="G2004" s="173" t="inlineStr">
        <is>
          <t>华鑫信托</t>
        </is>
      </c>
      <c r="H2004" s="173" t="inlineStr">
        <is>
          <t>-</t>
        </is>
      </c>
      <c r="I2004" s="173" t="inlineStr">
        <is>
          <t>上银浦东分行</t>
        </is>
      </c>
      <c r="J2004" s="207" t="n">
        <v>5</v>
      </c>
      <c r="K2004" s="173" t="inlineStr">
        <is>
          <t>11+1</t>
        </is>
      </c>
      <c r="L2004" s="202" t="n">
        <v>46203</v>
      </c>
      <c r="M2004" s="175" t="n">
        <v>0.0148</v>
      </c>
      <c r="N2004" s="176" t="n">
        <v>0.03105</v>
      </c>
      <c r="O2004" s="172" t="inlineStr">
        <is>
          <t>-</t>
        </is>
      </c>
      <c r="P2004" s="177" t="inlineStr">
        <is>
          <t>平层</t>
        </is>
      </c>
      <c r="Q2004" s="172" t="inlineStr">
        <is>
          <t>-</t>
        </is>
      </c>
      <c r="R2004" s="192" t="n">
        <v>5</v>
      </c>
      <c r="S2004" s="177" t="inlineStr">
        <is>
          <t>无</t>
        </is>
      </c>
      <c r="T2004" s="178" t="n">
        <v>0.028</v>
      </c>
      <c r="U2004" s="177" t="inlineStr">
        <is>
          <t>上银理财</t>
        </is>
      </c>
      <c r="V2004" s="207" t="n">
        <v>5</v>
      </c>
      <c r="W2004" s="172" t="n"/>
      <c r="X2004" s="172" t="n"/>
      <c r="Y2004" s="172" t="n"/>
    </row>
    <row r="2005">
      <c r="A2005" s="172" t="n">
        <v>111</v>
      </c>
      <c r="B2005" s="172" t="inlineStr">
        <is>
          <t>6月</t>
        </is>
      </c>
      <c r="C2005" s="172" t="inlineStr">
        <is>
          <t>消金</t>
        </is>
      </c>
      <c r="D2005" s="172" t="inlineStr">
        <is>
          <t>金条&amp;白取&amp;白条混发</t>
        </is>
      </c>
      <c r="E2005" s="172" t="inlineStr">
        <is>
          <t>天玑52-2号</t>
        </is>
      </c>
      <c r="F2005" s="172" t="inlineStr">
        <is>
          <t>结构化非标</t>
        </is>
      </c>
      <c r="G2005" s="172" t="inlineStr">
        <is>
          <t>国民信托</t>
        </is>
      </c>
      <c r="H2005" s="172" t="inlineStr">
        <is>
          <t>-</t>
        </is>
      </c>
      <c r="I2005" s="172" t="inlineStr">
        <is>
          <t>招行北分</t>
        </is>
      </c>
      <c r="J2005" s="172" t="n">
        <v>13</v>
      </c>
      <c r="K2005" s="172" t="inlineStr">
        <is>
          <t>11+13</t>
        </is>
      </c>
      <c r="L2005" s="202" t="n">
        <v>46203</v>
      </c>
      <c r="M2005" s="175" t="n">
        <v>0.0148</v>
      </c>
      <c r="N2005" s="176" t="n">
        <v>0.03098</v>
      </c>
      <c r="O2005" s="191" t="inlineStr">
        <is>
          <t>-</t>
        </is>
      </c>
      <c r="P2005" s="172" t="inlineStr">
        <is>
          <t>结构化平层</t>
        </is>
      </c>
      <c r="Q2005" s="175" t="n">
        <v>0.75</v>
      </c>
      <c r="R2005" s="192" t="n">
        <v>9.75</v>
      </c>
      <c r="S2005" s="172" t="inlineStr">
        <is>
          <t>无</t>
        </is>
      </c>
      <c r="T2005" s="175" t="n">
        <v>0.0249</v>
      </c>
      <c r="U2005" s="172" t="inlineStr">
        <is>
          <t>花旗银行</t>
        </is>
      </c>
      <c r="V2005" s="172" t="n">
        <v>9.75</v>
      </c>
      <c r="W2005" s="172" t="n"/>
      <c r="X2005" s="172" t="n"/>
      <c r="Y2005" s="172" t="n"/>
    </row>
    <row r="2006">
      <c r="A2006" s="172" t="n">
        <v>111</v>
      </c>
      <c r="B2006" s="172" t="inlineStr">
        <is>
          <t>6月</t>
        </is>
      </c>
      <c r="C2006" s="172" t="inlineStr">
        <is>
          <t>消金</t>
        </is>
      </c>
      <c r="D2006" s="172" t="inlineStr">
        <is>
          <t>金条&amp;白取&amp;白条混发</t>
        </is>
      </c>
      <c r="E2006" s="172" t="inlineStr">
        <is>
          <t>天玑52-2号</t>
        </is>
      </c>
      <c r="F2006" s="172" t="inlineStr">
        <is>
          <t>结构化非标</t>
        </is>
      </c>
      <c r="G2006" s="172" t="inlineStr">
        <is>
          <t>国民信托</t>
        </is>
      </c>
      <c r="H2006" s="172" t="inlineStr">
        <is>
          <t>-</t>
        </is>
      </c>
      <c r="I2006" s="172" t="inlineStr">
        <is>
          <t>招行北分</t>
        </is>
      </c>
      <c r="J2006" s="172" t="n">
        <v>13</v>
      </c>
      <c r="K2006" s="172" t="inlineStr">
        <is>
          <t>11+13</t>
        </is>
      </c>
      <c r="L2006" s="202" t="n">
        <v>46203</v>
      </c>
      <c r="M2006" s="175" t="n">
        <v>0.0148</v>
      </c>
      <c r="N2006" s="176" t="n">
        <v>0.03098</v>
      </c>
      <c r="O2006" s="191" t="inlineStr">
        <is>
          <t>-</t>
        </is>
      </c>
      <c r="P2006" s="172" t="inlineStr">
        <is>
          <t>结构化平层</t>
        </is>
      </c>
      <c r="Q2006" s="175" t="n">
        <v>0.25</v>
      </c>
      <c r="R2006" s="192" t="n">
        <v>3.25</v>
      </c>
      <c r="S2006" s="172" t="inlineStr">
        <is>
          <t>无</t>
        </is>
      </c>
      <c r="T2006" s="175" t="n">
        <v>0.037</v>
      </c>
      <c r="U2006" s="172" t="inlineStr">
        <is>
          <t>中金自营</t>
        </is>
      </c>
      <c r="V2006" s="191" t="n">
        <v>0.8</v>
      </c>
      <c r="W2006" s="172" t="n"/>
      <c r="X2006" s="172" t="n"/>
      <c r="Y2006" s="172" t="n"/>
    </row>
    <row r="2007">
      <c r="A2007" s="172" t="n">
        <v>111</v>
      </c>
      <c r="B2007" s="172" t="inlineStr">
        <is>
          <t>6月</t>
        </is>
      </c>
      <c r="C2007" s="172" t="inlineStr">
        <is>
          <t>消金</t>
        </is>
      </c>
      <c r="D2007" s="172" t="inlineStr">
        <is>
          <t>金条&amp;白取&amp;白条混发</t>
        </is>
      </c>
      <c r="E2007" s="172" t="inlineStr">
        <is>
          <t>天玑52-2号</t>
        </is>
      </c>
      <c r="F2007" s="172" t="inlineStr">
        <is>
          <t>结构化非标</t>
        </is>
      </c>
      <c r="G2007" s="172" t="inlineStr">
        <is>
          <t>国民信托</t>
        </is>
      </c>
      <c r="H2007" s="172" t="inlineStr">
        <is>
          <t>-</t>
        </is>
      </c>
      <c r="I2007" s="172" t="inlineStr">
        <is>
          <t>招行北分</t>
        </is>
      </c>
      <c r="J2007" s="172" t="n">
        <v>13</v>
      </c>
      <c r="K2007" s="172" t="inlineStr">
        <is>
          <t>11+13</t>
        </is>
      </c>
      <c r="L2007" s="202" t="n">
        <v>46203</v>
      </c>
      <c r="M2007" s="175" t="n">
        <v>0.0148</v>
      </c>
      <c r="N2007" s="176" t="n">
        <v>0.03098</v>
      </c>
      <c r="O2007" s="191" t="inlineStr">
        <is>
          <t>-</t>
        </is>
      </c>
      <c r="P2007" s="172" t="inlineStr">
        <is>
          <t>结构化平层</t>
        </is>
      </c>
      <c r="Q2007" s="175" t="n">
        <v>0.25</v>
      </c>
      <c r="R2007" s="192" t="n">
        <v>3.25</v>
      </c>
      <c r="S2007" s="172" t="inlineStr">
        <is>
          <t>无</t>
        </is>
      </c>
      <c r="T2007" s="175" t="n">
        <v>0.037</v>
      </c>
      <c r="U2007" s="172" t="inlineStr">
        <is>
          <t>中信建投机构部</t>
        </is>
      </c>
      <c r="V2007" s="172" t="n">
        <v>1.25</v>
      </c>
      <c r="W2007" s="172" t="n"/>
      <c r="X2007" s="172" t="n"/>
      <c r="Y2007" s="172" t="n"/>
    </row>
    <row r="2008">
      <c r="A2008" s="172" t="n">
        <v>111</v>
      </c>
      <c r="B2008" s="172" t="inlineStr">
        <is>
          <t>6月</t>
        </is>
      </c>
      <c r="C2008" s="172" t="inlineStr">
        <is>
          <t>消金</t>
        </is>
      </c>
      <c r="D2008" s="172" t="inlineStr">
        <is>
          <t>金条&amp;白取&amp;白条混发</t>
        </is>
      </c>
      <c r="E2008" s="172" t="inlineStr">
        <is>
          <t>天玑52-2号</t>
        </is>
      </c>
      <c r="F2008" s="172" t="inlineStr">
        <is>
          <t>结构化非标</t>
        </is>
      </c>
      <c r="G2008" s="172" t="inlineStr">
        <is>
          <t>国民信托</t>
        </is>
      </c>
      <c r="H2008" s="172" t="inlineStr">
        <is>
          <t>-</t>
        </is>
      </c>
      <c r="I2008" s="172" t="inlineStr">
        <is>
          <t>招行北分</t>
        </is>
      </c>
      <c r="J2008" s="172" t="n">
        <v>13</v>
      </c>
      <c r="K2008" s="172" t="inlineStr">
        <is>
          <t>11+13</t>
        </is>
      </c>
      <c r="L2008" s="202" t="n">
        <v>46203</v>
      </c>
      <c r="M2008" s="175" t="n">
        <v>0.0148</v>
      </c>
      <c r="N2008" s="176" t="n">
        <v>0.03098</v>
      </c>
      <c r="O2008" s="191" t="inlineStr">
        <is>
          <t>-</t>
        </is>
      </c>
      <c r="P2008" s="172" t="inlineStr">
        <is>
          <t>结构化平层</t>
        </is>
      </c>
      <c r="Q2008" s="175" t="n">
        <v>0.25</v>
      </c>
      <c r="R2008" s="192" t="n">
        <v>3.25</v>
      </c>
      <c r="S2008" s="172" t="inlineStr">
        <is>
          <t>无</t>
        </is>
      </c>
      <c r="T2008" s="175" t="n">
        <v>0.037</v>
      </c>
      <c r="U2008" s="172" t="inlineStr">
        <is>
          <t>中信证券自营</t>
        </is>
      </c>
      <c r="V2008" s="191" t="n">
        <v>1.2</v>
      </c>
      <c r="W2008" s="172" t="n"/>
      <c r="X2008" s="172" t="n"/>
      <c r="Y2008" s="172" t="n"/>
    </row>
    <row r="2009">
      <c r="A2009" s="172" t="n">
        <v>112</v>
      </c>
      <c r="B2009" s="172" t="inlineStr">
        <is>
          <t>6月</t>
        </is>
      </c>
      <c r="C2009" s="172" t="inlineStr">
        <is>
          <t>消金</t>
        </is>
      </c>
      <c r="D2009" s="172" t="inlineStr">
        <is>
          <t>金条&amp;白取&amp;白条混发</t>
        </is>
      </c>
      <c r="E2009" s="172" t="inlineStr">
        <is>
          <t>云虹31号</t>
        </is>
      </c>
      <c r="F2009" s="172" t="inlineStr">
        <is>
          <t>结构化非标</t>
        </is>
      </c>
      <c r="G2009" s="172" t="inlineStr">
        <is>
          <t>外贸信托</t>
        </is>
      </c>
      <c r="H2009" s="172" t="inlineStr">
        <is>
          <t>-</t>
        </is>
      </c>
      <c r="I2009" s="172" t="inlineStr">
        <is>
          <t>建行北分</t>
        </is>
      </c>
      <c r="J2009" s="172" t="n">
        <v>9</v>
      </c>
      <c r="K2009" s="172" t="inlineStr">
        <is>
          <t>11+24</t>
        </is>
      </c>
      <c r="L2009" s="202" t="n">
        <v>46203</v>
      </c>
      <c r="M2009" s="175" t="n">
        <v>0.0148</v>
      </c>
      <c r="N2009" s="176" t="n">
        <v>0.03055</v>
      </c>
      <c r="O2009" s="191" t="inlineStr">
        <is>
          <t>-</t>
        </is>
      </c>
      <c r="P2009" s="172" t="inlineStr">
        <is>
          <t>结构化平层</t>
        </is>
      </c>
      <c r="Q2009" s="175" t="n">
        <v>0.75</v>
      </c>
      <c r="R2009" s="192" t="n">
        <v>6.75</v>
      </c>
      <c r="S2009" s="172" t="inlineStr">
        <is>
          <t>无</t>
        </is>
      </c>
      <c r="T2009" s="175" t="n">
        <v>0.024</v>
      </c>
      <c r="U2009" s="172" t="inlineStr">
        <is>
          <t>汇丰银行</t>
        </is>
      </c>
      <c r="V2009" s="172" t="n">
        <v>6.75</v>
      </c>
      <c r="W2009" s="172" t="n"/>
      <c r="X2009" s="172" t="n"/>
      <c r="Y2009" s="172" t="n"/>
    </row>
    <row r="2010">
      <c r="A2010" s="172" t="n">
        <v>112</v>
      </c>
      <c r="B2010" s="172" t="inlineStr">
        <is>
          <t>6月</t>
        </is>
      </c>
      <c r="C2010" s="172" t="inlineStr">
        <is>
          <t>消金</t>
        </is>
      </c>
      <c r="D2010" s="172" t="inlineStr">
        <is>
          <t>金条&amp;白取&amp;白条混发</t>
        </is>
      </c>
      <c r="E2010" s="172" t="inlineStr">
        <is>
          <t>云虹31号</t>
        </is>
      </c>
      <c r="F2010" s="172" t="inlineStr">
        <is>
          <t>结构化非标</t>
        </is>
      </c>
      <c r="G2010" s="172" t="inlineStr">
        <is>
          <t>外贸信托</t>
        </is>
      </c>
      <c r="H2010" s="172" t="inlineStr">
        <is>
          <t>-</t>
        </is>
      </c>
      <c r="I2010" s="172" t="inlineStr">
        <is>
          <t>建行北分</t>
        </is>
      </c>
      <c r="J2010" s="172" t="n">
        <v>9</v>
      </c>
      <c r="K2010" s="172" t="inlineStr">
        <is>
          <t>11+24</t>
        </is>
      </c>
      <c r="L2010" s="202" t="n">
        <v>46203</v>
      </c>
      <c r="M2010" s="175" t="n">
        <v>0.0148</v>
      </c>
      <c r="N2010" s="176" t="n">
        <v>0.03055</v>
      </c>
      <c r="O2010" s="191" t="inlineStr">
        <is>
          <t>-</t>
        </is>
      </c>
      <c r="P2010" s="172" t="inlineStr">
        <is>
          <t>结构化平层</t>
        </is>
      </c>
      <c r="Q2010" s="175" t="n">
        <v>0.25</v>
      </c>
      <c r="R2010" s="192" t="n">
        <v>2.25</v>
      </c>
      <c r="S2010" s="172" t="inlineStr">
        <is>
          <t>无</t>
        </is>
      </c>
      <c r="T2010" s="175" t="n">
        <v>0.038</v>
      </c>
      <c r="U2010" s="172" t="inlineStr">
        <is>
          <t>中金自营</t>
        </is>
      </c>
      <c r="V2010" s="172" t="n">
        <v>1.125</v>
      </c>
      <c r="W2010" s="172" t="n"/>
      <c r="X2010" s="172" t="n"/>
      <c r="Y2010" s="172" t="n"/>
    </row>
    <row r="2011">
      <c r="A2011" s="172" t="n">
        <v>112</v>
      </c>
      <c r="B2011" s="172" t="inlineStr">
        <is>
          <t>6月</t>
        </is>
      </c>
      <c r="C2011" s="172" t="inlineStr">
        <is>
          <t>消金</t>
        </is>
      </c>
      <c r="D2011" s="172" t="inlineStr">
        <is>
          <t>金条&amp;白取&amp;白条混发</t>
        </is>
      </c>
      <c r="E2011" s="172" t="inlineStr">
        <is>
          <t>云虹31号</t>
        </is>
      </c>
      <c r="F2011" s="172" t="inlineStr">
        <is>
          <t>结构化非标</t>
        </is>
      </c>
      <c r="G2011" s="172" t="inlineStr">
        <is>
          <t>外贸信托</t>
        </is>
      </c>
      <c r="H2011" s="172" t="inlineStr">
        <is>
          <t>-</t>
        </is>
      </c>
      <c r="I2011" s="172" t="inlineStr">
        <is>
          <t>建行北分</t>
        </is>
      </c>
      <c r="J2011" s="172" t="n">
        <v>9</v>
      </c>
      <c r="K2011" s="172" t="inlineStr">
        <is>
          <t>11+24</t>
        </is>
      </c>
      <c r="L2011" s="202" t="n">
        <v>46203</v>
      </c>
      <c r="M2011" s="175" t="n">
        <v>0.0148</v>
      </c>
      <c r="N2011" s="176" t="n">
        <v>0.03055</v>
      </c>
      <c r="O2011" s="191" t="inlineStr">
        <is>
          <t>-</t>
        </is>
      </c>
      <c r="P2011" s="172" t="inlineStr">
        <is>
          <t>结构化平层</t>
        </is>
      </c>
      <c r="Q2011" s="175" t="n">
        <v>0.25</v>
      </c>
      <c r="R2011" s="192" t="n">
        <v>2.25</v>
      </c>
      <c r="S2011" s="172" t="inlineStr">
        <is>
          <t>无</t>
        </is>
      </c>
      <c r="T2011" s="175" t="n">
        <v>0.038</v>
      </c>
      <c r="U2011" s="172" t="inlineStr">
        <is>
          <t>中信建投投顾</t>
        </is>
      </c>
      <c r="V2011" s="172" t="n">
        <v>1.125</v>
      </c>
      <c r="W2011" s="172" t="n"/>
      <c r="X2011" s="172" t="n"/>
      <c r="Y2011" s="172" t="n"/>
    </row>
    <row r="2012">
      <c r="A2012" s="172" t="n">
        <v>113</v>
      </c>
      <c r="B2012" s="173" t="inlineStr">
        <is>
          <t>7月</t>
        </is>
      </c>
      <c r="C2012" s="173" t="inlineStr">
        <is>
          <t>消金</t>
        </is>
      </c>
      <c r="D2012" s="173" t="inlineStr">
        <is>
          <t>信托金条</t>
        </is>
      </c>
      <c r="E2012" s="173" t="inlineStr">
        <is>
          <t>格昱29号</t>
        </is>
      </c>
      <c r="F2012" s="173" t="inlineStr">
        <is>
          <t>非标</t>
        </is>
      </c>
      <c r="G2012" s="173" t="inlineStr">
        <is>
          <t>华鑫信托</t>
        </is>
      </c>
      <c r="H2012" s="173" t="inlineStr">
        <is>
          <t>-</t>
        </is>
      </c>
      <c r="I2012" s="173" t="inlineStr">
        <is>
          <t>南银北分</t>
        </is>
      </c>
      <c r="J2012" s="207" t="n">
        <v>5</v>
      </c>
      <c r="K2012" s="173" t="inlineStr">
        <is>
          <t>11+1</t>
        </is>
      </c>
      <c r="L2012" s="202" t="n">
        <v>46204</v>
      </c>
      <c r="M2012" s="175" t="n">
        <v>0.0146</v>
      </c>
      <c r="N2012" s="176" t="n">
        <v>0.02805</v>
      </c>
      <c r="O2012" s="172" t="inlineStr">
        <is>
          <t>-</t>
        </is>
      </c>
      <c r="P2012" s="177" t="inlineStr">
        <is>
          <t>平层</t>
        </is>
      </c>
      <c r="Q2012" s="172" t="inlineStr">
        <is>
          <t>-</t>
        </is>
      </c>
      <c r="R2012" s="192" t="n">
        <v>5</v>
      </c>
      <c r="S2012" s="177" t="inlineStr">
        <is>
          <t>无</t>
        </is>
      </c>
      <c r="T2012" s="178" t="n">
        <v>0.025</v>
      </c>
      <c r="U2012" s="177" t="inlineStr">
        <is>
          <t>南银理财</t>
        </is>
      </c>
      <c r="V2012" s="207" t="n">
        <v>5</v>
      </c>
      <c r="W2012" s="172" t="n"/>
      <c r="X2012" s="172" t="n"/>
      <c r="Y2012" s="172" t="n"/>
    </row>
    <row r="2013">
      <c r="A2013" s="172" t="n">
        <v>114</v>
      </c>
      <c r="B2013" s="173" t="inlineStr">
        <is>
          <t>7月</t>
        </is>
      </c>
      <c r="C2013" s="173" t="inlineStr">
        <is>
          <t>消金</t>
        </is>
      </c>
      <c r="D2013" s="173" t="inlineStr">
        <is>
          <t>金条&amp;白取&amp;白条混发</t>
        </is>
      </c>
      <c r="E2013" s="173" t="inlineStr">
        <is>
          <t>云虹32号</t>
        </is>
      </c>
      <c r="F2013" s="173" t="inlineStr">
        <is>
          <t>非标</t>
        </is>
      </c>
      <c r="G2013" s="173" t="inlineStr">
        <is>
          <t>外贸信托</t>
        </is>
      </c>
      <c r="H2013" s="173" t="inlineStr">
        <is>
          <t>-</t>
        </is>
      </c>
      <c r="I2013" s="173" t="inlineStr">
        <is>
          <t>南银北分</t>
        </is>
      </c>
      <c r="J2013" s="207" t="n">
        <v>5</v>
      </c>
      <c r="K2013" s="173" t="inlineStr">
        <is>
          <t>6+6</t>
        </is>
      </c>
      <c r="L2013" s="202" t="n">
        <v>46204</v>
      </c>
      <c r="M2013" s="175" t="n">
        <v>0.0146</v>
      </c>
      <c r="N2013" s="176" t="n">
        <v>0.02805</v>
      </c>
      <c r="O2013" s="172" t="inlineStr">
        <is>
          <t>-</t>
        </is>
      </c>
      <c r="P2013" s="177" t="inlineStr">
        <is>
          <t>平层</t>
        </is>
      </c>
      <c r="Q2013" s="172" t="inlineStr">
        <is>
          <t>-</t>
        </is>
      </c>
      <c r="R2013" s="192" t="n">
        <v>5</v>
      </c>
      <c r="S2013" s="177" t="inlineStr">
        <is>
          <t>无</t>
        </is>
      </c>
      <c r="T2013" s="178" t="n">
        <v>0.025</v>
      </c>
      <c r="U2013" s="177" t="inlineStr">
        <is>
          <t>南银理财</t>
        </is>
      </c>
      <c r="V2013" s="207" t="n">
        <v>5</v>
      </c>
      <c r="W2013" s="172" t="n"/>
      <c r="X2013" s="176" t="n"/>
      <c r="Y2013" s="172" t="n"/>
    </row>
    <row r="2014">
      <c r="A2014" s="172" t="n">
        <v>115</v>
      </c>
      <c r="B2014" s="173" t="inlineStr">
        <is>
          <t>7月</t>
        </is>
      </c>
      <c r="C2014" s="173" t="inlineStr">
        <is>
          <t>消金</t>
        </is>
      </c>
      <c r="D2014" s="173" t="inlineStr">
        <is>
          <t>赊销白条</t>
        </is>
      </c>
      <c r="E2014" s="173" t="inlineStr">
        <is>
          <t>东裕4号仲裕（续发）</t>
        </is>
      </c>
      <c r="F2014" s="173" t="inlineStr">
        <is>
          <t>银行间</t>
        </is>
      </c>
      <c r="G2014" s="173" t="inlineStr">
        <is>
          <t>国泰海通</t>
        </is>
      </c>
      <c r="H2014" s="173" t="inlineStr">
        <is>
          <t>杭州银行/江苏银行/中信证券/招商证券</t>
        </is>
      </c>
      <c r="I2014" s="173" t="inlineStr">
        <is>
          <t>兴业北分</t>
        </is>
      </c>
      <c r="J2014" s="172" t="n">
        <v>9.449999999999999</v>
      </c>
      <c r="K2014" s="173" t="inlineStr">
        <is>
          <t>9+3</t>
        </is>
      </c>
      <c r="L2014" s="202" t="n">
        <v>46209</v>
      </c>
      <c r="M2014" s="175" t="n">
        <v>0.0146</v>
      </c>
      <c r="N2014" s="176" t="n">
        <v>0.0195</v>
      </c>
      <c r="O2014" s="191" t="n">
        <v>2.43</v>
      </c>
      <c r="P2014" s="177" t="inlineStr">
        <is>
          <t>优先级</t>
        </is>
      </c>
      <c r="Q2014" s="178" t="n">
        <v>0.9</v>
      </c>
      <c r="R2014" s="179" t="n">
        <v>9</v>
      </c>
      <c r="S2014" s="177" t="inlineStr">
        <is>
          <t>AAA</t>
        </is>
      </c>
      <c r="T2014" s="178" t="n">
        <v>0.0159</v>
      </c>
      <c r="U2014" s="177" t="inlineStr">
        <is>
          <t>招银理财</t>
        </is>
      </c>
      <c r="V2014" s="192" t="n">
        <v>2.7</v>
      </c>
      <c r="W2014" s="175" t="n">
        <v>0.0157</v>
      </c>
      <c r="X2014" s="172" t="inlineStr">
        <is>
          <t>招银理财</t>
        </is>
      </c>
      <c r="Y2014" s="191" t="n">
        <v>2.7</v>
      </c>
    </row>
    <row r="2015">
      <c r="A2015" s="172" t="n">
        <v>115</v>
      </c>
      <c r="B2015" s="173" t="inlineStr">
        <is>
          <t>7月</t>
        </is>
      </c>
      <c r="C2015" s="173" t="inlineStr">
        <is>
          <t>消金</t>
        </is>
      </c>
      <c r="D2015" s="173" t="inlineStr">
        <is>
          <t>赊销白条</t>
        </is>
      </c>
      <c r="E2015" s="173" t="inlineStr">
        <is>
          <t>东裕4号仲裕（续发）</t>
        </is>
      </c>
      <c r="F2015" s="173" t="inlineStr">
        <is>
          <t>银行间</t>
        </is>
      </c>
      <c r="G2015" s="173" t="inlineStr">
        <is>
          <t>国泰海通</t>
        </is>
      </c>
      <c r="H2015" s="173" t="inlineStr">
        <is>
          <t>杭州银行/江苏银行/中信证券/招商证券</t>
        </is>
      </c>
      <c r="I2015" s="173" t="inlineStr">
        <is>
          <t>兴业北分</t>
        </is>
      </c>
      <c r="J2015" s="172" t="n">
        <v>9.449999999999999</v>
      </c>
      <c r="K2015" s="173" t="inlineStr">
        <is>
          <t>9+3</t>
        </is>
      </c>
      <c r="L2015" s="202" t="n">
        <v>46209</v>
      </c>
      <c r="M2015" s="175" t="n">
        <v>0.0146</v>
      </c>
      <c r="N2015" s="176" t="n">
        <v>0.0195</v>
      </c>
      <c r="O2015" s="191" t="n">
        <v>2.43</v>
      </c>
      <c r="P2015" s="172" t="inlineStr">
        <is>
          <t>优先级</t>
        </is>
      </c>
      <c r="Q2015" s="178" t="n">
        <v>0.9</v>
      </c>
      <c r="R2015" s="179" t="n">
        <v>9</v>
      </c>
      <c r="S2015" s="177" t="inlineStr">
        <is>
          <t>AAA</t>
        </is>
      </c>
      <c r="T2015" s="178" t="n">
        <v>0.0159</v>
      </c>
      <c r="U2015" s="177" t="inlineStr">
        <is>
          <t>工银理财</t>
        </is>
      </c>
      <c r="V2015" s="192" t="n">
        <v>2.5</v>
      </c>
      <c r="W2015" s="175" t="n">
        <v>0.0158</v>
      </c>
      <c r="X2015" s="172" t="inlineStr">
        <is>
          <t>工银理财</t>
        </is>
      </c>
      <c r="Y2015" s="191" t="n">
        <v>2.5</v>
      </c>
    </row>
    <row r="2016">
      <c r="A2016" s="172" t="n">
        <v>115</v>
      </c>
      <c r="B2016" s="173" t="inlineStr">
        <is>
          <t>7月</t>
        </is>
      </c>
      <c r="C2016" s="173" t="inlineStr">
        <is>
          <t>消金</t>
        </is>
      </c>
      <c r="D2016" s="173" t="inlineStr">
        <is>
          <t>赊销白条</t>
        </is>
      </c>
      <c r="E2016" s="173" t="inlineStr">
        <is>
          <t>东裕4号仲裕（续发）</t>
        </is>
      </c>
      <c r="F2016" s="173" t="inlineStr">
        <is>
          <t>银行间</t>
        </is>
      </c>
      <c r="G2016" s="173" t="inlineStr">
        <is>
          <t>国泰海通</t>
        </is>
      </c>
      <c r="H2016" s="173" t="inlineStr">
        <is>
          <t>杭州银行/江苏银行/中信证券/招商证券</t>
        </is>
      </c>
      <c r="I2016" s="173" t="inlineStr">
        <is>
          <t>兴业北分</t>
        </is>
      </c>
      <c r="J2016" s="172" t="n">
        <v>9.449999999999999</v>
      </c>
      <c r="K2016" s="173" t="inlineStr">
        <is>
          <t>9+3</t>
        </is>
      </c>
      <c r="L2016" s="202" t="n">
        <v>46209</v>
      </c>
      <c r="M2016" s="175" t="n">
        <v>0.0146</v>
      </c>
      <c r="N2016" s="176" t="n">
        <v>0.0195</v>
      </c>
      <c r="O2016" s="191" t="n">
        <v>2.43</v>
      </c>
      <c r="P2016" s="172" t="inlineStr">
        <is>
          <t>优先级</t>
        </is>
      </c>
      <c r="Q2016" s="178" t="n">
        <v>0.9</v>
      </c>
      <c r="R2016" s="179" t="n">
        <v>9</v>
      </c>
      <c r="S2016" s="177" t="inlineStr">
        <is>
          <t>AAA</t>
        </is>
      </c>
      <c r="T2016" s="178" t="n">
        <v>0.0159</v>
      </c>
      <c r="U2016" s="177" t="inlineStr">
        <is>
          <t>江苏银行</t>
        </is>
      </c>
      <c r="V2016" s="192" t="n">
        <v>1.8</v>
      </c>
      <c r="W2016" s="175" t="n">
        <v>0.015</v>
      </c>
      <c r="X2016" s="172" t="inlineStr">
        <is>
          <t>江苏银行</t>
        </is>
      </c>
      <c r="Y2016" s="191" t="n">
        <v>1.8</v>
      </c>
    </row>
    <row r="2017">
      <c r="A2017" s="172" t="n">
        <v>115</v>
      </c>
      <c r="B2017" s="173" t="inlineStr">
        <is>
          <t>7月</t>
        </is>
      </c>
      <c r="C2017" s="173" t="inlineStr">
        <is>
          <t>消金</t>
        </is>
      </c>
      <c r="D2017" s="173" t="inlineStr">
        <is>
          <t>赊销白条</t>
        </is>
      </c>
      <c r="E2017" s="173" t="inlineStr">
        <is>
          <t>东裕4号仲裕（续发）</t>
        </is>
      </c>
      <c r="F2017" s="173" t="inlineStr">
        <is>
          <t>银行间</t>
        </is>
      </c>
      <c r="G2017" s="173" t="inlineStr">
        <is>
          <t>国泰海通</t>
        </is>
      </c>
      <c r="H2017" s="173" t="inlineStr">
        <is>
          <t>杭州银行/江苏银行/中信证券/招商证券</t>
        </is>
      </c>
      <c r="I2017" s="173" t="inlineStr">
        <is>
          <t>兴业北分</t>
        </is>
      </c>
      <c r="J2017" s="172" t="n">
        <v>9.449999999999999</v>
      </c>
      <c r="K2017" s="173" t="inlineStr">
        <is>
          <t>9+3</t>
        </is>
      </c>
      <c r="L2017" s="202" t="n">
        <v>46209</v>
      </c>
      <c r="M2017" s="175" t="n">
        <v>0.0146</v>
      </c>
      <c r="N2017" s="176" t="n">
        <v>0.0195</v>
      </c>
      <c r="O2017" s="191" t="n">
        <v>2.43</v>
      </c>
      <c r="P2017" s="172" t="inlineStr">
        <is>
          <t>优先级</t>
        </is>
      </c>
      <c r="Q2017" s="178" t="n">
        <v>0.9</v>
      </c>
      <c r="R2017" s="179" t="n">
        <v>9</v>
      </c>
      <c r="S2017" s="177" t="inlineStr">
        <is>
          <t>AAA</t>
        </is>
      </c>
      <c r="T2017" s="178" t="n">
        <v>0.0159</v>
      </c>
      <c r="U2017" s="177" t="inlineStr">
        <is>
          <t>中银理财</t>
        </is>
      </c>
      <c r="V2017" s="192" t="n">
        <v>1.1</v>
      </c>
      <c r="W2017" s="175" t="n">
        <v>0.0155</v>
      </c>
      <c r="X2017" s="172" t="inlineStr">
        <is>
          <t>中银理财</t>
        </is>
      </c>
      <c r="Y2017" s="191" t="n">
        <v>0.5</v>
      </c>
    </row>
    <row r="2018">
      <c r="A2018" s="172" t="n">
        <v>115</v>
      </c>
      <c r="B2018" s="172" t="inlineStr">
        <is>
          <t>7月</t>
        </is>
      </c>
      <c r="C2018" s="172" t="inlineStr">
        <is>
          <t>消金</t>
        </is>
      </c>
      <c r="D2018" s="172" t="inlineStr">
        <is>
          <t>赊销白条</t>
        </is>
      </c>
      <c r="E2018" s="172" t="inlineStr">
        <is>
          <t>东裕4号仲裕（续发）</t>
        </is>
      </c>
      <c r="F2018" s="172" t="inlineStr">
        <is>
          <t>银行间</t>
        </is>
      </c>
      <c r="G2018" s="172" t="inlineStr">
        <is>
          <t>国泰海通</t>
        </is>
      </c>
      <c r="H2018" s="172" t="inlineStr">
        <is>
          <t>杭州银行/江苏银行/中信证券/招商证券</t>
        </is>
      </c>
      <c r="I2018" s="172" t="inlineStr">
        <is>
          <t>兴业北分</t>
        </is>
      </c>
      <c r="J2018" s="172" t="n">
        <v>9.449999999999999</v>
      </c>
      <c r="K2018" s="172" t="inlineStr">
        <is>
          <t>9+3</t>
        </is>
      </c>
      <c r="L2018" s="208" t="n">
        <v>46209</v>
      </c>
      <c r="M2018" s="175" t="n">
        <v>0.0146</v>
      </c>
      <c r="N2018" s="176" t="n">
        <v>0.0195</v>
      </c>
      <c r="O2018" s="172" t="n">
        <v>2.43</v>
      </c>
      <c r="P2018" s="172" t="inlineStr">
        <is>
          <t>优先级</t>
        </is>
      </c>
      <c r="Q2018" s="175" t="n">
        <v>0.9</v>
      </c>
      <c r="R2018" s="192" t="n">
        <v>9</v>
      </c>
      <c r="S2018" s="172" t="inlineStr">
        <is>
          <t>AAA</t>
        </is>
      </c>
      <c r="T2018" s="175" t="n">
        <v>0.0159</v>
      </c>
      <c r="U2018" s="172" t="n"/>
      <c r="V2018" s="172" t="n"/>
      <c r="W2018" s="175" t="n">
        <v>0.0159</v>
      </c>
      <c r="X2018" s="172" t="inlineStr">
        <is>
          <t>中银理财</t>
        </is>
      </c>
      <c r="Y2018" s="191" t="n">
        <v>1</v>
      </c>
    </row>
    <row r="2019">
      <c r="A2019" s="172" t="n">
        <v>115</v>
      </c>
      <c r="B2019" s="172" t="inlineStr">
        <is>
          <t>7月</t>
        </is>
      </c>
      <c r="C2019" s="172" t="inlineStr">
        <is>
          <t>消金</t>
        </is>
      </c>
      <c r="D2019" s="172" t="inlineStr">
        <is>
          <t>赊销白条</t>
        </is>
      </c>
      <c r="E2019" s="172" t="inlineStr">
        <is>
          <t>东裕4号仲裕（续发）</t>
        </is>
      </c>
      <c r="F2019" s="172" t="inlineStr">
        <is>
          <t>银行间</t>
        </is>
      </c>
      <c r="G2019" s="172" t="inlineStr">
        <is>
          <t>国泰海通</t>
        </is>
      </c>
      <c r="H2019" s="172" t="inlineStr">
        <is>
          <t>杭州银行/江苏银行/中信证券/招商证券</t>
        </is>
      </c>
      <c r="I2019" s="172" t="inlineStr">
        <is>
          <t>兴业北分</t>
        </is>
      </c>
      <c r="J2019" s="172" t="n">
        <v>9.449999999999999</v>
      </c>
      <c r="K2019" s="172" t="inlineStr">
        <is>
          <t>9+3</t>
        </is>
      </c>
      <c r="L2019" s="208" t="n">
        <v>46209</v>
      </c>
      <c r="M2019" s="175" t="n">
        <v>0.0146</v>
      </c>
      <c r="N2019" s="176" t="n">
        <v>0.0195</v>
      </c>
      <c r="O2019" s="172" t="n">
        <v>2.43</v>
      </c>
      <c r="P2019" s="172" t="inlineStr">
        <is>
          <t>优先级</t>
        </is>
      </c>
      <c r="Q2019" s="175" t="n">
        <v>0.9</v>
      </c>
      <c r="R2019" s="192" t="n">
        <v>9</v>
      </c>
      <c r="S2019" s="172" t="inlineStr">
        <is>
          <t>AAA</t>
        </is>
      </c>
      <c r="T2019" s="175" t="n">
        <v>0.0159</v>
      </c>
      <c r="U2019" s="172" t="n"/>
      <c r="V2019" s="172" t="n"/>
      <c r="W2019" s="175" t="n">
        <v>0.016</v>
      </c>
      <c r="X2019" s="172" t="inlineStr">
        <is>
          <t>中银理财</t>
        </is>
      </c>
      <c r="Y2019" s="191" t="n">
        <v>1.2</v>
      </c>
    </row>
    <row r="2020">
      <c r="A2020" s="172" t="n">
        <v>115</v>
      </c>
      <c r="B2020" s="173" t="inlineStr">
        <is>
          <t>7月</t>
        </is>
      </c>
      <c r="C2020" s="173" t="inlineStr">
        <is>
          <t>消金</t>
        </is>
      </c>
      <c r="D2020" s="173" t="inlineStr">
        <is>
          <t>赊销白条</t>
        </is>
      </c>
      <c r="E2020" s="173" t="inlineStr">
        <is>
          <t>东裕4号仲裕（续发）</t>
        </is>
      </c>
      <c r="F2020" s="173" t="inlineStr">
        <is>
          <t>银行间</t>
        </is>
      </c>
      <c r="G2020" s="173" t="inlineStr">
        <is>
          <t>国泰海通</t>
        </is>
      </c>
      <c r="H2020" s="173" t="inlineStr">
        <is>
          <t>杭州银行/江苏银行/中信证券/招商证券</t>
        </is>
      </c>
      <c r="I2020" s="173" t="inlineStr">
        <is>
          <t>兴业北分</t>
        </is>
      </c>
      <c r="J2020" s="172" t="n">
        <v>9.449999999999999</v>
      </c>
      <c r="K2020" s="173" t="inlineStr">
        <is>
          <t>9+3</t>
        </is>
      </c>
      <c r="L2020" s="202" t="n">
        <v>46209</v>
      </c>
      <c r="M2020" s="175" t="n">
        <v>0.0146</v>
      </c>
      <c r="N2020" s="176" t="n">
        <v>0.0195</v>
      </c>
      <c r="O2020" s="191" t="n">
        <v>2.43</v>
      </c>
      <c r="P2020" s="172" t="inlineStr">
        <is>
          <t>优先级</t>
        </is>
      </c>
      <c r="Q2020" s="178" t="n">
        <v>0.9</v>
      </c>
      <c r="R2020" s="179" t="n">
        <v>9</v>
      </c>
      <c r="S2020" s="177" t="inlineStr">
        <is>
          <t>AAA</t>
        </is>
      </c>
      <c r="T2020" s="178" t="n">
        <v>0.0159</v>
      </c>
      <c r="U2020" s="177" t="inlineStr">
        <is>
          <t>杭州银行</t>
        </is>
      </c>
      <c r="V2020" s="192" t="n">
        <v>0.4</v>
      </c>
      <c r="W2020" s="175" t="n">
        <v>0.0159</v>
      </c>
      <c r="X2020" s="172" t="inlineStr">
        <is>
          <t>杭州银行</t>
        </is>
      </c>
      <c r="Y2020" s="191" t="n">
        <v>0.8</v>
      </c>
    </row>
    <row r="2021">
      <c r="A2021" s="172" t="n">
        <v>115</v>
      </c>
      <c r="B2021" s="172" t="inlineStr">
        <is>
          <t>7月</t>
        </is>
      </c>
      <c r="C2021" s="172" t="inlineStr">
        <is>
          <t>消金</t>
        </is>
      </c>
      <c r="D2021" s="172" t="inlineStr">
        <is>
          <t>赊销白条</t>
        </is>
      </c>
      <c r="E2021" s="172" t="inlineStr">
        <is>
          <t>东裕4号仲裕（续发）</t>
        </is>
      </c>
      <c r="F2021" s="172" t="inlineStr">
        <is>
          <t>银行间</t>
        </is>
      </c>
      <c r="G2021" s="172" t="inlineStr">
        <is>
          <t>国泰海通</t>
        </is>
      </c>
      <c r="H2021" s="172" t="inlineStr">
        <is>
          <t>杭州银行/江苏银行/中信证券/招商证券</t>
        </is>
      </c>
      <c r="I2021" s="172" t="inlineStr">
        <is>
          <t>兴业北分</t>
        </is>
      </c>
      <c r="J2021" s="172" t="n">
        <v>9.449999999999999</v>
      </c>
      <c r="K2021" s="172" t="inlineStr">
        <is>
          <t>9+3</t>
        </is>
      </c>
      <c r="L2021" s="208" t="n">
        <v>46209</v>
      </c>
      <c r="M2021" s="175" t="n">
        <v>0.0146</v>
      </c>
      <c r="N2021" s="176" t="n">
        <v>0.0195</v>
      </c>
      <c r="O2021" s="172" t="n">
        <v>2.43</v>
      </c>
      <c r="P2021" s="172" t="inlineStr">
        <is>
          <t>优先级</t>
        </is>
      </c>
      <c r="Q2021" s="175" t="n">
        <v>0.9</v>
      </c>
      <c r="R2021" s="192" t="n">
        <v>9</v>
      </c>
      <c r="S2021" s="172" t="inlineStr">
        <is>
          <t>AAA</t>
        </is>
      </c>
      <c r="T2021" s="175" t="n">
        <v>0.0159</v>
      </c>
      <c r="U2021" s="172" t="n"/>
      <c r="V2021" s="172" t="n"/>
      <c r="W2021" s="175" t="n">
        <v>0.016</v>
      </c>
      <c r="X2021" s="172" t="inlineStr">
        <is>
          <t>杭州银行</t>
        </is>
      </c>
      <c r="Y2021" s="191" t="n">
        <v>0.55</v>
      </c>
    </row>
    <row r="2022">
      <c r="A2022" s="172" t="n">
        <v>115</v>
      </c>
      <c r="B2022" s="173" t="inlineStr">
        <is>
          <t>7月</t>
        </is>
      </c>
      <c r="C2022" s="173" t="inlineStr">
        <is>
          <t>消金</t>
        </is>
      </c>
      <c r="D2022" s="173" t="inlineStr">
        <is>
          <t>赊销白条</t>
        </is>
      </c>
      <c r="E2022" s="173" t="inlineStr">
        <is>
          <t>东裕4号仲裕（续发）</t>
        </is>
      </c>
      <c r="F2022" s="173" t="inlineStr">
        <is>
          <t>银行间</t>
        </is>
      </c>
      <c r="G2022" s="173" t="inlineStr">
        <is>
          <t>国泰海通</t>
        </is>
      </c>
      <c r="H2022" s="173" t="inlineStr">
        <is>
          <t>杭州银行/江苏银行/中信证券/招商证券</t>
        </is>
      </c>
      <c r="I2022" s="173" t="inlineStr">
        <is>
          <t>兴业北分</t>
        </is>
      </c>
      <c r="J2022" s="172" t="n">
        <v>9.449999999999999</v>
      </c>
      <c r="K2022" s="173" t="inlineStr">
        <is>
          <t>9+3</t>
        </is>
      </c>
      <c r="L2022" s="202" t="n">
        <v>46209</v>
      </c>
      <c r="M2022" s="175" t="n">
        <v>0.0146</v>
      </c>
      <c r="N2022" s="176" t="n">
        <v>0.0195</v>
      </c>
      <c r="O2022" s="191" t="n">
        <v>2.43</v>
      </c>
      <c r="P2022" s="172" t="inlineStr">
        <is>
          <t>优先级</t>
        </is>
      </c>
      <c r="Q2022" s="178" t="n">
        <v>0.9</v>
      </c>
      <c r="R2022" s="179" t="n">
        <v>9</v>
      </c>
      <c r="S2022" s="177" t="inlineStr">
        <is>
          <t>AAA</t>
        </is>
      </c>
      <c r="T2022" s="178" t="n">
        <v>0.0159</v>
      </c>
      <c r="U2022" s="177" t="inlineStr">
        <is>
          <t>建信信托</t>
        </is>
      </c>
      <c r="V2022" s="192" t="n">
        <v>0.5</v>
      </c>
      <c r="W2022" s="175" t="n">
        <v>0.0159</v>
      </c>
      <c r="X2022" s="172" t="inlineStr">
        <is>
          <t>建信信托</t>
        </is>
      </c>
      <c r="Y2022" s="191" t="n">
        <v>0.9</v>
      </c>
    </row>
    <row r="2023">
      <c r="A2023" s="172" t="n">
        <v>115</v>
      </c>
      <c r="B2023" s="172" t="inlineStr">
        <is>
          <t>7月</t>
        </is>
      </c>
      <c r="C2023" s="172" t="inlineStr">
        <is>
          <t>消金</t>
        </is>
      </c>
      <c r="D2023" s="172" t="inlineStr">
        <is>
          <t>赊销白条</t>
        </is>
      </c>
      <c r="E2023" s="172" t="inlineStr">
        <is>
          <t>东裕4号仲裕（续发）</t>
        </is>
      </c>
      <c r="F2023" s="172" t="inlineStr">
        <is>
          <t>银行间</t>
        </is>
      </c>
      <c r="G2023" s="172" t="inlineStr">
        <is>
          <t>国泰海通</t>
        </is>
      </c>
      <c r="H2023" s="172" t="inlineStr">
        <is>
          <t>杭州银行/江苏银行/中信证券/招商证券</t>
        </is>
      </c>
      <c r="I2023" s="172" t="inlineStr">
        <is>
          <t>兴业北分</t>
        </is>
      </c>
      <c r="J2023" s="172" t="n">
        <v>9.449999999999999</v>
      </c>
      <c r="K2023" s="172" t="inlineStr">
        <is>
          <t>9+3</t>
        </is>
      </c>
      <c r="L2023" s="208" t="n">
        <v>46209</v>
      </c>
      <c r="M2023" s="175" t="n">
        <v>0.0146</v>
      </c>
      <c r="N2023" s="176" t="n">
        <v>0.0195</v>
      </c>
      <c r="O2023" s="172" t="n">
        <v>2.43</v>
      </c>
      <c r="P2023" s="172" t="inlineStr">
        <is>
          <t>优先级</t>
        </is>
      </c>
      <c r="Q2023" s="175" t="n">
        <v>0.9</v>
      </c>
      <c r="R2023" s="192" t="n">
        <v>9</v>
      </c>
      <c r="S2023" s="172" t="inlineStr">
        <is>
          <t>AAA</t>
        </is>
      </c>
      <c r="T2023" s="175" t="n">
        <v>0.0159</v>
      </c>
      <c r="U2023" s="172" t="n"/>
      <c r="V2023" s="172" t="n"/>
      <c r="W2023" s="175" t="n">
        <v>0.016</v>
      </c>
      <c r="X2023" s="172" t="inlineStr">
        <is>
          <t>交银理财</t>
        </is>
      </c>
      <c r="Y2023" s="191" t="n">
        <v>0.5</v>
      </c>
    </row>
    <row r="2024">
      <c r="A2024" s="172" t="n">
        <v>115</v>
      </c>
      <c r="B2024" s="172" t="inlineStr">
        <is>
          <t>7月</t>
        </is>
      </c>
      <c r="C2024" s="172" t="inlineStr">
        <is>
          <t>消金</t>
        </is>
      </c>
      <c r="D2024" s="172" t="inlineStr">
        <is>
          <t>赊销白条</t>
        </is>
      </c>
      <c r="E2024" s="172" t="inlineStr">
        <is>
          <t>东裕4号仲裕（续发）</t>
        </is>
      </c>
      <c r="F2024" s="172" t="inlineStr">
        <is>
          <t>银行间</t>
        </is>
      </c>
      <c r="G2024" s="172" t="inlineStr">
        <is>
          <t>国泰海通</t>
        </is>
      </c>
      <c r="H2024" s="172" t="inlineStr">
        <is>
          <t>杭州银行/江苏银行/中信证券/招商证券</t>
        </is>
      </c>
      <c r="I2024" s="172" t="inlineStr">
        <is>
          <t>兴业北分</t>
        </is>
      </c>
      <c r="J2024" s="172" t="n">
        <v>9.449999999999999</v>
      </c>
      <c r="K2024" s="172" t="inlineStr">
        <is>
          <t>9+3</t>
        </is>
      </c>
      <c r="L2024" s="208" t="n">
        <v>46209</v>
      </c>
      <c r="M2024" s="175" t="n">
        <v>0.0146</v>
      </c>
      <c r="N2024" s="176" t="n">
        <v>0.0195</v>
      </c>
      <c r="O2024" s="172" t="n">
        <v>2.43</v>
      </c>
      <c r="P2024" s="172" t="inlineStr">
        <is>
          <t>优先级</t>
        </is>
      </c>
      <c r="Q2024" s="175" t="n">
        <v>0.9</v>
      </c>
      <c r="R2024" s="192" t="n">
        <v>9</v>
      </c>
      <c r="S2024" s="172" t="inlineStr">
        <is>
          <t>AAA</t>
        </is>
      </c>
      <c r="T2024" s="175" t="n">
        <v>0.0159</v>
      </c>
      <c r="U2024" s="172" t="n"/>
      <c r="V2024" s="172" t="n"/>
      <c r="W2024" s="175" t="n">
        <v>0.016</v>
      </c>
      <c r="X2024" s="172" t="inlineStr">
        <is>
          <t>杭银理财</t>
        </is>
      </c>
      <c r="Y2024" s="191" t="n">
        <v>0.45</v>
      </c>
    </row>
    <row r="2025">
      <c r="A2025" s="172" t="n">
        <v>115</v>
      </c>
      <c r="B2025" s="172" t="inlineStr">
        <is>
          <t>7月</t>
        </is>
      </c>
      <c r="C2025" s="172" t="inlineStr">
        <is>
          <t>消金</t>
        </is>
      </c>
      <c r="D2025" s="172" t="inlineStr">
        <is>
          <t>赊销白条</t>
        </is>
      </c>
      <c r="E2025" s="172" t="inlineStr">
        <is>
          <t>东裕4号仲裕（续发）</t>
        </is>
      </c>
      <c r="F2025" s="172" t="inlineStr">
        <is>
          <t>银行间</t>
        </is>
      </c>
      <c r="G2025" s="172" t="inlineStr">
        <is>
          <t>国泰海通</t>
        </is>
      </c>
      <c r="H2025" s="172" t="inlineStr">
        <is>
          <t>杭州银行/江苏银行/中信证券/招商证券</t>
        </is>
      </c>
      <c r="I2025" s="172" t="inlineStr">
        <is>
          <t>兴业北分</t>
        </is>
      </c>
      <c r="J2025" s="172" t="n">
        <v>9.449999999999999</v>
      </c>
      <c r="K2025" s="172" t="inlineStr">
        <is>
          <t>9+3</t>
        </is>
      </c>
      <c r="L2025" s="208" t="n">
        <v>46209</v>
      </c>
      <c r="M2025" s="175" t="n">
        <v>0.0146</v>
      </c>
      <c r="N2025" s="176" t="n">
        <v>0.0195</v>
      </c>
      <c r="O2025" s="172" t="n">
        <v>2.43</v>
      </c>
      <c r="P2025" s="172" t="inlineStr">
        <is>
          <t>优先级</t>
        </is>
      </c>
      <c r="Q2025" s="175" t="n">
        <v>0.9</v>
      </c>
      <c r="R2025" s="192" t="n">
        <v>9</v>
      </c>
      <c r="S2025" s="172" t="inlineStr">
        <is>
          <t>AAA</t>
        </is>
      </c>
      <c r="T2025" s="175" t="n">
        <v>0.0159</v>
      </c>
      <c r="U2025" s="172" t="n"/>
      <c r="V2025" s="172" t="n"/>
      <c r="W2025" s="175" t="n">
        <v>0.016</v>
      </c>
      <c r="X2025" s="172" t="inlineStr">
        <is>
          <t>中邮理财</t>
        </is>
      </c>
      <c r="Y2025" s="191" t="n">
        <v>2</v>
      </c>
    </row>
    <row r="2026">
      <c r="A2026" s="172" t="n">
        <v>115</v>
      </c>
      <c r="B2026" s="172" t="inlineStr">
        <is>
          <t>7月</t>
        </is>
      </c>
      <c r="C2026" s="172" t="inlineStr">
        <is>
          <t>消金</t>
        </is>
      </c>
      <c r="D2026" s="172" t="inlineStr">
        <is>
          <t>赊销白条</t>
        </is>
      </c>
      <c r="E2026" s="172" t="inlineStr">
        <is>
          <t>东裕4号仲裕（续发）</t>
        </is>
      </c>
      <c r="F2026" s="172" t="inlineStr">
        <is>
          <t>银行间</t>
        </is>
      </c>
      <c r="G2026" s="172" t="inlineStr">
        <is>
          <t>国泰海通</t>
        </is>
      </c>
      <c r="H2026" s="172" t="inlineStr">
        <is>
          <t>杭州银行/江苏银行/中信证券/招商证券</t>
        </is>
      </c>
      <c r="I2026" s="172" t="inlineStr">
        <is>
          <t>兴业北分</t>
        </is>
      </c>
      <c r="J2026" s="172" t="n">
        <v>9.449999999999999</v>
      </c>
      <c r="K2026" s="172" t="inlineStr">
        <is>
          <t>9+3</t>
        </is>
      </c>
      <c r="L2026" s="208" t="n">
        <v>46209</v>
      </c>
      <c r="M2026" s="175" t="n">
        <v>0.0146</v>
      </c>
      <c r="N2026" s="176" t="n">
        <v>0.0195</v>
      </c>
      <c r="O2026" s="172" t="n">
        <v>2.43</v>
      </c>
      <c r="P2026" s="172" t="inlineStr">
        <is>
          <t>优先级</t>
        </is>
      </c>
      <c r="Q2026" s="175" t="n">
        <v>0.9</v>
      </c>
      <c r="R2026" s="192" t="n">
        <v>9</v>
      </c>
      <c r="S2026" s="172" t="inlineStr">
        <is>
          <t>AAA</t>
        </is>
      </c>
      <c r="T2026" s="175" t="n">
        <v>0.0159</v>
      </c>
      <c r="U2026" s="172" t="n"/>
      <c r="V2026" s="172" t="n"/>
      <c r="W2026" s="175" t="n">
        <v>0.0162</v>
      </c>
      <c r="X2026" s="172" t="inlineStr">
        <is>
          <t>中邮理财</t>
        </is>
      </c>
      <c r="Y2026" s="191" t="n">
        <v>0.7</v>
      </c>
    </row>
    <row r="2027">
      <c r="A2027" s="172" t="n">
        <v>115</v>
      </c>
      <c r="B2027" s="172" t="inlineStr">
        <is>
          <t>7月</t>
        </is>
      </c>
      <c r="C2027" s="172" t="inlineStr">
        <is>
          <t>消金</t>
        </is>
      </c>
      <c r="D2027" s="172" t="inlineStr">
        <is>
          <t>赊销白条</t>
        </is>
      </c>
      <c r="E2027" s="172" t="inlineStr">
        <is>
          <t>东裕4号仲裕（续发）</t>
        </is>
      </c>
      <c r="F2027" s="172" t="inlineStr">
        <is>
          <t>银行间</t>
        </is>
      </c>
      <c r="G2027" s="172" t="inlineStr">
        <is>
          <t>国泰海通</t>
        </is>
      </c>
      <c r="H2027" s="172" t="inlineStr">
        <is>
          <t>杭州银行/江苏银行/中信证券/招商证券</t>
        </is>
      </c>
      <c r="I2027" s="172" t="inlineStr">
        <is>
          <t>兴业北分</t>
        </is>
      </c>
      <c r="J2027" s="172" t="n">
        <v>9.449999999999999</v>
      </c>
      <c r="K2027" s="172" t="inlineStr">
        <is>
          <t>9+3</t>
        </is>
      </c>
      <c r="L2027" s="208" t="n">
        <v>46209</v>
      </c>
      <c r="M2027" s="175" t="n">
        <v>0.0146</v>
      </c>
      <c r="N2027" s="176" t="n">
        <v>0.0195</v>
      </c>
      <c r="O2027" s="172" t="n">
        <v>2.43</v>
      </c>
      <c r="P2027" s="172" t="inlineStr">
        <is>
          <t>优先级</t>
        </is>
      </c>
      <c r="Q2027" s="175" t="n">
        <v>0.9</v>
      </c>
      <c r="R2027" s="192" t="n">
        <v>9</v>
      </c>
      <c r="S2027" s="172" t="inlineStr">
        <is>
          <t>AAA</t>
        </is>
      </c>
      <c r="T2027" s="175" t="n">
        <v>0.0159</v>
      </c>
      <c r="U2027" s="172" t="n"/>
      <c r="V2027" s="172" t="n"/>
      <c r="W2027" s="175" t="n">
        <v>0.016</v>
      </c>
      <c r="X2027" s="172" t="inlineStr">
        <is>
          <t>兴银理财</t>
        </is>
      </c>
      <c r="Y2027" s="191" t="n">
        <v>2.7</v>
      </c>
    </row>
    <row r="2028">
      <c r="A2028" s="172" t="n">
        <v>115</v>
      </c>
      <c r="B2028" s="172" t="inlineStr">
        <is>
          <t>7月</t>
        </is>
      </c>
      <c r="C2028" s="172" t="inlineStr">
        <is>
          <t>消金</t>
        </is>
      </c>
      <c r="D2028" s="172" t="inlineStr">
        <is>
          <t>赊销白条</t>
        </is>
      </c>
      <c r="E2028" s="172" t="inlineStr">
        <is>
          <t>东裕4号仲裕（续发）</t>
        </is>
      </c>
      <c r="F2028" s="172" t="inlineStr">
        <is>
          <t>银行间</t>
        </is>
      </c>
      <c r="G2028" s="172" t="inlineStr">
        <is>
          <t>国泰海通</t>
        </is>
      </c>
      <c r="H2028" s="172" t="inlineStr">
        <is>
          <t>杭州银行/江苏银行/中信证券/招商证券</t>
        </is>
      </c>
      <c r="I2028" s="172" t="inlineStr">
        <is>
          <t>兴业北分</t>
        </is>
      </c>
      <c r="J2028" s="172" t="n">
        <v>9.449999999999999</v>
      </c>
      <c r="K2028" s="172" t="inlineStr">
        <is>
          <t>9+3</t>
        </is>
      </c>
      <c r="L2028" s="208" t="n">
        <v>46209</v>
      </c>
      <c r="M2028" s="175" t="n">
        <v>0.0146</v>
      </c>
      <c r="N2028" s="176" t="n">
        <v>0.0195</v>
      </c>
      <c r="O2028" s="172" t="n">
        <v>2.43</v>
      </c>
      <c r="P2028" s="172" t="inlineStr">
        <is>
          <t>优先级</t>
        </is>
      </c>
      <c r="Q2028" s="175" t="n">
        <v>0.9</v>
      </c>
      <c r="R2028" s="192" t="n">
        <v>9</v>
      </c>
      <c r="S2028" s="172" t="inlineStr">
        <is>
          <t>AAA</t>
        </is>
      </c>
      <c r="T2028" s="175" t="n">
        <v>0.0159</v>
      </c>
      <c r="U2028" s="172" t="n"/>
      <c r="V2028" s="172" t="n"/>
      <c r="W2028" s="175" t="n">
        <v>0.0165</v>
      </c>
      <c r="X2028" s="172" t="inlineStr">
        <is>
          <t>国泰海通</t>
        </is>
      </c>
      <c r="Y2028" s="191" t="n">
        <v>1.3</v>
      </c>
    </row>
    <row r="2029">
      <c r="A2029" s="172" t="n">
        <v>115</v>
      </c>
      <c r="B2029" s="172" t="inlineStr">
        <is>
          <t>7月</t>
        </is>
      </c>
      <c r="C2029" s="172" t="inlineStr">
        <is>
          <t>消金</t>
        </is>
      </c>
      <c r="D2029" s="172" t="inlineStr">
        <is>
          <t>赊销白条</t>
        </is>
      </c>
      <c r="E2029" s="172" t="inlineStr">
        <is>
          <t>东裕4号仲裕（续发）</t>
        </is>
      </c>
      <c r="F2029" s="172" t="inlineStr">
        <is>
          <t>银行间</t>
        </is>
      </c>
      <c r="G2029" s="172" t="inlineStr">
        <is>
          <t>国泰海通</t>
        </is>
      </c>
      <c r="H2029" s="172" t="inlineStr">
        <is>
          <t>杭州银行/江苏银行/中信证券/招商证券</t>
        </is>
      </c>
      <c r="I2029" s="172" t="inlineStr">
        <is>
          <t>兴业北分</t>
        </is>
      </c>
      <c r="J2029" s="172" t="n">
        <v>9.449999999999999</v>
      </c>
      <c r="K2029" s="172" t="inlineStr">
        <is>
          <t>9+3</t>
        </is>
      </c>
      <c r="L2029" s="208" t="n">
        <v>46209</v>
      </c>
      <c r="M2029" s="175" t="n">
        <v>0.0146</v>
      </c>
      <c r="N2029" s="176" t="n">
        <v>0.0195</v>
      </c>
      <c r="O2029" s="172" t="n">
        <v>2.43</v>
      </c>
      <c r="P2029" s="172" t="inlineStr">
        <is>
          <t>优先级</t>
        </is>
      </c>
      <c r="Q2029" s="175" t="n">
        <v>0.9</v>
      </c>
      <c r="R2029" s="192" t="n">
        <v>9</v>
      </c>
      <c r="S2029" s="172" t="inlineStr">
        <is>
          <t>AAA</t>
        </is>
      </c>
      <c r="T2029" s="175" t="n">
        <v>0.0159</v>
      </c>
      <c r="U2029" s="172" t="n"/>
      <c r="V2029" s="172" t="n"/>
      <c r="W2029" s="175" t="n">
        <v>0.0165</v>
      </c>
      <c r="X2029" s="172" t="inlineStr">
        <is>
          <t>招商证券</t>
        </is>
      </c>
      <c r="Y2029" s="191" t="n">
        <v>1</v>
      </c>
    </row>
    <row r="2030">
      <c r="A2030" s="172" t="n">
        <v>115</v>
      </c>
      <c r="B2030" s="172" t="inlineStr">
        <is>
          <t>7月</t>
        </is>
      </c>
      <c r="C2030" s="172" t="inlineStr">
        <is>
          <t>消金</t>
        </is>
      </c>
      <c r="D2030" s="172" t="inlineStr">
        <is>
          <t>赊销白条</t>
        </is>
      </c>
      <c r="E2030" s="172" t="inlineStr">
        <is>
          <t>东裕4号仲裕（续发）</t>
        </is>
      </c>
      <c r="F2030" s="172" t="inlineStr">
        <is>
          <t>银行间</t>
        </is>
      </c>
      <c r="G2030" s="172" t="inlineStr">
        <is>
          <t>国泰海通</t>
        </is>
      </c>
      <c r="H2030" s="172" t="inlineStr">
        <is>
          <t>杭州银行/江苏银行/中信证券/招商证券</t>
        </is>
      </c>
      <c r="I2030" s="172" t="inlineStr">
        <is>
          <t>兴业北分</t>
        </is>
      </c>
      <c r="J2030" s="172" t="n">
        <v>9.449999999999999</v>
      </c>
      <c r="K2030" s="172" t="inlineStr">
        <is>
          <t>9+3</t>
        </is>
      </c>
      <c r="L2030" s="208" t="n">
        <v>46209</v>
      </c>
      <c r="M2030" s="175" t="n">
        <v>0.0146</v>
      </c>
      <c r="N2030" s="176" t="n">
        <v>0.0195</v>
      </c>
      <c r="O2030" s="172" t="n">
        <v>2.43</v>
      </c>
      <c r="P2030" s="172" t="inlineStr">
        <is>
          <t>优先级</t>
        </is>
      </c>
      <c r="Q2030" s="175" t="n">
        <v>0.9</v>
      </c>
      <c r="R2030" s="192" t="n">
        <v>9</v>
      </c>
      <c r="S2030" s="172" t="inlineStr">
        <is>
          <t>AAA</t>
        </is>
      </c>
      <c r="T2030" s="175" t="n">
        <v>0.0159</v>
      </c>
      <c r="U2030" s="172" t="n"/>
      <c r="V2030" s="172" t="n"/>
      <c r="W2030" s="175" t="n">
        <v>0.0165</v>
      </c>
      <c r="X2030" s="172" t="inlineStr">
        <is>
          <t>中信证券</t>
        </is>
      </c>
      <c r="Y2030" s="191" t="n">
        <v>1.3</v>
      </c>
    </row>
    <row r="2031">
      <c r="A2031" s="172" t="n">
        <v>115</v>
      </c>
      <c r="B2031" s="173" t="inlineStr">
        <is>
          <t>7月</t>
        </is>
      </c>
      <c r="C2031" s="173" t="inlineStr">
        <is>
          <t>消金</t>
        </is>
      </c>
      <c r="D2031" s="173" t="inlineStr">
        <is>
          <t>赊销白条</t>
        </is>
      </c>
      <c r="E2031" s="173" t="inlineStr">
        <is>
          <t>东裕4号仲裕（续发）</t>
        </is>
      </c>
      <c r="F2031" s="173" t="inlineStr">
        <is>
          <t>银行间</t>
        </is>
      </c>
      <c r="G2031" s="173" t="inlineStr">
        <is>
          <t>国泰海通</t>
        </is>
      </c>
      <c r="H2031" s="173" t="inlineStr">
        <is>
          <t>杭州银行/江苏银行/中信证券/招商证券</t>
        </is>
      </c>
      <c r="I2031" s="173" t="inlineStr">
        <is>
          <t>兴业北分</t>
        </is>
      </c>
      <c r="J2031" s="172" t="n">
        <v>9.449999999999999</v>
      </c>
      <c r="K2031" s="173" t="inlineStr">
        <is>
          <t>9+3</t>
        </is>
      </c>
      <c r="L2031" s="202" t="n">
        <v>46209</v>
      </c>
      <c r="M2031" s="175" t="n">
        <v>0.0146</v>
      </c>
      <c r="N2031" s="176" t="n">
        <v>0.0195</v>
      </c>
      <c r="O2031" s="191" t="n">
        <v>2.43</v>
      </c>
      <c r="P2031" s="177" t="inlineStr">
        <is>
          <t>中间级</t>
        </is>
      </c>
      <c r="Q2031" s="178" t="n">
        <v>0.045</v>
      </c>
      <c r="R2031" s="179" t="n">
        <v>0.45</v>
      </c>
      <c r="S2031" s="177" t="inlineStr">
        <is>
          <t>A+</t>
        </is>
      </c>
      <c r="T2031" s="178" t="n">
        <v>0.031</v>
      </c>
      <c r="U2031" s="177" t="inlineStr">
        <is>
          <t>平安理财</t>
        </is>
      </c>
      <c r="V2031" s="195" t="n">
        <v>0.135</v>
      </c>
      <c r="W2031" s="172" t="n"/>
      <c r="X2031" s="172" t="n"/>
      <c r="Y2031" s="172" t="n"/>
    </row>
    <row r="2032">
      <c r="A2032" s="172" t="n">
        <v>115</v>
      </c>
      <c r="B2032" s="173" t="inlineStr">
        <is>
          <t>7月</t>
        </is>
      </c>
      <c r="C2032" s="173" t="inlineStr">
        <is>
          <t>消金</t>
        </is>
      </c>
      <c r="D2032" s="173" t="inlineStr">
        <is>
          <t>赊销白条</t>
        </is>
      </c>
      <c r="E2032" s="173" t="inlineStr">
        <is>
          <t>东裕4号仲裕（续发）</t>
        </is>
      </c>
      <c r="F2032" s="173" t="inlineStr">
        <is>
          <t>银行间</t>
        </is>
      </c>
      <c r="G2032" s="173" t="inlineStr">
        <is>
          <t>国泰海通</t>
        </is>
      </c>
      <c r="H2032" s="173" t="inlineStr">
        <is>
          <t>杭州银行/江苏银行/中信证券/招商证券</t>
        </is>
      </c>
      <c r="I2032" s="173" t="inlineStr">
        <is>
          <t>兴业北分</t>
        </is>
      </c>
      <c r="J2032" s="172" t="n">
        <v>9.449999999999999</v>
      </c>
      <c r="K2032" s="173" t="inlineStr">
        <is>
          <t>9+3</t>
        </is>
      </c>
      <c r="L2032" s="202" t="n">
        <v>46209</v>
      </c>
      <c r="M2032" s="175" t="n">
        <v>0.0146</v>
      </c>
      <c r="N2032" s="176" t="n">
        <v>0.0195</v>
      </c>
      <c r="O2032" s="191" t="n">
        <v>2.43</v>
      </c>
      <c r="P2032" s="172" t="inlineStr">
        <is>
          <t>中间级</t>
        </is>
      </c>
      <c r="Q2032" s="178" t="n">
        <v>0.045</v>
      </c>
      <c r="R2032" s="179" t="n">
        <v>0.45</v>
      </c>
      <c r="S2032" s="177" t="inlineStr">
        <is>
          <t>A+</t>
        </is>
      </c>
      <c r="T2032" s="178" t="n">
        <v>0.031</v>
      </c>
      <c r="U2032" s="177" t="inlineStr">
        <is>
          <t>招银理财</t>
        </is>
      </c>
      <c r="V2032" s="195" t="n">
        <v>0.135</v>
      </c>
      <c r="W2032" s="172" t="n"/>
      <c r="X2032" s="172" t="n"/>
      <c r="Y2032" s="172" t="n"/>
    </row>
    <row r="2033">
      <c r="A2033" s="172" t="n">
        <v>115</v>
      </c>
      <c r="B2033" s="173" t="inlineStr">
        <is>
          <t>7月</t>
        </is>
      </c>
      <c r="C2033" s="173" t="inlineStr">
        <is>
          <t>消金</t>
        </is>
      </c>
      <c r="D2033" s="173" t="inlineStr">
        <is>
          <t>赊销白条</t>
        </is>
      </c>
      <c r="E2033" s="173" t="inlineStr">
        <is>
          <t>东裕4号仲裕（续发）</t>
        </is>
      </c>
      <c r="F2033" s="173" t="inlineStr">
        <is>
          <t>银行间</t>
        </is>
      </c>
      <c r="G2033" s="173" t="inlineStr">
        <is>
          <t>国泰海通</t>
        </is>
      </c>
      <c r="H2033" s="173" t="inlineStr">
        <is>
          <t>杭州银行/江苏银行/中信证券/招商证券</t>
        </is>
      </c>
      <c r="I2033" s="173" t="inlineStr">
        <is>
          <t>兴业北分</t>
        </is>
      </c>
      <c r="J2033" s="172" t="n">
        <v>9.449999999999999</v>
      </c>
      <c r="K2033" s="173" t="inlineStr">
        <is>
          <t>9+3</t>
        </is>
      </c>
      <c r="L2033" s="202" t="n">
        <v>46209</v>
      </c>
      <c r="M2033" s="175" t="n">
        <v>0.0146</v>
      </c>
      <c r="N2033" s="176" t="n">
        <v>0.0195</v>
      </c>
      <c r="O2033" s="191" t="n">
        <v>2.43</v>
      </c>
      <c r="P2033" s="172" t="inlineStr">
        <is>
          <t>中间级</t>
        </is>
      </c>
      <c r="Q2033" s="178" t="n">
        <v>0.045</v>
      </c>
      <c r="R2033" s="179" t="n">
        <v>0.45</v>
      </c>
      <c r="S2033" s="177" t="inlineStr">
        <is>
          <t>A+</t>
        </is>
      </c>
      <c r="T2033" s="178" t="n">
        <v>0.031</v>
      </c>
      <c r="U2033" s="177" t="inlineStr">
        <is>
          <t>杭州联合银行</t>
        </is>
      </c>
      <c r="V2033" s="192" t="n">
        <v>0.1</v>
      </c>
      <c r="W2033" s="172" t="n"/>
      <c r="X2033" s="172" t="n"/>
      <c r="Y2033" s="172" t="n"/>
    </row>
    <row r="2034">
      <c r="A2034" s="172" t="n">
        <v>115</v>
      </c>
      <c r="B2034" s="173" t="inlineStr">
        <is>
          <t>7月</t>
        </is>
      </c>
      <c r="C2034" s="173" t="inlineStr">
        <is>
          <t>消金</t>
        </is>
      </c>
      <c r="D2034" s="173" t="inlineStr">
        <is>
          <t>赊销白条</t>
        </is>
      </c>
      <c r="E2034" s="173" t="inlineStr">
        <is>
          <t>东裕4号仲裕（续发）</t>
        </is>
      </c>
      <c r="F2034" s="173" t="inlineStr">
        <is>
          <t>银行间</t>
        </is>
      </c>
      <c r="G2034" s="173" t="inlineStr">
        <is>
          <t>国泰海通</t>
        </is>
      </c>
      <c r="H2034" s="173" t="inlineStr">
        <is>
          <t>杭州银行/江苏银行/中信证券/招商证券</t>
        </is>
      </c>
      <c r="I2034" s="173" t="inlineStr">
        <is>
          <t>兴业北分</t>
        </is>
      </c>
      <c r="J2034" s="172" t="n">
        <v>9.449999999999999</v>
      </c>
      <c r="K2034" s="173" t="inlineStr">
        <is>
          <t>9+3</t>
        </is>
      </c>
      <c r="L2034" s="202" t="n">
        <v>46209</v>
      </c>
      <c r="M2034" s="175" t="n">
        <v>0.0146</v>
      </c>
      <c r="N2034" s="176" t="n">
        <v>0.0195</v>
      </c>
      <c r="O2034" s="191" t="n">
        <v>2.43</v>
      </c>
      <c r="P2034" s="172" t="inlineStr">
        <is>
          <t>中间级</t>
        </is>
      </c>
      <c r="Q2034" s="178" t="n">
        <v>0.045</v>
      </c>
      <c r="R2034" s="179" t="n">
        <v>0.45</v>
      </c>
      <c r="S2034" s="177" t="inlineStr">
        <is>
          <t>A+</t>
        </is>
      </c>
      <c r="T2034" s="178" t="n">
        <v>0.031</v>
      </c>
      <c r="U2034" s="177" t="inlineStr">
        <is>
          <t>中信建投投顾</t>
        </is>
      </c>
      <c r="V2034" s="192" t="n">
        <v>0.08</v>
      </c>
      <c r="W2034" s="172" t="n"/>
      <c r="X2034" s="172" t="n"/>
      <c r="Y2034" s="172" t="n"/>
    </row>
    <row r="2035">
      <c r="A2035" s="172" t="n">
        <v>116</v>
      </c>
      <c r="B2035" s="172" t="inlineStr">
        <is>
          <t>7月</t>
        </is>
      </c>
      <c r="C2035" s="172" t="inlineStr">
        <is>
          <t>企金</t>
        </is>
      </c>
      <c r="D2035" s="172" t="inlineStr">
        <is>
          <t>金采</t>
        </is>
      </c>
      <c r="E2035" s="172" t="inlineStr">
        <is>
          <t>金采8-7</t>
        </is>
      </c>
      <c r="F2035" s="172" t="inlineStr">
        <is>
          <t>上交所</t>
        </is>
      </c>
      <c r="G2035" s="172" t="inlineStr">
        <is>
          <t>华泰资管</t>
        </is>
      </c>
      <c r="H2035" s="172" t="inlineStr">
        <is>
          <t>中信证券</t>
        </is>
      </c>
      <c r="I2035" s="172" t="inlineStr">
        <is>
          <t>招行北分</t>
        </is>
      </c>
      <c r="J2035" s="172" t="n">
        <v>10</v>
      </c>
      <c r="K2035" s="172" t="inlineStr">
        <is>
          <t>7+12</t>
        </is>
      </c>
      <c r="L2035" s="202" t="n">
        <v>46219</v>
      </c>
      <c r="M2035" s="175" t="n">
        <v>0.0147</v>
      </c>
      <c r="N2035" s="176" t="n">
        <v>0.0187</v>
      </c>
      <c r="O2035" s="191" t="n">
        <v>1.8</v>
      </c>
      <c r="P2035" s="172" t="inlineStr">
        <is>
          <t>优先级</t>
        </is>
      </c>
      <c r="Q2035" s="175" t="n">
        <v>0.9</v>
      </c>
      <c r="R2035" s="192" t="n">
        <v>9</v>
      </c>
      <c r="S2035" s="172" t="inlineStr">
        <is>
          <t>AAA</t>
        </is>
      </c>
      <c r="T2035" s="175" t="n">
        <v>0.016</v>
      </c>
      <c r="U2035" s="172" t="inlineStr">
        <is>
          <t>厦门汇正</t>
        </is>
      </c>
      <c r="V2035" s="191" t="n">
        <v>0.45</v>
      </c>
      <c r="W2035" s="172" t="n"/>
      <c r="X2035" s="172" t="n"/>
      <c r="Y2035" s="172" t="n"/>
    </row>
    <row r="2036">
      <c r="A2036" s="172" t="n">
        <v>116</v>
      </c>
      <c r="B2036" s="172" t="inlineStr">
        <is>
          <t>7月</t>
        </is>
      </c>
      <c r="C2036" s="172" t="inlineStr">
        <is>
          <t>企金</t>
        </is>
      </c>
      <c r="D2036" s="172" t="inlineStr">
        <is>
          <t>金采</t>
        </is>
      </c>
      <c r="E2036" s="172" t="inlineStr">
        <is>
          <t>金采8-7</t>
        </is>
      </c>
      <c r="F2036" s="172" t="inlineStr">
        <is>
          <t>上交所</t>
        </is>
      </c>
      <c r="G2036" s="172" t="inlineStr">
        <is>
          <t>华泰资管</t>
        </is>
      </c>
      <c r="H2036" s="172" t="inlineStr">
        <is>
          <t>中信证券</t>
        </is>
      </c>
      <c r="I2036" s="172" t="inlineStr">
        <is>
          <t>招行北分</t>
        </is>
      </c>
      <c r="J2036" s="172" t="n">
        <v>10</v>
      </c>
      <c r="K2036" s="172" t="inlineStr">
        <is>
          <t>7+12</t>
        </is>
      </c>
      <c r="L2036" s="202" t="n">
        <v>46219</v>
      </c>
      <c r="M2036" s="175" t="n">
        <v>0.0147</v>
      </c>
      <c r="N2036" s="176" t="n">
        <v>0.0187</v>
      </c>
      <c r="O2036" s="191" t="n">
        <v>1.8</v>
      </c>
      <c r="P2036" s="172" t="inlineStr">
        <is>
          <t>优先级</t>
        </is>
      </c>
      <c r="Q2036" s="175" t="n">
        <v>0.9</v>
      </c>
      <c r="R2036" s="192" t="n">
        <v>9</v>
      </c>
      <c r="S2036" s="172" t="inlineStr">
        <is>
          <t>AAA</t>
        </is>
      </c>
      <c r="T2036" s="175" t="n">
        <v>0.016</v>
      </c>
      <c r="U2036" s="172" t="inlineStr">
        <is>
          <t>民生理财</t>
        </is>
      </c>
      <c r="V2036" s="191" t="n">
        <v>2.7</v>
      </c>
      <c r="W2036" s="172" t="n"/>
      <c r="X2036" s="172" t="n"/>
      <c r="Y2036" s="172" t="n"/>
    </row>
    <row r="2037">
      <c r="A2037" s="172" t="n">
        <v>116</v>
      </c>
      <c r="B2037" s="172" t="inlineStr">
        <is>
          <t>7月</t>
        </is>
      </c>
      <c r="C2037" s="172" t="inlineStr">
        <is>
          <t>企金</t>
        </is>
      </c>
      <c r="D2037" s="172" t="inlineStr">
        <is>
          <t>金采</t>
        </is>
      </c>
      <c r="E2037" s="172" t="inlineStr">
        <is>
          <t>金采8-7</t>
        </is>
      </c>
      <c r="F2037" s="172" t="inlineStr">
        <is>
          <t>上交所</t>
        </is>
      </c>
      <c r="G2037" s="172" t="inlineStr">
        <is>
          <t>华泰资管</t>
        </is>
      </c>
      <c r="H2037" s="172" t="inlineStr">
        <is>
          <t>中信证券</t>
        </is>
      </c>
      <c r="I2037" s="172" t="inlineStr">
        <is>
          <t>招行北分</t>
        </is>
      </c>
      <c r="J2037" s="172" t="n">
        <v>10</v>
      </c>
      <c r="K2037" s="172" t="inlineStr">
        <is>
          <t>7+12</t>
        </is>
      </c>
      <c r="L2037" s="202" t="n">
        <v>46219</v>
      </c>
      <c r="M2037" s="175" t="n">
        <v>0.0147</v>
      </c>
      <c r="N2037" s="176" t="n">
        <v>0.0187</v>
      </c>
      <c r="O2037" s="191" t="n">
        <v>1.8</v>
      </c>
      <c r="P2037" s="172" t="inlineStr">
        <is>
          <t>优先级</t>
        </is>
      </c>
      <c r="Q2037" s="175" t="n">
        <v>0.9</v>
      </c>
      <c r="R2037" s="192" t="n">
        <v>9</v>
      </c>
      <c r="S2037" s="172" t="inlineStr">
        <is>
          <t>AAA</t>
        </is>
      </c>
      <c r="T2037" s="175" t="n">
        <v>0.016</v>
      </c>
      <c r="U2037" s="172" t="inlineStr">
        <is>
          <t>建信理财</t>
        </is>
      </c>
      <c r="V2037" s="191" t="n">
        <v>0.98</v>
      </c>
      <c r="W2037" s="172" t="n"/>
      <c r="X2037" s="172" t="n"/>
      <c r="Y2037" s="172" t="n"/>
    </row>
    <row r="2038">
      <c r="A2038" s="172" t="n">
        <v>116</v>
      </c>
      <c r="B2038" s="172" t="inlineStr">
        <is>
          <t>7月</t>
        </is>
      </c>
      <c r="C2038" s="172" t="inlineStr">
        <is>
          <t>企金</t>
        </is>
      </c>
      <c r="D2038" s="172" t="inlineStr">
        <is>
          <t>金采</t>
        </is>
      </c>
      <c r="E2038" s="172" t="inlineStr">
        <is>
          <t>金采8-7</t>
        </is>
      </c>
      <c r="F2038" s="172" t="inlineStr">
        <is>
          <t>上交所</t>
        </is>
      </c>
      <c r="G2038" s="172" t="inlineStr">
        <is>
          <t>华泰资管</t>
        </is>
      </c>
      <c r="H2038" s="172" t="inlineStr">
        <is>
          <t>中信证券</t>
        </is>
      </c>
      <c r="I2038" s="172" t="inlineStr">
        <is>
          <t>招行北分</t>
        </is>
      </c>
      <c r="J2038" s="172" t="n">
        <v>10</v>
      </c>
      <c r="K2038" s="172" t="inlineStr">
        <is>
          <t>7+12</t>
        </is>
      </c>
      <c r="L2038" s="202" t="n">
        <v>46219</v>
      </c>
      <c r="M2038" s="175" t="n">
        <v>0.0147</v>
      </c>
      <c r="N2038" s="176" t="n">
        <v>0.0187</v>
      </c>
      <c r="O2038" s="191" t="n">
        <v>1.8</v>
      </c>
      <c r="P2038" s="172" t="inlineStr">
        <is>
          <t>优先级</t>
        </is>
      </c>
      <c r="Q2038" s="175" t="n">
        <v>0.9</v>
      </c>
      <c r="R2038" s="192" t="n">
        <v>9</v>
      </c>
      <c r="S2038" s="172" t="inlineStr">
        <is>
          <t>AAA</t>
        </is>
      </c>
      <c r="T2038" s="175" t="n">
        <v>0.016</v>
      </c>
      <c r="U2038" s="172" t="inlineStr">
        <is>
          <t>中邮理财</t>
        </is>
      </c>
      <c r="V2038" s="191" t="n">
        <v>2.67</v>
      </c>
      <c r="W2038" s="172" t="n"/>
      <c r="X2038" s="172" t="n"/>
      <c r="Y2038" s="172" t="n"/>
    </row>
    <row r="2039">
      <c r="A2039" s="172" t="n">
        <v>116</v>
      </c>
      <c r="B2039" s="172" t="inlineStr">
        <is>
          <t>7月</t>
        </is>
      </c>
      <c r="C2039" s="172" t="inlineStr">
        <is>
          <t>企金</t>
        </is>
      </c>
      <c r="D2039" s="172" t="inlineStr">
        <is>
          <t>金采</t>
        </is>
      </c>
      <c r="E2039" s="172" t="inlineStr">
        <is>
          <t>金采8-7</t>
        </is>
      </c>
      <c r="F2039" s="172" t="inlineStr">
        <is>
          <t>上交所</t>
        </is>
      </c>
      <c r="G2039" s="172" t="inlineStr">
        <is>
          <t>华泰资管</t>
        </is>
      </c>
      <c r="H2039" s="172" t="inlineStr">
        <is>
          <t>中信证券</t>
        </is>
      </c>
      <c r="I2039" s="172" t="inlineStr">
        <is>
          <t>招行北分</t>
        </is>
      </c>
      <c r="J2039" s="172" t="n">
        <v>10</v>
      </c>
      <c r="K2039" s="172" t="inlineStr">
        <is>
          <t>7+12</t>
        </is>
      </c>
      <c r="L2039" s="202" t="n">
        <v>46219</v>
      </c>
      <c r="M2039" s="175" t="n">
        <v>0.0147</v>
      </c>
      <c r="N2039" s="176" t="n">
        <v>0.0187</v>
      </c>
      <c r="O2039" s="191" t="n">
        <v>1.8</v>
      </c>
      <c r="P2039" s="172" t="inlineStr">
        <is>
          <t>优先级</t>
        </is>
      </c>
      <c r="Q2039" s="175" t="n">
        <v>0.9</v>
      </c>
      <c r="R2039" s="192" t="n">
        <v>9</v>
      </c>
      <c r="S2039" s="172" t="inlineStr">
        <is>
          <t>AAA</t>
        </is>
      </c>
      <c r="T2039" s="175" t="n">
        <v>0.016</v>
      </c>
      <c r="U2039" s="172" t="inlineStr">
        <is>
          <t>华夏理财</t>
        </is>
      </c>
      <c r="V2039" s="191" t="n">
        <v>2.1</v>
      </c>
      <c r="W2039" s="172" t="n"/>
      <c r="X2039" s="172" t="n"/>
      <c r="Y2039" s="172" t="n"/>
    </row>
    <row r="2040">
      <c r="A2040" s="172" t="n">
        <v>116</v>
      </c>
      <c r="B2040" s="172" t="inlineStr">
        <is>
          <t>7月</t>
        </is>
      </c>
      <c r="C2040" s="172" t="inlineStr">
        <is>
          <t>企金</t>
        </is>
      </c>
      <c r="D2040" s="172" t="inlineStr">
        <is>
          <t>金采</t>
        </is>
      </c>
      <c r="E2040" s="172" t="inlineStr">
        <is>
          <t>金采8-7</t>
        </is>
      </c>
      <c r="F2040" s="172" t="inlineStr">
        <is>
          <t>上交所</t>
        </is>
      </c>
      <c r="G2040" s="172" t="inlineStr">
        <is>
          <t>华泰资管</t>
        </is>
      </c>
      <c r="H2040" s="172" t="inlineStr">
        <is>
          <t>中信证券</t>
        </is>
      </c>
      <c r="I2040" s="172" t="inlineStr">
        <is>
          <t>招行北分</t>
        </is>
      </c>
      <c r="J2040" s="172" t="n">
        <v>10</v>
      </c>
      <c r="K2040" s="172" t="inlineStr">
        <is>
          <t>7+12</t>
        </is>
      </c>
      <c r="L2040" s="202" t="n">
        <v>46219</v>
      </c>
      <c r="M2040" s="175" t="n">
        <v>0.0147</v>
      </c>
      <c r="N2040" s="176" t="n">
        <v>0.0187</v>
      </c>
      <c r="O2040" s="191" t="n">
        <v>1.8</v>
      </c>
      <c r="P2040" s="172" t="inlineStr">
        <is>
          <t>优先级</t>
        </is>
      </c>
      <c r="Q2040" s="175" t="n">
        <v>0.9</v>
      </c>
      <c r="R2040" s="192" t="n">
        <v>9</v>
      </c>
      <c r="S2040" s="172" t="inlineStr">
        <is>
          <t>AAA</t>
        </is>
      </c>
      <c r="T2040" s="175" t="n">
        <v>0.016</v>
      </c>
      <c r="U2040" s="172" t="inlineStr">
        <is>
          <t>华泰保兴基金</t>
        </is>
      </c>
      <c r="V2040" s="191" t="n">
        <v>0.1</v>
      </c>
      <c r="W2040" s="172" t="n"/>
      <c r="X2040" s="172" t="n"/>
      <c r="Y2040" s="172" t="n"/>
    </row>
    <row r="2041">
      <c r="A2041" s="172" t="n">
        <v>116</v>
      </c>
      <c r="B2041" s="172" t="inlineStr">
        <is>
          <t>7月</t>
        </is>
      </c>
      <c r="C2041" s="172" t="inlineStr">
        <is>
          <t>企金</t>
        </is>
      </c>
      <c r="D2041" s="172" t="inlineStr">
        <is>
          <t>金采</t>
        </is>
      </c>
      <c r="E2041" s="172" t="inlineStr">
        <is>
          <t>金采8-7</t>
        </is>
      </c>
      <c r="F2041" s="172" t="inlineStr">
        <is>
          <t>上交所</t>
        </is>
      </c>
      <c r="G2041" s="172" t="inlineStr">
        <is>
          <t>华泰资管</t>
        </is>
      </c>
      <c r="H2041" s="172" t="inlineStr">
        <is>
          <t>中信证券</t>
        </is>
      </c>
      <c r="I2041" s="172" t="inlineStr">
        <is>
          <t>招行北分</t>
        </is>
      </c>
      <c r="J2041" s="172" t="n">
        <v>10</v>
      </c>
      <c r="K2041" s="172" t="inlineStr">
        <is>
          <t>7+12</t>
        </is>
      </c>
      <c r="L2041" s="202" t="n">
        <v>46219</v>
      </c>
      <c r="M2041" s="175" t="n">
        <v>0.0147</v>
      </c>
      <c r="N2041" s="176" t="n">
        <v>0.0187</v>
      </c>
      <c r="O2041" s="191" t="n">
        <v>1.8</v>
      </c>
      <c r="P2041" s="172" t="inlineStr">
        <is>
          <t>中间级</t>
        </is>
      </c>
      <c r="Q2041" s="175" t="n">
        <v>0.05</v>
      </c>
      <c r="R2041" s="192" t="n">
        <v>0.5</v>
      </c>
      <c r="S2041" s="175" t="inlineStr">
        <is>
          <t>AA</t>
        </is>
      </c>
      <c r="T2041" s="175" t="n">
        <v>0.031</v>
      </c>
      <c r="U2041" s="172" t="inlineStr">
        <is>
          <t>厦门汇正</t>
        </is>
      </c>
      <c r="V2041" s="193" t="n">
        <v>0.025</v>
      </c>
      <c r="W2041" s="172" t="n"/>
      <c r="X2041" s="172" t="n"/>
      <c r="Y2041" s="172" t="n"/>
    </row>
    <row r="2042">
      <c r="A2042" s="172" t="n">
        <v>116</v>
      </c>
      <c r="B2042" s="172" t="inlineStr">
        <is>
          <t>7月</t>
        </is>
      </c>
      <c r="C2042" s="172" t="inlineStr">
        <is>
          <t>企金</t>
        </is>
      </c>
      <c r="D2042" s="172" t="inlineStr">
        <is>
          <t>金采</t>
        </is>
      </c>
      <c r="E2042" s="172" t="inlineStr">
        <is>
          <t>金采8-7</t>
        </is>
      </c>
      <c r="F2042" s="172" t="inlineStr">
        <is>
          <t>上交所</t>
        </is>
      </c>
      <c r="G2042" s="172" t="inlineStr">
        <is>
          <t>华泰资管</t>
        </is>
      </c>
      <c r="H2042" s="172" t="inlineStr">
        <is>
          <t>中信证券</t>
        </is>
      </c>
      <c r="I2042" s="172" t="inlineStr">
        <is>
          <t>招行北分</t>
        </is>
      </c>
      <c r="J2042" s="172" t="n">
        <v>10</v>
      </c>
      <c r="K2042" s="172" t="inlineStr">
        <is>
          <t>7+12</t>
        </is>
      </c>
      <c r="L2042" s="202" t="n">
        <v>46219</v>
      </c>
      <c r="M2042" s="175" t="n">
        <v>0.0147</v>
      </c>
      <c r="N2042" s="176" t="n">
        <v>0.0187</v>
      </c>
      <c r="O2042" s="191" t="n">
        <v>1.8</v>
      </c>
      <c r="P2042" s="172" t="inlineStr">
        <is>
          <t>中间级</t>
        </is>
      </c>
      <c r="Q2042" s="175" t="n">
        <v>0.05</v>
      </c>
      <c r="R2042" s="192" t="n">
        <v>0.5</v>
      </c>
      <c r="S2042" s="175" t="inlineStr">
        <is>
          <t>AA</t>
        </is>
      </c>
      <c r="T2042" s="175" t="n">
        <v>0.031</v>
      </c>
      <c r="U2042" s="172" t="inlineStr">
        <is>
          <t>德邦证券自营</t>
        </is>
      </c>
      <c r="V2042" s="191" t="n">
        <v>0.2</v>
      </c>
      <c r="W2042" s="172" t="n"/>
      <c r="X2042" s="172" t="n"/>
      <c r="Y2042" s="172" t="n"/>
    </row>
    <row r="2043">
      <c r="A2043" s="172" t="n">
        <v>116</v>
      </c>
      <c r="B2043" s="172" t="inlineStr">
        <is>
          <t>7月</t>
        </is>
      </c>
      <c r="C2043" s="172" t="inlineStr">
        <is>
          <t>企金</t>
        </is>
      </c>
      <c r="D2043" s="172" t="inlineStr">
        <is>
          <t>金采</t>
        </is>
      </c>
      <c r="E2043" s="172" t="inlineStr">
        <is>
          <t>金采8-7</t>
        </is>
      </c>
      <c r="F2043" s="172" t="inlineStr">
        <is>
          <t>上交所</t>
        </is>
      </c>
      <c r="G2043" s="172" t="inlineStr">
        <is>
          <t>华泰资管</t>
        </is>
      </c>
      <c r="H2043" s="172" t="inlineStr">
        <is>
          <t>中信证券</t>
        </is>
      </c>
      <c r="I2043" s="172" t="inlineStr">
        <is>
          <t>招行北分</t>
        </is>
      </c>
      <c r="J2043" s="172" t="n">
        <v>10</v>
      </c>
      <c r="K2043" s="172" t="inlineStr">
        <is>
          <t>7+12</t>
        </is>
      </c>
      <c r="L2043" s="202" t="n">
        <v>46219</v>
      </c>
      <c r="M2043" s="175" t="n">
        <v>0.0147</v>
      </c>
      <c r="N2043" s="176" t="n">
        <v>0.0187</v>
      </c>
      <c r="O2043" s="191" t="n">
        <v>1.8</v>
      </c>
      <c r="P2043" s="172" t="inlineStr">
        <is>
          <t>中间级</t>
        </is>
      </c>
      <c r="Q2043" s="175" t="n">
        <v>0.05</v>
      </c>
      <c r="R2043" s="192" t="n">
        <v>0.5</v>
      </c>
      <c r="S2043" s="175" t="inlineStr">
        <is>
          <t>AA</t>
        </is>
      </c>
      <c r="T2043" s="175" t="n">
        <v>0.031</v>
      </c>
      <c r="U2043" s="172" t="inlineStr">
        <is>
          <t>建信信托</t>
        </is>
      </c>
      <c r="V2043" s="193" t="n">
        <v>0.275</v>
      </c>
      <c r="W2043" s="172" t="n"/>
      <c r="X2043" s="172" t="n"/>
      <c r="Y2043" s="172" t="n"/>
    </row>
    <row r="2044">
      <c r="A2044" s="172" t="n">
        <v>116</v>
      </c>
      <c r="B2044" s="172" t="inlineStr">
        <is>
          <t>7月</t>
        </is>
      </c>
      <c r="C2044" s="172" t="inlineStr">
        <is>
          <t>企金</t>
        </is>
      </c>
      <c r="D2044" s="172" t="inlineStr">
        <is>
          <t>金采</t>
        </is>
      </c>
      <c r="E2044" s="172" t="inlineStr">
        <is>
          <t>金采8-7</t>
        </is>
      </c>
      <c r="F2044" s="172" t="inlineStr">
        <is>
          <t>上交所</t>
        </is>
      </c>
      <c r="G2044" s="172" t="inlineStr">
        <is>
          <t>华泰资管</t>
        </is>
      </c>
      <c r="H2044" s="172" t="inlineStr">
        <is>
          <t>中信证券</t>
        </is>
      </c>
      <c r="I2044" s="172" t="inlineStr">
        <is>
          <t>招行北分</t>
        </is>
      </c>
      <c r="J2044" s="172" t="n">
        <v>10</v>
      </c>
      <c r="K2044" s="172" t="inlineStr">
        <is>
          <t>7+12</t>
        </is>
      </c>
      <c r="L2044" s="202" t="n">
        <v>46219</v>
      </c>
      <c r="M2044" s="175" t="n">
        <v>0.0147</v>
      </c>
      <c r="N2044" s="176" t="n">
        <v>0.0187</v>
      </c>
      <c r="O2044" s="191" t="n">
        <v>1.8</v>
      </c>
      <c r="P2044" s="172" t="inlineStr">
        <is>
          <t>次级</t>
        </is>
      </c>
      <c r="Q2044" s="175" t="n">
        <v>0.05</v>
      </c>
      <c r="R2044" s="192" t="n">
        <v>0.5</v>
      </c>
      <c r="S2044" s="175" t="inlineStr">
        <is>
          <t>无</t>
        </is>
      </c>
      <c r="T2044" s="175" t="n">
        <v>0.0455</v>
      </c>
      <c r="U2044" s="172" t="inlineStr">
        <is>
          <t>中泰证券自营</t>
        </is>
      </c>
      <c r="V2044" s="191" t="n">
        <v>0.2</v>
      </c>
      <c r="W2044" s="172" t="n"/>
      <c r="X2044" s="172" t="n"/>
      <c r="Y2044" s="172" t="n"/>
    </row>
    <row r="2045">
      <c r="A2045" s="172" t="n">
        <v>116</v>
      </c>
      <c r="B2045" s="172" t="inlineStr">
        <is>
          <t>7月</t>
        </is>
      </c>
      <c r="C2045" s="172" t="inlineStr">
        <is>
          <t>企金</t>
        </is>
      </c>
      <c r="D2045" s="172" t="inlineStr">
        <is>
          <t>金采</t>
        </is>
      </c>
      <c r="E2045" s="172" t="inlineStr">
        <is>
          <t>金采8-7</t>
        </is>
      </c>
      <c r="F2045" s="172" t="inlineStr">
        <is>
          <t>上交所</t>
        </is>
      </c>
      <c r="G2045" s="172" t="inlineStr">
        <is>
          <t>华泰资管</t>
        </is>
      </c>
      <c r="H2045" s="172" t="inlineStr">
        <is>
          <t>中信证券</t>
        </is>
      </c>
      <c r="I2045" s="172" t="inlineStr">
        <is>
          <t>招行北分</t>
        </is>
      </c>
      <c r="J2045" s="172" t="n">
        <v>10</v>
      </c>
      <c r="K2045" s="172" t="inlineStr">
        <is>
          <t>7+12</t>
        </is>
      </c>
      <c r="L2045" s="202" t="n">
        <v>46219</v>
      </c>
      <c r="M2045" s="175" t="n">
        <v>0.0147</v>
      </c>
      <c r="N2045" s="176" t="n">
        <v>0.0187</v>
      </c>
      <c r="O2045" s="191" t="n">
        <v>1.8</v>
      </c>
      <c r="P2045" s="172" t="inlineStr">
        <is>
          <t>次级</t>
        </is>
      </c>
      <c r="Q2045" s="175" t="n">
        <v>0.05</v>
      </c>
      <c r="R2045" s="192" t="n">
        <v>0.5</v>
      </c>
      <c r="S2045" s="175" t="inlineStr">
        <is>
          <t>无</t>
        </is>
      </c>
      <c r="T2045" s="175" t="n">
        <v>0.0455</v>
      </c>
      <c r="U2045" s="172" t="inlineStr">
        <is>
          <t>利曦基金</t>
        </is>
      </c>
      <c r="V2045" s="193" t="n">
        <v>0.275</v>
      </c>
      <c r="W2045" s="172" t="n"/>
      <c r="X2045" s="172" t="n"/>
      <c r="Y2045" s="172" t="n"/>
    </row>
    <row r="2046">
      <c r="A2046" s="172" t="n">
        <v>116</v>
      </c>
      <c r="B2046" s="172" t="inlineStr">
        <is>
          <t>7月</t>
        </is>
      </c>
      <c r="C2046" s="172" t="inlineStr">
        <is>
          <t>企金</t>
        </is>
      </c>
      <c r="D2046" s="172" t="inlineStr">
        <is>
          <t>金采</t>
        </is>
      </c>
      <c r="E2046" s="172" t="inlineStr">
        <is>
          <t>金采8-7</t>
        </is>
      </c>
      <c r="F2046" s="172" t="inlineStr">
        <is>
          <t>上交所</t>
        </is>
      </c>
      <c r="G2046" s="172" t="inlineStr">
        <is>
          <t>华泰资管</t>
        </is>
      </c>
      <c r="H2046" s="172" t="inlineStr">
        <is>
          <t>中信证券</t>
        </is>
      </c>
      <c r="I2046" s="172" t="inlineStr">
        <is>
          <t>招行北分</t>
        </is>
      </c>
      <c r="J2046" s="172" t="n">
        <v>10</v>
      </c>
      <c r="K2046" s="172" t="inlineStr">
        <is>
          <t>7+12</t>
        </is>
      </c>
      <c r="L2046" s="202" t="n">
        <v>46219</v>
      </c>
      <c r="M2046" s="175" t="n">
        <v>0.0147</v>
      </c>
      <c r="N2046" s="176" t="n">
        <v>0.0187</v>
      </c>
      <c r="O2046" s="191" t="n">
        <v>1.8</v>
      </c>
      <c r="P2046" s="172" t="inlineStr">
        <is>
          <t>次级</t>
        </is>
      </c>
      <c r="Q2046" s="175" t="n">
        <v>0.05</v>
      </c>
      <c r="R2046" s="192" t="n">
        <v>0.5</v>
      </c>
      <c r="S2046" s="175" t="inlineStr">
        <is>
          <t>无</t>
        </is>
      </c>
      <c r="T2046" s="175" t="n">
        <v>0.0455</v>
      </c>
      <c r="U2046" s="172" t="inlineStr">
        <is>
          <t>厦门汇正</t>
        </is>
      </c>
      <c r="V2046" s="193" t="n">
        <v>0.025</v>
      </c>
      <c r="W2046" s="172" t="n"/>
      <c r="X2046" s="172" t="n"/>
      <c r="Y2046" s="172" t="n"/>
    </row>
    <row r="2047">
      <c r="A2047" s="172" t="n">
        <v>117</v>
      </c>
      <c r="B2047" s="172" t="inlineStr">
        <is>
          <t>7月</t>
        </is>
      </c>
      <c r="C2047" s="172" t="inlineStr">
        <is>
          <t>企金</t>
        </is>
      </c>
      <c r="D2047" s="172" t="inlineStr">
        <is>
          <t>金采</t>
        </is>
      </c>
      <c r="E2047" s="172" t="inlineStr">
        <is>
          <t>金采8-8</t>
        </is>
      </c>
      <c r="F2047" s="172" t="inlineStr">
        <is>
          <t>上交所</t>
        </is>
      </c>
      <c r="G2047" s="172" t="inlineStr">
        <is>
          <t>国泰海通</t>
        </is>
      </c>
      <c r="H2047" s="172" t="inlineStr">
        <is>
          <t>光大证券</t>
        </is>
      </c>
      <c r="I2047" s="172" t="inlineStr">
        <is>
          <t>工银天分</t>
        </is>
      </c>
      <c r="J2047" s="172" t="n">
        <v>10</v>
      </c>
      <c r="K2047" s="172" t="inlineStr">
        <is>
          <t>7+12</t>
        </is>
      </c>
      <c r="L2047" s="202" t="n">
        <v>46224</v>
      </c>
      <c r="M2047" s="175" t="n">
        <v>0.0148</v>
      </c>
      <c r="N2047" s="176" t="n">
        <v>0.0187</v>
      </c>
      <c r="O2047" s="191" t="n">
        <v>2.37</v>
      </c>
      <c r="P2047" s="172" t="inlineStr">
        <is>
          <t>优先级</t>
        </is>
      </c>
      <c r="Q2047" s="175" t="n">
        <v>0.9</v>
      </c>
      <c r="R2047" s="192" t="n">
        <v>9</v>
      </c>
      <c r="S2047" s="172" t="inlineStr">
        <is>
          <t>AAA</t>
        </is>
      </c>
      <c r="T2047" s="175" t="n">
        <v>0.016</v>
      </c>
      <c r="U2047" s="172" t="inlineStr">
        <is>
          <t>华夏理财</t>
        </is>
      </c>
      <c r="V2047" s="191" t="n">
        <v>0.75</v>
      </c>
      <c r="W2047" s="172" t="n"/>
      <c r="X2047" s="172" t="n"/>
      <c r="Y2047" s="172" t="n"/>
    </row>
    <row r="2048">
      <c r="A2048" s="172" t="n">
        <v>117</v>
      </c>
      <c r="B2048" s="172" t="inlineStr">
        <is>
          <t>7月</t>
        </is>
      </c>
      <c r="C2048" s="172" t="inlineStr">
        <is>
          <t>企金</t>
        </is>
      </c>
      <c r="D2048" s="172" t="inlineStr">
        <is>
          <t>金采</t>
        </is>
      </c>
      <c r="E2048" s="172" t="inlineStr">
        <is>
          <t>金采8-8</t>
        </is>
      </c>
      <c r="F2048" s="172" t="inlineStr">
        <is>
          <t>上交所</t>
        </is>
      </c>
      <c r="G2048" s="172" t="inlineStr">
        <is>
          <t>国泰海通</t>
        </is>
      </c>
      <c r="H2048" s="172" t="inlineStr">
        <is>
          <t>光大证券</t>
        </is>
      </c>
      <c r="I2048" s="172" t="inlineStr">
        <is>
          <t>工银天分</t>
        </is>
      </c>
      <c r="J2048" s="172" t="n">
        <v>10</v>
      </c>
      <c r="K2048" s="172" t="inlineStr">
        <is>
          <t>7+12</t>
        </is>
      </c>
      <c r="L2048" s="202" t="n">
        <v>46224</v>
      </c>
      <c r="M2048" s="175" t="n">
        <v>0.0148</v>
      </c>
      <c r="N2048" s="176" t="n">
        <v>0.0187</v>
      </c>
      <c r="O2048" s="191" t="n">
        <v>2.37</v>
      </c>
      <c r="P2048" s="172" t="inlineStr">
        <is>
          <t>优先级</t>
        </is>
      </c>
      <c r="Q2048" s="175" t="n">
        <v>0.9</v>
      </c>
      <c r="R2048" s="192" t="n">
        <v>9</v>
      </c>
      <c r="S2048" s="172" t="inlineStr">
        <is>
          <t>AAA</t>
        </is>
      </c>
      <c r="T2048" s="175" t="n">
        <v>0.016</v>
      </c>
      <c r="U2048" s="172" t="inlineStr">
        <is>
          <t>交银理财</t>
        </is>
      </c>
      <c r="V2048" s="191" t="n">
        <v>0.3</v>
      </c>
      <c r="W2048" s="172" t="n"/>
      <c r="X2048" s="172" t="n"/>
      <c r="Y2048" s="172" t="n"/>
    </row>
    <row r="2049">
      <c r="A2049" s="172" t="n">
        <v>117</v>
      </c>
      <c r="B2049" s="172" t="inlineStr">
        <is>
          <t>7月</t>
        </is>
      </c>
      <c r="C2049" s="172" t="inlineStr">
        <is>
          <t>企金</t>
        </is>
      </c>
      <c r="D2049" s="172" t="inlineStr">
        <is>
          <t>金采</t>
        </is>
      </c>
      <c r="E2049" s="172" t="inlineStr">
        <is>
          <t>金采8-8</t>
        </is>
      </c>
      <c r="F2049" s="172" t="inlineStr">
        <is>
          <t>上交所</t>
        </is>
      </c>
      <c r="G2049" s="172" t="inlineStr">
        <is>
          <t>国泰海通</t>
        </is>
      </c>
      <c r="H2049" s="172" t="inlineStr">
        <is>
          <t>光大证券</t>
        </is>
      </c>
      <c r="I2049" s="172" t="inlineStr">
        <is>
          <t>工银天分</t>
        </is>
      </c>
      <c r="J2049" s="172" t="n">
        <v>10</v>
      </c>
      <c r="K2049" s="172" t="inlineStr">
        <is>
          <t>7+12</t>
        </is>
      </c>
      <c r="L2049" s="202" t="n">
        <v>46224</v>
      </c>
      <c r="M2049" s="175" t="n">
        <v>0.0148</v>
      </c>
      <c r="N2049" s="176" t="n">
        <v>0.0187</v>
      </c>
      <c r="O2049" s="191" t="n">
        <v>2.37</v>
      </c>
      <c r="P2049" s="172" t="inlineStr">
        <is>
          <t>优先级</t>
        </is>
      </c>
      <c r="Q2049" s="175" t="n">
        <v>0.9</v>
      </c>
      <c r="R2049" s="192" t="n">
        <v>9</v>
      </c>
      <c r="S2049" s="172" t="inlineStr">
        <is>
          <t>AAA</t>
        </is>
      </c>
      <c r="T2049" s="175" t="n">
        <v>0.016</v>
      </c>
      <c r="U2049" s="172" t="inlineStr">
        <is>
          <t>民生理财</t>
        </is>
      </c>
      <c r="V2049" s="191" t="n">
        <v>2.7</v>
      </c>
      <c r="W2049" s="172" t="n"/>
      <c r="X2049" s="172" t="n"/>
      <c r="Y2049" s="172" t="n"/>
    </row>
    <row r="2050">
      <c r="A2050" s="172" t="n">
        <v>117</v>
      </c>
      <c r="B2050" s="172" t="inlineStr">
        <is>
          <t>7月</t>
        </is>
      </c>
      <c r="C2050" s="172" t="inlineStr">
        <is>
          <t>企金</t>
        </is>
      </c>
      <c r="D2050" s="172" t="inlineStr">
        <is>
          <t>金采</t>
        </is>
      </c>
      <c r="E2050" s="172" t="inlineStr">
        <is>
          <t>金采8-8</t>
        </is>
      </c>
      <c r="F2050" s="172" t="inlineStr">
        <is>
          <t>上交所</t>
        </is>
      </c>
      <c r="G2050" s="172" t="inlineStr">
        <is>
          <t>国泰海通</t>
        </is>
      </c>
      <c r="H2050" s="172" t="inlineStr">
        <is>
          <t>光大证券</t>
        </is>
      </c>
      <c r="I2050" s="172" t="inlineStr">
        <is>
          <t>工银天分</t>
        </is>
      </c>
      <c r="J2050" s="172" t="n">
        <v>10</v>
      </c>
      <c r="K2050" s="172" t="inlineStr">
        <is>
          <t>7+12</t>
        </is>
      </c>
      <c r="L2050" s="202" t="n">
        <v>46224</v>
      </c>
      <c r="M2050" s="175" t="n">
        <v>0.0148</v>
      </c>
      <c r="N2050" s="176" t="n">
        <v>0.0187</v>
      </c>
      <c r="O2050" s="191" t="n">
        <v>2.37</v>
      </c>
      <c r="P2050" s="172" t="inlineStr">
        <is>
          <t>优先级</t>
        </is>
      </c>
      <c r="Q2050" s="175" t="n">
        <v>0.9</v>
      </c>
      <c r="R2050" s="192" t="n">
        <v>9</v>
      </c>
      <c r="S2050" s="172" t="inlineStr">
        <is>
          <t>AAA</t>
        </is>
      </c>
      <c r="T2050" s="175" t="n">
        <v>0.016</v>
      </c>
      <c r="U2050" s="172" t="inlineStr">
        <is>
          <t>厦门汇正</t>
        </is>
      </c>
      <c r="V2050" s="191" t="n">
        <v>0.45</v>
      </c>
      <c r="W2050" s="172" t="n"/>
      <c r="X2050" s="172" t="n"/>
      <c r="Y2050" s="172" t="n"/>
    </row>
    <row r="2051">
      <c r="A2051" s="172" t="n">
        <v>117</v>
      </c>
      <c r="B2051" s="172" t="inlineStr">
        <is>
          <t>7月</t>
        </is>
      </c>
      <c r="C2051" s="172" t="inlineStr">
        <is>
          <t>企金</t>
        </is>
      </c>
      <c r="D2051" s="172" t="inlineStr">
        <is>
          <t>金采</t>
        </is>
      </c>
      <c r="E2051" s="172" t="inlineStr">
        <is>
          <t>金采8-8</t>
        </is>
      </c>
      <c r="F2051" s="172" t="inlineStr">
        <is>
          <t>上交所</t>
        </is>
      </c>
      <c r="G2051" s="172" t="inlineStr">
        <is>
          <t>国泰海通</t>
        </is>
      </c>
      <c r="H2051" s="172" t="inlineStr">
        <is>
          <t>光大证券</t>
        </is>
      </c>
      <c r="I2051" s="172" t="inlineStr">
        <is>
          <t>工银天分</t>
        </is>
      </c>
      <c r="J2051" s="172" t="n">
        <v>10</v>
      </c>
      <c r="K2051" s="172" t="inlineStr">
        <is>
          <t>7+12</t>
        </is>
      </c>
      <c r="L2051" s="202" t="n">
        <v>46224</v>
      </c>
      <c r="M2051" s="175" t="n">
        <v>0.0148</v>
      </c>
      <c r="N2051" s="176" t="n">
        <v>0.0187</v>
      </c>
      <c r="O2051" s="191" t="n">
        <v>2.37</v>
      </c>
      <c r="P2051" s="172" t="inlineStr">
        <is>
          <t>优先级</t>
        </is>
      </c>
      <c r="Q2051" s="175" t="n">
        <v>0.9</v>
      </c>
      <c r="R2051" s="192" t="n">
        <v>9</v>
      </c>
      <c r="S2051" s="172" t="inlineStr">
        <is>
          <t>AAA</t>
        </is>
      </c>
      <c r="T2051" s="175" t="n">
        <v>0.016</v>
      </c>
      <c r="U2051" s="172" t="inlineStr">
        <is>
          <t>招银理财</t>
        </is>
      </c>
      <c r="V2051" s="191" t="n">
        <v>2.7</v>
      </c>
      <c r="W2051" s="172" t="n"/>
      <c r="X2051" s="172" t="n"/>
      <c r="Y2051" s="172" t="n"/>
    </row>
    <row r="2052">
      <c r="A2052" s="172" t="n">
        <v>117</v>
      </c>
      <c r="B2052" s="172" t="inlineStr">
        <is>
          <t>7月</t>
        </is>
      </c>
      <c r="C2052" s="172" t="inlineStr">
        <is>
          <t>企金</t>
        </is>
      </c>
      <c r="D2052" s="172" t="inlineStr">
        <is>
          <t>金采</t>
        </is>
      </c>
      <c r="E2052" s="172" t="inlineStr">
        <is>
          <t>金采8-8</t>
        </is>
      </c>
      <c r="F2052" s="172" t="inlineStr">
        <is>
          <t>上交所</t>
        </is>
      </c>
      <c r="G2052" s="172" t="inlineStr">
        <is>
          <t>国泰海通</t>
        </is>
      </c>
      <c r="H2052" s="172" t="inlineStr">
        <is>
          <t>光大证券</t>
        </is>
      </c>
      <c r="I2052" s="172" t="inlineStr">
        <is>
          <t>工银天分</t>
        </is>
      </c>
      <c r="J2052" s="172" t="n">
        <v>10</v>
      </c>
      <c r="K2052" s="172" t="inlineStr">
        <is>
          <t>7+12</t>
        </is>
      </c>
      <c r="L2052" s="202" t="n">
        <v>46224</v>
      </c>
      <c r="M2052" s="175" t="n">
        <v>0.0148</v>
      </c>
      <c r="N2052" s="176" t="n">
        <v>0.0187</v>
      </c>
      <c r="O2052" s="191" t="n">
        <v>2.37</v>
      </c>
      <c r="P2052" s="172" t="inlineStr">
        <is>
          <t>优先级</t>
        </is>
      </c>
      <c r="Q2052" s="175" t="n">
        <v>0.9</v>
      </c>
      <c r="R2052" s="192" t="n">
        <v>9</v>
      </c>
      <c r="S2052" s="172" t="inlineStr">
        <is>
          <t>AAA</t>
        </is>
      </c>
      <c r="T2052" s="175" t="n">
        <v>0.016</v>
      </c>
      <c r="U2052" s="172" t="inlineStr">
        <is>
          <t>工银理财</t>
        </is>
      </c>
      <c r="V2052" s="191" t="n">
        <v>1.5</v>
      </c>
      <c r="W2052" s="172" t="n"/>
      <c r="X2052" s="172" t="n"/>
      <c r="Y2052" s="172" t="n"/>
    </row>
    <row r="2053">
      <c r="A2053" s="172" t="n">
        <v>117</v>
      </c>
      <c r="B2053" s="172" t="inlineStr">
        <is>
          <t>7月</t>
        </is>
      </c>
      <c r="C2053" s="172" t="inlineStr">
        <is>
          <t>企金</t>
        </is>
      </c>
      <c r="D2053" s="172" t="inlineStr">
        <is>
          <t>金采</t>
        </is>
      </c>
      <c r="E2053" s="172" t="inlineStr">
        <is>
          <t>金采8-8</t>
        </is>
      </c>
      <c r="F2053" s="172" t="inlineStr">
        <is>
          <t>上交所</t>
        </is>
      </c>
      <c r="G2053" s="172" t="inlineStr">
        <is>
          <t>国泰海通</t>
        </is>
      </c>
      <c r="H2053" s="172" t="inlineStr">
        <is>
          <t>光大证券</t>
        </is>
      </c>
      <c r="I2053" s="172" t="inlineStr">
        <is>
          <t>工银天分</t>
        </is>
      </c>
      <c r="J2053" s="172" t="n">
        <v>10</v>
      </c>
      <c r="K2053" s="172" t="inlineStr">
        <is>
          <t>7+12</t>
        </is>
      </c>
      <c r="L2053" s="202" t="n">
        <v>46224</v>
      </c>
      <c r="M2053" s="175" t="n">
        <v>0.0148</v>
      </c>
      <c r="N2053" s="176" t="n">
        <v>0.0187</v>
      </c>
      <c r="O2053" s="191" t="n">
        <v>2.37</v>
      </c>
      <c r="P2053" s="172" t="inlineStr">
        <is>
          <t>优先级</t>
        </is>
      </c>
      <c r="Q2053" s="175" t="n">
        <v>0.9</v>
      </c>
      <c r="R2053" s="192" t="n">
        <v>9</v>
      </c>
      <c r="S2053" s="172" t="inlineStr">
        <is>
          <t>AAA</t>
        </is>
      </c>
      <c r="T2053" s="175" t="n">
        <v>0.016</v>
      </c>
      <c r="U2053" s="172" t="inlineStr">
        <is>
          <t>中邮理财</t>
        </is>
      </c>
      <c r="V2053" s="191" t="n">
        <v>0.6</v>
      </c>
      <c r="W2053" s="172" t="n"/>
      <c r="X2053" s="172" t="n"/>
      <c r="Y2053" s="172" t="n"/>
    </row>
    <row r="2054">
      <c r="A2054" s="172" t="n">
        <v>117</v>
      </c>
      <c r="B2054" s="172" t="inlineStr">
        <is>
          <t>7月</t>
        </is>
      </c>
      <c r="C2054" s="172" t="inlineStr">
        <is>
          <t>企金</t>
        </is>
      </c>
      <c r="D2054" s="172" t="inlineStr">
        <is>
          <t>金采</t>
        </is>
      </c>
      <c r="E2054" s="172" t="inlineStr">
        <is>
          <t>金采8-8</t>
        </is>
      </c>
      <c r="F2054" s="172" t="inlineStr">
        <is>
          <t>上交所</t>
        </is>
      </c>
      <c r="G2054" s="172" t="inlineStr">
        <is>
          <t>国泰海通</t>
        </is>
      </c>
      <c r="H2054" s="172" t="inlineStr">
        <is>
          <t>光大证券</t>
        </is>
      </c>
      <c r="I2054" s="172" t="inlineStr">
        <is>
          <t>工银天分</t>
        </is>
      </c>
      <c r="J2054" s="172" t="n">
        <v>10</v>
      </c>
      <c r="K2054" s="172" t="inlineStr">
        <is>
          <t>7+12</t>
        </is>
      </c>
      <c r="L2054" s="202" t="n">
        <v>46224</v>
      </c>
      <c r="M2054" s="175" t="n">
        <v>0.0148</v>
      </c>
      <c r="N2054" s="176" t="n">
        <v>0.0187</v>
      </c>
      <c r="O2054" s="191" t="n">
        <v>2.37</v>
      </c>
      <c r="P2054" s="172" t="inlineStr">
        <is>
          <t>中间级</t>
        </is>
      </c>
      <c r="Q2054" s="175" t="n">
        <v>0.05</v>
      </c>
      <c r="R2054" s="192" t="n">
        <v>0.5</v>
      </c>
      <c r="S2054" s="175" t="inlineStr">
        <is>
          <t>AA</t>
        </is>
      </c>
      <c r="T2054" s="175" t="n">
        <v>0.031</v>
      </c>
      <c r="U2054" s="172" t="inlineStr">
        <is>
          <t>招银理财</t>
        </is>
      </c>
      <c r="V2054" s="193" t="n">
        <v>0.15</v>
      </c>
      <c r="W2054" s="172" t="n"/>
      <c r="X2054" s="172" t="n"/>
      <c r="Y2054" s="172" t="n"/>
    </row>
    <row r="2055">
      <c r="A2055" s="172" t="n">
        <v>117</v>
      </c>
      <c r="B2055" s="172" t="inlineStr">
        <is>
          <t>7月</t>
        </is>
      </c>
      <c r="C2055" s="172" t="inlineStr">
        <is>
          <t>企金</t>
        </is>
      </c>
      <c r="D2055" s="172" t="inlineStr">
        <is>
          <t>金采</t>
        </is>
      </c>
      <c r="E2055" s="172" t="inlineStr">
        <is>
          <t>金采8-8</t>
        </is>
      </c>
      <c r="F2055" s="172" t="inlineStr">
        <is>
          <t>上交所</t>
        </is>
      </c>
      <c r="G2055" s="172" t="inlineStr">
        <is>
          <t>国泰海通</t>
        </is>
      </c>
      <c r="H2055" s="172" t="inlineStr">
        <is>
          <t>光大证券</t>
        </is>
      </c>
      <c r="I2055" s="172" t="inlineStr">
        <is>
          <t>工银天分</t>
        </is>
      </c>
      <c r="J2055" s="172" t="n">
        <v>10</v>
      </c>
      <c r="K2055" s="172" t="inlineStr">
        <is>
          <t>7+12</t>
        </is>
      </c>
      <c r="L2055" s="202" t="n">
        <v>46224</v>
      </c>
      <c r="M2055" s="175" t="n">
        <v>0.0148</v>
      </c>
      <c r="N2055" s="176" t="n">
        <v>0.0187</v>
      </c>
      <c r="O2055" s="191" t="n">
        <v>2.37</v>
      </c>
      <c r="P2055" s="172" t="inlineStr">
        <is>
          <t>中间级</t>
        </is>
      </c>
      <c r="Q2055" s="175" t="n">
        <v>0.05</v>
      </c>
      <c r="R2055" s="192" t="n">
        <v>0.5</v>
      </c>
      <c r="S2055" s="175" t="inlineStr">
        <is>
          <t>AA</t>
        </is>
      </c>
      <c r="T2055" s="175" t="n">
        <v>0.031</v>
      </c>
      <c r="U2055" s="172" t="inlineStr">
        <is>
          <t>国泰海通自营</t>
        </is>
      </c>
      <c r="V2055" s="191" t="n">
        <v>0.15</v>
      </c>
      <c r="W2055" s="172" t="n"/>
      <c r="X2055" s="172" t="n"/>
      <c r="Y2055" s="172" t="n"/>
    </row>
    <row r="2056">
      <c r="A2056" s="172" t="n">
        <v>117</v>
      </c>
      <c r="B2056" s="172" t="inlineStr">
        <is>
          <t>7月</t>
        </is>
      </c>
      <c r="C2056" s="172" t="inlineStr">
        <is>
          <t>企金</t>
        </is>
      </c>
      <c r="D2056" s="172" t="inlineStr">
        <is>
          <t>金采</t>
        </is>
      </c>
      <c r="E2056" s="172" t="inlineStr">
        <is>
          <t>金采8-8</t>
        </is>
      </c>
      <c r="F2056" s="172" t="inlineStr">
        <is>
          <t>上交所</t>
        </is>
      </c>
      <c r="G2056" s="172" t="inlineStr">
        <is>
          <t>国泰海通</t>
        </is>
      </c>
      <c r="H2056" s="172" t="inlineStr">
        <is>
          <t>光大证券</t>
        </is>
      </c>
      <c r="I2056" s="172" t="inlineStr">
        <is>
          <t>工银天分</t>
        </is>
      </c>
      <c r="J2056" s="172" t="n">
        <v>10</v>
      </c>
      <c r="K2056" s="172" t="inlineStr">
        <is>
          <t>7+12</t>
        </is>
      </c>
      <c r="L2056" s="202" t="n">
        <v>46224</v>
      </c>
      <c r="M2056" s="175" t="n">
        <v>0.0148</v>
      </c>
      <c r="N2056" s="176" t="n">
        <v>0.0187</v>
      </c>
      <c r="O2056" s="191" t="n">
        <v>2.37</v>
      </c>
      <c r="P2056" s="172" t="inlineStr">
        <is>
          <t>中间级</t>
        </is>
      </c>
      <c r="Q2056" s="175" t="n">
        <v>0.05</v>
      </c>
      <c r="R2056" s="192" t="n">
        <v>0.5</v>
      </c>
      <c r="S2056" s="175" t="inlineStr">
        <is>
          <t>AA</t>
        </is>
      </c>
      <c r="T2056" s="175" t="n">
        <v>0.031</v>
      </c>
      <c r="U2056" s="172" t="inlineStr">
        <is>
          <t>建信信托</t>
        </is>
      </c>
      <c r="V2056" s="191" t="n">
        <v>0.1</v>
      </c>
      <c r="W2056" s="172" t="n"/>
      <c r="X2056" s="172" t="n"/>
      <c r="Y2056" s="172" t="n"/>
    </row>
    <row r="2057">
      <c r="A2057" s="172" t="n">
        <v>117</v>
      </c>
      <c r="B2057" s="172" t="inlineStr">
        <is>
          <t>7月</t>
        </is>
      </c>
      <c r="C2057" s="172" t="inlineStr">
        <is>
          <t>企金</t>
        </is>
      </c>
      <c r="D2057" s="172" t="inlineStr">
        <is>
          <t>金采</t>
        </is>
      </c>
      <c r="E2057" s="172" t="inlineStr">
        <is>
          <t>金采8-8</t>
        </is>
      </c>
      <c r="F2057" s="172" t="inlineStr">
        <is>
          <t>上交所</t>
        </is>
      </c>
      <c r="G2057" s="172" t="inlineStr">
        <is>
          <t>国泰海通</t>
        </is>
      </c>
      <c r="H2057" s="172" t="inlineStr">
        <is>
          <t>光大证券</t>
        </is>
      </c>
      <c r="I2057" s="172" t="inlineStr">
        <is>
          <t>工银天分</t>
        </is>
      </c>
      <c r="J2057" s="172" t="n">
        <v>10</v>
      </c>
      <c r="K2057" s="172" t="inlineStr">
        <is>
          <t>7+12</t>
        </is>
      </c>
      <c r="L2057" s="202" t="n">
        <v>46224</v>
      </c>
      <c r="M2057" s="175" t="n">
        <v>0.0148</v>
      </c>
      <c r="N2057" s="176" t="n">
        <v>0.0187</v>
      </c>
      <c r="O2057" s="191" t="n">
        <v>2.37</v>
      </c>
      <c r="P2057" s="172" t="inlineStr">
        <is>
          <t>中间级</t>
        </is>
      </c>
      <c r="Q2057" s="175" t="n">
        <v>0.05</v>
      </c>
      <c r="R2057" s="192" t="n">
        <v>0.5</v>
      </c>
      <c r="S2057" s="175" t="inlineStr">
        <is>
          <t>AA</t>
        </is>
      </c>
      <c r="T2057" s="175" t="n">
        <v>0.031</v>
      </c>
      <c r="U2057" s="172" t="inlineStr">
        <is>
          <t>厦门汇正</t>
        </is>
      </c>
      <c r="V2057" s="193" t="n">
        <v>0.025</v>
      </c>
      <c r="W2057" s="172" t="n"/>
      <c r="X2057" s="172" t="n"/>
      <c r="Y2057" s="172" t="n"/>
    </row>
    <row r="2058">
      <c r="A2058" s="172" t="n">
        <v>117</v>
      </c>
      <c r="B2058" s="172" t="inlineStr">
        <is>
          <t>7月</t>
        </is>
      </c>
      <c r="C2058" s="172" t="inlineStr">
        <is>
          <t>企金</t>
        </is>
      </c>
      <c r="D2058" s="172" t="inlineStr">
        <is>
          <t>金采</t>
        </is>
      </c>
      <c r="E2058" s="172" t="inlineStr">
        <is>
          <t>金采8-8</t>
        </is>
      </c>
      <c r="F2058" s="172" t="inlineStr">
        <is>
          <t>上交所</t>
        </is>
      </c>
      <c r="G2058" s="172" t="inlineStr">
        <is>
          <t>国泰海通</t>
        </is>
      </c>
      <c r="H2058" s="172" t="inlineStr">
        <is>
          <t>光大证券</t>
        </is>
      </c>
      <c r="I2058" s="172" t="inlineStr">
        <is>
          <t>工银天分</t>
        </is>
      </c>
      <c r="J2058" s="172" t="n">
        <v>10</v>
      </c>
      <c r="K2058" s="172" t="inlineStr">
        <is>
          <t>7+12</t>
        </is>
      </c>
      <c r="L2058" s="202" t="n">
        <v>46224</v>
      </c>
      <c r="M2058" s="175" t="n">
        <v>0.0148</v>
      </c>
      <c r="N2058" s="176" t="n">
        <v>0.0187</v>
      </c>
      <c r="O2058" s="191" t="n">
        <v>2.37</v>
      </c>
      <c r="P2058" s="172" t="inlineStr">
        <is>
          <t>中间级</t>
        </is>
      </c>
      <c r="Q2058" s="175" t="n">
        <v>0.05</v>
      </c>
      <c r="R2058" s="192" t="n">
        <v>0.5</v>
      </c>
      <c r="S2058" s="175" t="inlineStr">
        <is>
          <t>AA</t>
        </is>
      </c>
      <c r="T2058" s="175" t="n">
        <v>0.031</v>
      </c>
      <c r="U2058" s="172" t="inlineStr">
        <is>
          <t>广发证券自营</t>
        </is>
      </c>
      <c r="V2058" s="193" t="n">
        <v>0.075</v>
      </c>
      <c r="W2058" s="172" t="n"/>
      <c r="X2058" s="172" t="n"/>
      <c r="Y2058" s="172" t="n"/>
    </row>
    <row r="2059">
      <c r="A2059" s="172" t="n">
        <v>117</v>
      </c>
      <c r="B2059" s="172" t="inlineStr">
        <is>
          <t>7月</t>
        </is>
      </c>
      <c r="C2059" s="172" t="inlineStr">
        <is>
          <t>企金</t>
        </is>
      </c>
      <c r="D2059" s="172" t="inlineStr">
        <is>
          <t>金采</t>
        </is>
      </c>
      <c r="E2059" s="172" t="inlineStr">
        <is>
          <t>金采8-8</t>
        </is>
      </c>
      <c r="F2059" s="172" t="inlineStr">
        <is>
          <t>上交所</t>
        </is>
      </c>
      <c r="G2059" s="172" t="inlineStr">
        <is>
          <t>国泰海通</t>
        </is>
      </c>
      <c r="H2059" s="172" t="inlineStr">
        <is>
          <t>光大证券</t>
        </is>
      </c>
      <c r="I2059" s="172" t="inlineStr">
        <is>
          <t>工银天分</t>
        </is>
      </c>
      <c r="J2059" s="172" t="n">
        <v>10</v>
      </c>
      <c r="K2059" s="172" t="inlineStr">
        <is>
          <t>7+12</t>
        </is>
      </c>
      <c r="L2059" s="202" t="n">
        <v>46224</v>
      </c>
      <c r="M2059" s="175" t="n">
        <v>0.0148</v>
      </c>
      <c r="N2059" s="176" t="n">
        <v>0.0187</v>
      </c>
      <c r="O2059" s="191" t="n">
        <v>2.37</v>
      </c>
      <c r="P2059" s="172" t="inlineStr">
        <is>
          <t>次级</t>
        </is>
      </c>
      <c r="Q2059" s="175" t="n">
        <v>0.05</v>
      </c>
      <c r="R2059" s="192" t="n">
        <v>0.5</v>
      </c>
      <c r="S2059" s="175" t="inlineStr">
        <is>
          <t>无</t>
        </is>
      </c>
      <c r="T2059" s="175" t="n">
        <v>0.0455</v>
      </c>
      <c r="U2059" s="172" t="inlineStr">
        <is>
          <t>利曦基金</t>
        </is>
      </c>
      <c r="V2059" s="193" t="n">
        <v>0.175</v>
      </c>
      <c r="W2059" s="172" t="n"/>
      <c r="X2059" s="172" t="n"/>
      <c r="Y2059" s="172" t="n"/>
    </row>
    <row r="2060">
      <c r="A2060" s="172" t="n">
        <v>117</v>
      </c>
      <c r="B2060" s="172" t="inlineStr">
        <is>
          <t>7月</t>
        </is>
      </c>
      <c r="C2060" s="172" t="inlineStr">
        <is>
          <t>企金</t>
        </is>
      </c>
      <c r="D2060" s="172" t="inlineStr">
        <is>
          <t>金采</t>
        </is>
      </c>
      <c r="E2060" s="172" t="inlineStr">
        <is>
          <t>金采8-8</t>
        </is>
      </c>
      <c r="F2060" s="172" t="inlineStr">
        <is>
          <t>上交所</t>
        </is>
      </c>
      <c r="G2060" s="172" t="inlineStr">
        <is>
          <t>国泰海通</t>
        </is>
      </c>
      <c r="H2060" s="172" t="inlineStr">
        <is>
          <t>光大证券</t>
        </is>
      </c>
      <c r="I2060" s="172" t="inlineStr">
        <is>
          <t>工银天分</t>
        </is>
      </c>
      <c r="J2060" s="172" t="n">
        <v>10</v>
      </c>
      <c r="K2060" s="172" t="inlineStr">
        <is>
          <t>7+12</t>
        </is>
      </c>
      <c r="L2060" s="202" t="n">
        <v>46224</v>
      </c>
      <c r="M2060" s="175" t="n">
        <v>0.0148</v>
      </c>
      <c r="N2060" s="176" t="n">
        <v>0.0187</v>
      </c>
      <c r="O2060" s="191" t="n">
        <v>2.37</v>
      </c>
      <c r="P2060" s="172" t="inlineStr">
        <is>
          <t>次级</t>
        </is>
      </c>
      <c r="Q2060" s="175" t="n">
        <v>0.05</v>
      </c>
      <c r="R2060" s="192" t="n">
        <v>0.5</v>
      </c>
      <c r="S2060" s="175" t="inlineStr">
        <is>
          <t>无</t>
        </is>
      </c>
      <c r="T2060" s="175" t="n">
        <v>0.0455</v>
      </c>
      <c r="U2060" s="172" t="inlineStr">
        <is>
          <t>华宝证券资管</t>
        </is>
      </c>
      <c r="V2060" s="191" t="n">
        <v>0.1</v>
      </c>
      <c r="W2060" s="172" t="n"/>
      <c r="X2060" s="172" t="n"/>
      <c r="Y2060" s="172" t="n"/>
    </row>
    <row r="2061">
      <c r="A2061" s="172" t="n">
        <v>117</v>
      </c>
      <c r="B2061" s="172" t="inlineStr">
        <is>
          <t>7月</t>
        </is>
      </c>
      <c r="C2061" s="172" t="inlineStr">
        <is>
          <t>企金</t>
        </is>
      </c>
      <c r="D2061" s="172" t="inlineStr">
        <is>
          <t>金采</t>
        </is>
      </c>
      <c r="E2061" s="172" t="inlineStr">
        <is>
          <t>金采8-8</t>
        </is>
      </c>
      <c r="F2061" s="172" t="inlineStr">
        <is>
          <t>上交所</t>
        </is>
      </c>
      <c r="G2061" s="172" t="inlineStr">
        <is>
          <t>国泰海通</t>
        </is>
      </c>
      <c r="H2061" s="172" t="inlineStr">
        <is>
          <t>光大证券</t>
        </is>
      </c>
      <c r="I2061" s="172" t="inlineStr">
        <is>
          <t>工银天分</t>
        </is>
      </c>
      <c r="J2061" s="172" t="n">
        <v>10</v>
      </c>
      <c r="K2061" s="172" t="inlineStr">
        <is>
          <t>7+12</t>
        </is>
      </c>
      <c r="L2061" s="202" t="n">
        <v>46224</v>
      </c>
      <c r="M2061" s="175" t="n">
        <v>0.0148</v>
      </c>
      <c r="N2061" s="176" t="n">
        <v>0.0187</v>
      </c>
      <c r="O2061" s="191" t="n">
        <v>2.37</v>
      </c>
      <c r="P2061" s="172" t="inlineStr">
        <is>
          <t>次级</t>
        </is>
      </c>
      <c r="Q2061" s="175" t="n">
        <v>0.05</v>
      </c>
      <c r="R2061" s="192" t="n">
        <v>0.5</v>
      </c>
      <c r="S2061" s="175" t="inlineStr">
        <is>
          <t>无</t>
        </is>
      </c>
      <c r="T2061" s="175" t="n">
        <v>0.0455</v>
      </c>
      <c r="U2061" s="172" t="inlineStr">
        <is>
          <t>国联证券自营</t>
        </is>
      </c>
      <c r="V2061" s="191" t="n">
        <v>0.1</v>
      </c>
      <c r="W2061" s="172" t="n"/>
      <c r="X2061" s="172" t="n"/>
      <c r="Y2061" s="172" t="n"/>
    </row>
    <row r="2062">
      <c r="A2062" s="172" t="n">
        <v>117</v>
      </c>
      <c r="B2062" s="172" t="inlineStr">
        <is>
          <t>7月</t>
        </is>
      </c>
      <c r="C2062" s="172" t="inlineStr">
        <is>
          <t>企金</t>
        </is>
      </c>
      <c r="D2062" s="172" t="inlineStr">
        <is>
          <t>金采</t>
        </is>
      </c>
      <c r="E2062" s="172" t="inlineStr">
        <is>
          <t>金采8-8</t>
        </is>
      </c>
      <c r="F2062" s="172" t="inlineStr">
        <is>
          <t>上交所</t>
        </is>
      </c>
      <c r="G2062" s="172" t="inlineStr">
        <is>
          <t>国泰海通</t>
        </is>
      </c>
      <c r="H2062" s="172" t="inlineStr">
        <is>
          <t>光大证券</t>
        </is>
      </c>
      <c r="I2062" s="172" t="inlineStr">
        <is>
          <t>工银天分</t>
        </is>
      </c>
      <c r="J2062" s="172" t="n">
        <v>10</v>
      </c>
      <c r="K2062" s="172" t="inlineStr">
        <is>
          <t>7+12</t>
        </is>
      </c>
      <c r="L2062" s="202" t="n">
        <v>46224</v>
      </c>
      <c r="M2062" s="175" t="n">
        <v>0.0148</v>
      </c>
      <c r="N2062" s="176" t="n">
        <v>0.0187</v>
      </c>
      <c r="O2062" s="191" t="n">
        <v>2.37</v>
      </c>
      <c r="P2062" s="172" t="inlineStr">
        <is>
          <t>次级</t>
        </is>
      </c>
      <c r="Q2062" s="175" t="n">
        <v>0.05</v>
      </c>
      <c r="R2062" s="192" t="n">
        <v>0.5</v>
      </c>
      <c r="S2062" s="175" t="inlineStr">
        <is>
          <t>无</t>
        </is>
      </c>
      <c r="T2062" s="175" t="n">
        <v>0.0455</v>
      </c>
      <c r="U2062" s="172" t="inlineStr">
        <is>
          <t>厦门汇正</t>
        </is>
      </c>
      <c r="V2062" s="193" t="n">
        <v>0.025</v>
      </c>
      <c r="W2062" s="172" t="n"/>
      <c r="X2062" s="172" t="n"/>
      <c r="Y2062" s="172" t="n"/>
    </row>
    <row r="2063">
      <c r="A2063" s="172" t="n">
        <v>117</v>
      </c>
      <c r="B2063" s="172" t="inlineStr">
        <is>
          <t>7月</t>
        </is>
      </c>
      <c r="C2063" s="172" t="inlineStr">
        <is>
          <t>企金</t>
        </is>
      </c>
      <c r="D2063" s="172" t="inlineStr">
        <is>
          <t>金采</t>
        </is>
      </c>
      <c r="E2063" s="172" t="inlineStr">
        <is>
          <t>金采8-8</t>
        </is>
      </c>
      <c r="F2063" s="172" t="inlineStr">
        <is>
          <t>上交所</t>
        </is>
      </c>
      <c r="G2063" s="172" t="inlineStr">
        <is>
          <t>国泰海通</t>
        </is>
      </c>
      <c r="H2063" s="172" t="inlineStr">
        <is>
          <t>光大证券</t>
        </is>
      </c>
      <c r="I2063" s="172" t="inlineStr">
        <is>
          <t>工银天分</t>
        </is>
      </c>
      <c r="J2063" s="172" t="n">
        <v>10</v>
      </c>
      <c r="K2063" s="172" t="inlineStr">
        <is>
          <t>7+12</t>
        </is>
      </c>
      <c r="L2063" s="202" t="n">
        <v>46224</v>
      </c>
      <c r="M2063" s="175" t="n">
        <v>0.0148</v>
      </c>
      <c r="N2063" s="176" t="n">
        <v>0.0187</v>
      </c>
      <c r="O2063" s="191" t="n">
        <v>2.37</v>
      </c>
      <c r="P2063" s="172" t="inlineStr">
        <is>
          <t>次级</t>
        </is>
      </c>
      <c r="Q2063" s="175" t="n">
        <v>0.05</v>
      </c>
      <c r="R2063" s="192" t="n">
        <v>0.5</v>
      </c>
      <c r="S2063" s="175" t="inlineStr">
        <is>
          <t>无</t>
        </is>
      </c>
      <c r="T2063" s="175" t="n">
        <v>0.0455</v>
      </c>
      <c r="U2063" s="172" t="inlineStr">
        <is>
          <t>粤财信托</t>
        </is>
      </c>
      <c r="V2063" s="191" t="n">
        <v>0.1</v>
      </c>
      <c r="W2063" s="172" t="n"/>
      <c r="X2063" s="172" t="n"/>
      <c r="Y2063" s="172" t="n"/>
    </row>
    <row r="2064">
      <c r="A2064" s="172" t="n">
        <v>118</v>
      </c>
      <c r="B2064" s="172" t="inlineStr">
        <is>
          <t>7月</t>
        </is>
      </c>
      <c r="C2064" s="172" t="inlineStr">
        <is>
          <t>企金</t>
        </is>
      </c>
      <c r="D2064" s="172" t="inlineStr">
        <is>
          <t>保理</t>
        </is>
      </c>
      <c r="E2064" s="172" t="inlineStr">
        <is>
          <t>京诚15-10</t>
        </is>
      </c>
      <c r="F2064" s="172" t="inlineStr">
        <is>
          <t>上交所</t>
        </is>
      </c>
      <c r="G2064" s="172" t="inlineStr">
        <is>
          <t>财通资管</t>
        </is>
      </c>
      <c r="H2064" s="172" t="inlineStr">
        <is>
          <t>信达证券</t>
        </is>
      </c>
      <c r="I2064" s="172" t="inlineStr">
        <is>
          <t>青岛银行</t>
        </is>
      </c>
      <c r="J2064" s="172" t="n">
        <v>10</v>
      </c>
      <c r="K2064" s="172" t="inlineStr">
        <is>
          <t>8+4</t>
        </is>
      </c>
      <c r="L2064" s="202" t="n">
        <v>46224</v>
      </c>
      <c r="M2064" s="175" t="n">
        <v>0.0148</v>
      </c>
      <c r="N2064" s="176" t="n">
        <v>0.0164</v>
      </c>
      <c r="O2064" s="191" t="n">
        <v>3.85</v>
      </c>
      <c r="P2064" s="172" t="inlineStr">
        <is>
          <t>优先级</t>
        </is>
      </c>
      <c r="Q2064" s="175" t="n">
        <v>0.99</v>
      </c>
      <c r="R2064" s="192" t="n">
        <v>9.9</v>
      </c>
      <c r="S2064" s="172" t="inlineStr">
        <is>
          <t>AAA</t>
        </is>
      </c>
      <c r="T2064" s="175" t="n">
        <v>0.0157</v>
      </c>
      <c r="U2064" s="172" t="inlineStr">
        <is>
          <t>平安理财</t>
        </is>
      </c>
      <c r="V2064" s="191" t="n">
        <v>1.29</v>
      </c>
      <c r="W2064" s="172" t="n"/>
      <c r="X2064" s="172" t="n"/>
      <c r="Y2064" s="172" t="n"/>
    </row>
    <row r="2065">
      <c r="A2065" s="172" t="n">
        <v>118</v>
      </c>
      <c r="B2065" s="172" t="inlineStr">
        <is>
          <t>7月</t>
        </is>
      </c>
      <c r="C2065" s="172" t="inlineStr">
        <is>
          <t>企金</t>
        </is>
      </c>
      <c r="D2065" s="172" t="inlineStr">
        <is>
          <t>保理</t>
        </is>
      </c>
      <c r="E2065" s="172" t="inlineStr">
        <is>
          <t>京诚15-10</t>
        </is>
      </c>
      <c r="F2065" s="172" t="inlineStr">
        <is>
          <t>上交所</t>
        </is>
      </c>
      <c r="G2065" s="172" t="inlineStr">
        <is>
          <t>财通资管</t>
        </is>
      </c>
      <c r="H2065" s="172" t="inlineStr">
        <is>
          <t>信达证券</t>
        </is>
      </c>
      <c r="I2065" s="172" t="inlineStr">
        <is>
          <t>青岛银行</t>
        </is>
      </c>
      <c r="J2065" s="172" t="n">
        <v>10</v>
      </c>
      <c r="K2065" s="172" t="inlineStr">
        <is>
          <t>8+4</t>
        </is>
      </c>
      <c r="L2065" s="202" t="n">
        <v>46224</v>
      </c>
      <c r="M2065" s="175" t="n">
        <v>0.0148</v>
      </c>
      <c r="N2065" s="176" t="n">
        <v>0.0164</v>
      </c>
      <c r="O2065" s="191" t="n">
        <v>3.85</v>
      </c>
      <c r="P2065" s="172" t="inlineStr">
        <is>
          <t>优先级</t>
        </is>
      </c>
      <c r="Q2065" s="175" t="n">
        <v>0.99</v>
      </c>
      <c r="R2065" s="192" t="n">
        <v>9.9</v>
      </c>
      <c r="S2065" s="172" t="inlineStr">
        <is>
          <t>AAA</t>
        </is>
      </c>
      <c r="T2065" s="175" t="n">
        <v>0.0157</v>
      </c>
      <c r="U2065" s="172" t="inlineStr">
        <is>
          <t>光大理财</t>
        </is>
      </c>
      <c r="V2065" s="191" t="n">
        <v>1.5</v>
      </c>
      <c r="W2065" s="172" t="n"/>
      <c r="X2065" s="172" t="n"/>
      <c r="Y2065" s="172" t="n"/>
    </row>
    <row r="2066">
      <c r="A2066" s="172" t="n">
        <v>118</v>
      </c>
      <c r="B2066" s="172" t="inlineStr">
        <is>
          <t>7月</t>
        </is>
      </c>
      <c r="C2066" s="172" t="inlineStr">
        <is>
          <t>企金</t>
        </is>
      </c>
      <c r="D2066" s="172" t="inlineStr">
        <is>
          <t>保理</t>
        </is>
      </c>
      <c r="E2066" s="172" t="inlineStr">
        <is>
          <t>京诚15-10</t>
        </is>
      </c>
      <c r="F2066" s="172" t="inlineStr">
        <is>
          <t>上交所</t>
        </is>
      </c>
      <c r="G2066" s="172" t="inlineStr">
        <is>
          <t>财通资管</t>
        </is>
      </c>
      <c r="H2066" s="172" t="inlineStr">
        <is>
          <t>信达证券</t>
        </is>
      </c>
      <c r="I2066" s="172" t="inlineStr">
        <is>
          <t>青岛银行</t>
        </is>
      </c>
      <c r="J2066" s="172" t="n">
        <v>10</v>
      </c>
      <c r="K2066" s="172" t="inlineStr">
        <is>
          <t>8+4</t>
        </is>
      </c>
      <c r="L2066" s="202" t="n">
        <v>46224</v>
      </c>
      <c r="M2066" s="175" t="n">
        <v>0.0148</v>
      </c>
      <c r="N2066" s="176" t="n">
        <v>0.0164</v>
      </c>
      <c r="O2066" s="191" t="n">
        <v>3.85</v>
      </c>
      <c r="P2066" s="172" t="inlineStr">
        <is>
          <t>优先级</t>
        </is>
      </c>
      <c r="Q2066" s="175" t="n">
        <v>0.99</v>
      </c>
      <c r="R2066" s="192" t="n">
        <v>9.9</v>
      </c>
      <c r="S2066" s="172" t="inlineStr">
        <is>
          <t>AAA</t>
        </is>
      </c>
      <c r="T2066" s="175" t="n">
        <v>0.0157</v>
      </c>
      <c r="U2066" s="172" t="inlineStr">
        <is>
          <t>民生理财</t>
        </is>
      </c>
      <c r="V2066" s="191" t="n">
        <v>2.5</v>
      </c>
      <c r="W2066" s="172" t="n"/>
      <c r="X2066" s="172" t="n"/>
      <c r="Y2066" s="172" t="n"/>
    </row>
    <row r="2067">
      <c r="A2067" s="172" t="n">
        <v>118</v>
      </c>
      <c r="B2067" s="172" t="inlineStr">
        <is>
          <t>7月</t>
        </is>
      </c>
      <c r="C2067" s="172" t="inlineStr">
        <is>
          <t>企金</t>
        </is>
      </c>
      <c r="D2067" s="172" t="inlineStr">
        <is>
          <t>保理</t>
        </is>
      </c>
      <c r="E2067" s="172" t="inlineStr">
        <is>
          <t>京诚15-10</t>
        </is>
      </c>
      <c r="F2067" s="172" t="inlineStr">
        <is>
          <t>上交所</t>
        </is>
      </c>
      <c r="G2067" s="172" t="inlineStr">
        <is>
          <t>财通资管</t>
        </is>
      </c>
      <c r="H2067" s="172" t="inlineStr">
        <is>
          <t>信达证券</t>
        </is>
      </c>
      <c r="I2067" s="172" t="inlineStr">
        <is>
          <t>青岛银行</t>
        </is>
      </c>
      <c r="J2067" s="172" t="n">
        <v>10</v>
      </c>
      <c r="K2067" s="172" t="inlineStr">
        <is>
          <t>8+4</t>
        </is>
      </c>
      <c r="L2067" s="202" t="n">
        <v>46224</v>
      </c>
      <c r="M2067" s="175" t="n">
        <v>0.0148</v>
      </c>
      <c r="N2067" s="176" t="n">
        <v>0.0164</v>
      </c>
      <c r="O2067" s="191" t="n">
        <v>3.85</v>
      </c>
      <c r="P2067" s="172" t="inlineStr">
        <is>
          <t>优先级</t>
        </is>
      </c>
      <c r="Q2067" s="175" t="n">
        <v>0.99</v>
      </c>
      <c r="R2067" s="192" t="n">
        <v>9.9</v>
      </c>
      <c r="S2067" s="172" t="inlineStr">
        <is>
          <t>AAA</t>
        </is>
      </c>
      <c r="T2067" s="175" t="n">
        <v>0.0157</v>
      </c>
      <c r="U2067" s="172" t="inlineStr">
        <is>
          <t>交银理财</t>
        </is>
      </c>
      <c r="V2067" s="191" t="n">
        <v>0.3</v>
      </c>
      <c r="W2067" s="172" t="n"/>
      <c r="X2067" s="172" t="n"/>
      <c r="Y2067" s="172" t="n"/>
    </row>
    <row r="2068">
      <c r="A2068" s="172" t="n">
        <v>118</v>
      </c>
      <c r="B2068" s="172" t="inlineStr">
        <is>
          <t>7月</t>
        </is>
      </c>
      <c r="C2068" s="172" t="inlineStr">
        <is>
          <t>企金</t>
        </is>
      </c>
      <c r="D2068" s="172" t="inlineStr">
        <is>
          <t>保理</t>
        </is>
      </c>
      <c r="E2068" s="172" t="inlineStr">
        <is>
          <t>京诚15-10</t>
        </is>
      </c>
      <c r="F2068" s="172" t="inlineStr">
        <is>
          <t>上交所</t>
        </is>
      </c>
      <c r="G2068" s="172" t="inlineStr">
        <is>
          <t>财通资管</t>
        </is>
      </c>
      <c r="H2068" s="172" t="inlineStr">
        <is>
          <t>信达证券</t>
        </is>
      </c>
      <c r="I2068" s="172" t="inlineStr">
        <is>
          <t>青岛银行</t>
        </is>
      </c>
      <c r="J2068" s="172" t="n">
        <v>10</v>
      </c>
      <c r="K2068" s="172" t="inlineStr">
        <is>
          <t>8+4</t>
        </is>
      </c>
      <c r="L2068" s="202" t="n">
        <v>46224</v>
      </c>
      <c r="M2068" s="175" t="n">
        <v>0.0148</v>
      </c>
      <c r="N2068" s="176" t="n">
        <v>0.0164</v>
      </c>
      <c r="O2068" s="191" t="n">
        <v>3.85</v>
      </c>
      <c r="P2068" s="172" t="inlineStr">
        <is>
          <t>优先级</t>
        </is>
      </c>
      <c r="Q2068" s="175" t="n">
        <v>0.99</v>
      </c>
      <c r="R2068" s="192" t="n">
        <v>9.9</v>
      </c>
      <c r="S2068" s="172" t="inlineStr">
        <is>
          <t>AAA</t>
        </is>
      </c>
      <c r="T2068" s="175" t="n">
        <v>0.0157</v>
      </c>
      <c r="U2068" s="172" t="inlineStr">
        <is>
          <t>招银理财</t>
        </is>
      </c>
      <c r="V2068" s="191" t="n">
        <v>2.97</v>
      </c>
      <c r="W2068" s="172" t="n"/>
      <c r="X2068" s="172" t="n"/>
      <c r="Y2068" s="172" t="n"/>
    </row>
    <row r="2069">
      <c r="A2069" s="172" t="n">
        <v>118</v>
      </c>
      <c r="B2069" s="172" t="inlineStr">
        <is>
          <t>7月</t>
        </is>
      </c>
      <c r="C2069" s="172" t="inlineStr">
        <is>
          <t>企金</t>
        </is>
      </c>
      <c r="D2069" s="172" t="inlineStr">
        <is>
          <t>保理</t>
        </is>
      </c>
      <c r="E2069" s="172" t="inlineStr">
        <is>
          <t>京诚15-10</t>
        </is>
      </c>
      <c r="F2069" s="172" t="inlineStr">
        <is>
          <t>上交所</t>
        </is>
      </c>
      <c r="G2069" s="172" t="inlineStr">
        <is>
          <t>财通资管</t>
        </is>
      </c>
      <c r="H2069" s="172" t="inlineStr">
        <is>
          <t>信达证券</t>
        </is>
      </c>
      <c r="I2069" s="172" t="inlineStr">
        <is>
          <t>青岛银行</t>
        </is>
      </c>
      <c r="J2069" s="172" t="n">
        <v>10</v>
      </c>
      <c r="K2069" s="172" t="inlineStr">
        <is>
          <t>8+4</t>
        </is>
      </c>
      <c r="L2069" s="202" t="n">
        <v>46224</v>
      </c>
      <c r="M2069" s="175" t="n">
        <v>0.0148</v>
      </c>
      <c r="N2069" s="176" t="n">
        <v>0.0164</v>
      </c>
      <c r="O2069" s="191" t="n">
        <v>3.85</v>
      </c>
      <c r="P2069" s="172" t="inlineStr">
        <is>
          <t>优先级</t>
        </is>
      </c>
      <c r="Q2069" s="175" t="n">
        <v>0.99</v>
      </c>
      <c r="R2069" s="192" t="n">
        <v>9.9</v>
      </c>
      <c r="S2069" s="172" t="inlineStr">
        <is>
          <t>AAA</t>
        </is>
      </c>
      <c r="T2069" s="175" t="n">
        <v>0.0157</v>
      </c>
      <c r="U2069" s="172" t="inlineStr">
        <is>
          <t>兴银理财</t>
        </is>
      </c>
      <c r="V2069" s="191" t="n">
        <v>1.34</v>
      </c>
      <c r="W2069" s="172" t="n"/>
      <c r="X2069" s="172" t="n"/>
      <c r="Y2069" s="172" t="n"/>
    </row>
    <row r="2070">
      <c r="A2070" s="172" t="n">
        <v>118</v>
      </c>
      <c r="B2070" s="172" t="inlineStr">
        <is>
          <t>7月</t>
        </is>
      </c>
      <c r="C2070" s="172" t="inlineStr">
        <is>
          <t>企金</t>
        </is>
      </c>
      <c r="D2070" s="172" t="inlineStr">
        <is>
          <t>保理</t>
        </is>
      </c>
      <c r="E2070" s="172" t="inlineStr">
        <is>
          <t>京诚15-10</t>
        </is>
      </c>
      <c r="F2070" s="172" t="inlineStr">
        <is>
          <t>上交所</t>
        </is>
      </c>
      <c r="G2070" s="172" t="inlineStr">
        <is>
          <t>财通资管</t>
        </is>
      </c>
      <c r="H2070" s="172" t="inlineStr">
        <is>
          <t>信达证券</t>
        </is>
      </c>
      <c r="I2070" s="172" t="inlineStr">
        <is>
          <t>青岛银行</t>
        </is>
      </c>
      <c r="J2070" s="172" t="n">
        <v>10</v>
      </c>
      <c r="K2070" s="172" t="inlineStr">
        <is>
          <t>8+4</t>
        </is>
      </c>
      <c r="L2070" s="202" t="n">
        <v>46224</v>
      </c>
      <c r="M2070" s="175" t="n">
        <v>0.0148</v>
      </c>
      <c r="N2070" s="176" t="n">
        <v>0.0164</v>
      </c>
      <c r="O2070" s="191" t="n">
        <v>3.85</v>
      </c>
      <c r="P2070" s="172" t="inlineStr">
        <is>
          <t>次级</t>
        </is>
      </c>
      <c r="Q2070" s="175" t="n">
        <v>0.01</v>
      </c>
      <c r="R2070" s="192" t="n">
        <v>0.1</v>
      </c>
      <c r="S2070" s="175" t="inlineStr">
        <is>
          <t>无</t>
        </is>
      </c>
      <c r="T2070" s="175" t="n">
        <v>0.043</v>
      </c>
      <c r="U2070" s="172" t="inlineStr">
        <is>
          <t>华宝证券资管</t>
        </is>
      </c>
      <c r="V2070" s="172" t="n">
        <v>0.1</v>
      </c>
      <c r="W2070" s="172" t="n"/>
      <c r="X2070" s="172" t="n"/>
      <c r="Y2070" s="172" t="n"/>
    </row>
    <row r="2071">
      <c r="A2071" s="172" t="n">
        <v>119</v>
      </c>
      <c r="B2071" s="173" t="inlineStr">
        <is>
          <t>7月</t>
        </is>
      </c>
      <c r="C2071" s="173" t="inlineStr">
        <is>
          <t>消金</t>
        </is>
      </c>
      <c r="D2071" s="173" t="inlineStr">
        <is>
          <t>金条&amp;白取混发</t>
        </is>
      </c>
      <c r="E2071" s="173" t="inlineStr">
        <is>
          <t>耘睿28-1</t>
        </is>
      </c>
      <c r="F2071" s="173" t="inlineStr">
        <is>
          <t>上交所</t>
        </is>
      </c>
      <c r="G2071" s="173" t="inlineStr">
        <is>
          <t>财通资管</t>
        </is>
      </c>
      <c r="H2071" s="173" t="inlineStr">
        <is>
          <t>国信证券</t>
        </is>
      </c>
      <c r="I2071" s="173" t="inlineStr">
        <is>
          <t>江苏北分</t>
        </is>
      </c>
      <c r="J2071" s="172" t="n">
        <v>10</v>
      </c>
      <c r="K2071" s="173" t="inlineStr">
        <is>
          <t>22+24</t>
        </is>
      </c>
      <c r="L2071" s="202" t="n">
        <v>46224</v>
      </c>
      <c r="M2071" s="175" t="n">
        <v>0.0148</v>
      </c>
      <c r="N2071" s="176" t="n">
        <v>0.02386</v>
      </c>
      <c r="O2071" s="172" t="n">
        <v>2.14</v>
      </c>
      <c r="P2071" s="177" t="inlineStr">
        <is>
          <t>优先A</t>
        </is>
      </c>
      <c r="Q2071" s="178" t="n">
        <v>0.9</v>
      </c>
      <c r="R2071" s="179" t="n">
        <v>9</v>
      </c>
      <c r="S2071" s="177" t="inlineStr">
        <is>
          <t>AAA</t>
        </is>
      </c>
      <c r="T2071" s="178" t="n">
        <v>0.0182</v>
      </c>
      <c r="U2071" s="177" t="inlineStr">
        <is>
          <t>中金自营</t>
        </is>
      </c>
      <c r="V2071" s="192" t="n">
        <v>1</v>
      </c>
      <c r="W2071" s="172" t="n"/>
      <c r="X2071" s="172" t="n"/>
      <c r="Y2071" s="172" t="n"/>
    </row>
    <row r="2072">
      <c r="A2072" s="172" t="n">
        <v>119</v>
      </c>
      <c r="B2072" s="173" t="inlineStr">
        <is>
          <t>7月</t>
        </is>
      </c>
      <c r="C2072" s="173" t="inlineStr">
        <is>
          <t>消金</t>
        </is>
      </c>
      <c r="D2072" s="173" t="inlineStr">
        <is>
          <t>金条&amp;白取混发</t>
        </is>
      </c>
      <c r="E2072" s="173" t="inlineStr">
        <is>
          <t>耘睿28-1</t>
        </is>
      </c>
      <c r="F2072" s="173" t="inlineStr">
        <is>
          <t>上交所</t>
        </is>
      </c>
      <c r="G2072" s="173" t="inlineStr">
        <is>
          <t>财通资管</t>
        </is>
      </c>
      <c r="H2072" s="173" t="inlineStr">
        <is>
          <t>国信证券</t>
        </is>
      </c>
      <c r="I2072" s="173" t="inlineStr">
        <is>
          <t>江苏北分</t>
        </is>
      </c>
      <c r="J2072" s="172" t="n">
        <v>10</v>
      </c>
      <c r="K2072" s="173" t="inlineStr">
        <is>
          <t>22+24</t>
        </is>
      </c>
      <c r="L2072" s="202" t="n">
        <v>46224</v>
      </c>
      <c r="M2072" s="175" t="n">
        <v>0.0148</v>
      </c>
      <c r="N2072" s="176" t="n">
        <v>0.02386</v>
      </c>
      <c r="O2072" s="172" t="n">
        <v>2.14</v>
      </c>
      <c r="P2072" s="172" t="inlineStr">
        <is>
          <t>优先A</t>
        </is>
      </c>
      <c r="Q2072" s="178" t="n">
        <v>0.9</v>
      </c>
      <c r="R2072" s="179" t="n">
        <v>9</v>
      </c>
      <c r="S2072" s="177" t="inlineStr">
        <is>
          <t>AAA</t>
        </is>
      </c>
      <c r="T2072" s="178" t="n">
        <v>0.0182</v>
      </c>
      <c r="U2072" s="177" t="inlineStr">
        <is>
          <t>交银理财</t>
        </is>
      </c>
      <c r="V2072" s="192" t="n">
        <v>1.5</v>
      </c>
      <c r="W2072" s="172" t="n"/>
      <c r="X2072" s="172" t="n"/>
      <c r="Y2072" s="172" t="n"/>
    </row>
    <row r="2073">
      <c r="A2073" s="172" t="n">
        <v>119</v>
      </c>
      <c r="B2073" s="173" t="inlineStr">
        <is>
          <t>7月</t>
        </is>
      </c>
      <c r="C2073" s="173" t="inlineStr">
        <is>
          <t>消金</t>
        </is>
      </c>
      <c r="D2073" s="173" t="inlineStr">
        <is>
          <t>金条&amp;白取混发</t>
        </is>
      </c>
      <c r="E2073" s="173" t="inlineStr">
        <is>
          <t>耘睿28-1</t>
        </is>
      </c>
      <c r="F2073" s="173" t="inlineStr">
        <is>
          <t>上交所</t>
        </is>
      </c>
      <c r="G2073" s="173" t="inlineStr">
        <is>
          <t>财通资管</t>
        </is>
      </c>
      <c r="H2073" s="173" t="inlineStr">
        <is>
          <t>国信证券</t>
        </is>
      </c>
      <c r="I2073" s="173" t="inlineStr">
        <is>
          <t>江苏北分</t>
        </is>
      </c>
      <c r="J2073" s="172" t="n">
        <v>10</v>
      </c>
      <c r="K2073" s="173" t="inlineStr">
        <is>
          <t>22+24</t>
        </is>
      </c>
      <c r="L2073" s="202" t="n">
        <v>46224</v>
      </c>
      <c r="M2073" s="175" t="n">
        <v>0.0148</v>
      </c>
      <c r="N2073" s="176" t="n">
        <v>0.02386</v>
      </c>
      <c r="O2073" s="172" t="n">
        <v>2.14</v>
      </c>
      <c r="P2073" s="172" t="inlineStr">
        <is>
          <t>优先A</t>
        </is>
      </c>
      <c r="Q2073" s="178" t="n">
        <v>0.9</v>
      </c>
      <c r="R2073" s="179" t="n">
        <v>9</v>
      </c>
      <c r="S2073" s="177" t="inlineStr">
        <is>
          <t>AAA</t>
        </is>
      </c>
      <c r="T2073" s="178" t="n">
        <v>0.0182</v>
      </c>
      <c r="U2073" s="177" t="inlineStr">
        <is>
          <t>易方达基金</t>
        </is>
      </c>
      <c r="V2073" s="192" t="n">
        <v>2.5</v>
      </c>
      <c r="W2073" s="172" t="n"/>
      <c r="X2073" s="172" t="n"/>
      <c r="Y2073" s="172" t="n"/>
    </row>
    <row r="2074">
      <c r="A2074" s="172" t="n">
        <v>119</v>
      </c>
      <c r="B2074" s="173" t="inlineStr">
        <is>
          <t>7月</t>
        </is>
      </c>
      <c r="C2074" s="173" t="inlineStr">
        <is>
          <t>消金</t>
        </is>
      </c>
      <c r="D2074" s="173" t="inlineStr">
        <is>
          <t>金条&amp;白取混发</t>
        </is>
      </c>
      <c r="E2074" s="173" t="inlineStr">
        <is>
          <t>耘睿28-1</t>
        </is>
      </c>
      <c r="F2074" s="173" t="inlineStr">
        <is>
          <t>上交所</t>
        </is>
      </c>
      <c r="G2074" s="173" t="inlineStr">
        <is>
          <t>财通资管</t>
        </is>
      </c>
      <c r="H2074" s="173" t="inlineStr">
        <is>
          <t>国信证券</t>
        </is>
      </c>
      <c r="I2074" s="173" t="inlineStr">
        <is>
          <t>江苏北分</t>
        </is>
      </c>
      <c r="J2074" s="172" t="n">
        <v>10</v>
      </c>
      <c r="K2074" s="173" t="inlineStr">
        <is>
          <t>22+24</t>
        </is>
      </c>
      <c r="L2074" s="202" t="n">
        <v>46224</v>
      </c>
      <c r="M2074" s="175" t="n">
        <v>0.0148</v>
      </c>
      <c r="N2074" s="176" t="n">
        <v>0.02386</v>
      </c>
      <c r="O2074" s="172" t="n">
        <v>2.14</v>
      </c>
      <c r="P2074" s="172" t="inlineStr">
        <is>
          <t>优先A</t>
        </is>
      </c>
      <c r="Q2074" s="178" t="n">
        <v>0.9</v>
      </c>
      <c r="R2074" s="179" t="n">
        <v>9</v>
      </c>
      <c r="S2074" s="177" t="inlineStr">
        <is>
          <t>AAA</t>
        </is>
      </c>
      <c r="T2074" s="178" t="n">
        <v>0.0182</v>
      </c>
      <c r="U2074" s="177" t="inlineStr">
        <is>
          <t>华夏基金</t>
        </is>
      </c>
      <c r="V2074" s="192" t="n">
        <v>1.4</v>
      </c>
      <c r="W2074" s="172" t="n"/>
      <c r="X2074" s="172" t="n"/>
      <c r="Y2074" s="172" t="n"/>
    </row>
    <row r="2075">
      <c r="A2075" s="172" t="n">
        <v>119</v>
      </c>
      <c r="B2075" s="173" t="inlineStr">
        <is>
          <t>7月</t>
        </is>
      </c>
      <c r="C2075" s="173" t="inlineStr">
        <is>
          <t>消金</t>
        </is>
      </c>
      <c r="D2075" s="173" t="inlineStr">
        <is>
          <t>金条&amp;白取混发</t>
        </is>
      </c>
      <c r="E2075" s="173" t="inlineStr">
        <is>
          <t>耘睿28-1</t>
        </is>
      </c>
      <c r="F2075" s="173" t="inlineStr">
        <is>
          <t>上交所</t>
        </is>
      </c>
      <c r="G2075" s="173" t="inlineStr">
        <is>
          <t>财通资管</t>
        </is>
      </c>
      <c r="H2075" s="173" t="inlineStr">
        <is>
          <t>国信证券</t>
        </is>
      </c>
      <c r="I2075" s="173" t="inlineStr">
        <is>
          <t>江苏北分</t>
        </is>
      </c>
      <c r="J2075" s="172" t="n">
        <v>10</v>
      </c>
      <c r="K2075" s="173" t="inlineStr">
        <is>
          <t>22+24</t>
        </is>
      </c>
      <c r="L2075" s="202" t="n">
        <v>46224</v>
      </c>
      <c r="M2075" s="175" t="n">
        <v>0.0148</v>
      </c>
      <c r="N2075" s="176" t="n">
        <v>0.02386</v>
      </c>
      <c r="O2075" s="172" t="n">
        <v>2.14</v>
      </c>
      <c r="P2075" s="172" t="inlineStr">
        <is>
          <t>优先A</t>
        </is>
      </c>
      <c r="Q2075" s="178" t="n">
        <v>0.9</v>
      </c>
      <c r="R2075" s="179" t="n">
        <v>9</v>
      </c>
      <c r="S2075" s="177" t="inlineStr">
        <is>
          <t>AAA</t>
        </is>
      </c>
      <c r="T2075" s="178" t="n">
        <v>0.0182</v>
      </c>
      <c r="U2075" s="177" t="inlineStr">
        <is>
          <t>兴银理财</t>
        </is>
      </c>
      <c r="V2075" s="192" t="n">
        <v>1</v>
      </c>
      <c r="W2075" s="172" t="n"/>
      <c r="X2075" s="172" t="n"/>
      <c r="Y2075" s="172" t="n"/>
    </row>
    <row r="2076">
      <c r="A2076" s="172" t="n">
        <v>119</v>
      </c>
      <c r="B2076" s="173" t="inlineStr">
        <is>
          <t>7月</t>
        </is>
      </c>
      <c r="C2076" s="173" t="inlineStr">
        <is>
          <t>消金</t>
        </is>
      </c>
      <c r="D2076" s="173" t="inlineStr">
        <is>
          <t>金条&amp;白取混发</t>
        </is>
      </c>
      <c r="E2076" s="173" t="inlineStr">
        <is>
          <t>耘睿28-1</t>
        </is>
      </c>
      <c r="F2076" s="173" t="inlineStr">
        <is>
          <t>上交所</t>
        </is>
      </c>
      <c r="G2076" s="173" t="inlineStr">
        <is>
          <t>财通资管</t>
        </is>
      </c>
      <c r="H2076" s="173" t="inlineStr">
        <is>
          <t>国信证券</t>
        </is>
      </c>
      <c r="I2076" s="173" t="inlineStr">
        <is>
          <t>江苏北分</t>
        </is>
      </c>
      <c r="J2076" s="172" t="n">
        <v>10</v>
      </c>
      <c r="K2076" s="173" t="inlineStr">
        <is>
          <t>22+24</t>
        </is>
      </c>
      <c r="L2076" s="202" t="n">
        <v>46224</v>
      </c>
      <c r="M2076" s="175" t="n">
        <v>0.0148</v>
      </c>
      <c r="N2076" s="176" t="n">
        <v>0.02386</v>
      </c>
      <c r="O2076" s="172" t="n">
        <v>2.14</v>
      </c>
      <c r="P2076" s="172" t="inlineStr">
        <is>
          <t>优先A</t>
        </is>
      </c>
      <c r="Q2076" s="178" t="n">
        <v>0.9</v>
      </c>
      <c r="R2076" s="179" t="n">
        <v>9</v>
      </c>
      <c r="S2076" s="177" t="inlineStr">
        <is>
          <t>AAA</t>
        </is>
      </c>
      <c r="T2076" s="178" t="n">
        <v>0.0182</v>
      </c>
      <c r="U2076" s="177" t="inlineStr">
        <is>
          <t>上银理财</t>
        </is>
      </c>
      <c r="V2076" s="192" t="n">
        <v>1</v>
      </c>
      <c r="W2076" s="172" t="n"/>
      <c r="X2076" s="172" t="n"/>
      <c r="Y2076" s="172" t="n"/>
    </row>
    <row r="2077">
      <c r="A2077" s="172" t="n">
        <v>119</v>
      </c>
      <c r="B2077" s="173" t="inlineStr">
        <is>
          <t>7月</t>
        </is>
      </c>
      <c r="C2077" s="173" t="inlineStr">
        <is>
          <t>消金</t>
        </is>
      </c>
      <c r="D2077" s="173" t="inlineStr">
        <is>
          <t>金条&amp;白取混发</t>
        </is>
      </c>
      <c r="E2077" s="173" t="inlineStr">
        <is>
          <t>耘睿28-1</t>
        </is>
      </c>
      <c r="F2077" s="173" t="inlineStr">
        <is>
          <t>上交所</t>
        </is>
      </c>
      <c r="G2077" s="173" t="inlineStr">
        <is>
          <t>财通资管</t>
        </is>
      </c>
      <c r="H2077" s="173" t="inlineStr">
        <is>
          <t>国信证券</t>
        </is>
      </c>
      <c r="I2077" s="173" t="inlineStr">
        <is>
          <t>江苏北分</t>
        </is>
      </c>
      <c r="J2077" s="172" t="n">
        <v>10</v>
      </c>
      <c r="K2077" s="173" t="inlineStr">
        <is>
          <t>22+24</t>
        </is>
      </c>
      <c r="L2077" s="202" t="n">
        <v>46224</v>
      </c>
      <c r="M2077" s="175" t="n">
        <v>0.0148</v>
      </c>
      <c r="N2077" s="176" t="n">
        <v>0.02386</v>
      </c>
      <c r="O2077" s="172" t="n">
        <v>2.14</v>
      </c>
      <c r="P2077" s="172" t="inlineStr">
        <is>
          <t>优先A</t>
        </is>
      </c>
      <c r="Q2077" s="178" t="n">
        <v>0.9</v>
      </c>
      <c r="R2077" s="179" t="n">
        <v>9</v>
      </c>
      <c r="S2077" s="177" t="inlineStr">
        <is>
          <t>AAA</t>
        </is>
      </c>
      <c r="T2077" s="178" t="n">
        <v>0.0182</v>
      </c>
      <c r="U2077" s="177" t="inlineStr">
        <is>
          <t>建信信托</t>
        </is>
      </c>
      <c r="V2077" s="192" t="n">
        <v>0.6</v>
      </c>
      <c r="W2077" s="172" t="n"/>
      <c r="X2077" s="172" t="n"/>
      <c r="Y2077" s="172" t="n"/>
    </row>
    <row r="2078">
      <c r="A2078" s="172" t="n">
        <v>119</v>
      </c>
      <c r="B2078" s="173" t="inlineStr">
        <is>
          <t>7月</t>
        </is>
      </c>
      <c r="C2078" s="173" t="inlineStr">
        <is>
          <t>消金</t>
        </is>
      </c>
      <c r="D2078" s="173" t="inlineStr">
        <is>
          <t>金条&amp;白取混发</t>
        </is>
      </c>
      <c r="E2078" s="173" t="inlineStr">
        <is>
          <t>耘睿28-1</t>
        </is>
      </c>
      <c r="F2078" s="173" t="inlineStr">
        <is>
          <t>上交所</t>
        </is>
      </c>
      <c r="G2078" s="173" t="inlineStr">
        <is>
          <t>财通资管</t>
        </is>
      </c>
      <c r="H2078" s="173" t="inlineStr">
        <is>
          <t>国信证券</t>
        </is>
      </c>
      <c r="I2078" s="173" t="inlineStr">
        <is>
          <t>江苏北分</t>
        </is>
      </c>
      <c r="J2078" s="172" t="n">
        <v>10</v>
      </c>
      <c r="K2078" s="173" t="inlineStr">
        <is>
          <t>22+24</t>
        </is>
      </c>
      <c r="L2078" s="202" t="n">
        <v>46224</v>
      </c>
      <c r="M2078" s="175" t="n">
        <v>0.0148</v>
      </c>
      <c r="N2078" s="176" t="n">
        <v>0.02386</v>
      </c>
      <c r="O2078" s="172" t="n">
        <v>2.14</v>
      </c>
      <c r="P2078" s="177" t="inlineStr">
        <is>
          <t>优先B</t>
        </is>
      </c>
      <c r="Q2078" s="178" t="n">
        <v>0.03</v>
      </c>
      <c r="R2078" s="179" t="n">
        <v>0.3</v>
      </c>
      <c r="S2078" s="177" t="inlineStr">
        <is>
          <t>AA+</t>
        </is>
      </c>
      <c r="T2078" s="178" t="n">
        <v>0.0185</v>
      </c>
      <c r="U2078" s="177" t="inlineStr">
        <is>
          <t>交银理财</t>
        </is>
      </c>
      <c r="V2078" s="192" t="n">
        <v>0.09</v>
      </c>
      <c r="W2078" s="172" t="n"/>
      <c r="X2078" s="172" t="n"/>
      <c r="Y2078" s="172" t="n"/>
    </row>
    <row r="2079">
      <c r="A2079" s="172" t="n">
        <v>119</v>
      </c>
      <c r="B2079" s="173" t="inlineStr">
        <is>
          <t>7月</t>
        </is>
      </c>
      <c r="C2079" s="173" t="inlineStr">
        <is>
          <t>消金</t>
        </is>
      </c>
      <c r="D2079" s="173" t="inlineStr">
        <is>
          <t>金条&amp;白取混发</t>
        </is>
      </c>
      <c r="E2079" s="173" t="inlineStr">
        <is>
          <t>耘睿28-1</t>
        </is>
      </c>
      <c r="F2079" s="173" t="inlineStr">
        <is>
          <t>上交所</t>
        </is>
      </c>
      <c r="G2079" s="173" t="inlineStr">
        <is>
          <t>财通资管</t>
        </is>
      </c>
      <c r="H2079" s="173" t="inlineStr">
        <is>
          <t>国信证券</t>
        </is>
      </c>
      <c r="I2079" s="173" t="inlineStr">
        <is>
          <t>江苏北分</t>
        </is>
      </c>
      <c r="J2079" s="172" t="n">
        <v>10</v>
      </c>
      <c r="K2079" s="173" t="inlineStr">
        <is>
          <t>22+24</t>
        </is>
      </c>
      <c r="L2079" s="202" t="n">
        <v>46224</v>
      </c>
      <c r="M2079" s="175" t="n">
        <v>0.0148</v>
      </c>
      <c r="N2079" s="176" t="n">
        <v>0.02386</v>
      </c>
      <c r="O2079" s="172" t="n">
        <v>2.14</v>
      </c>
      <c r="P2079" s="172" t="inlineStr">
        <is>
          <t>优先B</t>
        </is>
      </c>
      <c r="Q2079" s="178" t="n">
        <v>0.03</v>
      </c>
      <c r="R2079" s="179" t="n">
        <v>0.3</v>
      </c>
      <c r="S2079" s="177" t="inlineStr">
        <is>
          <t>AA+</t>
        </is>
      </c>
      <c r="T2079" s="178" t="n">
        <v>0.0185</v>
      </c>
      <c r="U2079" s="177" t="inlineStr">
        <is>
          <t>建信信托</t>
        </is>
      </c>
      <c r="V2079" s="192" t="n">
        <v>0.15</v>
      </c>
      <c r="W2079" s="172" t="n"/>
      <c r="X2079" s="172" t="n"/>
      <c r="Y2079" s="172" t="n"/>
    </row>
    <row r="2080">
      <c r="A2080" s="172" t="n">
        <v>119</v>
      </c>
      <c r="B2080" s="173" t="inlineStr">
        <is>
          <t>7月</t>
        </is>
      </c>
      <c r="C2080" s="173" t="inlineStr">
        <is>
          <t>消金</t>
        </is>
      </c>
      <c r="D2080" s="173" t="inlineStr">
        <is>
          <t>金条&amp;白取混发</t>
        </is>
      </c>
      <c r="E2080" s="173" t="inlineStr">
        <is>
          <t>耘睿28-1</t>
        </is>
      </c>
      <c r="F2080" s="173" t="inlineStr">
        <is>
          <t>上交所</t>
        </is>
      </c>
      <c r="G2080" s="173" t="inlineStr">
        <is>
          <t>财通资管</t>
        </is>
      </c>
      <c r="H2080" s="173" t="inlineStr">
        <is>
          <t>国信证券</t>
        </is>
      </c>
      <c r="I2080" s="173" t="inlineStr">
        <is>
          <t>江苏北分</t>
        </is>
      </c>
      <c r="J2080" s="172" t="n">
        <v>10</v>
      </c>
      <c r="K2080" s="173" t="inlineStr">
        <is>
          <t>22+24</t>
        </is>
      </c>
      <c r="L2080" s="202" t="n">
        <v>46224</v>
      </c>
      <c r="M2080" s="175" t="n">
        <v>0.0148</v>
      </c>
      <c r="N2080" s="176" t="n">
        <v>0.02386</v>
      </c>
      <c r="O2080" s="172" t="n">
        <v>2.14</v>
      </c>
      <c r="P2080" s="172" t="inlineStr">
        <is>
          <t>优先B</t>
        </is>
      </c>
      <c r="Q2080" s="178" t="n">
        <v>0.03</v>
      </c>
      <c r="R2080" s="179" t="n">
        <v>0.3</v>
      </c>
      <c r="S2080" s="177" t="inlineStr">
        <is>
          <t>AA+</t>
        </is>
      </c>
      <c r="T2080" s="178" t="n">
        <v>0.0185</v>
      </c>
      <c r="U2080" s="177" t="inlineStr">
        <is>
          <t>中金自营</t>
        </is>
      </c>
      <c r="V2080" s="192" t="n">
        <v>0.06</v>
      </c>
      <c r="W2080" s="172" t="n"/>
      <c r="X2080" s="172" t="n"/>
      <c r="Y2080" s="172" t="n"/>
    </row>
    <row r="2081">
      <c r="A2081" s="172" t="n">
        <v>119</v>
      </c>
      <c r="B2081" s="173" t="inlineStr">
        <is>
          <t>7月</t>
        </is>
      </c>
      <c r="C2081" s="173" t="inlineStr">
        <is>
          <t>消金</t>
        </is>
      </c>
      <c r="D2081" s="173" t="inlineStr">
        <is>
          <t>金条&amp;白取混发</t>
        </is>
      </c>
      <c r="E2081" s="173" t="inlineStr">
        <is>
          <t>耘睿28-1</t>
        </is>
      </c>
      <c r="F2081" s="173" t="inlineStr">
        <is>
          <t>上交所</t>
        </is>
      </c>
      <c r="G2081" s="173" t="inlineStr">
        <is>
          <t>财通资管</t>
        </is>
      </c>
      <c r="H2081" s="173" t="inlineStr">
        <is>
          <t>国信证券</t>
        </is>
      </c>
      <c r="I2081" s="173" t="inlineStr">
        <is>
          <t>江苏北分</t>
        </is>
      </c>
      <c r="J2081" s="172" t="n">
        <v>10</v>
      </c>
      <c r="K2081" s="173" t="inlineStr">
        <is>
          <t>22+24</t>
        </is>
      </c>
      <c r="L2081" s="202" t="n">
        <v>46224</v>
      </c>
      <c r="M2081" s="175" t="n">
        <v>0.0148</v>
      </c>
      <c r="N2081" s="176" t="n">
        <v>0.02386</v>
      </c>
      <c r="O2081" s="172" t="n">
        <v>2.14</v>
      </c>
      <c r="P2081" s="177" t="inlineStr">
        <is>
          <t>中间级</t>
        </is>
      </c>
      <c r="Q2081" s="178" t="n">
        <v>0.02</v>
      </c>
      <c r="R2081" s="179" t="n">
        <v>0.2</v>
      </c>
      <c r="S2081" s="177" t="inlineStr">
        <is>
          <t>A+</t>
        </is>
      </c>
      <c r="T2081" s="178" t="n">
        <v>0.032</v>
      </c>
      <c r="U2081" s="177" t="inlineStr">
        <is>
          <t>中信证券自营</t>
        </is>
      </c>
      <c r="V2081" s="192" t="n">
        <v>0.1</v>
      </c>
      <c r="W2081" s="172" t="n"/>
      <c r="X2081" s="172" t="n"/>
      <c r="Y2081" s="172" t="n"/>
    </row>
    <row r="2082">
      <c r="A2082" s="172" t="n">
        <v>119</v>
      </c>
      <c r="B2082" s="173" t="inlineStr">
        <is>
          <t>7月</t>
        </is>
      </c>
      <c r="C2082" s="173" t="inlineStr">
        <is>
          <t>消金</t>
        </is>
      </c>
      <c r="D2082" s="173" t="inlineStr">
        <is>
          <t>金条&amp;白取混发</t>
        </is>
      </c>
      <c r="E2082" s="173" t="inlineStr">
        <is>
          <t>耘睿28-1</t>
        </is>
      </c>
      <c r="F2082" s="173" t="inlineStr">
        <is>
          <t>上交所</t>
        </is>
      </c>
      <c r="G2082" s="173" t="inlineStr">
        <is>
          <t>财通资管</t>
        </is>
      </c>
      <c r="H2082" s="173" t="inlineStr">
        <is>
          <t>国信证券</t>
        </is>
      </c>
      <c r="I2082" s="173" t="inlineStr">
        <is>
          <t>江苏北分</t>
        </is>
      </c>
      <c r="J2082" s="172" t="n">
        <v>10</v>
      </c>
      <c r="K2082" s="173" t="inlineStr">
        <is>
          <t>22+24</t>
        </is>
      </c>
      <c r="L2082" s="202" t="n">
        <v>46224</v>
      </c>
      <c r="M2082" s="175" t="n">
        <v>0.0148</v>
      </c>
      <c r="N2082" s="176" t="n">
        <v>0.02386</v>
      </c>
      <c r="O2082" s="172" t="n">
        <v>2.14</v>
      </c>
      <c r="P2082" s="172" t="inlineStr">
        <is>
          <t>中间级</t>
        </is>
      </c>
      <c r="Q2082" s="178" t="n">
        <v>0.02</v>
      </c>
      <c r="R2082" s="179" t="n">
        <v>0.2</v>
      </c>
      <c r="S2082" s="177" t="inlineStr">
        <is>
          <t>A+</t>
        </is>
      </c>
      <c r="T2082" s="178" t="n">
        <v>0.032</v>
      </c>
      <c r="U2082" s="177" t="inlineStr">
        <is>
          <t>中信建投机构部</t>
        </is>
      </c>
      <c r="V2082" s="192" t="n">
        <v>0.1</v>
      </c>
      <c r="W2082" s="172" t="n"/>
      <c r="X2082" s="172" t="n"/>
      <c r="Y2082" s="172" t="n"/>
    </row>
    <row r="2083">
      <c r="A2083" s="172" t="n">
        <v>119</v>
      </c>
      <c r="B2083" s="173" t="inlineStr">
        <is>
          <t>7月</t>
        </is>
      </c>
      <c r="C2083" s="173" t="inlineStr">
        <is>
          <t>消金</t>
        </is>
      </c>
      <c r="D2083" s="173" t="inlineStr">
        <is>
          <t>金条&amp;白取混发</t>
        </is>
      </c>
      <c r="E2083" s="173" t="inlineStr">
        <is>
          <t>耘睿28-1</t>
        </is>
      </c>
      <c r="F2083" s="173" t="inlineStr">
        <is>
          <t>上交所</t>
        </is>
      </c>
      <c r="G2083" s="173" t="inlineStr">
        <is>
          <t>财通资管</t>
        </is>
      </c>
      <c r="H2083" s="173" t="inlineStr">
        <is>
          <t>国信证券</t>
        </is>
      </c>
      <c r="I2083" s="173" t="inlineStr">
        <is>
          <t>江苏北分</t>
        </is>
      </c>
      <c r="J2083" s="172" t="n">
        <v>10</v>
      </c>
      <c r="K2083" s="173" t="inlineStr">
        <is>
          <t>22+24</t>
        </is>
      </c>
      <c r="L2083" s="202" t="n">
        <v>46224</v>
      </c>
      <c r="M2083" s="175" t="n">
        <v>0.0148</v>
      </c>
      <c r="N2083" s="176" t="n">
        <v>0.02386</v>
      </c>
      <c r="O2083" s="172" t="n">
        <v>2.14</v>
      </c>
      <c r="P2083" s="177" t="inlineStr">
        <is>
          <t>受益权</t>
        </is>
      </c>
      <c r="Q2083" s="178" t="n">
        <v>0.05</v>
      </c>
      <c r="R2083" s="179" t="n">
        <v>0.5</v>
      </c>
      <c r="S2083" s="177" t="inlineStr">
        <is>
          <t>无</t>
        </is>
      </c>
      <c r="T2083" s="178" t="n">
        <v>0.0495</v>
      </c>
      <c r="U2083" s="177" t="inlineStr">
        <is>
          <t>国信证券自营</t>
        </is>
      </c>
      <c r="V2083" s="195" t="n">
        <v>0.425</v>
      </c>
      <c r="W2083" s="172" t="n"/>
      <c r="X2083" s="172" t="n"/>
      <c r="Y2083" s="172" t="n"/>
    </row>
    <row r="2084">
      <c r="A2084" s="172" t="n">
        <v>119</v>
      </c>
      <c r="B2084" s="173" t="inlineStr">
        <is>
          <t>7月</t>
        </is>
      </c>
      <c r="C2084" s="173" t="inlineStr">
        <is>
          <t>消金</t>
        </is>
      </c>
      <c r="D2084" s="173" t="inlineStr">
        <is>
          <t>金条&amp;白取混发</t>
        </is>
      </c>
      <c r="E2084" s="173" t="inlineStr">
        <is>
          <t>耘睿28-1</t>
        </is>
      </c>
      <c r="F2084" s="173" t="inlineStr">
        <is>
          <t>上交所</t>
        </is>
      </c>
      <c r="G2084" s="173" t="inlineStr">
        <is>
          <t>财通资管</t>
        </is>
      </c>
      <c r="H2084" s="173" t="inlineStr">
        <is>
          <t>国信证券</t>
        </is>
      </c>
      <c r="I2084" s="173" t="inlineStr">
        <is>
          <t>江苏北分</t>
        </is>
      </c>
      <c r="J2084" s="172" t="n">
        <v>10</v>
      </c>
      <c r="K2084" s="173" t="inlineStr">
        <is>
          <t>22+24</t>
        </is>
      </c>
      <c r="L2084" s="202" t="n">
        <v>46224</v>
      </c>
      <c r="M2084" s="175" t="n">
        <v>0.0148</v>
      </c>
      <c r="N2084" s="176" t="n">
        <v>0.02386</v>
      </c>
      <c r="O2084" s="172" t="n">
        <v>2.14</v>
      </c>
      <c r="P2084" s="172" t="inlineStr">
        <is>
          <t>受益权</t>
        </is>
      </c>
      <c r="Q2084" s="178" t="n">
        <v>0.05</v>
      </c>
      <c r="R2084" s="179" t="n">
        <v>0.5</v>
      </c>
      <c r="S2084" s="177" t="inlineStr">
        <is>
          <t>无</t>
        </is>
      </c>
      <c r="T2084" s="178" t="n">
        <v>0.0495</v>
      </c>
      <c r="U2084" s="177" t="inlineStr">
        <is>
          <t>国元证券自营</t>
        </is>
      </c>
      <c r="V2084" s="195" t="n">
        <v>0.075</v>
      </c>
      <c r="W2084" s="172" t="n"/>
      <c r="X2084" s="172" t="n"/>
      <c r="Y2084" s="172" t="n"/>
    </row>
    <row r="2085">
      <c r="A2085" s="172" t="n">
        <v>120</v>
      </c>
      <c r="B2085" s="173" t="inlineStr">
        <is>
          <t>7月</t>
        </is>
      </c>
      <c r="C2085" s="173" t="inlineStr">
        <is>
          <t>消金</t>
        </is>
      </c>
      <c r="D2085" s="173" t="inlineStr">
        <is>
          <t>金条&amp;白取混发</t>
        </is>
      </c>
      <c r="E2085" s="173" t="inlineStr">
        <is>
          <t>耘睿28-2</t>
        </is>
      </c>
      <c r="F2085" s="173" t="inlineStr">
        <is>
          <t>上交所</t>
        </is>
      </c>
      <c r="G2085" s="173" t="inlineStr">
        <is>
          <t>招商证券</t>
        </is>
      </c>
      <c r="H2085" s="173" t="inlineStr">
        <is>
          <t>中泰证券</t>
        </is>
      </c>
      <c r="I2085" s="173" t="inlineStr">
        <is>
          <t>民生北分</t>
        </is>
      </c>
      <c r="J2085" s="172" t="n">
        <v>10</v>
      </c>
      <c r="K2085" s="173" t="inlineStr">
        <is>
          <t>22+24</t>
        </is>
      </c>
      <c r="L2085" s="202" t="n">
        <v>46226</v>
      </c>
      <c r="M2085" s="175" t="n">
        <v>0.0147</v>
      </c>
      <c r="N2085" s="176" t="n">
        <v>0.02385</v>
      </c>
      <c r="O2085" s="172" t="n">
        <v>1.87</v>
      </c>
      <c r="P2085" s="177" t="inlineStr">
        <is>
          <t>优先A</t>
        </is>
      </c>
      <c r="Q2085" s="178" t="n">
        <v>0.9</v>
      </c>
      <c r="R2085" s="179" t="n">
        <v>9</v>
      </c>
      <c r="S2085" s="177" t="inlineStr">
        <is>
          <t>AAA</t>
        </is>
      </c>
      <c r="T2085" s="178" t="n">
        <v>0.0182</v>
      </c>
      <c r="U2085" s="177" t="inlineStr">
        <is>
          <t>中金自营</t>
        </is>
      </c>
      <c r="V2085" s="192" t="n">
        <v>0.9</v>
      </c>
      <c r="W2085" s="172" t="n"/>
      <c r="X2085" s="172" t="n"/>
      <c r="Y2085" s="172" t="n"/>
    </row>
    <row r="2086">
      <c r="A2086" s="172" t="n">
        <v>120</v>
      </c>
      <c r="B2086" s="173" t="inlineStr">
        <is>
          <t>7月</t>
        </is>
      </c>
      <c r="C2086" s="173" t="inlineStr">
        <is>
          <t>消金</t>
        </is>
      </c>
      <c r="D2086" s="173" t="inlineStr">
        <is>
          <t>金条&amp;白取混发</t>
        </is>
      </c>
      <c r="E2086" s="173" t="inlineStr">
        <is>
          <t>耘睿28-2</t>
        </is>
      </c>
      <c r="F2086" s="173" t="inlineStr">
        <is>
          <t>上交所</t>
        </is>
      </c>
      <c r="G2086" s="173" t="inlineStr">
        <is>
          <t>招商证券</t>
        </is>
      </c>
      <c r="H2086" s="173" t="inlineStr">
        <is>
          <t>中泰证券</t>
        </is>
      </c>
      <c r="I2086" s="173" t="inlineStr">
        <is>
          <t>民生北分</t>
        </is>
      </c>
      <c r="J2086" s="172" t="n">
        <v>10</v>
      </c>
      <c r="K2086" s="173" t="inlineStr">
        <is>
          <t>22+24</t>
        </is>
      </c>
      <c r="L2086" s="202" t="n">
        <v>46226</v>
      </c>
      <c r="M2086" s="175" t="n">
        <v>0.0147</v>
      </c>
      <c r="N2086" s="176" t="n">
        <v>0.02385</v>
      </c>
      <c r="O2086" s="172" t="n">
        <v>1.87</v>
      </c>
      <c r="P2086" s="172" t="inlineStr">
        <is>
          <t>优先A</t>
        </is>
      </c>
      <c r="Q2086" s="178" t="n">
        <v>0.9</v>
      </c>
      <c r="R2086" s="179" t="n">
        <v>9</v>
      </c>
      <c r="S2086" s="177" t="inlineStr">
        <is>
          <t>AAA</t>
        </is>
      </c>
      <c r="T2086" s="178" t="n">
        <v>0.0182</v>
      </c>
      <c r="U2086" s="177" t="inlineStr">
        <is>
          <t>易方达基金</t>
        </is>
      </c>
      <c r="V2086" s="192" t="n">
        <v>2.7</v>
      </c>
      <c r="W2086" s="175" t="n">
        <v>0.0182</v>
      </c>
      <c r="X2086" s="172" t="inlineStr">
        <is>
          <t>易方达基金</t>
        </is>
      </c>
      <c r="Y2086" s="191" t="n">
        <v>4.5</v>
      </c>
    </row>
    <row r="2087">
      <c r="A2087" s="172" t="n">
        <v>120</v>
      </c>
      <c r="B2087" s="173" t="inlineStr">
        <is>
          <t>7月</t>
        </is>
      </c>
      <c r="C2087" s="173" t="inlineStr">
        <is>
          <t>消金</t>
        </is>
      </c>
      <c r="D2087" s="173" t="inlineStr">
        <is>
          <t>金条&amp;白取混发</t>
        </is>
      </c>
      <c r="E2087" s="173" t="inlineStr">
        <is>
          <t>耘睿28-2</t>
        </is>
      </c>
      <c r="F2087" s="173" t="inlineStr">
        <is>
          <t>上交所</t>
        </is>
      </c>
      <c r="G2087" s="173" t="inlineStr">
        <is>
          <t>招商证券</t>
        </is>
      </c>
      <c r="H2087" s="173" t="inlineStr">
        <is>
          <t>中泰证券</t>
        </is>
      </c>
      <c r="I2087" s="173" t="inlineStr">
        <is>
          <t>民生北分</t>
        </is>
      </c>
      <c r="J2087" s="172" t="n">
        <v>10</v>
      </c>
      <c r="K2087" s="173" t="inlineStr">
        <is>
          <t>22+24</t>
        </is>
      </c>
      <c r="L2087" s="202" t="n">
        <v>46226</v>
      </c>
      <c r="M2087" s="175" t="n">
        <v>0.0147</v>
      </c>
      <c r="N2087" s="176" t="n">
        <v>0.02385</v>
      </c>
      <c r="O2087" s="172" t="n">
        <v>1.87</v>
      </c>
      <c r="P2087" s="172" t="inlineStr">
        <is>
          <t>优先A</t>
        </is>
      </c>
      <c r="Q2087" s="178" t="n">
        <v>0.9</v>
      </c>
      <c r="R2087" s="179" t="n">
        <v>9</v>
      </c>
      <c r="S2087" s="177" t="inlineStr">
        <is>
          <t>AAA</t>
        </is>
      </c>
      <c r="T2087" s="178" t="n">
        <v>0.0182</v>
      </c>
      <c r="U2087" s="177" t="inlineStr">
        <is>
          <t>上银理财</t>
        </is>
      </c>
      <c r="V2087" s="192" t="n">
        <v>0.2</v>
      </c>
      <c r="W2087" s="175" t="n">
        <v>0.0182</v>
      </c>
      <c r="X2087" s="172" t="inlineStr">
        <is>
          <t>上银理财</t>
        </is>
      </c>
      <c r="Y2087" s="191" t="n">
        <v>0.2</v>
      </c>
    </row>
    <row r="2088">
      <c r="A2088" s="172" t="n">
        <v>120</v>
      </c>
      <c r="B2088" s="173" t="inlineStr">
        <is>
          <t>7月</t>
        </is>
      </c>
      <c r="C2088" s="173" t="inlineStr">
        <is>
          <t>消金</t>
        </is>
      </c>
      <c r="D2088" s="173" t="inlineStr">
        <is>
          <t>金条&amp;白取混发</t>
        </is>
      </c>
      <c r="E2088" s="173" t="inlineStr">
        <is>
          <t>耘睿28-2</t>
        </is>
      </c>
      <c r="F2088" s="173" t="inlineStr">
        <is>
          <t>上交所</t>
        </is>
      </c>
      <c r="G2088" s="173" t="inlineStr">
        <is>
          <t>招商证券</t>
        </is>
      </c>
      <c r="H2088" s="173" t="inlineStr">
        <is>
          <t>中泰证券</t>
        </is>
      </c>
      <c r="I2088" s="173" t="inlineStr">
        <is>
          <t>民生北分</t>
        </is>
      </c>
      <c r="J2088" s="172" t="n">
        <v>10</v>
      </c>
      <c r="K2088" s="173" t="inlineStr">
        <is>
          <t>22+24</t>
        </is>
      </c>
      <c r="L2088" s="202" t="n">
        <v>46226</v>
      </c>
      <c r="M2088" s="175" t="n">
        <v>0.0147</v>
      </c>
      <c r="N2088" s="176" t="n">
        <v>0.02385</v>
      </c>
      <c r="O2088" s="172" t="n">
        <v>1.87</v>
      </c>
      <c r="P2088" s="172" t="inlineStr">
        <is>
          <t>优先A</t>
        </is>
      </c>
      <c r="Q2088" s="178" t="n">
        <v>0.9</v>
      </c>
      <c r="R2088" s="179" t="n">
        <v>9</v>
      </c>
      <c r="S2088" s="177" t="inlineStr">
        <is>
          <t>AAA</t>
        </is>
      </c>
      <c r="T2088" s="178" t="n">
        <v>0.0182</v>
      </c>
      <c r="U2088" s="177" t="inlineStr">
        <is>
          <t>交银理财</t>
        </is>
      </c>
      <c r="V2088" s="192" t="n">
        <v>1.64</v>
      </c>
      <c r="W2088" s="175" t="n">
        <v>0.0182</v>
      </c>
      <c r="X2088" s="172" t="inlineStr">
        <is>
          <t>交银理财</t>
        </is>
      </c>
      <c r="Y2088" s="191" t="n">
        <v>2.7</v>
      </c>
    </row>
    <row r="2089">
      <c r="A2089" s="172" t="n">
        <v>120</v>
      </c>
      <c r="B2089" s="173" t="inlineStr">
        <is>
          <t>7月</t>
        </is>
      </c>
      <c r="C2089" s="173" t="inlineStr">
        <is>
          <t>消金</t>
        </is>
      </c>
      <c r="D2089" s="173" t="inlineStr">
        <is>
          <t>金条&amp;白取混发</t>
        </is>
      </c>
      <c r="E2089" s="173" t="inlineStr">
        <is>
          <t>耘睿28-2</t>
        </is>
      </c>
      <c r="F2089" s="173" t="inlineStr">
        <is>
          <t>上交所</t>
        </is>
      </c>
      <c r="G2089" s="173" t="inlineStr">
        <is>
          <t>招商证券</t>
        </is>
      </c>
      <c r="H2089" s="173" t="inlineStr">
        <is>
          <t>中泰证券</t>
        </is>
      </c>
      <c r="I2089" s="173" t="inlineStr">
        <is>
          <t>民生北分</t>
        </is>
      </c>
      <c r="J2089" s="172" t="n">
        <v>10</v>
      </c>
      <c r="K2089" s="173" t="inlineStr">
        <is>
          <t>22+24</t>
        </is>
      </c>
      <c r="L2089" s="202" t="n">
        <v>46226</v>
      </c>
      <c r="M2089" s="175" t="n">
        <v>0.0147</v>
      </c>
      <c r="N2089" s="176" t="n">
        <v>0.02385</v>
      </c>
      <c r="O2089" s="172" t="n">
        <v>1.87</v>
      </c>
      <c r="P2089" s="172" t="inlineStr">
        <is>
          <t>优先A</t>
        </is>
      </c>
      <c r="Q2089" s="178" t="n">
        <v>0.9</v>
      </c>
      <c r="R2089" s="179" t="n">
        <v>9</v>
      </c>
      <c r="S2089" s="177" t="inlineStr">
        <is>
          <t>AAA</t>
        </is>
      </c>
      <c r="T2089" s="178" t="n">
        <v>0.0182</v>
      </c>
      <c r="U2089" s="177" t="inlineStr">
        <is>
          <t>建信信托</t>
        </is>
      </c>
      <c r="V2089" s="192" t="n">
        <v>0.9</v>
      </c>
      <c r="W2089" s="175" t="n">
        <v>0.0182</v>
      </c>
      <c r="X2089" s="172" t="inlineStr">
        <is>
          <t>建信信托</t>
        </is>
      </c>
      <c r="Y2089" s="191" t="n">
        <v>1.5</v>
      </c>
    </row>
    <row r="2090">
      <c r="A2090" s="172" t="n">
        <v>120</v>
      </c>
      <c r="B2090" s="173" t="inlineStr">
        <is>
          <t>7月</t>
        </is>
      </c>
      <c r="C2090" s="173" t="inlineStr">
        <is>
          <t>消金</t>
        </is>
      </c>
      <c r="D2090" s="173" t="inlineStr">
        <is>
          <t>金条&amp;白取混发</t>
        </is>
      </c>
      <c r="E2090" s="173" t="inlineStr">
        <is>
          <t>耘睿28-2</t>
        </is>
      </c>
      <c r="F2090" s="173" t="inlineStr">
        <is>
          <t>上交所</t>
        </is>
      </c>
      <c r="G2090" s="173" t="inlineStr">
        <is>
          <t>招商证券</t>
        </is>
      </c>
      <c r="H2090" s="173" t="inlineStr">
        <is>
          <t>中泰证券</t>
        </is>
      </c>
      <c r="I2090" s="173" t="inlineStr">
        <is>
          <t>民生北分</t>
        </is>
      </c>
      <c r="J2090" s="172" t="n">
        <v>10</v>
      </c>
      <c r="K2090" s="173" t="inlineStr">
        <is>
          <t>22+24</t>
        </is>
      </c>
      <c r="L2090" s="202" t="n">
        <v>46226</v>
      </c>
      <c r="M2090" s="175" t="n">
        <v>0.0147</v>
      </c>
      <c r="N2090" s="176" t="n">
        <v>0.02385</v>
      </c>
      <c r="O2090" s="172" t="n">
        <v>1.87</v>
      </c>
      <c r="P2090" s="172" t="inlineStr">
        <is>
          <t>优先A</t>
        </is>
      </c>
      <c r="Q2090" s="178" t="n">
        <v>0.9</v>
      </c>
      <c r="R2090" s="179" t="n">
        <v>9</v>
      </c>
      <c r="S2090" s="177" t="inlineStr">
        <is>
          <t>AAA</t>
        </is>
      </c>
      <c r="T2090" s="178" t="n">
        <v>0.0182</v>
      </c>
      <c r="U2090" s="177" t="inlineStr">
        <is>
          <t>华夏基金</t>
        </is>
      </c>
      <c r="V2090" s="192" t="n">
        <v>1.2</v>
      </c>
      <c r="W2090" s="175" t="n">
        <v>0.0182</v>
      </c>
      <c r="X2090" s="172" t="inlineStr">
        <is>
          <t>华夏基金</t>
        </is>
      </c>
      <c r="Y2090" s="191" t="n">
        <v>2</v>
      </c>
    </row>
    <row r="2091">
      <c r="A2091" s="172" t="n">
        <v>120</v>
      </c>
      <c r="B2091" s="173" t="inlineStr">
        <is>
          <t>7月</t>
        </is>
      </c>
      <c r="C2091" s="173" t="inlineStr">
        <is>
          <t>消金</t>
        </is>
      </c>
      <c r="D2091" s="173" t="inlineStr">
        <is>
          <t>金条&amp;白取混发</t>
        </is>
      </c>
      <c r="E2091" s="173" t="inlineStr">
        <is>
          <t>耘睿28-2</t>
        </is>
      </c>
      <c r="F2091" s="173" t="inlineStr">
        <is>
          <t>上交所</t>
        </is>
      </c>
      <c r="G2091" s="173" t="inlineStr">
        <is>
          <t>招商证券</t>
        </is>
      </c>
      <c r="H2091" s="173" t="inlineStr">
        <is>
          <t>中泰证券</t>
        </is>
      </c>
      <c r="I2091" s="173" t="inlineStr">
        <is>
          <t>民生北分</t>
        </is>
      </c>
      <c r="J2091" s="172" t="n">
        <v>10</v>
      </c>
      <c r="K2091" s="173" t="inlineStr">
        <is>
          <t>22+24</t>
        </is>
      </c>
      <c r="L2091" s="202" t="n">
        <v>46226</v>
      </c>
      <c r="M2091" s="175" t="n">
        <v>0.0147</v>
      </c>
      <c r="N2091" s="176" t="n">
        <v>0.02385</v>
      </c>
      <c r="O2091" s="172" t="n">
        <v>1.87</v>
      </c>
      <c r="P2091" s="172" t="inlineStr">
        <is>
          <t>优先A</t>
        </is>
      </c>
      <c r="Q2091" s="178" t="n">
        <v>0.9</v>
      </c>
      <c r="R2091" s="179" t="n">
        <v>9</v>
      </c>
      <c r="S2091" s="177" t="inlineStr">
        <is>
          <t>AAA</t>
        </is>
      </c>
      <c r="T2091" s="178" t="n">
        <v>0.0182</v>
      </c>
      <c r="U2091" s="177" t="inlineStr">
        <is>
          <t>兴银理财</t>
        </is>
      </c>
      <c r="V2091" s="192" t="n">
        <v>1.1</v>
      </c>
      <c r="W2091" s="175" t="n">
        <v>0.0182</v>
      </c>
      <c r="X2091" s="172" t="inlineStr">
        <is>
          <t>兴银理财</t>
        </is>
      </c>
      <c r="Y2091" s="191" t="n">
        <v>1.8</v>
      </c>
    </row>
    <row r="2092">
      <c r="A2092" s="172" t="n">
        <v>120</v>
      </c>
      <c r="B2092" s="173" t="inlineStr">
        <is>
          <t>7月</t>
        </is>
      </c>
      <c r="C2092" s="173" t="inlineStr">
        <is>
          <t>消金</t>
        </is>
      </c>
      <c r="D2092" s="173" t="inlineStr">
        <is>
          <t>金条&amp;白取混发</t>
        </is>
      </c>
      <c r="E2092" s="173" t="inlineStr">
        <is>
          <t>耘睿28-2</t>
        </is>
      </c>
      <c r="F2092" s="173" t="inlineStr">
        <is>
          <t>上交所</t>
        </is>
      </c>
      <c r="G2092" s="173" t="inlineStr">
        <is>
          <t>招商证券</t>
        </is>
      </c>
      <c r="H2092" s="173" t="inlineStr">
        <is>
          <t>中泰证券</t>
        </is>
      </c>
      <c r="I2092" s="173" t="inlineStr">
        <is>
          <t>民生北分</t>
        </is>
      </c>
      <c r="J2092" s="172" t="n">
        <v>10</v>
      </c>
      <c r="K2092" s="173" t="inlineStr">
        <is>
          <t>22+24</t>
        </is>
      </c>
      <c r="L2092" s="202" t="n">
        <v>46226</v>
      </c>
      <c r="M2092" s="175" t="n">
        <v>0.0147</v>
      </c>
      <c r="N2092" s="176" t="n">
        <v>0.02385</v>
      </c>
      <c r="O2092" s="172" t="n">
        <v>1.87</v>
      </c>
      <c r="P2092" s="172" t="inlineStr">
        <is>
          <t>优先A</t>
        </is>
      </c>
      <c r="Q2092" s="178" t="n">
        <v>0.9</v>
      </c>
      <c r="R2092" s="179" t="n">
        <v>9</v>
      </c>
      <c r="S2092" s="177" t="inlineStr">
        <is>
          <t>AAA</t>
        </is>
      </c>
      <c r="T2092" s="178" t="n">
        <v>0.0182</v>
      </c>
      <c r="U2092" s="177" t="inlineStr">
        <is>
          <t>宝武财务</t>
        </is>
      </c>
      <c r="V2092" s="192" t="n">
        <v>0.36</v>
      </c>
      <c r="W2092" s="175" t="n">
        <v>0.0182</v>
      </c>
      <c r="X2092" s="172" t="inlineStr">
        <is>
          <t>宝武财务</t>
        </is>
      </c>
      <c r="Y2092" s="191" t="n">
        <v>0.6</v>
      </c>
    </row>
    <row r="2093">
      <c r="A2093" s="172" t="n">
        <v>120</v>
      </c>
      <c r="B2093" s="172" t="inlineStr">
        <is>
          <t>7月</t>
        </is>
      </c>
      <c r="C2093" s="172" t="inlineStr">
        <is>
          <t>消金</t>
        </is>
      </c>
      <c r="D2093" s="172" t="inlineStr">
        <is>
          <t>金条&amp;白取混发</t>
        </is>
      </c>
      <c r="E2093" s="172" t="inlineStr">
        <is>
          <t>耘睿28-2</t>
        </is>
      </c>
      <c r="F2093" s="172" t="inlineStr">
        <is>
          <t>上交所</t>
        </is>
      </c>
      <c r="G2093" s="172" t="inlineStr">
        <is>
          <t>招商证券</t>
        </is>
      </c>
      <c r="H2093" s="172" t="inlineStr">
        <is>
          <t>中泰证券</t>
        </is>
      </c>
      <c r="I2093" s="172" t="inlineStr">
        <is>
          <t>民生北分</t>
        </is>
      </c>
      <c r="J2093" s="172" t="n">
        <v>10</v>
      </c>
      <c r="K2093" s="172" t="inlineStr">
        <is>
          <t>22+24</t>
        </is>
      </c>
      <c r="L2093" s="208" t="n">
        <v>46226</v>
      </c>
      <c r="M2093" s="175" t="n">
        <v>0.0147</v>
      </c>
      <c r="N2093" s="176" t="n">
        <v>0.02385</v>
      </c>
      <c r="O2093" s="172" t="n">
        <v>1.87</v>
      </c>
      <c r="P2093" s="172" t="inlineStr">
        <is>
          <t>优先A</t>
        </is>
      </c>
      <c r="Q2093" s="175" t="n">
        <v>0.9</v>
      </c>
      <c r="R2093" s="192" t="n">
        <v>9</v>
      </c>
      <c r="S2093" s="172" t="inlineStr">
        <is>
          <t>AAA</t>
        </is>
      </c>
      <c r="T2093" s="175" t="n">
        <v>0.0182</v>
      </c>
      <c r="U2093" s="172" t="n"/>
      <c r="V2093" s="172" t="n"/>
      <c r="W2093" s="175" t="n">
        <v>0.0182</v>
      </c>
      <c r="X2093" s="172" t="inlineStr">
        <is>
          <t>中金自营-主动需求</t>
        </is>
      </c>
      <c r="Y2093" s="191" t="n">
        <v>1.5</v>
      </c>
    </row>
    <row r="2094">
      <c r="A2094" s="172" t="n">
        <v>120</v>
      </c>
      <c r="B2094" s="172" t="inlineStr">
        <is>
          <t>7月</t>
        </is>
      </c>
      <c r="C2094" s="172" t="inlineStr">
        <is>
          <t>消金</t>
        </is>
      </c>
      <c r="D2094" s="172" t="inlineStr">
        <is>
          <t>金条&amp;白取混发</t>
        </is>
      </c>
      <c r="E2094" s="172" t="inlineStr">
        <is>
          <t>耘睿28-2</t>
        </is>
      </c>
      <c r="F2094" s="172" t="inlineStr">
        <is>
          <t>上交所</t>
        </is>
      </c>
      <c r="G2094" s="172" t="inlineStr">
        <is>
          <t>招商证券</t>
        </is>
      </c>
      <c r="H2094" s="172" t="inlineStr">
        <is>
          <t>中泰证券</t>
        </is>
      </c>
      <c r="I2094" s="172" t="inlineStr">
        <is>
          <t>民生北分</t>
        </is>
      </c>
      <c r="J2094" s="172" t="n">
        <v>10</v>
      </c>
      <c r="K2094" s="172" t="inlineStr">
        <is>
          <t>22+24</t>
        </is>
      </c>
      <c r="L2094" s="208" t="n">
        <v>46226</v>
      </c>
      <c r="M2094" s="175" t="n">
        <v>0.0147</v>
      </c>
      <c r="N2094" s="176" t="n">
        <v>0.02385</v>
      </c>
      <c r="O2094" s="172" t="n">
        <v>1.87</v>
      </c>
      <c r="P2094" s="172" t="inlineStr">
        <is>
          <t>优先A</t>
        </is>
      </c>
      <c r="Q2094" s="175" t="n">
        <v>0.9</v>
      </c>
      <c r="R2094" s="192" t="n">
        <v>9</v>
      </c>
      <c r="S2094" s="172" t="inlineStr">
        <is>
          <t>AAA</t>
        </is>
      </c>
      <c r="T2094" s="175" t="n">
        <v>0.0182</v>
      </c>
      <c r="U2094" s="172" t="n"/>
      <c r="V2094" s="172" t="n"/>
      <c r="W2094" s="175" t="n">
        <v>0.024</v>
      </c>
      <c r="X2094" s="172" t="inlineStr">
        <is>
          <t>利曦私募基金</t>
        </is>
      </c>
      <c r="Y2094" s="191" t="n">
        <v>2</v>
      </c>
    </row>
    <row r="2095">
      <c r="A2095" s="172" t="n">
        <v>120</v>
      </c>
      <c r="B2095" s="173" t="inlineStr">
        <is>
          <t>7月</t>
        </is>
      </c>
      <c r="C2095" s="173" t="inlineStr">
        <is>
          <t>消金</t>
        </is>
      </c>
      <c r="D2095" s="173" t="inlineStr">
        <is>
          <t>金条&amp;白取混发</t>
        </is>
      </c>
      <c r="E2095" s="173" t="inlineStr">
        <is>
          <t>耘睿28-2</t>
        </is>
      </c>
      <c r="F2095" s="173" t="inlineStr">
        <is>
          <t>上交所</t>
        </is>
      </c>
      <c r="G2095" s="173" t="inlineStr">
        <is>
          <t>招商证券</t>
        </is>
      </c>
      <c r="H2095" s="173" t="inlineStr">
        <is>
          <t>中泰证券</t>
        </is>
      </c>
      <c r="I2095" s="173" t="inlineStr">
        <is>
          <t>民生北分</t>
        </is>
      </c>
      <c r="J2095" s="172" t="n">
        <v>10</v>
      </c>
      <c r="K2095" s="173" t="inlineStr">
        <is>
          <t>22+24</t>
        </is>
      </c>
      <c r="L2095" s="202" t="n">
        <v>46226</v>
      </c>
      <c r="M2095" s="175" t="n">
        <v>0.0147</v>
      </c>
      <c r="N2095" s="176" t="n">
        <v>0.02385</v>
      </c>
      <c r="O2095" s="172" t="n">
        <v>1.87</v>
      </c>
      <c r="P2095" s="177" t="inlineStr">
        <is>
          <t>优先B</t>
        </is>
      </c>
      <c r="Q2095" s="178" t="n">
        <v>0.03</v>
      </c>
      <c r="R2095" s="179" t="n">
        <v>0.3</v>
      </c>
      <c r="S2095" s="177" t="inlineStr">
        <is>
          <t>AA+</t>
        </is>
      </c>
      <c r="T2095" s="178" t="n">
        <v>0.0185</v>
      </c>
      <c r="U2095" s="177" t="inlineStr">
        <is>
          <t>交银理财</t>
        </is>
      </c>
      <c r="V2095" s="192" t="n">
        <v>0.09</v>
      </c>
      <c r="W2095" s="175" t="n">
        <v>0.0182</v>
      </c>
      <c r="X2095" s="172" t="inlineStr">
        <is>
          <t>交银理财</t>
        </is>
      </c>
      <c r="Y2095" s="191" t="n">
        <v>0.09</v>
      </c>
    </row>
    <row r="2096">
      <c r="A2096" s="172" t="n">
        <v>120</v>
      </c>
      <c r="B2096" s="173" t="inlineStr">
        <is>
          <t>7月</t>
        </is>
      </c>
      <c r="C2096" s="173" t="inlineStr">
        <is>
          <t>消金</t>
        </is>
      </c>
      <c r="D2096" s="173" t="inlineStr">
        <is>
          <t>金条&amp;白取混发</t>
        </is>
      </c>
      <c r="E2096" s="173" t="inlineStr">
        <is>
          <t>耘睿28-2</t>
        </is>
      </c>
      <c r="F2096" s="173" t="inlineStr">
        <is>
          <t>上交所</t>
        </is>
      </c>
      <c r="G2096" s="173" t="inlineStr">
        <is>
          <t>招商证券</t>
        </is>
      </c>
      <c r="H2096" s="173" t="inlineStr">
        <is>
          <t>中泰证券</t>
        </is>
      </c>
      <c r="I2096" s="173" t="inlineStr">
        <is>
          <t>民生北分</t>
        </is>
      </c>
      <c r="J2096" s="172" t="n">
        <v>10</v>
      </c>
      <c r="K2096" s="173" t="inlineStr">
        <is>
          <t>22+24</t>
        </is>
      </c>
      <c r="L2096" s="202" t="n">
        <v>46226</v>
      </c>
      <c r="M2096" s="175" t="n">
        <v>0.0147</v>
      </c>
      <c r="N2096" s="176" t="n">
        <v>0.02385</v>
      </c>
      <c r="O2096" s="172" t="n">
        <v>1.87</v>
      </c>
      <c r="P2096" s="172" t="inlineStr">
        <is>
          <t>优先B</t>
        </is>
      </c>
      <c r="Q2096" s="178" t="n">
        <v>0.03</v>
      </c>
      <c r="R2096" s="179" t="n">
        <v>0.3</v>
      </c>
      <c r="S2096" s="177" t="inlineStr">
        <is>
          <t>AA+</t>
        </is>
      </c>
      <c r="T2096" s="178" t="n">
        <v>0.0185</v>
      </c>
      <c r="U2096" s="177" t="inlineStr">
        <is>
          <t>建信信托</t>
        </is>
      </c>
      <c r="V2096" s="192" t="n">
        <v>0.15</v>
      </c>
      <c r="W2096" s="175" t="n">
        <v>0.0185</v>
      </c>
      <c r="X2096" s="172" t="inlineStr">
        <is>
          <t>建信信托</t>
        </is>
      </c>
      <c r="Y2096" s="191" t="n">
        <v>0.15</v>
      </c>
    </row>
    <row r="2097">
      <c r="A2097" s="172" t="n">
        <v>120</v>
      </c>
      <c r="B2097" s="173" t="inlineStr">
        <is>
          <t>7月</t>
        </is>
      </c>
      <c r="C2097" s="173" t="inlineStr">
        <is>
          <t>消金</t>
        </is>
      </c>
      <c r="D2097" s="173" t="inlineStr">
        <is>
          <t>金条&amp;白取混发</t>
        </is>
      </c>
      <c r="E2097" s="173" t="inlineStr">
        <is>
          <t>耘睿28-2</t>
        </is>
      </c>
      <c r="F2097" s="173" t="inlineStr">
        <is>
          <t>上交所</t>
        </is>
      </c>
      <c r="G2097" s="173" t="inlineStr">
        <is>
          <t>招商证券</t>
        </is>
      </c>
      <c r="H2097" s="173" t="inlineStr">
        <is>
          <t>中泰证券</t>
        </is>
      </c>
      <c r="I2097" s="173" t="inlineStr">
        <is>
          <t>民生北分</t>
        </is>
      </c>
      <c r="J2097" s="172" t="n">
        <v>10</v>
      </c>
      <c r="K2097" s="173" t="inlineStr">
        <is>
          <t>22+24</t>
        </is>
      </c>
      <c r="L2097" s="202" t="n">
        <v>46226</v>
      </c>
      <c r="M2097" s="175" t="n">
        <v>0.0147</v>
      </c>
      <c r="N2097" s="176" t="n">
        <v>0.02385</v>
      </c>
      <c r="O2097" s="172" t="n">
        <v>1.87</v>
      </c>
      <c r="P2097" s="172" t="inlineStr">
        <is>
          <t>优先B</t>
        </is>
      </c>
      <c r="Q2097" s="178" t="n">
        <v>0.03</v>
      </c>
      <c r="R2097" s="179" t="n">
        <v>0.3</v>
      </c>
      <c r="S2097" s="177" t="inlineStr">
        <is>
          <t>AA+</t>
        </is>
      </c>
      <c r="T2097" s="178" t="n">
        <v>0.0185</v>
      </c>
      <c r="U2097" s="177" t="inlineStr">
        <is>
          <t>利曦基金</t>
        </is>
      </c>
      <c r="V2097" s="192" t="n">
        <v>0.06</v>
      </c>
      <c r="W2097" s="175" t="n">
        <v>0.0185</v>
      </c>
      <c r="X2097" s="172" t="inlineStr">
        <is>
          <t>利曦私募基金</t>
        </is>
      </c>
      <c r="Y2097" s="191" t="n">
        <v>0.06</v>
      </c>
    </row>
    <row r="2098">
      <c r="A2098" s="172" t="n">
        <v>120</v>
      </c>
      <c r="B2098" s="173" t="inlineStr">
        <is>
          <t>7月</t>
        </is>
      </c>
      <c r="C2098" s="173" t="inlineStr">
        <is>
          <t>消金</t>
        </is>
      </c>
      <c r="D2098" s="173" t="inlineStr">
        <is>
          <t>金条&amp;白取混发</t>
        </is>
      </c>
      <c r="E2098" s="173" t="inlineStr">
        <is>
          <t>耘睿28-2</t>
        </is>
      </c>
      <c r="F2098" s="173" t="inlineStr">
        <is>
          <t>上交所</t>
        </is>
      </c>
      <c r="G2098" s="173" t="inlineStr">
        <is>
          <t>招商证券</t>
        </is>
      </c>
      <c r="H2098" s="173" t="inlineStr">
        <is>
          <t>中泰证券</t>
        </is>
      </c>
      <c r="I2098" s="173" t="inlineStr">
        <is>
          <t>民生北分</t>
        </is>
      </c>
      <c r="J2098" s="172" t="n">
        <v>10</v>
      </c>
      <c r="K2098" s="173" t="inlineStr">
        <is>
          <t>22+24</t>
        </is>
      </c>
      <c r="L2098" s="202" t="n">
        <v>46226</v>
      </c>
      <c r="M2098" s="175" t="n">
        <v>0.0147</v>
      </c>
      <c r="N2098" s="176" t="n">
        <v>0.02385</v>
      </c>
      <c r="O2098" s="172" t="n">
        <v>1.87</v>
      </c>
      <c r="P2098" s="177" t="inlineStr">
        <is>
          <t>中间级</t>
        </is>
      </c>
      <c r="Q2098" s="178" t="n">
        <v>0.02</v>
      </c>
      <c r="R2098" s="179" t="n">
        <v>0.2</v>
      </c>
      <c r="S2098" s="177" t="inlineStr">
        <is>
          <t>A+</t>
        </is>
      </c>
      <c r="T2098" s="178" t="n">
        <v>0.032</v>
      </c>
      <c r="U2098" s="177" t="inlineStr">
        <is>
          <t>中信证券自营</t>
        </is>
      </c>
      <c r="V2098" s="192" t="n">
        <v>0.1</v>
      </c>
      <c r="W2098" s="172" t="n"/>
      <c r="X2098" s="172" t="n"/>
      <c r="Y2098" s="172" t="n"/>
    </row>
    <row r="2099">
      <c r="A2099" s="172" t="n">
        <v>120</v>
      </c>
      <c r="B2099" s="173" t="inlineStr">
        <is>
          <t>7月</t>
        </is>
      </c>
      <c r="C2099" s="173" t="inlineStr">
        <is>
          <t>消金</t>
        </is>
      </c>
      <c r="D2099" s="173" t="inlineStr">
        <is>
          <t>金条&amp;白取混发</t>
        </is>
      </c>
      <c r="E2099" s="173" t="inlineStr">
        <is>
          <t>耘睿28-2</t>
        </is>
      </c>
      <c r="F2099" s="173" t="inlineStr">
        <is>
          <t>上交所</t>
        </is>
      </c>
      <c r="G2099" s="173" t="inlineStr">
        <is>
          <t>招商证券</t>
        </is>
      </c>
      <c r="H2099" s="173" t="inlineStr">
        <is>
          <t>中泰证券</t>
        </is>
      </c>
      <c r="I2099" s="173" t="inlineStr">
        <is>
          <t>民生北分</t>
        </is>
      </c>
      <c r="J2099" s="172" t="n">
        <v>10</v>
      </c>
      <c r="K2099" s="173" t="inlineStr">
        <is>
          <t>22+24</t>
        </is>
      </c>
      <c r="L2099" s="202" t="n">
        <v>46226</v>
      </c>
      <c r="M2099" s="175" t="n">
        <v>0.0147</v>
      </c>
      <c r="N2099" s="176" t="n">
        <v>0.02385</v>
      </c>
      <c r="O2099" s="172" t="n">
        <v>1.87</v>
      </c>
      <c r="P2099" s="172" t="inlineStr">
        <is>
          <t>中间级</t>
        </is>
      </c>
      <c r="Q2099" s="178" t="n">
        <v>0.02</v>
      </c>
      <c r="R2099" s="179" t="n">
        <v>0.2</v>
      </c>
      <c r="S2099" s="177" t="inlineStr">
        <is>
          <t>A+</t>
        </is>
      </c>
      <c r="T2099" s="178" t="n">
        <v>0.032</v>
      </c>
      <c r="U2099" s="177" t="inlineStr">
        <is>
          <t>中信建投衍生品</t>
        </is>
      </c>
      <c r="V2099" s="192" t="n">
        <v>0.1</v>
      </c>
      <c r="W2099" s="172" t="n"/>
      <c r="X2099" s="172" t="n"/>
      <c r="Y2099" s="172" t="n"/>
    </row>
    <row r="2100">
      <c r="A2100" s="172" t="n">
        <v>120</v>
      </c>
      <c r="B2100" s="173" t="inlineStr">
        <is>
          <t>7月</t>
        </is>
      </c>
      <c r="C2100" s="173" t="inlineStr">
        <is>
          <t>消金</t>
        </is>
      </c>
      <c r="D2100" s="173" t="inlineStr">
        <is>
          <t>金条&amp;白取混发</t>
        </is>
      </c>
      <c r="E2100" s="173" t="inlineStr">
        <is>
          <t>耘睿28-2</t>
        </is>
      </c>
      <c r="F2100" s="173" t="inlineStr">
        <is>
          <t>上交所</t>
        </is>
      </c>
      <c r="G2100" s="173" t="inlineStr">
        <is>
          <t>招商证券</t>
        </is>
      </c>
      <c r="H2100" s="173" t="inlineStr">
        <is>
          <t>中泰证券</t>
        </is>
      </c>
      <c r="I2100" s="173" t="inlineStr">
        <is>
          <t>民生北分</t>
        </is>
      </c>
      <c r="J2100" s="172" t="n">
        <v>10</v>
      </c>
      <c r="K2100" s="173" t="inlineStr">
        <is>
          <t>22+24</t>
        </is>
      </c>
      <c r="L2100" s="202" t="n">
        <v>46226</v>
      </c>
      <c r="M2100" s="175" t="n">
        <v>0.0147</v>
      </c>
      <c r="N2100" s="176" t="n">
        <v>0.02385</v>
      </c>
      <c r="O2100" s="172" t="n">
        <v>1.87</v>
      </c>
      <c r="P2100" s="177" t="inlineStr">
        <is>
          <t>受益权</t>
        </is>
      </c>
      <c r="Q2100" s="178" t="n">
        <v>0.05</v>
      </c>
      <c r="R2100" s="179" t="n">
        <v>0.5</v>
      </c>
      <c r="S2100" s="177" t="inlineStr">
        <is>
          <t>无</t>
        </is>
      </c>
      <c r="T2100" s="178" t="n">
        <v>0.0495</v>
      </c>
      <c r="U2100" s="177" t="inlineStr">
        <is>
          <t>中金自营</t>
        </is>
      </c>
      <c r="V2100" s="192" t="n">
        <v>0.25</v>
      </c>
      <c r="W2100" s="172" t="n"/>
      <c r="X2100" s="172" t="n"/>
      <c r="Y2100" s="172" t="n"/>
    </row>
    <row r="2101">
      <c r="A2101" s="172" t="n">
        <v>120</v>
      </c>
      <c r="B2101" s="173" t="inlineStr">
        <is>
          <t>7月</t>
        </is>
      </c>
      <c r="C2101" s="173" t="inlineStr">
        <is>
          <t>消金</t>
        </is>
      </c>
      <c r="D2101" s="173" t="inlineStr">
        <is>
          <t>金条&amp;白取混发</t>
        </is>
      </c>
      <c r="E2101" s="173" t="inlineStr">
        <is>
          <t>耘睿28-2</t>
        </is>
      </c>
      <c r="F2101" s="173" t="inlineStr">
        <is>
          <t>上交所</t>
        </is>
      </c>
      <c r="G2101" s="173" t="inlineStr">
        <is>
          <t>招商证券</t>
        </is>
      </c>
      <c r="H2101" s="173" t="inlineStr">
        <is>
          <t>中泰证券</t>
        </is>
      </c>
      <c r="I2101" s="173" t="inlineStr">
        <is>
          <t>民生北分</t>
        </is>
      </c>
      <c r="J2101" s="172" t="n">
        <v>10</v>
      </c>
      <c r="K2101" s="173" t="inlineStr">
        <is>
          <t>22+24</t>
        </is>
      </c>
      <c r="L2101" s="202" t="n">
        <v>46226</v>
      </c>
      <c r="M2101" s="175" t="n">
        <v>0.0147</v>
      </c>
      <c r="N2101" s="176" t="n">
        <v>0.02385</v>
      </c>
      <c r="O2101" s="172" t="n">
        <v>1.87</v>
      </c>
      <c r="P2101" s="172" t="inlineStr">
        <is>
          <t>受益权</t>
        </is>
      </c>
      <c r="Q2101" s="178" t="n">
        <v>0.05</v>
      </c>
      <c r="R2101" s="179" t="n">
        <v>0.5</v>
      </c>
      <c r="S2101" s="177" t="inlineStr">
        <is>
          <t>无</t>
        </is>
      </c>
      <c r="T2101" s="178" t="n">
        <v>0.0495</v>
      </c>
      <c r="U2101" s="177" t="inlineStr">
        <is>
          <t>国元证券自营</t>
        </is>
      </c>
      <c r="V2101" s="195" t="n">
        <v>0.075</v>
      </c>
      <c r="W2101" s="172" t="n"/>
      <c r="X2101" s="172" t="n"/>
      <c r="Y2101" s="172" t="n"/>
    </row>
    <row r="2102">
      <c r="A2102" s="172" t="n">
        <v>120</v>
      </c>
      <c r="B2102" s="173" t="inlineStr">
        <is>
          <t>7月</t>
        </is>
      </c>
      <c r="C2102" s="173" t="inlineStr">
        <is>
          <t>消金</t>
        </is>
      </c>
      <c r="D2102" s="173" t="inlineStr">
        <is>
          <t>金条&amp;白取混发</t>
        </is>
      </c>
      <c r="E2102" s="173" t="inlineStr">
        <is>
          <t>耘睿28-2</t>
        </is>
      </c>
      <c r="F2102" s="173" t="inlineStr">
        <is>
          <t>上交所</t>
        </is>
      </c>
      <c r="G2102" s="173" t="inlineStr">
        <is>
          <t>招商证券</t>
        </is>
      </c>
      <c r="H2102" s="173" t="inlineStr">
        <is>
          <t>中泰证券</t>
        </is>
      </c>
      <c r="I2102" s="173" t="inlineStr">
        <is>
          <t>民生北分</t>
        </is>
      </c>
      <c r="J2102" s="172" t="n">
        <v>10</v>
      </c>
      <c r="K2102" s="173" t="inlineStr">
        <is>
          <t>22+24</t>
        </is>
      </c>
      <c r="L2102" s="202" t="n">
        <v>46226</v>
      </c>
      <c r="M2102" s="175" t="n">
        <v>0.0147</v>
      </c>
      <c r="N2102" s="176" t="n">
        <v>0.02385</v>
      </c>
      <c r="O2102" s="172" t="n">
        <v>1.87</v>
      </c>
      <c r="P2102" s="172" t="inlineStr">
        <is>
          <t>受益权</t>
        </is>
      </c>
      <c r="Q2102" s="178" t="n">
        <v>0.05</v>
      </c>
      <c r="R2102" s="179" t="n">
        <v>0.5</v>
      </c>
      <c r="S2102" s="177" t="inlineStr">
        <is>
          <t>无</t>
        </is>
      </c>
      <c r="T2102" s="178" t="n">
        <v>0.0495</v>
      </c>
      <c r="U2102" s="177" t="inlineStr">
        <is>
          <t>中信建投投顾</t>
        </is>
      </c>
      <c r="V2102" s="192" t="n">
        <v>0.1</v>
      </c>
      <c r="W2102" s="172" t="n"/>
      <c r="X2102" s="172" t="n"/>
      <c r="Y2102" s="172" t="n"/>
    </row>
    <row r="2103">
      <c r="A2103" s="172" t="n">
        <v>120</v>
      </c>
      <c r="B2103" s="173" t="inlineStr">
        <is>
          <t>7月</t>
        </is>
      </c>
      <c r="C2103" s="173" t="inlineStr">
        <is>
          <t>消金</t>
        </is>
      </c>
      <c r="D2103" s="173" t="inlineStr">
        <is>
          <t>金条&amp;白取混发</t>
        </is>
      </c>
      <c r="E2103" s="173" t="inlineStr">
        <is>
          <t>耘睿28-2</t>
        </is>
      </c>
      <c r="F2103" s="173" t="inlineStr">
        <is>
          <t>上交所</t>
        </is>
      </c>
      <c r="G2103" s="173" t="inlineStr">
        <is>
          <t>招商证券</t>
        </is>
      </c>
      <c r="H2103" s="173" t="inlineStr">
        <is>
          <t>中泰证券</t>
        </is>
      </c>
      <c r="I2103" s="173" t="inlineStr">
        <is>
          <t>民生北分</t>
        </is>
      </c>
      <c r="J2103" s="172" t="n">
        <v>10</v>
      </c>
      <c r="K2103" s="173" t="inlineStr">
        <is>
          <t>22+24</t>
        </is>
      </c>
      <c r="L2103" s="202" t="n">
        <v>46226</v>
      </c>
      <c r="M2103" s="175" t="n">
        <v>0.0147</v>
      </c>
      <c r="N2103" s="176" t="n">
        <v>0.02385</v>
      </c>
      <c r="O2103" s="172" t="n">
        <v>1.87</v>
      </c>
      <c r="P2103" s="172" t="inlineStr">
        <is>
          <t>受益权</t>
        </is>
      </c>
      <c r="Q2103" s="178" t="n">
        <v>0.05</v>
      </c>
      <c r="R2103" s="179" t="n">
        <v>0.5</v>
      </c>
      <c r="S2103" s="177" t="inlineStr">
        <is>
          <t>无</t>
        </is>
      </c>
      <c r="T2103" s="178" t="n">
        <v>0.0495</v>
      </c>
      <c r="U2103" s="177" t="inlineStr">
        <is>
          <t>中信建投衍生品</t>
        </is>
      </c>
      <c r="V2103" s="195" t="n">
        <v>0.075</v>
      </c>
      <c r="W2103" s="172" t="n"/>
      <c r="X2103" s="172" t="n"/>
      <c r="Y2103" s="172" t="n"/>
    </row>
    <row r="2104">
      <c r="A2104" s="172" t="n">
        <v>121</v>
      </c>
      <c r="B2104" s="172" t="inlineStr">
        <is>
          <t>7月</t>
        </is>
      </c>
      <c r="C2104" s="172" t="inlineStr">
        <is>
          <t>企金</t>
        </is>
      </c>
      <c r="D2104" s="172" t="inlineStr">
        <is>
          <t>金采</t>
        </is>
      </c>
      <c r="E2104" s="172" t="inlineStr">
        <is>
          <t>金采8-9</t>
        </is>
      </c>
      <c r="F2104" s="172" t="inlineStr">
        <is>
          <t>上交所</t>
        </is>
      </c>
      <c r="G2104" s="172" t="inlineStr">
        <is>
          <t>招商证券</t>
        </is>
      </c>
      <c r="H2104" s="172" t="inlineStr">
        <is>
          <t>首创证券</t>
        </is>
      </c>
      <c r="I2104" s="172" t="inlineStr">
        <is>
          <t>招银北分</t>
        </is>
      </c>
      <c r="J2104" s="172" t="n">
        <v>10</v>
      </c>
      <c r="K2104" s="172" t="inlineStr">
        <is>
          <t>7+12</t>
        </is>
      </c>
      <c r="L2104" s="202" t="n">
        <v>46227</v>
      </c>
      <c r="M2104" s="175" t="n">
        <v>0.0147</v>
      </c>
      <c r="N2104" s="176" t="n">
        <v>0.0187</v>
      </c>
      <c r="O2104" s="191" t="n">
        <v>1.6</v>
      </c>
      <c r="P2104" s="172" t="inlineStr">
        <is>
          <t>优先级</t>
        </is>
      </c>
      <c r="Q2104" s="175" t="n">
        <v>0.9</v>
      </c>
      <c r="R2104" s="192" t="n">
        <v>9</v>
      </c>
      <c r="S2104" s="172" t="inlineStr">
        <is>
          <t>AAA</t>
        </is>
      </c>
      <c r="T2104" s="175" t="n">
        <v>0.016</v>
      </c>
      <c r="U2104" s="172" t="inlineStr">
        <is>
          <t>中邮理财</t>
        </is>
      </c>
      <c r="V2104" s="191" t="n">
        <v>2</v>
      </c>
      <c r="W2104" s="175" t="n">
        <v>0.016</v>
      </c>
      <c r="X2104" s="172" t="inlineStr">
        <is>
          <t>中邮理财</t>
        </is>
      </c>
      <c r="Y2104" s="191" t="n">
        <v>2.7</v>
      </c>
    </row>
    <row r="2105">
      <c r="A2105" s="172" t="n">
        <v>121</v>
      </c>
      <c r="B2105" s="172" t="inlineStr">
        <is>
          <t>7月</t>
        </is>
      </c>
      <c r="C2105" s="172" t="inlineStr">
        <is>
          <t>企金</t>
        </is>
      </c>
      <c r="D2105" s="172" t="inlineStr">
        <is>
          <t>金采</t>
        </is>
      </c>
      <c r="E2105" s="172" t="inlineStr">
        <is>
          <t>金采8-9</t>
        </is>
      </c>
      <c r="F2105" s="172" t="inlineStr">
        <is>
          <t>上交所</t>
        </is>
      </c>
      <c r="G2105" s="172" t="inlineStr">
        <is>
          <t>招商证券</t>
        </is>
      </c>
      <c r="H2105" s="172" t="inlineStr">
        <is>
          <t>首创证券</t>
        </is>
      </c>
      <c r="I2105" s="172" t="inlineStr">
        <is>
          <t>招银北分</t>
        </is>
      </c>
      <c r="J2105" s="172" t="n">
        <v>10</v>
      </c>
      <c r="K2105" s="172" t="inlineStr">
        <is>
          <t>7+12</t>
        </is>
      </c>
      <c r="L2105" s="202" t="n">
        <v>46227</v>
      </c>
      <c r="M2105" s="175" t="n">
        <v>0.0147</v>
      </c>
      <c r="N2105" s="176" t="n">
        <v>0.0187</v>
      </c>
      <c r="O2105" s="191" t="n">
        <v>1.6</v>
      </c>
      <c r="P2105" s="172" t="inlineStr">
        <is>
          <t>优先级</t>
        </is>
      </c>
      <c r="Q2105" s="175" t="n">
        <v>0.9</v>
      </c>
      <c r="R2105" s="192" t="n">
        <v>9</v>
      </c>
      <c r="S2105" s="172" t="inlineStr">
        <is>
          <t>AAA</t>
        </is>
      </c>
      <c r="T2105" s="175" t="n">
        <v>0.016</v>
      </c>
      <c r="U2105" s="172" t="inlineStr">
        <is>
          <t>招银理财</t>
        </is>
      </c>
      <c r="V2105" s="191" t="n">
        <v>2.7</v>
      </c>
      <c r="W2105" s="175" t="n">
        <v>0.0156</v>
      </c>
      <c r="X2105" s="172" t="inlineStr">
        <is>
          <t>招银理财</t>
        </is>
      </c>
      <c r="Y2105" s="191" t="n">
        <v>2.7</v>
      </c>
    </row>
    <row r="2106">
      <c r="A2106" s="172" t="n">
        <v>121</v>
      </c>
      <c r="B2106" s="172" t="inlineStr">
        <is>
          <t>7月</t>
        </is>
      </c>
      <c r="C2106" s="172" t="inlineStr">
        <is>
          <t>企金</t>
        </is>
      </c>
      <c r="D2106" s="172" t="inlineStr">
        <is>
          <t>金采</t>
        </is>
      </c>
      <c r="E2106" s="172" t="inlineStr">
        <is>
          <t>金采8-9</t>
        </is>
      </c>
      <c r="F2106" s="172" t="inlineStr">
        <is>
          <t>上交所</t>
        </is>
      </c>
      <c r="G2106" s="172" t="inlineStr">
        <is>
          <t>招商证券</t>
        </is>
      </c>
      <c r="H2106" s="172" t="inlineStr">
        <is>
          <t>首创证券</t>
        </is>
      </c>
      <c r="I2106" s="172" t="inlineStr">
        <is>
          <t>招银北分</t>
        </is>
      </c>
      <c r="J2106" s="172" t="n">
        <v>10</v>
      </c>
      <c r="K2106" s="172" t="inlineStr">
        <is>
          <t>7+12</t>
        </is>
      </c>
      <c r="L2106" s="202" t="n">
        <v>46227</v>
      </c>
      <c r="M2106" s="175" t="n">
        <v>0.0147</v>
      </c>
      <c r="N2106" s="176" t="n">
        <v>0.0187</v>
      </c>
      <c r="O2106" s="191" t="n">
        <v>1.6</v>
      </c>
      <c r="P2106" s="172" t="inlineStr">
        <is>
          <t>优先级</t>
        </is>
      </c>
      <c r="Q2106" s="175" t="n">
        <v>0.9</v>
      </c>
      <c r="R2106" s="192" t="n">
        <v>9</v>
      </c>
      <c r="S2106" s="172" t="inlineStr">
        <is>
          <t>AAA</t>
        </is>
      </c>
      <c r="T2106" s="175" t="n">
        <v>0.016</v>
      </c>
      <c r="U2106" s="172" t="inlineStr">
        <is>
          <t>民生理财</t>
        </is>
      </c>
      <c r="V2106" s="191" t="n">
        <v>2.7</v>
      </c>
      <c r="W2106" s="175" t="n">
        <v>0.0158</v>
      </c>
      <c r="X2106" s="172" t="inlineStr">
        <is>
          <t>民生理财</t>
        </is>
      </c>
      <c r="Y2106" s="191" t="n">
        <v>2.7</v>
      </c>
    </row>
    <row r="2107">
      <c r="A2107" s="172" t="n">
        <v>121</v>
      </c>
      <c r="B2107" s="172" t="inlineStr">
        <is>
          <t>7月</t>
        </is>
      </c>
      <c r="C2107" s="172" t="inlineStr">
        <is>
          <t>企金</t>
        </is>
      </c>
      <c r="D2107" s="172" t="inlineStr">
        <is>
          <t>金采</t>
        </is>
      </c>
      <c r="E2107" s="172" t="inlineStr">
        <is>
          <t>金采8-9</t>
        </is>
      </c>
      <c r="F2107" s="172" t="inlineStr">
        <is>
          <t>上交所</t>
        </is>
      </c>
      <c r="G2107" s="172" t="inlineStr">
        <is>
          <t>招商证券</t>
        </is>
      </c>
      <c r="H2107" s="172" t="inlineStr">
        <is>
          <t>首创证券</t>
        </is>
      </c>
      <c r="I2107" s="172" t="inlineStr">
        <is>
          <t>招银北分</t>
        </is>
      </c>
      <c r="J2107" s="172" t="n">
        <v>10</v>
      </c>
      <c r="K2107" s="172" t="inlineStr">
        <is>
          <t>7+12</t>
        </is>
      </c>
      <c r="L2107" s="202" t="n">
        <v>46227</v>
      </c>
      <c r="M2107" s="175" t="n">
        <v>0.0147</v>
      </c>
      <c r="N2107" s="176" t="n">
        <v>0.0187</v>
      </c>
      <c r="O2107" s="191" t="n">
        <v>1.6</v>
      </c>
      <c r="P2107" s="172" t="inlineStr">
        <is>
          <t>优先级</t>
        </is>
      </c>
      <c r="Q2107" s="175" t="n">
        <v>0.9</v>
      </c>
      <c r="R2107" s="192" t="n">
        <v>9</v>
      </c>
      <c r="S2107" s="172" t="inlineStr">
        <is>
          <t>AAA</t>
        </is>
      </c>
      <c r="T2107" s="175" t="n">
        <v>0.016</v>
      </c>
      <c r="U2107" s="172" t="inlineStr">
        <is>
          <t>交银理财</t>
        </is>
      </c>
      <c r="V2107" s="191" t="n">
        <v>1.15</v>
      </c>
      <c r="W2107" s="175" t="n">
        <v>0.016</v>
      </c>
      <c r="X2107" s="172" t="inlineStr">
        <is>
          <t>交银理财</t>
        </is>
      </c>
      <c r="Y2107" s="191" t="n">
        <v>1.5</v>
      </c>
    </row>
    <row r="2108">
      <c r="A2108" s="172" t="n">
        <v>121</v>
      </c>
      <c r="B2108" s="172" t="inlineStr">
        <is>
          <t>7月</t>
        </is>
      </c>
      <c r="C2108" s="172" t="inlineStr">
        <is>
          <t>企金</t>
        </is>
      </c>
      <c r="D2108" s="172" t="inlineStr">
        <is>
          <t>金采</t>
        </is>
      </c>
      <c r="E2108" s="172" t="inlineStr">
        <is>
          <t>金采8-9</t>
        </is>
      </c>
      <c r="F2108" s="172" t="inlineStr">
        <is>
          <t>上交所</t>
        </is>
      </c>
      <c r="G2108" s="172" t="inlineStr">
        <is>
          <t>招商证券</t>
        </is>
      </c>
      <c r="H2108" s="172" t="inlineStr">
        <is>
          <t>首创证券</t>
        </is>
      </c>
      <c r="I2108" s="172" t="inlineStr">
        <is>
          <t>招银北分</t>
        </is>
      </c>
      <c r="J2108" s="172" t="n">
        <v>10</v>
      </c>
      <c r="K2108" s="172" t="inlineStr">
        <is>
          <t>7+12</t>
        </is>
      </c>
      <c r="L2108" s="208" t="n">
        <v>46227</v>
      </c>
      <c r="M2108" s="175" t="n">
        <v>0.0147</v>
      </c>
      <c r="N2108" s="176" t="n">
        <v>0.0187</v>
      </c>
      <c r="O2108" s="172" t="n">
        <v>1.6</v>
      </c>
      <c r="P2108" s="172" t="inlineStr">
        <is>
          <t>优先级</t>
        </is>
      </c>
      <c r="Q2108" s="175" t="n">
        <v>0.9</v>
      </c>
      <c r="R2108" s="192" t="n">
        <v>9</v>
      </c>
      <c r="S2108" s="172" t="inlineStr">
        <is>
          <t>AAA</t>
        </is>
      </c>
      <c r="T2108" s="175" t="n">
        <v>0.016</v>
      </c>
      <c r="U2108" s="172" t="n"/>
      <c r="V2108" s="172" t="n"/>
      <c r="W2108" s="175" t="n">
        <v>0.0161</v>
      </c>
      <c r="X2108" s="172" t="inlineStr">
        <is>
          <t>交银理财</t>
        </is>
      </c>
      <c r="Y2108" s="191" t="n">
        <v>0.5</v>
      </c>
    </row>
    <row r="2109">
      <c r="A2109" s="172" t="n">
        <v>121</v>
      </c>
      <c r="B2109" s="172" t="inlineStr">
        <is>
          <t>7月</t>
        </is>
      </c>
      <c r="C2109" s="172" t="inlineStr">
        <is>
          <t>企金</t>
        </is>
      </c>
      <c r="D2109" s="172" t="inlineStr">
        <is>
          <t>金采</t>
        </is>
      </c>
      <c r="E2109" s="172" t="inlineStr">
        <is>
          <t>金采8-9</t>
        </is>
      </c>
      <c r="F2109" s="172" t="inlineStr">
        <is>
          <t>上交所</t>
        </is>
      </c>
      <c r="G2109" s="172" t="inlineStr">
        <is>
          <t>招商证券</t>
        </is>
      </c>
      <c r="H2109" s="172" t="inlineStr">
        <is>
          <t>首创证券</t>
        </is>
      </c>
      <c r="I2109" s="172" t="inlineStr">
        <is>
          <t>招银北分</t>
        </is>
      </c>
      <c r="J2109" s="172" t="n">
        <v>10</v>
      </c>
      <c r="K2109" s="172" t="inlineStr">
        <is>
          <t>7+12</t>
        </is>
      </c>
      <c r="L2109" s="208" t="n">
        <v>46227</v>
      </c>
      <c r="M2109" s="175" t="n">
        <v>0.0147</v>
      </c>
      <c r="N2109" s="176" t="n">
        <v>0.0187</v>
      </c>
      <c r="O2109" s="172" t="n">
        <v>1.6</v>
      </c>
      <c r="P2109" s="172" t="inlineStr">
        <is>
          <t>优先级</t>
        </is>
      </c>
      <c r="Q2109" s="175" t="n">
        <v>0.9</v>
      </c>
      <c r="R2109" s="192" t="n">
        <v>9</v>
      </c>
      <c r="S2109" s="172" t="inlineStr">
        <is>
          <t>AAA</t>
        </is>
      </c>
      <c r="T2109" s="175" t="n">
        <v>0.016</v>
      </c>
      <c r="U2109" s="172" t="n"/>
      <c r="V2109" s="172" t="n"/>
      <c r="W2109" s="175" t="n">
        <v>0.0162</v>
      </c>
      <c r="X2109" s="172" t="inlineStr">
        <is>
          <t>交银理财</t>
        </is>
      </c>
      <c r="Y2109" s="191" t="n">
        <v>0.5</v>
      </c>
    </row>
    <row r="2110">
      <c r="A2110" s="172" t="n">
        <v>121</v>
      </c>
      <c r="B2110" s="172" t="inlineStr">
        <is>
          <t>7月</t>
        </is>
      </c>
      <c r="C2110" s="172" t="inlineStr">
        <is>
          <t>企金</t>
        </is>
      </c>
      <c r="D2110" s="172" t="inlineStr">
        <is>
          <t>金采</t>
        </is>
      </c>
      <c r="E2110" s="172" t="inlineStr">
        <is>
          <t>金采8-9</t>
        </is>
      </c>
      <c r="F2110" s="172" t="inlineStr">
        <is>
          <t>上交所</t>
        </is>
      </c>
      <c r="G2110" s="172" t="inlineStr">
        <is>
          <t>招商证券</t>
        </is>
      </c>
      <c r="H2110" s="172" t="inlineStr">
        <is>
          <t>首创证券</t>
        </is>
      </c>
      <c r="I2110" s="172" t="inlineStr">
        <is>
          <t>招银北分</t>
        </is>
      </c>
      <c r="J2110" s="172" t="n">
        <v>10</v>
      </c>
      <c r="K2110" s="172" t="inlineStr">
        <is>
          <t>7+12</t>
        </is>
      </c>
      <c r="L2110" s="208" t="n">
        <v>46227</v>
      </c>
      <c r="M2110" s="175" t="n">
        <v>0.0147</v>
      </c>
      <c r="N2110" s="176" t="n">
        <v>0.0187</v>
      </c>
      <c r="O2110" s="172" t="n">
        <v>1.6</v>
      </c>
      <c r="P2110" s="172" t="inlineStr">
        <is>
          <t>优先级</t>
        </is>
      </c>
      <c r="Q2110" s="175" t="n">
        <v>0.9</v>
      </c>
      <c r="R2110" s="192" t="n">
        <v>9</v>
      </c>
      <c r="S2110" s="172" t="inlineStr">
        <is>
          <t>AAA</t>
        </is>
      </c>
      <c r="T2110" s="175" t="n">
        <v>0.016</v>
      </c>
      <c r="U2110" s="172" t="n"/>
      <c r="V2110" s="172" t="n"/>
      <c r="W2110" s="175" t="n">
        <v>0.0163</v>
      </c>
      <c r="X2110" s="172" t="inlineStr">
        <is>
          <t>交银理财</t>
        </is>
      </c>
      <c r="Y2110" s="191" t="n">
        <v>0.2</v>
      </c>
    </row>
    <row r="2111">
      <c r="A2111" s="172" t="n">
        <v>121</v>
      </c>
      <c r="B2111" s="172" t="inlineStr">
        <is>
          <t>7月</t>
        </is>
      </c>
      <c r="C2111" s="172" t="inlineStr">
        <is>
          <t>企金</t>
        </is>
      </c>
      <c r="D2111" s="172" t="inlineStr">
        <is>
          <t>金采</t>
        </is>
      </c>
      <c r="E2111" s="172" t="inlineStr">
        <is>
          <t>金采8-9</t>
        </is>
      </c>
      <c r="F2111" s="172" t="inlineStr">
        <is>
          <t>上交所</t>
        </is>
      </c>
      <c r="G2111" s="172" t="inlineStr">
        <is>
          <t>招商证券</t>
        </is>
      </c>
      <c r="H2111" s="172" t="inlineStr">
        <is>
          <t>首创证券</t>
        </is>
      </c>
      <c r="I2111" s="172" t="inlineStr">
        <is>
          <t>招银北分</t>
        </is>
      </c>
      <c r="J2111" s="172" t="n">
        <v>10</v>
      </c>
      <c r="K2111" s="172" t="inlineStr">
        <is>
          <t>7+12</t>
        </is>
      </c>
      <c r="L2111" s="202" t="n">
        <v>46227</v>
      </c>
      <c r="M2111" s="175" t="n">
        <v>0.0147</v>
      </c>
      <c r="N2111" s="176" t="n">
        <v>0.0187</v>
      </c>
      <c r="O2111" s="191" t="n">
        <v>1.6</v>
      </c>
      <c r="P2111" s="172" t="inlineStr">
        <is>
          <t>优先级</t>
        </is>
      </c>
      <c r="Q2111" s="175" t="n">
        <v>0.9</v>
      </c>
      <c r="R2111" s="192" t="n">
        <v>9</v>
      </c>
      <c r="S2111" s="172" t="inlineStr">
        <is>
          <t>AAA</t>
        </is>
      </c>
      <c r="T2111" s="175" t="n">
        <v>0.016</v>
      </c>
      <c r="U2111" s="172" t="inlineStr">
        <is>
          <t>厦门汇正</t>
        </is>
      </c>
      <c r="V2111" s="191" t="n">
        <v>0.45</v>
      </c>
      <c r="W2111" s="172" t="n"/>
      <c r="X2111" s="172" t="n"/>
      <c r="Y2111" s="172" t="n"/>
    </row>
    <row r="2112">
      <c r="A2112" s="172" t="n">
        <v>121</v>
      </c>
      <c r="B2112" s="172" t="inlineStr">
        <is>
          <t>7月</t>
        </is>
      </c>
      <c r="C2112" s="172" t="inlineStr">
        <is>
          <t>企金</t>
        </is>
      </c>
      <c r="D2112" s="172" t="inlineStr">
        <is>
          <t>金采</t>
        </is>
      </c>
      <c r="E2112" s="172" t="inlineStr">
        <is>
          <t>金采8-9</t>
        </is>
      </c>
      <c r="F2112" s="172" t="inlineStr">
        <is>
          <t>上交所</t>
        </is>
      </c>
      <c r="G2112" s="172" t="inlineStr">
        <is>
          <t>招商证券</t>
        </is>
      </c>
      <c r="H2112" s="172" t="inlineStr">
        <is>
          <t>首创证券</t>
        </is>
      </c>
      <c r="I2112" s="172" t="inlineStr">
        <is>
          <t>招银北分</t>
        </is>
      </c>
      <c r="J2112" s="172" t="n">
        <v>10</v>
      </c>
      <c r="K2112" s="172" t="inlineStr">
        <is>
          <t>7+12</t>
        </is>
      </c>
      <c r="L2112" s="208" t="n">
        <v>46227</v>
      </c>
      <c r="M2112" s="175" t="n">
        <v>0.0147</v>
      </c>
      <c r="N2112" s="176" t="n">
        <v>0.0187</v>
      </c>
      <c r="O2112" s="172" t="n">
        <v>1.6</v>
      </c>
      <c r="P2112" s="172" t="inlineStr">
        <is>
          <t>优先级</t>
        </is>
      </c>
      <c r="Q2112" s="175" t="n">
        <v>0.9</v>
      </c>
      <c r="R2112" s="192" t="n">
        <v>9</v>
      </c>
      <c r="S2112" s="172" t="inlineStr">
        <is>
          <t>AAA</t>
        </is>
      </c>
      <c r="T2112" s="175" t="n">
        <v>0.016</v>
      </c>
      <c r="U2112" s="172" t="n"/>
      <c r="V2112" s="172" t="n"/>
      <c r="W2112" s="175" t="n">
        <v>0.024</v>
      </c>
      <c r="X2112" s="172" t="inlineStr">
        <is>
          <t>利曦基金</t>
        </is>
      </c>
      <c r="Y2112" s="191" t="n">
        <v>2</v>
      </c>
    </row>
    <row r="2113">
      <c r="A2113" s="172" t="n">
        <v>121</v>
      </c>
      <c r="B2113" s="172" t="inlineStr">
        <is>
          <t>7月</t>
        </is>
      </c>
      <c r="C2113" s="172" t="inlineStr">
        <is>
          <t>企金</t>
        </is>
      </c>
      <c r="D2113" s="172" t="inlineStr">
        <is>
          <t>金采</t>
        </is>
      </c>
      <c r="E2113" s="172" t="inlineStr">
        <is>
          <t>金采8-9</t>
        </is>
      </c>
      <c r="F2113" s="172" t="inlineStr">
        <is>
          <t>上交所</t>
        </is>
      </c>
      <c r="G2113" s="172" t="inlineStr">
        <is>
          <t>招商证券</t>
        </is>
      </c>
      <c r="H2113" s="172" t="inlineStr">
        <is>
          <t>首创证券</t>
        </is>
      </c>
      <c r="I2113" s="172" t="inlineStr">
        <is>
          <t>招银北分</t>
        </is>
      </c>
      <c r="J2113" s="172" t="n">
        <v>10</v>
      </c>
      <c r="K2113" s="172" t="inlineStr">
        <is>
          <t>7+12</t>
        </is>
      </c>
      <c r="L2113" s="208" t="n">
        <v>46227</v>
      </c>
      <c r="M2113" s="175" t="n">
        <v>0.0147</v>
      </c>
      <c r="N2113" s="176" t="n">
        <v>0.0187</v>
      </c>
      <c r="O2113" s="172" t="n">
        <v>1.6</v>
      </c>
      <c r="P2113" s="172" t="inlineStr">
        <is>
          <t>优先级</t>
        </is>
      </c>
      <c r="Q2113" s="175" t="n">
        <v>0.9</v>
      </c>
      <c r="R2113" s="192" t="n">
        <v>9</v>
      </c>
      <c r="S2113" s="172" t="inlineStr">
        <is>
          <t>AAA</t>
        </is>
      </c>
      <c r="T2113" s="175" t="n">
        <v>0.016</v>
      </c>
      <c r="U2113" s="172" t="n"/>
      <c r="V2113" s="172" t="n"/>
      <c r="W2113" s="175" t="n">
        <v>0.0162</v>
      </c>
      <c r="X2113" s="172" t="inlineStr">
        <is>
          <t>建信理财</t>
        </is>
      </c>
      <c r="Y2113" s="191" t="n">
        <v>0.9</v>
      </c>
    </row>
    <row r="2114">
      <c r="A2114" s="172" t="n">
        <v>121</v>
      </c>
      <c r="B2114" s="172" t="inlineStr">
        <is>
          <t>7月</t>
        </is>
      </c>
      <c r="C2114" s="172" t="inlineStr">
        <is>
          <t>企金</t>
        </is>
      </c>
      <c r="D2114" s="172" t="inlineStr">
        <is>
          <t>金采</t>
        </is>
      </c>
      <c r="E2114" s="172" t="inlineStr">
        <is>
          <t>金采8-9</t>
        </is>
      </c>
      <c r="F2114" s="172" t="inlineStr">
        <is>
          <t>上交所</t>
        </is>
      </c>
      <c r="G2114" s="172" t="inlineStr">
        <is>
          <t>招商证券</t>
        </is>
      </c>
      <c r="H2114" s="172" t="inlineStr">
        <is>
          <t>首创证券</t>
        </is>
      </c>
      <c r="I2114" s="172" t="inlineStr">
        <is>
          <t>招银北分</t>
        </is>
      </c>
      <c r="J2114" s="172" t="n">
        <v>10</v>
      </c>
      <c r="K2114" s="172" t="inlineStr">
        <is>
          <t>7+12</t>
        </is>
      </c>
      <c r="L2114" s="202" t="n">
        <v>46227</v>
      </c>
      <c r="M2114" s="175" t="n">
        <v>0.0147</v>
      </c>
      <c r="N2114" s="176" t="n">
        <v>0.0187</v>
      </c>
      <c r="O2114" s="191" t="n">
        <v>1.6</v>
      </c>
      <c r="P2114" s="172" t="inlineStr">
        <is>
          <t>中间级</t>
        </is>
      </c>
      <c r="Q2114" s="175" t="n">
        <v>0.05</v>
      </c>
      <c r="R2114" s="192" t="n">
        <v>0.5</v>
      </c>
      <c r="S2114" s="175" t="inlineStr">
        <is>
          <t>AA</t>
        </is>
      </c>
      <c r="T2114" s="175" t="n">
        <v>0.031</v>
      </c>
      <c r="U2114" s="177" t="inlineStr">
        <is>
          <t>招银理财</t>
        </is>
      </c>
      <c r="V2114" s="191" t="n">
        <v>0.15</v>
      </c>
      <c r="W2114" s="172" t="n"/>
      <c r="X2114" s="172" t="n"/>
      <c r="Y2114" s="172" t="n"/>
    </row>
    <row r="2115">
      <c r="A2115" s="172" t="n">
        <v>121</v>
      </c>
      <c r="B2115" s="172" t="inlineStr">
        <is>
          <t>7月</t>
        </is>
      </c>
      <c r="C2115" s="172" t="inlineStr">
        <is>
          <t>企金</t>
        </is>
      </c>
      <c r="D2115" s="172" t="inlineStr">
        <is>
          <t>金采</t>
        </is>
      </c>
      <c r="E2115" s="172" t="inlineStr">
        <is>
          <t>金采8-9</t>
        </is>
      </c>
      <c r="F2115" s="172" t="inlineStr">
        <is>
          <t>上交所</t>
        </is>
      </c>
      <c r="G2115" s="172" t="inlineStr">
        <is>
          <t>招商证券</t>
        </is>
      </c>
      <c r="H2115" s="172" t="inlineStr">
        <is>
          <t>首创证券</t>
        </is>
      </c>
      <c r="I2115" s="172" t="inlineStr">
        <is>
          <t>招银北分</t>
        </is>
      </c>
      <c r="J2115" s="172" t="n">
        <v>10</v>
      </c>
      <c r="K2115" s="172" t="inlineStr">
        <is>
          <t>7+12</t>
        </is>
      </c>
      <c r="L2115" s="202" t="n">
        <v>46227</v>
      </c>
      <c r="M2115" s="175" t="n">
        <v>0.0147</v>
      </c>
      <c r="N2115" s="176" t="n">
        <v>0.0187</v>
      </c>
      <c r="O2115" s="191" t="n">
        <v>1.6</v>
      </c>
      <c r="P2115" s="172" t="inlineStr">
        <is>
          <t>中间级</t>
        </is>
      </c>
      <c r="Q2115" s="175" t="n">
        <v>0.05</v>
      </c>
      <c r="R2115" s="192" t="n">
        <v>0.5</v>
      </c>
      <c r="S2115" s="175" t="inlineStr">
        <is>
          <t>AA</t>
        </is>
      </c>
      <c r="T2115" s="175" t="n">
        <v>0.031</v>
      </c>
      <c r="U2115" s="177" t="inlineStr">
        <is>
          <t>国泰海通自营</t>
        </is>
      </c>
      <c r="V2115" s="191" t="n">
        <v>0.15</v>
      </c>
      <c r="W2115" s="172" t="n"/>
      <c r="X2115" s="172" t="n"/>
      <c r="Y2115" s="172" t="n"/>
    </row>
    <row r="2116">
      <c r="A2116" s="172" t="n">
        <v>121</v>
      </c>
      <c r="B2116" s="172" t="inlineStr">
        <is>
          <t>7月</t>
        </is>
      </c>
      <c r="C2116" s="172" t="inlineStr">
        <is>
          <t>企金</t>
        </is>
      </c>
      <c r="D2116" s="172" t="inlineStr">
        <is>
          <t>金采</t>
        </is>
      </c>
      <c r="E2116" s="172" t="inlineStr">
        <is>
          <t>金采8-9</t>
        </is>
      </c>
      <c r="F2116" s="172" t="inlineStr">
        <is>
          <t>上交所</t>
        </is>
      </c>
      <c r="G2116" s="172" t="inlineStr">
        <is>
          <t>招商证券</t>
        </is>
      </c>
      <c r="H2116" s="172" t="inlineStr">
        <is>
          <t>首创证券</t>
        </is>
      </c>
      <c r="I2116" s="172" t="inlineStr">
        <is>
          <t>招银北分</t>
        </is>
      </c>
      <c r="J2116" s="172" t="n">
        <v>10</v>
      </c>
      <c r="K2116" s="172" t="inlineStr">
        <is>
          <t>7+12</t>
        </is>
      </c>
      <c r="L2116" s="202" t="n">
        <v>46227</v>
      </c>
      <c r="M2116" s="175" t="n">
        <v>0.0147</v>
      </c>
      <c r="N2116" s="176" t="n">
        <v>0.0187</v>
      </c>
      <c r="O2116" s="191" t="n">
        <v>1.6</v>
      </c>
      <c r="P2116" s="172" t="inlineStr">
        <is>
          <t>中间级</t>
        </is>
      </c>
      <c r="Q2116" s="175" t="n">
        <v>0.05</v>
      </c>
      <c r="R2116" s="192" t="n">
        <v>0.5</v>
      </c>
      <c r="S2116" s="175" t="inlineStr">
        <is>
          <t>AA</t>
        </is>
      </c>
      <c r="T2116" s="175" t="n">
        <v>0.031</v>
      </c>
      <c r="U2116" s="177" t="inlineStr">
        <is>
          <t>建信信托</t>
        </is>
      </c>
      <c r="V2116" s="191" t="n">
        <v>0.1</v>
      </c>
      <c r="W2116" s="172" t="n"/>
      <c r="X2116" s="172" t="n"/>
      <c r="Y2116" s="172" t="n"/>
    </row>
    <row r="2117">
      <c r="A2117" s="172" t="n">
        <v>121</v>
      </c>
      <c r="B2117" s="172" t="inlineStr">
        <is>
          <t>7月</t>
        </is>
      </c>
      <c r="C2117" s="172" t="inlineStr">
        <is>
          <t>企金</t>
        </is>
      </c>
      <c r="D2117" s="172" t="inlineStr">
        <is>
          <t>金采</t>
        </is>
      </c>
      <c r="E2117" s="172" t="inlineStr">
        <is>
          <t>金采8-9</t>
        </is>
      </c>
      <c r="F2117" s="172" t="inlineStr">
        <is>
          <t>上交所</t>
        </is>
      </c>
      <c r="G2117" s="172" t="inlineStr">
        <is>
          <t>招商证券</t>
        </is>
      </c>
      <c r="H2117" s="172" t="inlineStr">
        <is>
          <t>首创证券</t>
        </is>
      </c>
      <c r="I2117" s="172" t="inlineStr">
        <is>
          <t>招银北分</t>
        </is>
      </c>
      <c r="J2117" s="172" t="n">
        <v>10</v>
      </c>
      <c r="K2117" s="172" t="inlineStr">
        <is>
          <t>7+12</t>
        </is>
      </c>
      <c r="L2117" s="202" t="n">
        <v>46227</v>
      </c>
      <c r="M2117" s="175" t="n">
        <v>0.0147</v>
      </c>
      <c r="N2117" s="176" t="n">
        <v>0.0187</v>
      </c>
      <c r="O2117" s="191" t="n">
        <v>1.6</v>
      </c>
      <c r="P2117" s="172" t="inlineStr">
        <is>
          <t>中间级</t>
        </is>
      </c>
      <c r="Q2117" s="175" t="n">
        <v>0.05</v>
      </c>
      <c r="R2117" s="192" t="n">
        <v>0.5</v>
      </c>
      <c r="S2117" s="175" t="inlineStr">
        <is>
          <t>AA</t>
        </is>
      </c>
      <c r="T2117" s="175" t="n">
        <v>0.031</v>
      </c>
      <c r="U2117" s="172" t="inlineStr">
        <is>
          <t>厦门汇正</t>
        </is>
      </c>
      <c r="V2117" s="193" t="n">
        <v>0.025</v>
      </c>
      <c r="W2117" s="172" t="n"/>
      <c r="X2117" s="172" t="n"/>
      <c r="Y2117" s="172" t="n"/>
    </row>
    <row r="2118">
      <c r="A2118" s="172" t="n">
        <v>121</v>
      </c>
      <c r="B2118" s="172" t="inlineStr">
        <is>
          <t>7月</t>
        </is>
      </c>
      <c r="C2118" s="172" t="inlineStr">
        <is>
          <t>企金</t>
        </is>
      </c>
      <c r="D2118" s="172" t="inlineStr">
        <is>
          <t>金采</t>
        </is>
      </c>
      <c r="E2118" s="172" t="inlineStr">
        <is>
          <t>金采8-9</t>
        </is>
      </c>
      <c r="F2118" s="172" t="inlineStr">
        <is>
          <t>上交所</t>
        </is>
      </c>
      <c r="G2118" s="172" t="inlineStr">
        <is>
          <t>招商证券</t>
        </is>
      </c>
      <c r="H2118" s="172" t="inlineStr">
        <is>
          <t>首创证券</t>
        </is>
      </c>
      <c r="I2118" s="172" t="inlineStr">
        <is>
          <t>招银北分</t>
        </is>
      </c>
      <c r="J2118" s="172" t="n">
        <v>10</v>
      </c>
      <c r="K2118" s="172" t="inlineStr">
        <is>
          <t>7+12</t>
        </is>
      </c>
      <c r="L2118" s="202" t="n">
        <v>46227</v>
      </c>
      <c r="M2118" s="175" t="n">
        <v>0.0147</v>
      </c>
      <c r="N2118" s="176" t="n">
        <v>0.0187</v>
      </c>
      <c r="O2118" s="191" t="n">
        <v>1.6</v>
      </c>
      <c r="P2118" s="172" t="inlineStr">
        <is>
          <t>中间级</t>
        </is>
      </c>
      <c r="Q2118" s="175" t="n">
        <v>0.05</v>
      </c>
      <c r="R2118" s="192" t="n">
        <v>0.5</v>
      </c>
      <c r="S2118" s="175" t="inlineStr">
        <is>
          <t>AA</t>
        </is>
      </c>
      <c r="T2118" s="175" t="n">
        <v>0.031</v>
      </c>
      <c r="U2118" s="177" t="inlineStr">
        <is>
          <t>申万宏源自营</t>
        </is>
      </c>
      <c r="V2118" s="193" t="n">
        <v>0.075</v>
      </c>
      <c r="W2118" s="172" t="n"/>
      <c r="X2118" s="172" t="n"/>
      <c r="Y2118" s="172" t="n"/>
    </row>
    <row r="2119">
      <c r="A2119" s="172" t="n">
        <v>121</v>
      </c>
      <c r="B2119" s="172" t="inlineStr">
        <is>
          <t>7月</t>
        </is>
      </c>
      <c r="C2119" s="172" t="inlineStr">
        <is>
          <t>企金</t>
        </is>
      </c>
      <c r="D2119" s="172" t="inlineStr">
        <is>
          <t>金采</t>
        </is>
      </c>
      <c r="E2119" s="172" t="inlineStr">
        <is>
          <t>金采8-9</t>
        </is>
      </c>
      <c r="F2119" s="172" t="inlineStr">
        <is>
          <t>上交所</t>
        </is>
      </c>
      <c r="G2119" s="172" t="inlineStr">
        <is>
          <t>招商证券</t>
        </is>
      </c>
      <c r="H2119" s="172" t="inlineStr">
        <is>
          <t>首创证券</t>
        </is>
      </c>
      <c r="I2119" s="172" t="inlineStr">
        <is>
          <t>招银北分</t>
        </is>
      </c>
      <c r="J2119" s="172" t="n">
        <v>10</v>
      </c>
      <c r="K2119" s="172" t="inlineStr">
        <is>
          <t>7+12</t>
        </is>
      </c>
      <c r="L2119" s="202" t="n">
        <v>46227</v>
      </c>
      <c r="M2119" s="175" t="n">
        <v>0.0147</v>
      </c>
      <c r="N2119" s="176" t="n">
        <v>0.0187</v>
      </c>
      <c r="O2119" s="191" t="n">
        <v>1.6</v>
      </c>
      <c r="P2119" s="172" t="inlineStr">
        <is>
          <t>次级</t>
        </is>
      </c>
      <c r="Q2119" s="175" t="n">
        <v>0.05</v>
      </c>
      <c r="R2119" s="192" t="n">
        <v>0.5</v>
      </c>
      <c r="S2119" s="175" t="inlineStr">
        <is>
          <t>无</t>
        </is>
      </c>
      <c r="T2119" s="175" t="n">
        <v>0.0455</v>
      </c>
      <c r="U2119" s="177" t="inlineStr">
        <is>
          <t>利曦基金</t>
        </is>
      </c>
      <c r="V2119" s="191" t="n">
        <v>0.1</v>
      </c>
      <c r="W2119" s="172" t="n"/>
      <c r="X2119" s="172" t="n"/>
      <c r="Y2119" s="172" t="n"/>
    </row>
    <row r="2120">
      <c r="A2120" s="172" t="n">
        <v>121</v>
      </c>
      <c r="B2120" s="172" t="inlineStr">
        <is>
          <t>7月</t>
        </is>
      </c>
      <c r="C2120" s="172" t="inlineStr">
        <is>
          <t>企金</t>
        </is>
      </c>
      <c r="D2120" s="172" t="inlineStr">
        <is>
          <t>金采</t>
        </is>
      </c>
      <c r="E2120" s="172" t="inlineStr">
        <is>
          <t>金采8-9</t>
        </is>
      </c>
      <c r="F2120" s="172" t="inlineStr">
        <is>
          <t>上交所</t>
        </is>
      </c>
      <c r="G2120" s="172" t="inlineStr">
        <is>
          <t>招商证券</t>
        </is>
      </c>
      <c r="H2120" s="172" t="inlineStr">
        <is>
          <t>首创证券</t>
        </is>
      </c>
      <c r="I2120" s="172" t="inlineStr">
        <is>
          <t>招银北分</t>
        </is>
      </c>
      <c r="J2120" s="172" t="n">
        <v>10</v>
      </c>
      <c r="K2120" s="172" t="inlineStr">
        <is>
          <t>7+12</t>
        </is>
      </c>
      <c r="L2120" s="202" t="n">
        <v>46227</v>
      </c>
      <c r="M2120" s="175" t="n">
        <v>0.0147</v>
      </c>
      <c r="N2120" s="176" t="n">
        <v>0.0187</v>
      </c>
      <c r="O2120" s="191" t="n">
        <v>1.6</v>
      </c>
      <c r="P2120" s="172" t="inlineStr">
        <is>
          <t>次级</t>
        </is>
      </c>
      <c r="Q2120" s="175" t="n">
        <v>0.05</v>
      </c>
      <c r="R2120" s="192" t="n">
        <v>0.5</v>
      </c>
      <c r="S2120" s="175" t="inlineStr">
        <is>
          <t>无</t>
        </is>
      </c>
      <c r="T2120" s="175" t="n">
        <v>0.0455</v>
      </c>
      <c r="U2120" s="177" t="inlineStr">
        <is>
          <t>西部证券自营</t>
        </is>
      </c>
      <c r="V2120" s="191" t="n">
        <v>0.1</v>
      </c>
      <c r="W2120" s="172" t="n"/>
      <c r="X2120" s="172" t="n"/>
      <c r="Y2120" s="172" t="n"/>
    </row>
    <row r="2121">
      <c r="A2121" s="172" t="n">
        <v>121</v>
      </c>
      <c r="B2121" s="172" t="inlineStr">
        <is>
          <t>7月</t>
        </is>
      </c>
      <c r="C2121" s="172" t="inlineStr">
        <is>
          <t>企金</t>
        </is>
      </c>
      <c r="D2121" s="172" t="inlineStr">
        <is>
          <t>金采</t>
        </is>
      </c>
      <c r="E2121" s="172" t="inlineStr">
        <is>
          <t>金采8-9</t>
        </is>
      </c>
      <c r="F2121" s="172" t="inlineStr">
        <is>
          <t>上交所</t>
        </is>
      </c>
      <c r="G2121" s="172" t="inlineStr">
        <is>
          <t>招商证券</t>
        </is>
      </c>
      <c r="H2121" s="172" t="inlineStr">
        <is>
          <t>首创证券</t>
        </is>
      </c>
      <c r="I2121" s="172" t="inlineStr">
        <is>
          <t>招银北分</t>
        </is>
      </c>
      <c r="J2121" s="172" t="n">
        <v>10</v>
      </c>
      <c r="K2121" s="172" t="inlineStr">
        <is>
          <t>7+12</t>
        </is>
      </c>
      <c r="L2121" s="202" t="n">
        <v>46227</v>
      </c>
      <c r="M2121" s="175" t="n">
        <v>0.0147</v>
      </c>
      <c r="N2121" s="176" t="n">
        <v>0.0187</v>
      </c>
      <c r="O2121" s="191" t="n">
        <v>1.6</v>
      </c>
      <c r="P2121" s="172" t="inlineStr">
        <is>
          <t>次级</t>
        </is>
      </c>
      <c r="Q2121" s="175" t="n">
        <v>0.05</v>
      </c>
      <c r="R2121" s="192" t="n">
        <v>0.5</v>
      </c>
      <c r="S2121" s="175" t="inlineStr">
        <is>
          <t>无</t>
        </is>
      </c>
      <c r="T2121" s="175" t="n">
        <v>0.0455</v>
      </c>
      <c r="U2121" s="177" t="inlineStr">
        <is>
          <t>华兴证券自营</t>
        </is>
      </c>
      <c r="V2121" s="193" t="n">
        <v>0.075</v>
      </c>
      <c r="W2121" s="172" t="n"/>
      <c r="X2121" s="172" t="n"/>
      <c r="Y2121" s="172" t="n"/>
    </row>
    <row r="2122">
      <c r="A2122" s="172" t="n">
        <v>121</v>
      </c>
      <c r="B2122" s="172" t="inlineStr">
        <is>
          <t>7月</t>
        </is>
      </c>
      <c r="C2122" s="172" t="inlineStr">
        <is>
          <t>企金</t>
        </is>
      </c>
      <c r="D2122" s="172" t="inlineStr">
        <is>
          <t>金采</t>
        </is>
      </c>
      <c r="E2122" s="172" t="inlineStr">
        <is>
          <t>金采8-9</t>
        </is>
      </c>
      <c r="F2122" s="172" t="inlineStr">
        <is>
          <t>上交所</t>
        </is>
      </c>
      <c r="G2122" s="172" t="inlineStr">
        <is>
          <t>招商证券</t>
        </is>
      </c>
      <c r="H2122" s="172" t="inlineStr">
        <is>
          <t>首创证券</t>
        </is>
      </c>
      <c r="I2122" s="172" t="inlineStr">
        <is>
          <t>招银北分</t>
        </is>
      </c>
      <c r="J2122" s="172" t="n">
        <v>10</v>
      </c>
      <c r="K2122" s="172" t="inlineStr">
        <is>
          <t>7+12</t>
        </is>
      </c>
      <c r="L2122" s="202" t="n">
        <v>46227</v>
      </c>
      <c r="M2122" s="175" t="n">
        <v>0.0147</v>
      </c>
      <c r="N2122" s="176" t="n">
        <v>0.0187</v>
      </c>
      <c r="O2122" s="191" t="n">
        <v>1.6</v>
      </c>
      <c r="P2122" s="172" t="inlineStr">
        <is>
          <t>次级</t>
        </is>
      </c>
      <c r="Q2122" s="175" t="n">
        <v>0.05</v>
      </c>
      <c r="R2122" s="192" t="n">
        <v>0.5</v>
      </c>
      <c r="S2122" s="175" t="inlineStr">
        <is>
          <t>无</t>
        </is>
      </c>
      <c r="T2122" s="175" t="n">
        <v>0.0455</v>
      </c>
      <c r="U2122" s="177" t="inlineStr">
        <is>
          <t>国泰海通自营</t>
        </is>
      </c>
      <c r="V2122" s="191" t="n">
        <v>0.1</v>
      </c>
      <c r="W2122" s="172" t="n"/>
      <c r="X2122" s="172" t="n"/>
      <c r="Y2122" s="172" t="n"/>
    </row>
    <row r="2123">
      <c r="A2123" s="172" t="n">
        <v>121</v>
      </c>
      <c r="B2123" s="172" t="inlineStr">
        <is>
          <t>7月</t>
        </is>
      </c>
      <c r="C2123" s="172" t="inlineStr">
        <is>
          <t>企金</t>
        </is>
      </c>
      <c r="D2123" s="172" t="inlineStr">
        <is>
          <t>金采</t>
        </is>
      </c>
      <c r="E2123" s="172" t="inlineStr">
        <is>
          <t>金采8-9</t>
        </is>
      </c>
      <c r="F2123" s="172" t="inlineStr">
        <is>
          <t>上交所</t>
        </is>
      </c>
      <c r="G2123" s="172" t="inlineStr">
        <is>
          <t>招商证券</t>
        </is>
      </c>
      <c r="H2123" s="172" t="inlineStr">
        <is>
          <t>首创证券</t>
        </is>
      </c>
      <c r="I2123" s="172" t="inlineStr">
        <is>
          <t>招银北分</t>
        </is>
      </c>
      <c r="J2123" s="172" t="n">
        <v>10</v>
      </c>
      <c r="K2123" s="172" t="inlineStr">
        <is>
          <t>7+12</t>
        </is>
      </c>
      <c r="L2123" s="202" t="n">
        <v>46227</v>
      </c>
      <c r="M2123" s="175" t="n">
        <v>0.0147</v>
      </c>
      <c r="N2123" s="176" t="n">
        <v>0.0187</v>
      </c>
      <c r="O2123" s="191" t="n">
        <v>1.6</v>
      </c>
      <c r="P2123" s="172" t="inlineStr">
        <is>
          <t>次级</t>
        </is>
      </c>
      <c r="Q2123" s="175" t="n">
        <v>0.05</v>
      </c>
      <c r="R2123" s="192" t="n">
        <v>0.5</v>
      </c>
      <c r="S2123" s="175" t="inlineStr">
        <is>
          <t>无</t>
        </is>
      </c>
      <c r="T2123" s="175" t="n">
        <v>0.0455</v>
      </c>
      <c r="U2123" s="172" t="inlineStr">
        <is>
          <t>厦门汇正</t>
        </is>
      </c>
      <c r="V2123" s="193" t="n">
        <v>0.025</v>
      </c>
      <c r="W2123" s="172" t="n"/>
      <c r="X2123" s="172" t="n"/>
      <c r="Y2123" s="172" t="n"/>
    </row>
    <row r="2124">
      <c r="A2124" s="172" t="n">
        <v>121</v>
      </c>
      <c r="B2124" s="172" t="inlineStr">
        <is>
          <t>7月</t>
        </is>
      </c>
      <c r="C2124" s="172" t="inlineStr">
        <is>
          <t>企金</t>
        </is>
      </c>
      <c r="D2124" s="172" t="inlineStr">
        <is>
          <t>金采</t>
        </is>
      </c>
      <c r="E2124" s="172" t="inlineStr">
        <is>
          <t>金采8-9</t>
        </is>
      </c>
      <c r="F2124" s="172" t="inlineStr">
        <is>
          <t>上交所</t>
        </is>
      </c>
      <c r="G2124" s="172" t="inlineStr">
        <is>
          <t>招商证券</t>
        </is>
      </c>
      <c r="H2124" s="172" t="inlineStr">
        <is>
          <t>首创证券</t>
        </is>
      </c>
      <c r="I2124" s="172" t="inlineStr">
        <is>
          <t>招银北分</t>
        </is>
      </c>
      <c r="J2124" s="172" t="n">
        <v>10</v>
      </c>
      <c r="K2124" s="172" t="inlineStr">
        <is>
          <t>7+12</t>
        </is>
      </c>
      <c r="L2124" s="202" t="n">
        <v>46227</v>
      </c>
      <c r="M2124" s="175" t="n">
        <v>0.0147</v>
      </c>
      <c r="N2124" s="176" t="n">
        <v>0.0187</v>
      </c>
      <c r="O2124" s="191" t="n">
        <v>1.6</v>
      </c>
      <c r="P2124" s="172" t="inlineStr">
        <is>
          <t>次级</t>
        </is>
      </c>
      <c r="Q2124" s="175" t="n">
        <v>0.05</v>
      </c>
      <c r="R2124" s="192" t="n">
        <v>0.5</v>
      </c>
      <c r="S2124" s="175" t="inlineStr">
        <is>
          <t>无</t>
        </is>
      </c>
      <c r="T2124" s="175" t="n">
        <v>0.0455</v>
      </c>
      <c r="U2124" s="177" t="inlineStr">
        <is>
          <t>沛轩投资</t>
        </is>
      </c>
      <c r="V2124" s="191" t="n">
        <v>0.1</v>
      </c>
      <c r="W2124" s="172" t="n"/>
      <c r="X2124" s="172" t="n"/>
      <c r="Y2124" s="172" t="n"/>
    </row>
    <row r="2125">
      <c r="A2125" s="172" t="n">
        <v>122</v>
      </c>
      <c r="B2125" s="173" t="inlineStr">
        <is>
          <t>7月</t>
        </is>
      </c>
      <c r="C2125" s="173" t="inlineStr">
        <is>
          <t>消金</t>
        </is>
      </c>
      <c r="D2125" s="173" t="inlineStr">
        <is>
          <t>赊销白条</t>
        </is>
      </c>
      <c r="E2125" s="173" t="inlineStr">
        <is>
          <t>东裕11号夏裕（可续发）</t>
        </is>
      </c>
      <c r="F2125" s="173" t="inlineStr">
        <is>
          <t>银行间</t>
        </is>
      </c>
      <c r="G2125" s="173" t="inlineStr">
        <is>
          <t>兴业证券</t>
        </is>
      </c>
      <c r="H2125" s="173" t="inlineStr">
        <is>
          <t>江苏银行/建设银行/东方证券/中信证券</t>
        </is>
      </c>
      <c r="I2125" s="173" t="inlineStr">
        <is>
          <t>兴业北分</t>
        </is>
      </c>
      <c r="J2125" s="172" t="n">
        <v>10</v>
      </c>
      <c r="K2125" s="173" t="inlineStr">
        <is>
          <t>10+10+9+3</t>
        </is>
      </c>
      <c r="L2125" s="202" t="n">
        <v>46231</v>
      </c>
      <c r="M2125" s="175" t="n">
        <v>0.0148</v>
      </c>
      <c r="N2125" s="176" t="n">
        <v>0.0182</v>
      </c>
      <c r="O2125" s="191" t="n">
        <v>1.69</v>
      </c>
      <c r="P2125" s="177" t="inlineStr">
        <is>
          <t>优先A</t>
        </is>
      </c>
      <c r="Q2125" s="178" t="n">
        <v>0.9</v>
      </c>
      <c r="R2125" s="179" t="n">
        <v>9</v>
      </c>
      <c r="S2125" s="177" t="inlineStr">
        <is>
          <t>AAA</t>
        </is>
      </c>
      <c r="T2125" s="178" t="n">
        <v>0.016</v>
      </c>
      <c r="U2125" s="177" t="inlineStr">
        <is>
          <t>交银理财</t>
        </is>
      </c>
      <c r="V2125" s="192" t="n">
        <v>1</v>
      </c>
      <c r="W2125" s="172" t="n"/>
      <c r="X2125" s="172" t="n"/>
      <c r="Y2125" s="172" t="n"/>
    </row>
    <row r="2126">
      <c r="A2126" s="172" t="n">
        <v>122</v>
      </c>
      <c r="B2126" s="173" t="inlineStr">
        <is>
          <t>7月</t>
        </is>
      </c>
      <c r="C2126" s="173" t="inlineStr">
        <is>
          <t>消金</t>
        </is>
      </c>
      <c r="D2126" s="173" t="inlineStr">
        <is>
          <t>赊销白条</t>
        </is>
      </c>
      <c r="E2126" s="173" t="inlineStr">
        <is>
          <t>东裕11号夏裕（可续发）</t>
        </is>
      </c>
      <c r="F2126" s="173" t="inlineStr">
        <is>
          <t>银行间</t>
        </is>
      </c>
      <c r="G2126" s="173" t="inlineStr">
        <is>
          <t>兴业证券</t>
        </is>
      </c>
      <c r="H2126" s="173" t="inlineStr">
        <is>
          <t>江苏银行/建设银行/东方证券/中信证券</t>
        </is>
      </c>
      <c r="I2126" s="173" t="inlineStr">
        <is>
          <t>兴业北分</t>
        </is>
      </c>
      <c r="J2126" s="172" t="n">
        <v>10</v>
      </c>
      <c r="K2126" s="173" t="inlineStr">
        <is>
          <t>10+10+9+3</t>
        </is>
      </c>
      <c r="L2126" s="202" t="n">
        <v>46231</v>
      </c>
      <c r="M2126" s="175" t="n">
        <v>0.0148</v>
      </c>
      <c r="N2126" s="176" t="n">
        <v>0.0182</v>
      </c>
      <c r="O2126" s="191" t="n">
        <v>1.69</v>
      </c>
      <c r="P2126" s="172" t="inlineStr">
        <is>
          <t>优先A</t>
        </is>
      </c>
      <c r="Q2126" s="178" t="n">
        <v>0.9</v>
      </c>
      <c r="R2126" s="179" t="n">
        <v>9</v>
      </c>
      <c r="S2126" s="177" t="inlineStr">
        <is>
          <t>AAA</t>
        </is>
      </c>
      <c r="T2126" s="178" t="n">
        <v>0.016</v>
      </c>
      <c r="U2126" s="177" t="inlineStr">
        <is>
          <t>工银理财</t>
        </is>
      </c>
      <c r="V2126" s="192" t="n">
        <v>2.5</v>
      </c>
      <c r="W2126" s="172" t="n"/>
      <c r="X2126" s="172" t="n"/>
      <c r="Y2126" s="172" t="n"/>
    </row>
    <row r="2127">
      <c r="A2127" s="172" t="n">
        <v>122</v>
      </c>
      <c r="B2127" s="173" t="inlineStr">
        <is>
          <t>7月</t>
        </is>
      </c>
      <c r="C2127" s="173" t="inlineStr">
        <is>
          <t>消金</t>
        </is>
      </c>
      <c r="D2127" s="173" t="inlineStr">
        <is>
          <t>赊销白条</t>
        </is>
      </c>
      <c r="E2127" s="173" t="inlineStr">
        <is>
          <t>东裕11号夏裕（可续发）</t>
        </is>
      </c>
      <c r="F2127" s="173" t="inlineStr">
        <is>
          <t>银行间</t>
        </is>
      </c>
      <c r="G2127" s="173" t="inlineStr">
        <is>
          <t>兴业证券</t>
        </is>
      </c>
      <c r="H2127" s="173" t="inlineStr">
        <is>
          <t>江苏银行/建设银行/东方证券/中信证券</t>
        </is>
      </c>
      <c r="I2127" s="173" t="inlineStr">
        <is>
          <t>兴业北分</t>
        </is>
      </c>
      <c r="J2127" s="172" t="n">
        <v>10</v>
      </c>
      <c r="K2127" s="173" t="inlineStr">
        <is>
          <t>10+10+9+3</t>
        </is>
      </c>
      <c r="L2127" s="202" t="n">
        <v>46231</v>
      </c>
      <c r="M2127" s="175" t="n">
        <v>0.0148</v>
      </c>
      <c r="N2127" s="176" t="n">
        <v>0.0182</v>
      </c>
      <c r="O2127" s="191" t="n">
        <v>1.69</v>
      </c>
      <c r="P2127" s="172" t="inlineStr">
        <is>
          <t>优先A</t>
        </is>
      </c>
      <c r="Q2127" s="178" t="n">
        <v>0.9</v>
      </c>
      <c r="R2127" s="179" t="n">
        <v>9</v>
      </c>
      <c r="S2127" s="177" t="inlineStr">
        <is>
          <t>AAA</t>
        </is>
      </c>
      <c r="T2127" s="178" t="n">
        <v>0.016</v>
      </c>
      <c r="U2127" s="177" t="inlineStr">
        <is>
          <t>江苏银行</t>
        </is>
      </c>
      <c r="V2127" s="192" t="n">
        <v>0.1</v>
      </c>
      <c r="W2127" s="172" t="n"/>
      <c r="X2127" s="172" t="n"/>
      <c r="Y2127" s="172" t="n"/>
    </row>
    <row r="2128">
      <c r="A2128" s="172" t="n">
        <v>122</v>
      </c>
      <c r="B2128" s="173" t="inlineStr">
        <is>
          <t>7月</t>
        </is>
      </c>
      <c r="C2128" s="173" t="inlineStr">
        <is>
          <t>消金</t>
        </is>
      </c>
      <c r="D2128" s="173" t="inlineStr">
        <is>
          <t>赊销白条</t>
        </is>
      </c>
      <c r="E2128" s="173" t="inlineStr">
        <is>
          <t>东裕11号夏裕（可续发）</t>
        </is>
      </c>
      <c r="F2128" s="173" t="inlineStr">
        <is>
          <t>银行间</t>
        </is>
      </c>
      <c r="G2128" s="173" t="inlineStr">
        <is>
          <t>兴业证券</t>
        </is>
      </c>
      <c r="H2128" s="173" t="inlineStr">
        <is>
          <t>江苏银行/建设银行/东方证券/中信证券</t>
        </is>
      </c>
      <c r="I2128" s="173" t="inlineStr">
        <is>
          <t>兴业北分</t>
        </is>
      </c>
      <c r="J2128" s="172" t="n">
        <v>10</v>
      </c>
      <c r="K2128" s="173" t="inlineStr">
        <is>
          <t>10+10+9+3</t>
        </is>
      </c>
      <c r="L2128" s="202" t="n">
        <v>46231</v>
      </c>
      <c r="M2128" s="175" t="n">
        <v>0.0148</v>
      </c>
      <c r="N2128" s="176" t="n">
        <v>0.0182</v>
      </c>
      <c r="O2128" s="191" t="n">
        <v>1.69</v>
      </c>
      <c r="P2128" s="172" t="inlineStr">
        <is>
          <t>优先A</t>
        </is>
      </c>
      <c r="Q2128" s="178" t="n">
        <v>0.9</v>
      </c>
      <c r="R2128" s="179" t="n">
        <v>9</v>
      </c>
      <c r="S2128" s="177" t="inlineStr">
        <is>
          <t>AAA</t>
        </is>
      </c>
      <c r="T2128" s="178" t="n">
        <v>0.016</v>
      </c>
      <c r="U2128" s="177" t="inlineStr">
        <is>
          <t>中邮理财</t>
        </is>
      </c>
      <c r="V2128" s="192" t="n">
        <v>2.7</v>
      </c>
      <c r="W2128" s="172" t="n"/>
      <c r="X2128" s="172" t="n"/>
      <c r="Y2128" s="172" t="n"/>
    </row>
    <row r="2129">
      <c r="A2129" s="172" t="n">
        <v>122</v>
      </c>
      <c r="B2129" s="173" t="inlineStr">
        <is>
          <t>7月</t>
        </is>
      </c>
      <c r="C2129" s="173" t="inlineStr">
        <is>
          <t>消金</t>
        </is>
      </c>
      <c r="D2129" s="173" t="inlineStr">
        <is>
          <t>赊销白条</t>
        </is>
      </c>
      <c r="E2129" s="173" t="inlineStr">
        <is>
          <t>东裕11号夏裕（可续发）</t>
        </is>
      </c>
      <c r="F2129" s="173" t="inlineStr">
        <is>
          <t>银行间</t>
        </is>
      </c>
      <c r="G2129" s="173" t="inlineStr">
        <is>
          <t>兴业证券</t>
        </is>
      </c>
      <c r="H2129" s="173" t="inlineStr">
        <is>
          <t>江苏银行/建设银行/东方证券/中信证券</t>
        </is>
      </c>
      <c r="I2129" s="173" t="inlineStr">
        <is>
          <t>兴业北分</t>
        </is>
      </c>
      <c r="J2129" s="172" t="n">
        <v>10</v>
      </c>
      <c r="K2129" s="173" t="inlineStr">
        <is>
          <t>10+10+9+3</t>
        </is>
      </c>
      <c r="L2129" s="202" t="n">
        <v>46231</v>
      </c>
      <c r="M2129" s="175" t="n">
        <v>0.0148</v>
      </c>
      <c r="N2129" s="176" t="n">
        <v>0.0182</v>
      </c>
      <c r="O2129" s="191" t="n">
        <v>1.69</v>
      </c>
      <c r="P2129" s="172" t="inlineStr">
        <is>
          <t>优先A</t>
        </is>
      </c>
      <c r="Q2129" s="178" t="n">
        <v>0.9</v>
      </c>
      <c r="R2129" s="179" t="n">
        <v>9</v>
      </c>
      <c r="S2129" s="177" t="inlineStr">
        <is>
          <t>AAA</t>
        </is>
      </c>
      <c r="T2129" s="178" t="n">
        <v>0.016</v>
      </c>
      <c r="U2129" s="177" t="inlineStr">
        <is>
          <t>平安养老</t>
        </is>
      </c>
      <c r="V2129" s="192" t="n">
        <v>0.9</v>
      </c>
      <c r="W2129" s="172" t="n"/>
      <c r="X2129" s="172" t="n"/>
      <c r="Y2129" s="172" t="n"/>
    </row>
    <row r="2130">
      <c r="A2130" s="172" t="n">
        <v>122</v>
      </c>
      <c r="B2130" s="173" t="inlineStr">
        <is>
          <t>7月</t>
        </is>
      </c>
      <c r="C2130" s="173" t="inlineStr">
        <is>
          <t>消金</t>
        </is>
      </c>
      <c r="D2130" s="173" t="inlineStr">
        <is>
          <t>赊销白条</t>
        </is>
      </c>
      <c r="E2130" s="173" t="inlineStr">
        <is>
          <t>东裕11号夏裕（可续发）</t>
        </is>
      </c>
      <c r="F2130" s="173" t="inlineStr">
        <is>
          <t>银行间</t>
        </is>
      </c>
      <c r="G2130" s="173" t="inlineStr">
        <is>
          <t>兴业证券</t>
        </is>
      </c>
      <c r="H2130" s="173" t="inlineStr">
        <is>
          <t>江苏银行/建设银行/东方证券/中信证券</t>
        </is>
      </c>
      <c r="I2130" s="173" t="inlineStr">
        <is>
          <t>兴业北分</t>
        </is>
      </c>
      <c r="J2130" s="172" t="n">
        <v>10</v>
      </c>
      <c r="K2130" s="173" t="inlineStr">
        <is>
          <t>10+10+9+3</t>
        </is>
      </c>
      <c r="L2130" s="202" t="n">
        <v>46231</v>
      </c>
      <c r="M2130" s="175" t="n">
        <v>0.0148</v>
      </c>
      <c r="N2130" s="176" t="n">
        <v>0.0182</v>
      </c>
      <c r="O2130" s="191" t="n">
        <v>1.69</v>
      </c>
      <c r="P2130" s="172" t="inlineStr">
        <is>
          <t>优先A</t>
        </is>
      </c>
      <c r="Q2130" s="178" t="n">
        <v>0.9</v>
      </c>
      <c r="R2130" s="179" t="n">
        <v>9</v>
      </c>
      <c r="S2130" s="177" t="inlineStr">
        <is>
          <t>AAA</t>
        </is>
      </c>
      <c r="T2130" s="178" t="n">
        <v>0.016</v>
      </c>
      <c r="U2130" s="177" t="inlineStr">
        <is>
          <t>建设银行</t>
        </is>
      </c>
      <c r="V2130" s="192" t="n">
        <v>1.8</v>
      </c>
      <c r="W2130" s="172" t="n"/>
      <c r="X2130" s="172" t="n"/>
      <c r="Y2130" s="172" t="n"/>
    </row>
    <row r="2131">
      <c r="A2131" s="172" t="n">
        <v>122</v>
      </c>
      <c r="B2131" s="173" t="inlineStr">
        <is>
          <t>7月</t>
        </is>
      </c>
      <c r="C2131" s="173" t="inlineStr">
        <is>
          <t>消金</t>
        </is>
      </c>
      <c r="D2131" s="173" t="inlineStr">
        <is>
          <t>赊销白条</t>
        </is>
      </c>
      <c r="E2131" s="173" t="inlineStr">
        <is>
          <t>东裕11号夏裕（可续发）</t>
        </is>
      </c>
      <c r="F2131" s="173" t="inlineStr">
        <is>
          <t>银行间</t>
        </is>
      </c>
      <c r="G2131" s="173" t="inlineStr">
        <is>
          <t>兴业证券</t>
        </is>
      </c>
      <c r="H2131" s="173" t="inlineStr">
        <is>
          <t>江苏银行/建设银行/东方证券/中信证券</t>
        </is>
      </c>
      <c r="I2131" s="173" t="inlineStr">
        <is>
          <t>兴业北分</t>
        </is>
      </c>
      <c r="J2131" s="172" t="n">
        <v>10</v>
      </c>
      <c r="K2131" s="173" t="inlineStr">
        <is>
          <t>10+10+9+3</t>
        </is>
      </c>
      <c r="L2131" s="202" t="n">
        <v>46231</v>
      </c>
      <c r="M2131" s="175" t="n">
        <v>0.0148</v>
      </c>
      <c r="N2131" s="176" t="n">
        <v>0.0182</v>
      </c>
      <c r="O2131" s="191" t="n">
        <v>1.69</v>
      </c>
      <c r="P2131" s="177" t="inlineStr">
        <is>
          <t>优先B</t>
        </is>
      </c>
      <c r="Q2131" s="178" t="n">
        <v>0.03</v>
      </c>
      <c r="R2131" s="179" t="n">
        <v>0.3</v>
      </c>
      <c r="S2131" s="177" t="inlineStr">
        <is>
          <t>AA+</t>
        </is>
      </c>
      <c r="T2131" s="178" t="n">
        <v>0.0175</v>
      </c>
      <c r="U2131" s="177" t="inlineStr">
        <is>
          <t>交银理财</t>
        </is>
      </c>
      <c r="V2131" s="192" t="n">
        <v>0.09</v>
      </c>
      <c r="W2131" s="172" t="n"/>
      <c r="X2131" s="172" t="n"/>
      <c r="Y2131" s="172" t="n"/>
    </row>
    <row r="2132">
      <c r="A2132" s="172" t="n">
        <v>122</v>
      </c>
      <c r="B2132" s="173" t="inlineStr">
        <is>
          <t>7月</t>
        </is>
      </c>
      <c r="C2132" s="173" t="inlineStr">
        <is>
          <t>消金</t>
        </is>
      </c>
      <c r="D2132" s="173" t="inlineStr">
        <is>
          <t>赊销白条</t>
        </is>
      </c>
      <c r="E2132" s="173" t="inlineStr">
        <is>
          <t>东裕11号夏裕（可续发）</t>
        </is>
      </c>
      <c r="F2132" s="173" t="inlineStr">
        <is>
          <t>银行间</t>
        </is>
      </c>
      <c r="G2132" s="173" t="inlineStr">
        <is>
          <t>兴业证券</t>
        </is>
      </c>
      <c r="H2132" s="173" t="inlineStr">
        <is>
          <t>江苏银行/建设银行/东方证券/中信证券</t>
        </is>
      </c>
      <c r="I2132" s="173" t="inlineStr">
        <is>
          <t>兴业北分</t>
        </is>
      </c>
      <c r="J2132" s="172" t="n">
        <v>10</v>
      </c>
      <c r="K2132" s="173" t="inlineStr">
        <is>
          <t>10+10+9+3</t>
        </is>
      </c>
      <c r="L2132" s="202" t="n">
        <v>46231</v>
      </c>
      <c r="M2132" s="175" t="n">
        <v>0.0148</v>
      </c>
      <c r="N2132" s="176" t="n">
        <v>0.0182</v>
      </c>
      <c r="O2132" s="191" t="n">
        <v>1.69</v>
      </c>
      <c r="P2132" s="172" t="inlineStr">
        <is>
          <t>优先B</t>
        </is>
      </c>
      <c r="Q2132" s="178" t="n">
        <v>0.03</v>
      </c>
      <c r="R2132" s="179" t="n">
        <v>0.3</v>
      </c>
      <c r="S2132" s="177" t="inlineStr">
        <is>
          <t>AA+</t>
        </is>
      </c>
      <c r="T2132" s="178" t="n">
        <v>0.0175</v>
      </c>
      <c r="U2132" s="177" t="inlineStr">
        <is>
          <t>杭州联合银行</t>
        </is>
      </c>
      <c r="V2132" s="192" t="n">
        <v>0.09</v>
      </c>
      <c r="W2132" s="172" t="n"/>
      <c r="X2132" s="172" t="n"/>
      <c r="Y2132" s="172" t="n"/>
    </row>
    <row r="2133">
      <c r="A2133" s="172" t="n">
        <v>122</v>
      </c>
      <c r="B2133" s="173" t="inlineStr">
        <is>
          <t>7月</t>
        </is>
      </c>
      <c r="C2133" s="173" t="inlineStr">
        <is>
          <t>消金</t>
        </is>
      </c>
      <c r="D2133" s="173" t="inlineStr">
        <is>
          <t>赊销白条</t>
        </is>
      </c>
      <c r="E2133" s="173" t="inlineStr">
        <is>
          <t>东裕11号夏裕（可续发）</t>
        </is>
      </c>
      <c r="F2133" s="173" t="inlineStr">
        <is>
          <t>银行间</t>
        </is>
      </c>
      <c r="G2133" s="173" t="inlineStr">
        <is>
          <t>兴业证券</t>
        </is>
      </c>
      <c r="H2133" s="173" t="inlineStr">
        <is>
          <t>江苏银行/建设银行/东方证券/中信证券</t>
        </is>
      </c>
      <c r="I2133" s="173" t="inlineStr">
        <is>
          <t>兴业北分</t>
        </is>
      </c>
      <c r="J2133" s="172" t="n">
        <v>10</v>
      </c>
      <c r="K2133" s="173" t="inlineStr">
        <is>
          <t>10+10+9+3</t>
        </is>
      </c>
      <c r="L2133" s="202" t="n">
        <v>46231</v>
      </c>
      <c r="M2133" s="175" t="n">
        <v>0.0148</v>
      </c>
      <c r="N2133" s="176" t="n">
        <v>0.0182</v>
      </c>
      <c r="O2133" s="191" t="n">
        <v>1.69</v>
      </c>
      <c r="P2133" s="172" t="inlineStr">
        <is>
          <t>优先B</t>
        </is>
      </c>
      <c r="Q2133" s="178" t="n">
        <v>0.03</v>
      </c>
      <c r="R2133" s="179" t="n">
        <v>0.3</v>
      </c>
      <c r="S2133" s="177" t="inlineStr">
        <is>
          <t>AA+</t>
        </is>
      </c>
      <c r="T2133" s="178" t="n">
        <v>0.0175</v>
      </c>
      <c r="U2133" s="177" t="inlineStr">
        <is>
          <t>兴业证券投行</t>
        </is>
      </c>
      <c r="V2133" s="192" t="n">
        <v>0.12</v>
      </c>
      <c r="W2133" s="172" t="n"/>
      <c r="X2133" s="172" t="n"/>
      <c r="Y2133" s="172" t="n"/>
    </row>
    <row r="2134">
      <c r="A2134" s="172" t="n">
        <v>122</v>
      </c>
      <c r="B2134" s="173" t="inlineStr">
        <is>
          <t>7月</t>
        </is>
      </c>
      <c r="C2134" s="173" t="inlineStr">
        <is>
          <t>消金</t>
        </is>
      </c>
      <c r="D2134" s="173" t="inlineStr">
        <is>
          <t>赊销白条</t>
        </is>
      </c>
      <c r="E2134" s="173" t="inlineStr">
        <is>
          <t>东裕11号夏裕（可续发）</t>
        </is>
      </c>
      <c r="F2134" s="173" t="inlineStr">
        <is>
          <t>银行间</t>
        </is>
      </c>
      <c r="G2134" s="173" t="inlineStr">
        <is>
          <t>兴业证券</t>
        </is>
      </c>
      <c r="H2134" s="173" t="inlineStr">
        <is>
          <t>江苏银行/建设银行/东方证券/中信证券</t>
        </is>
      </c>
      <c r="I2134" s="173" t="inlineStr">
        <is>
          <t>兴业北分</t>
        </is>
      </c>
      <c r="J2134" s="172" t="n">
        <v>10</v>
      </c>
      <c r="K2134" s="173" t="inlineStr">
        <is>
          <t>10+10+9+3</t>
        </is>
      </c>
      <c r="L2134" s="202" t="n">
        <v>46231</v>
      </c>
      <c r="M2134" s="175" t="n">
        <v>0.0148</v>
      </c>
      <c r="N2134" s="176" t="n">
        <v>0.0182</v>
      </c>
      <c r="O2134" s="191" t="n">
        <v>1.69</v>
      </c>
      <c r="P2134" s="177" t="inlineStr">
        <is>
          <t>中间级</t>
        </is>
      </c>
      <c r="Q2134" s="178" t="n">
        <v>0.02</v>
      </c>
      <c r="R2134" s="179" t="n">
        <v>0.2</v>
      </c>
      <c r="S2134" s="177" t="inlineStr">
        <is>
          <t>A+</t>
        </is>
      </c>
      <c r="T2134" s="178" t="n">
        <v>0.031</v>
      </c>
      <c r="U2134" s="177" t="inlineStr">
        <is>
          <t>杭州联合银行</t>
        </is>
      </c>
      <c r="V2134" s="192" t="n">
        <v>0.06</v>
      </c>
      <c r="W2134" s="172" t="n"/>
      <c r="X2134" s="172" t="n"/>
      <c r="Y2134" s="172" t="n"/>
    </row>
    <row r="2135">
      <c r="A2135" s="172" t="n">
        <v>122</v>
      </c>
      <c r="B2135" s="173" t="inlineStr">
        <is>
          <t>7月</t>
        </is>
      </c>
      <c r="C2135" s="173" t="inlineStr">
        <is>
          <t>消金</t>
        </is>
      </c>
      <c r="D2135" s="173" t="inlineStr">
        <is>
          <t>赊销白条</t>
        </is>
      </c>
      <c r="E2135" s="173" t="inlineStr">
        <is>
          <t>东裕11号夏裕（可续发）</t>
        </is>
      </c>
      <c r="F2135" s="173" t="inlineStr">
        <is>
          <t>银行间</t>
        </is>
      </c>
      <c r="G2135" s="173" t="inlineStr">
        <is>
          <t>兴业证券</t>
        </is>
      </c>
      <c r="H2135" s="173" t="inlineStr">
        <is>
          <t>江苏银行/建设银行/东方证券/中信证券</t>
        </is>
      </c>
      <c r="I2135" s="173" t="inlineStr">
        <is>
          <t>兴业北分</t>
        </is>
      </c>
      <c r="J2135" s="172" t="n">
        <v>10</v>
      </c>
      <c r="K2135" s="173" t="inlineStr">
        <is>
          <t>10+10+9+3</t>
        </is>
      </c>
      <c r="L2135" s="202" t="n">
        <v>46231</v>
      </c>
      <c r="M2135" s="175" t="n">
        <v>0.0148</v>
      </c>
      <c r="N2135" s="176" t="n">
        <v>0.0182</v>
      </c>
      <c r="O2135" s="191" t="n">
        <v>1.69</v>
      </c>
      <c r="P2135" s="172" t="inlineStr">
        <is>
          <t>中间级</t>
        </is>
      </c>
      <c r="Q2135" s="178" t="n">
        <v>0.02</v>
      </c>
      <c r="R2135" s="179" t="n">
        <v>0.2</v>
      </c>
      <c r="S2135" s="177" t="inlineStr">
        <is>
          <t>A+</t>
        </is>
      </c>
      <c r="T2135" s="178" t="n">
        <v>0.031</v>
      </c>
      <c r="U2135" s="177" t="inlineStr">
        <is>
          <t>平安理财</t>
        </is>
      </c>
      <c r="V2135" s="192" t="n">
        <v>0.06</v>
      </c>
      <c r="W2135" s="172" t="n"/>
      <c r="X2135" s="172" t="n"/>
      <c r="Y2135" s="172" t="n"/>
    </row>
    <row r="2136">
      <c r="A2136" s="172" t="n">
        <v>122</v>
      </c>
      <c r="B2136" s="173" t="inlineStr">
        <is>
          <t>7月</t>
        </is>
      </c>
      <c r="C2136" s="173" t="inlineStr">
        <is>
          <t>消金</t>
        </is>
      </c>
      <c r="D2136" s="173" t="inlineStr">
        <is>
          <t>赊销白条</t>
        </is>
      </c>
      <c r="E2136" s="173" t="inlineStr">
        <is>
          <t>东裕11号夏裕（可续发）</t>
        </is>
      </c>
      <c r="F2136" s="173" t="inlineStr">
        <is>
          <t>银行间</t>
        </is>
      </c>
      <c r="G2136" s="173" t="inlineStr">
        <is>
          <t>兴业证券</t>
        </is>
      </c>
      <c r="H2136" s="173" t="inlineStr">
        <is>
          <t>江苏银行/建设银行/东方证券/中信证券</t>
        </is>
      </c>
      <c r="I2136" s="173" t="inlineStr">
        <is>
          <t>兴业北分</t>
        </is>
      </c>
      <c r="J2136" s="172" t="n">
        <v>10</v>
      </c>
      <c r="K2136" s="173" t="inlineStr">
        <is>
          <t>10+10+9+3</t>
        </is>
      </c>
      <c r="L2136" s="202" t="n">
        <v>46231</v>
      </c>
      <c r="M2136" s="175" t="n">
        <v>0.0148</v>
      </c>
      <c r="N2136" s="176" t="n">
        <v>0.0182</v>
      </c>
      <c r="O2136" s="191" t="n">
        <v>1.69</v>
      </c>
      <c r="P2136" s="172" t="inlineStr">
        <is>
          <t>中间级</t>
        </is>
      </c>
      <c r="Q2136" s="178" t="n">
        <v>0.02</v>
      </c>
      <c r="R2136" s="179" t="n">
        <v>0.2</v>
      </c>
      <c r="S2136" s="177" t="inlineStr">
        <is>
          <t>A+</t>
        </is>
      </c>
      <c r="T2136" s="178" t="n">
        <v>0.031</v>
      </c>
      <c r="U2136" s="177" t="inlineStr">
        <is>
          <t>招银理财</t>
        </is>
      </c>
      <c r="V2136" s="192" t="n">
        <v>0.06</v>
      </c>
      <c r="W2136" s="172" t="n"/>
      <c r="X2136" s="172" t="n"/>
      <c r="Y2136" s="172" t="n"/>
    </row>
    <row r="2137">
      <c r="A2137" s="172" t="n">
        <v>122</v>
      </c>
      <c r="B2137" s="173" t="inlineStr">
        <is>
          <t>7月</t>
        </is>
      </c>
      <c r="C2137" s="173" t="inlineStr">
        <is>
          <t>消金</t>
        </is>
      </c>
      <c r="D2137" s="173" t="inlineStr">
        <is>
          <t>赊销白条</t>
        </is>
      </c>
      <c r="E2137" s="173" t="inlineStr">
        <is>
          <t>东裕11号夏裕（可续发）</t>
        </is>
      </c>
      <c r="F2137" s="173" t="inlineStr">
        <is>
          <t>银行间</t>
        </is>
      </c>
      <c r="G2137" s="173" t="inlineStr">
        <is>
          <t>兴业证券</t>
        </is>
      </c>
      <c r="H2137" s="173" t="inlineStr">
        <is>
          <t>江苏银行/建设银行/东方证券/中信证券</t>
        </is>
      </c>
      <c r="I2137" s="173" t="inlineStr">
        <is>
          <t>兴业北分</t>
        </is>
      </c>
      <c r="J2137" s="172" t="n">
        <v>10</v>
      </c>
      <c r="K2137" s="173" t="inlineStr">
        <is>
          <t>10+10+9+3</t>
        </is>
      </c>
      <c r="L2137" s="202" t="n">
        <v>46231</v>
      </c>
      <c r="M2137" s="175" t="n">
        <v>0.0148</v>
      </c>
      <c r="N2137" s="176" t="n">
        <v>0.0182</v>
      </c>
      <c r="O2137" s="191" t="n">
        <v>1.69</v>
      </c>
      <c r="P2137" s="172" t="inlineStr">
        <is>
          <t>中间级</t>
        </is>
      </c>
      <c r="Q2137" s="178" t="n">
        <v>0.02</v>
      </c>
      <c r="R2137" s="179" t="n">
        <v>0.2</v>
      </c>
      <c r="S2137" s="177" t="inlineStr">
        <is>
          <t>A+</t>
        </is>
      </c>
      <c r="T2137" s="178" t="n">
        <v>0.031</v>
      </c>
      <c r="U2137" s="177" t="inlineStr">
        <is>
          <t>中信建投衍生品</t>
        </is>
      </c>
      <c r="V2137" s="192" t="n">
        <v>0.02</v>
      </c>
      <c r="W2137" s="172" t="n"/>
      <c r="X2137" s="172" t="n"/>
      <c r="Y2137" s="172" t="n"/>
    </row>
    <row r="2138">
      <c r="A2138" s="172" t="n">
        <v>122</v>
      </c>
      <c r="B2138" s="173" t="inlineStr">
        <is>
          <t>7月</t>
        </is>
      </c>
      <c r="C2138" s="173" t="inlineStr">
        <is>
          <t>消金</t>
        </is>
      </c>
      <c r="D2138" s="173" t="inlineStr">
        <is>
          <t>赊销白条</t>
        </is>
      </c>
      <c r="E2138" s="173" t="inlineStr">
        <is>
          <t>东裕11号夏裕（可续发）</t>
        </is>
      </c>
      <c r="F2138" s="173" t="inlineStr">
        <is>
          <t>银行间</t>
        </is>
      </c>
      <c r="G2138" s="173" t="inlineStr">
        <is>
          <t>兴业证券</t>
        </is>
      </c>
      <c r="H2138" s="173" t="inlineStr">
        <is>
          <t>江苏银行/建设银行/东方证券/中信证券</t>
        </is>
      </c>
      <c r="I2138" s="173" t="inlineStr">
        <is>
          <t>兴业北分</t>
        </is>
      </c>
      <c r="J2138" s="172" t="n">
        <v>10</v>
      </c>
      <c r="K2138" s="173" t="inlineStr">
        <is>
          <t>10+10+9+3</t>
        </is>
      </c>
      <c r="L2138" s="202" t="n">
        <v>46231</v>
      </c>
      <c r="M2138" s="175" t="n">
        <v>0.0148</v>
      </c>
      <c r="N2138" s="176" t="n">
        <v>0.0182</v>
      </c>
      <c r="O2138" s="191" t="n">
        <v>1.69</v>
      </c>
      <c r="P2138" s="177" t="inlineStr">
        <is>
          <t>次级</t>
        </is>
      </c>
      <c r="Q2138" s="178" t="n">
        <v>0.05</v>
      </c>
      <c r="R2138" s="179" t="n">
        <v>0.5</v>
      </c>
      <c r="S2138" s="177" t="inlineStr">
        <is>
          <t>无</t>
        </is>
      </c>
      <c r="T2138" s="178" t="n">
        <v>0.045</v>
      </c>
      <c r="U2138" s="177" t="inlineStr">
        <is>
          <t>中信证券财富</t>
        </is>
      </c>
      <c r="V2138" s="195" t="n">
        <v>0.225</v>
      </c>
      <c r="W2138" s="172" t="n"/>
      <c r="X2138" s="172" t="n"/>
      <c r="Y2138" s="172" t="n"/>
    </row>
    <row r="2139">
      <c r="A2139" s="172" t="n">
        <v>122</v>
      </c>
      <c r="B2139" s="173" t="inlineStr">
        <is>
          <t>7月</t>
        </is>
      </c>
      <c r="C2139" s="173" t="inlineStr">
        <is>
          <t>消金</t>
        </is>
      </c>
      <c r="D2139" s="173" t="inlineStr">
        <is>
          <t>赊销白条</t>
        </is>
      </c>
      <c r="E2139" s="173" t="inlineStr">
        <is>
          <t>东裕11号夏裕（可续发）</t>
        </is>
      </c>
      <c r="F2139" s="173" t="inlineStr">
        <is>
          <t>银行间</t>
        </is>
      </c>
      <c r="G2139" s="173" t="inlineStr">
        <is>
          <t>兴业证券</t>
        </is>
      </c>
      <c r="H2139" s="173" t="inlineStr">
        <is>
          <t>江苏银行/建设银行/东方证券/中信证券</t>
        </is>
      </c>
      <c r="I2139" s="173" t="inlineStr">
        <is>
          <t>兴业北分</t>
        </is>
      </c>
      <c r="J2139" s="172" t="n">
        <v>10</v>
      </c>
      <c r="K2139" s="173" t="inlineStr">
        <is>
          <t>10+10+9+3</t>
        </is>
      </c>
      <c r="L2139" s="202" t="n">
        <v>46231</v>
      </c>
      <c r="M2139" s="175" t="n">
        <v>0.0148</v>
      </c>
      <c r="N2139" s="176" t="n">
        <v>0.0182</v>
      </c>
      <c r="O2139" s="191" t="n">
        <v>1.69</v>
      </c>
      <c r="P2139" s="172" t="inlineStr">
        <is>
          <t>次级</t>
        </is>
      </c>
      <c r="Q2139" s="178" t="n">
        <v>0.05</v>
      </c>
      <c r="R2139" s="179" t="n">
        <v>0.5</v>
      </c>
      <c r="S2139" s="177" t="inlineStr">
        <is>
          <t>无</t>
        </is>
      </c>
      <c r="T2139" s="178" t="n">
        <v>0.045</v>
      </c>
      <c r="U2139" s="177" t="inlineStr">
        <is>
          <t>华兴证券自营</t>
        </is>
      </c>
      <c r="V2139" s="195" t="n">
        <v>0.075</v>
      </c>
      <c r="W2139" s="172" t="n"/>
      <c r="X2139" s="172" t="n"/>
      <c r="Y2139" s="172" t="n"/>
    </row>
    <row r="2140">
      <c r="A2140" s="172" t="n">
        <v>122</v>
      </c>
      <c r="B2140" s="173" t="inlineStr">
        <is>
          <t>7月</t>
        </is>
      </c>
      <c r="C2140" s="173" t="inlineStr">
        <is>
          <t>消金</t>
        </is>
      </c>
      <c r="D2140" s="173" t="inlineStr">
        <is>
          <t>赊销白条</t>
        </is>
      </c>
      <c r="E2140" s="173" t="inlineStr">
        <is>
          <t>东裕11号夏裕（可续发）</t>
        </is>
      </c>
      <c r="F2140" s="173" t="inlineStr">
        <is>
          <t>银行间</t>
        </is>
      </c>
      <c r="G2140" s="173" t="inlineStr">
        <is>
          <t>兴业证券</t>
        </is>
      </c>
      <c r="H2140" s="173" t="inlineStr">
        <is>
          <t>江苏银行/建设银行/东方证券/中信证券</t>
        </is>
      </c>
      <c r="I2140" s="173" t="inlineStr">
        <is>
          <t>兴业北分</t>
        </is>
      </c>
      <c r="J2140" s="172" t="n">
        <v>10</v>
      </c>
      <c r="K2140" s="173" t="inlineStr">
        <is>
          <t>10+10+9+3</t>
        </is>
      </c>
      <c r="L2140" s="202" t="n">
        <v>46231</v>
      </c>
      <c r="M2140" s="175" t="n">
        <v>0.0148</v>
      </c>
      <c r="N2140" s="176" t="n">
        <v>0.0182</v>
      </c>
      <c r="O2140" s="191" t="n">
        <v>1.69</v>
      </c>
      <c r="P2140" s="172" t="inlineStr">
        <is>
          <t>次级</t>
        </is>
      </c>
      <c r="Q2140" s="178" t="n">
        <v>0.05</v>
      </c>
      <c r="R2140" s="179" t="n">
        <v>0.5</v>
      </c>
      <c r="S2140" s="177" t="inlineStr">
        <is>
          <t>无</t>
        </is>
      </c>
      <c r="T2140" s="178" t="n">
        <v>0.045</v>
      </c>
      <c r="U2140" s="177" t="inlineStr">
        <is>
          <t>中信建投机构部</t>
        </is>
      </c>
      <c r="V2140" s="192" t="n">
        <v>0.2</v>
      </c>
      <c r="W2140" s="172" t="n"/>
      <c r="X2140" s="172" t="n"/>
      <c r="Y2140" s="172" t="n"/>
    </row>
    <row r="2141">
      <c r="A2141" s="172" t="n">
        <v>123</v>
      </c>
      <c r="B2141" s="172" t="inlineStr">
        <is>
          <t>7月</t>
        </is>
      </c>
      <c r="C2141" s="172" t="inlineStr">
        <is>
          <t>企金</t>
        </is>
      </c>
      <c r="D2141" s="172" t="inlineStr">
        <is>
          <t>金采</t>
        </is>
      </c>
      <c r="E2141" s="172" t="inlineStr">
        <is>
          <t>金采8-11</t>
        </is>
      </c>
      <c r="F2141" s="172" t="inlineStr">
        <is>
          <t>上交所</t>
        </is>
      </c>
      <c r="G2141" s="172" t="inlineStr">
        <is>
          <t>华泰资管</t>
        </is>
      </c>
      <c r="H2141" s="172" t="inlineStr">
        <is>
          <t>国开证券</t>
        </is>
      </c>
      <c r="I2141" s="172" t="inlineStr">
        <is>
          <t>青岛银行</t>
        </is>
      </c>
      <c r="J2141" s="172" t="n">
        <v>9</v>
      </c>
      <c r="K2141" s="172" t="inlineStr">
        <is>
          <t>7+12</t>
        </is>
      </c>
      <c r="L2141" s="202" t="n">
        <v>46231</v>
      </c>
      <c r="M2141" s="175" t="n">
        <v>0.0148</v>
      </c>
      <c r="N2141" s="176" t="n">
        <v>0.0187</v>
      </c>
      <c r="O2141" s="191" t="n">
        <v>1.58</v>
      </c>
      <c r="P2141" s="172" t="inlineStr">
        <is>
          <t>优先级</t>
        </is>
      </c>
      <c r="Q2141" s="175" t="n">
        <v>0.9</v>
      </c>
      <c r="R2141" s="192">
        <f>8.1</f>
        <v/>
      </c>
      <c r="S2141" s="172" t="inlineStr">
        <is>
          <t>AAA</t>
        </is>
      </c>
      <c r="T2141" s="175" t="n">
        <v>0.016</v>
      </c>
      <c r="U2141" s="172" t="inlineStr">
        <is>
          <t xml:space="preserve"> 厦门汇正</t>
        </is>
      </c>
      <c r="V2141" s="191" t="n">
        <v>0.41</v>
      </c>
      <c r="W2141" s="172" t="n"/>
      <c r="X2141" s="172" t="n"/>
      <c r="Y2141" s="172" t="n"/>
    </row>
    <row r="2142">
      <c r="A2142" s="172" t="n">
        <v>123</v>
      </c>
      <c r="B2142" s="172" t="inlineStr">
        <is>
          <t>7月</t>
        </is>
      </c>
      <c r="C2142" s="172" t="inlineStr">
        <is>
          <t>企金</t>
        </is>
      </c>
      <c r="D2142" s="172" t="inlineStr">
        <is>
          <t>金采</t>
        </is>
      </c>
      <c r="E2142" s="172" t="inlineStr">
        <is>
          <t>金采8-11</t>
        </is>
      </c>
      <c r="F2142" s="172" t="inlineStr">
        <is>
          <t>上交所</t>
        </is>
      </c>
      <c r="G2142" s="172" t="inlineStr">
        <is>
          <t>华泰资管</t>
        </is>
      </c>
      <c r="H2142" s="172" t="inlineStr">
        <is>
          <t>国开证券</t>
        </is>
      </c>
      <c r="I2142" s="172" t="inlineStr">
        <is>
          <t>青岛银行</t>
        </is>
      </c>
      <c r="J2142" s="172" t="n">
        <v>9</v>
      </c>
      <c r="K2142" s="172" t="inlineStr">
        <is>
          <t>7+12</t>
        </is>
      </c>
      <c r="L2142" s="202" t="n">
        <v>46231</v>
      </c>
      <c r="M2142" s="175" t="n">
        <v>0.0148</v>
      </c>
      <c r="N2142" s="176" t="n">
        <v>0.0187</v>
      </c>
      <c r="O2142" s="191" t="n">
        <v>1.58</v>
      </c>
      <c r="P2142" s="172" t="inlineStr">
        <is>
          <t>优先级</t>
        </is>
      </c>
      <c r="Q2142" s="175" t="n">
        <v>0.9</v>
      </c>
      <c r="R2142" s="192">
        <f>8.1</f>
        <v/>
      </c>
      <c r="S2142" s="172" t="inlineStr">
        <is>
          <t>AAA</t>
        </is>
      </c>
      <c r="T2142" s="175" t="n">
        <v>0.016</v>
      </c>
      <c r="U2142" s="172" t="inlineStr">
        <is>
          <t>招银理财</t>
        </is>
      </c>
      <c r="V2142" s="191" t="n">
        <v>2.43</v>
      </c>
      <c r="W2142" s="172" t="n"/>
      <c r="X2142" s="172" t="n"/>
      <c r="Y2142" s="172" t="n"/>
    </row>
    <row r="2143">
      <c r="A2143" s="172" t="n">
        <v>123</v>
      </c>
      <c r="B2143" s="172" t="inlineStr">
        <is>
          <t>7月</t>
        </is>
      </c>
      <c r="C2143" s="172" t="inlineStr">
        <is>
          <t>企金</t>
        </is>
      </c>
      <c r="D2143" s="172" t="inlineStr">
        <is>
          <t>金采</t>
        </is>
      </c>
      <c r="E2143" s="172" t="inlineStr">
        <is>
          <t>金采8-11</t>
        </is>
      </c>
      <c r="F2143" s="172" t="inlineStr">
        <is>
          <t>上交所</t>
        </is>
      </c>
      <c r="G2143" s="172" t="inlineStr">
        <is>
          <t>华泰资管</t>
        </is>
      </c>
      <c r="H2143" s="172" t="inlineStr">
        <is>
          <t>国开证券</t>
        </is>
      </c>
      <c r="I2143" s="172" t="inlineStr">
        <is>
          <t>青岛银行</t>
        </is>
      </c>
      <c r="J2143" s="172" t="n">
        <v>9</v>
      </c>
      <c r="K2143" s="172" t="inlineStr">
        <is>
          <t>7+12</t>
        </is>
      </c>
      <c r="L2143" s="202" t="n">
        <v>46231</v>
      </c>
      <c r="M2143" s="175" t="n">
        <v>0.0148</v>
      </c>
      <c r="N2143" s="176" t="n">
        <v>0.0187</v>
      </c>
      <c r="O2143" s="191" t="n">
        <v>1.58</v>
      </c>
      <c r="P2143" s="172" t="inlineStr">
        <is>
          <t>优先级</t>
        </is>
      </c>
      <c r="Q2143" s="175" t="n">
        <v>0.9</v>
      </c>
      <c r="R2143" s="192">
        <f>8.1</f>
        <v/>
      </c>
      <c r="S2143" s="172" t="inlineStr">
        <is>
          <t>AAA</t>
        </is>
      </c>
      <c r="T2143" s="175" t="n">
        <v>0.016</v>
      </c>
      <c r="U2143" s="172" t="inlineStr">
        <is>
          <t>华夏基金</t>
        </is>
      </c>
      <c r="V2143" s="191" t="n">
        <v>1.28</v>
      </c>
      <c r="W2143" s="172" t="n"/>
      <c r="X2143" s="172" t="n"/>
      <c r="Y2143" s="172" t="n"/>
    </row>
    <row r="2144">
      <c r="A2144" s="172" t="n">
        <v>123</v>
      </c>
      <c r="B2144" s="172" t="inlineStr">
        <is>
          <t>7月</t>
        </is>
      </c>
      <c r="C2144" s="172" t="inlineStr">
        <is>
          <t>企金</t>
        </is>
      </c>
      <c r="D2144" s="172" t="inlineStr">
        <is>
          <t>金采</t>
        </is>
      </c>
      <c r="E2144" s="172" t="inlineStr">
        <is>
          <t>金采8-11</t>
        </is>
      </c>
      <c r="F2144" s="172" t="inlineStr">
        <is>
          <t>上交所</t>
        </is>
      </c>
      <c r="G2144" s="172" t="inlineStr">
        <is>
          <t>华泰资管</t>
        </is>
      </c>
      <c r="H2144" s="172" t="inlineStr">
        <is>
          <t>国开证券</t>
        </is>
      </c>
      <c r="I2144" s="172" t="inlineStr">
        <is>
          <t>青岛银行</t>
        </is>
      </c>
      <c r="J2144" s="172" t="n">
        <v>9</v>
      </c>
      <c r="K2144" s="172" t="inlineStr">
        <is>
          <t>7+12</t>
        </is>
      </c>
      <c r="L2144" s="202" t="n">
        <v>46231</v>
      </c>
      <c r="M2144" s="175" t="n">
        <v>0.0148</v>
      </c>
      <c r="N2144" s="176" t="n">
        <v>0.0187</v>
      </c>
      <c r="O2144" s="191" t="n">
        <v>1.58</v>
      </c>
      <c r="P2144" s="172" t="inlineStr">
        <is>
          <t>优先级</t>
        </is>
      </c>
      <c r="Q2144" s="175" t="n">
        <v>0.9</v>
      </c>
      <c r="R2144" s="192">
        <f>8.1</f>
        <v/>
      </c>
      <c r="S2144" s="172" t="inlineStr">
        <is>
          <t>AAA</t>
        </is>
      </c>
      <c r="T2144" s="175" t="n">
        <v>0.016</v>
      </c>
      <c r="U2144" s="172" t="inlineStr">
        <is>
          <t>民生理财</t>
        </is>
      </c>
      <c r="V2144" s="191" t="n">
        <v>1.62</v>
      </c>
      <c r="W2144" s="172" t="n"/>
      <c r="X2144" s="172" t="n"/>
      <c r="Y2144" s="172" t="n"/>
    </row>
    <row r="2145">
      <c r="A2145" s="172" t="n">
        <v>123</v>
      </c>
      <c r="B2145" s="172" t="inlineStr">
        <is>
          <t>7月</t>
        </is>
      </c>
      <c r="C2145" s="172" t="inlineStr">
        <is>
          <t>企金</t>
        </is>
      </c>
      <c r="D2145" s="172" t="inlineStr">
        <is>
          <t>金采</t>
        </is>
      </c>
      <c r="E2145" s="172" t="inlineStr">
        <is>
          <t>金采8-11</t>
        </is>
      </c>
      <c r="F2145" s="172" t="inlineStr">
        <is>
          <t>上交所</t>
        </is>
      </c>
      <c r="G2145" s="172" t="inlineStr">
        <is>
          <t>华泰资管</t>
        </is>
      </c>
      <c r="H2145" s="172" t="inlineStr">
        <is>
          <t>国开证券</t>
        </is>
      </c>
      <c r="I2145" s="172" t="inlineStr">
        <is>
          <t>青岛银行</t>
        </is>
      </c>
      <c r="J2145" s="172" t="n">
        <v>9</v>
      </c>
      <c r="K2145" s="172" t="inlineStr">
        <is>
          <t>7+12</t>
        </is>
      </c>
      <c r="L2145" s="202" t="n">
        <v>46231</v>
      </c>
      <c r="M2145" s="175" t="n">
        <v>0.0148</v>
      </c>
      <c r="N2145" s="176" t="n">
        <v>0.0187</v>
      </c>
      <c r="O2145" s="191" t="n">
        <v>1.58</v>
      </c>
      <c r="P2145" s="172" t="inlineStr">
        <is>
          <t>优先级</t>
        </is>
      </c>
      <c r="Q2145" s="175" t="n">
        <v>0.9</v>
      </c>
      <c r="R2145" s="192">
        <f>8.1</f>
        <v/>
      </c>
      <c r="S2145" s="172" t="inlineStr">
        <is>
          <t>AAA</t>
        </is>
      </c>
      <c r="T2145" s="175" t="n">
        <v>0.016</v>
      </c>
      <c r="U2145" s="172" t="inlineStr">
        <is>
          <t>交银理财</t>
        </is>
      </c>
      <c r="V2145" s="191" t="n">
        <v>0.4</v>
      </c>
      <c r="W2145" s="172" t="n"/>
      <c r="X2145" s="172" t="n"/>
      <c r="Y2145" s="172" t="n"/>
    </row>
    <row r="2146">
      <c r="A2146" s="172" t="n">
        <v>123</v>
      </c>
      <c r="B2146" s="172" t="inlineStr">
        <is>
          <t>7月</t>
        </is>
      </c>
      <c r="C2146" s="172" t="inlineStr">
        <is>
          <t>企金</t>
        </is>
      </c>
      <c r="D2146" s="172" t="inlineStr">
        <is>
          <t>金采</t>
        </is>
      </c>
      <c r="E2146" s="172" t="inlineStr">
        <is>
          <t>金采8-11</t>
        </is>
      </c>
      <c r="F2146" s="172" t="inlineStr">
        <is>
          <t>上交所</t>
        </is>
      </c>
      <c r="G2146" s="172" t="inlineStr">
        <is>
          <t>华泰资管</t>
        </is>
      </c>
      <c r="H2146" s="172" t="inlineStr">
        <is>
          <t>国开证券</t>
        </is>
      </c>
      <c r="I2146" s="172" t="inlineStr">
        <is>
          <t>青岛银行</t>
        </is>
      </c>
      <c r="J2146" s="172" t="n">
        <v>9</v>
      </c>
      <c r="K2146" s="172" t="inlineStr">
        <is>
          <t>7+12</t>
        </is>
      </c>
      <c r="L2146" s="202" t="n">
        <v>46231</v>
      </c>
      <c r="M2146" s="175" t="n">
        <v>0.0148</v>
      </c>
      <c r="N2146" s="176" t="n">
        <v>0.0187</v>
      </c>
      <c r="O2146" s="191" t="n">
        <v>1.58</v>
      </c>
      <c r="P2146" s="172" t="inlineStr">
        <is>
          <t>优先级</t>
        </is>
      </c>
      <c r="Q2146" s="175" t="n">
        <v>0.9</v>
      </c>
      <c r="R2146" s="192">
        <f>8.1</f>
        <v/>
      </c>
      <c r="S2146" s="172" t="inlineStr">
        <is>
          <t>AAA</t>
        </is>
      </c>
      <c r="T2146" s="175" t="n">
        <v>0.016</v>
      </c>
      <c r="U2146" s="172" t="inlineStr">
        <is>
          <t>中邮理财</t>
        </is>
      </c>
      <c r="V2146" s="191" t="n">
        <v>1.96</v>
      </c>
      <c r="W2146" s="172" t="n"/>
      <c r="X2146" s="172" t="n"/>
      <c r="Y2146" s="172" t="n"/>
    </row>
    <row r="2147">
      <c r="A2147" s="172" t="n">
        <v>123</v>
      </c>
      <c r="B2147" s="172" t="inlineStr">
        <is>
          <t>7月</t>
        </is>
      </c>
      <c r="C2147" s="172" t="inlineStr">
        <is>
          <t>企金</t>
        </is>
      </c>
      <c r="D2147" s="172" t="inlineStr">
        <is>
          <t>金采</t>
        </is>
      </c>
      <c r="E2147" s="172" t="inlineStr">
        <is>
          <t>金采8-11</t>
        </is>
      </c>
      <c r="F2147" s="172" t="inlineStr">
        <is>
          <t>上交所</t>
        </is>
      </c>
      <c r="G2147" s="172" t="inlineStr">
        <is>
          <t>华泰资管</t>
        </is>
      </c>
      <c r="H2147" s="172" t="inlineStr">
        <is>
          <t>国开证券</t>
        </is>
      </c>
      <c r="I2147" s="172" t="inlineStr">
        <is>
          <t>青岛银行</t>
        </is>
      </c>
      <c r="J2147" s="172" t="n">
        <v>9</v>
      </c>
      <c r="K2147" s="172" t="inlineStr">
        <is>
          <t>7+12</t>
        </is>
      </c>
      <c r="L2147" s="202" t="n">
        <v>46231</v>
      </c>
      <c r="M2147" s="175" t="n">
        <v>0.0148</v>
      </c>
      <c r="N2147" s="176" t="n">
        <v>0.0187</v>
      </c>
      <c r="O2147" s="191" t="n">
        <v>1.58</v>
      </c>
      <c r="P2147" s="172" t="inlineStr">
        <is>
          <t>中间级</t>
        </is>
      </c>
      <c r="Q2147" s="175" t="n">
        <v>0.05</v>
      </c>
      <c r="R2147" s="192" t="n">
        <v>0.45</v>
      </c>
      <c r="S2147" s="175" t="inlineStr">
        <is>
          <t>AA</t>
        </is>
      </c>
      <c r="T2147" s="175" t="n">
        <v>0.031</v>
      </c>
      <c r="U2147" s="172" t="inlineStr">
        <is>
          <t>招银理财</t>
        </is>
      </c>
      <c r="V2147" s="193" t="n">
        <v>0.135</v>
      </c>
      <c r="W2147" s="172" t="n"/>
      <c r="X2147" s="172" t="n"/>
      <c r="Y2147" s="172" t="n"/>
    </row>
    <row r="2148">
      <c r="A2148" s="172" t="n">
        <v>123</v>
      </c>
      <c r="B2148" s="172" t="inlineStr">
        <is>
          <t>7月</t>
        </is>
      </c>
      <c r="C2148" s="172" t="inlineStr">
        <is>
          <t>企金</t>
        </is>
      </c>
      <c r="D2148" s="172" t="inlineStr">
        <is>
          <t>金采</t>
        </is>
      </c>
      <c r="E2148" s="172" t="inlineStr">
        <is>
          <t>金采8-11</t>
        </is>
      </c>
      <c r="F2148" s="172" t="inlineStr">
        <is>
          <t>上交所</t>
        </is>
      </c>
      <c r="G2148" s="172" t="inlineStr">
        <is>
          <t>华泰资管</t>
        </is>
      </c>
      <c r="H2148" s="172" t="inlineStr">
        <is>
          <t>国开证券</t>
        </is>
      </c>
      <c r="I2148" s="172" t="inlineStr">
        <is>
          <t>青岛银行</t>
        </is>
      </c>
      <c r="J2148" s="172" t="n">
        <v>9</v>
      </c>
      <c r="K2148" s="172" t="inlineStr">
        <is>
          <t>7+12</t>
        </is>
      </c>
      <c r="L2148" s="202" t="n">
        <v>46231</v>
      </c>
      <c r="M2148" s="175" t="n">
        <v>0.0148</v>
      </c>
      <c r="N2148" s="176" t="n">
        <v>0.0187</v>
      </c>
      <c r="O2148" s="191" t="n">
        <v>1.58</v>
      </c>
      <c r="P2148" s="172" t="inlineStr">
        <is>
          <t>中间级</t>
        </is>
      </c>
      <c r="Q2148" s="175" t="n">
        <v>0.05</v>
      </c>
      <c r="R2148" s="192" t="n">
        <v>0.45</v>
      </c>
      <c r="S2148" s="175" t="inlineStr">
        <is>
          <t>AA</t>
        </is>
      </c>
      <c r="T2148" s="175" t="n">
        <v>0.031</v>
      </c>
      <c r="U2148" s="172" t="inlineStr">
        <is>
          <t>国泰海通自营</t>
        </is>
      </c>
      <c r="V2148" s="193" t="n">
        <v>0.135</v>
      </c>
      <c r="W2148" s="172" t="n"/>
      <c r="X2148" s="172" t="n"/>
      <c r="Y2148" s="172" t="n"/>
    </row>
    <row r="2149">
      <c r="A2149" s="172" t="n">
        <v>123</v>
      </c>
      <c r="B2149" s="172" t="inlineStr">
        <is>
          <t>7月</t>
        </is>
      </c>
      <c r="C2149" s="172" t="inlineStr">
        <is>
          <t>企金</t>
        </is>
      </c>
      <c r="D2149" s="172" t="inlineStr">
        <is>
          <t>金采</t>
        </is>
      </c>
      <c r="E2149" s="172" t="inlineStr">
        <is>
          <t>金采8-11</t>
        </is>
      </c>
      <c r="F2149" s="172" t="inlineStr">
        <is>
          <t>上交所</t>
        </is>
      </c>
      <c r="G2149" s="172" t="inlineStr">
        <is>
          <t>华泰资管</t>
        </is>
      </c>
      <c r="H2149" s="172" t="inlineStr">
        <is>
          <t>国开证券</t>
        </is>
      </c>
      <c r="I2149" s="172" t="inlineStr">
        <is>
          <t>青岛银行</t>
        </is>
      </c>
      <c r="J2149" s="172" t="n">
        <v>9</v>
      </c>
      <c r="K2149" s="172" t="inlineStr">
        <is>
          <t>7+12</t>
        </is>
      </c>
      <c r="L2149" s="202" t="n">
        <v>46231</v>
      </c>
      <c r="M2149" s="175" t="n">
        <v>0.0148</v>
      </c>
      <c r="N2149" s="176" t="n">
        <v>0.0187</v>
      </c>
      <c r="O2149" s="191" t="n">
        <v>1.58</v>
      </c>
      <c r="P2149" s="172" t="inlineStr">
        <is>
          <t>中间级</t>
        </is>
      </c>
      <c r="Q2149" s="175" t="n">
        <v>0.05</v>
      </c>
      <c r="R2149" s="192" t="n">
        <v>0.45</v>
      </c>
      <c r="S2149" s="175" t="inlineStr">
        <is>
          <t>AA</t>
        </is>
      </c>
      <c r="T2149" s="175" t="n">
        <v>0.031</v>
      </c>
      <c r="U2149" s="172" t="inlineStr">
        <is>
          <t>建信信托</t>
        </is>
      </c>
      <c r="V2149" s="191" t="n">
        <v>0.1</v>
      </c>
      <c r="W2149" s="172" t="n"/>
      <c r="X2149" s="172" t="n"/>
      <c r="Y2149" s="172" t="n"/>
    </row>
    <row r="2150">
      <c r="A2150" s="172" t="n">
        <v>123</v>
      </c>
      <c r="B2150" s="172" t="inlineStr">
        <is>
          <t>7月</t>
        </is>
      </c>
      <c r="C2150" s="172" t="inlineStr">
        <is>
          <t>企金</t>
        </is>
      </c>
      <c r="D2150" s="172" t="inlineStr">
        <is>
          <t>金采</t>
        </is>
      </c>
      <c r="E2150" s="172" t="inlineStr">
        <is>
          <t>金采8-11</t>
        </is>
      </c>
      <c r="F2150" s="172" t="inlineStr">
        <is>
          <t>上交所</t>
        </is>
      </c>
      <c r="G2150" s="172" t="inlineStr">
        <is>
          <t>华泰资管</t>
        </is>
      </c>
      <c r="H2150" s="172" t="inlineStr">
        <is>
          <t>国开证券</t>
        </is>
      </c>
      <c r="I2150" s="172" t="inlineStr">
        <is>
          <t>青岛银行</t>
        </is>
      </c>
      <c r="J2150" s="172" t="n">
        <v>9</v>
      </c>
      <c r="K2150" s="172" t="inlineStr">
        <is>
          <t>7+12</t>
        </is>
      </c>
      <c r="L2150" s="202" t="n">
        <v>46231</v>
      </c>
      <c r="M2150" s="175" t="n">
        <v>0.0148</v>
      </c>
      <c r="N2150" s="176" t="n">
        <v>0.0187</v>
      </c>
      <c r="O2150" s="191" t="n">
        <v>1.58</v>
      </c>
      <c r="P2150" s="172" t="inlineStr">
        <is>
          <t>中间级</t>
        </is>
      </c>
      <c r="Q2150" s="175" t="n">
        <v>0.05</v>
      </c>
      <c r="R2150" s="192" t="n">
        <v>0.45</v>
      </c>
      <c r="S2150" s="175" t="inlineStr">
        <is>
          <t>AA</t>
        </is>
      </c>
      <c r="T2150" s="175" t="n">
        <v>0.031</v>
      </c>
      <c r="U2150" s="172" t="inlineStr">
        <is>
          <t>东方财富自营</t>
        </is>
      </c>
      <c r="V2150" s="201" t="n">
        <v>0.0575</v>
      </c>
      <c r="W2150" s="172" t="n"/>
      <c r="X2150" s="172" t="n"/>
      <c r="Y2150" s="172" t="n"/>
    </row>
    <row r="2151">
      <c r="A2151" s="172" t="n">
        <v>123</v>
      </c>
      <c r="B2151" s="172" t="inlineStr">
        <is>
          <t>7月</t>
        </is>
      </c>
      <c r="C2151" s="172" t="inlineStr">
        <is>
          <t>企金</t>
        </is>
      </c>
      <c r="D2151" s="172" t="inlineStr">
        <is>
          <t>金采</t>
        </is>
      </c>
      <c r="E2151" s="172" t="inlineStr">
        <is>
          <t>金采8-11</t>
        </is>
      </c>
      <c r="F2151" s="172" t="inlineStr">
        <is>
          <t>上交所</t>
        </is>
      </c>
      <c r="G2151" s="172" t="inlineStr">
        <is>
          <t>华泰资管</t>
        </is>
      </c>
      <c r="H2151" s="172" t="inlineStr">
        <is>
          <t>国开证券</t>
        </is>
      </c>
      <c r="I2151" s="172" t="inlineStr">
        <is>
          <t>青岛银行</t>
        </is>
      </c>
      <c r="J2151" s="172" t="n">
        <v>9</v>
      </c>
      <c r="K2151" s="172" t="inlineStr">
        <is>
          <t>7+12</t>
        </is>
      </c>
      <c r="L2151" s="202" t="n">
        <v>46231</v>
      </c>
      <c r="M2151" s="175" t="n">
        <v>0.0148</v>
      </c>
      <c r="N2151" s="176" t="n">
        <v>0.0187</v>
      </c>
      <c r="O2151" s="191" t="n">
        <v>1.58</v>
      </c>
      <c r="P2151" s="172" t="inlineStr">
        <is>
          <t>中间级</t>
        </is>
      </c>
      <c r="Q2151" s="175" t="n">
        <v>0.05</v>
      </c>
      <c r="R2151" s="192" t="n">
        <v>0.45</v>
      </c>
      <c r="S2151" s="175" t="inlineStr">
        <is>
          <t>AA</t>
        </is>
      </c>
      <c r="T2151" s="175" t="n">
        <v>0.031</v>
      </c>
      <c r="U2151" s="172" t="inlineStr">
        <is>
          <t xml:space="preserve"> 厦门汇正</t>
        </is>
      </c>
      <c r="V2151" s="201" t="n">
        <v>0.0225</v>
      </c>
      <c r="W2151" s="172" t="n"/>
      <c r="X2151" s="172" t="n"/>
      <c r="Y2151" s="172" t="n"/>
    </row>
    <row r="2152">
      <c r="A2152" s="172" t="n">
        <v>123</v>
      </c>
      <c r="B2152" s="172" t="inlineStr">
        <is>
          <t>7月</t>
        </is>
      </c>
      <c r="C2152" s="172" t="inlineStr">
        <is>
          <t>企金</t>
        </is>
      </c>
      <c r="D2152" s="172" t="inlineStr">
        <is>
          <t>金采</t>
        </is>
      </c>
      <c r="E2152" s="172" t="inlineStr">
        <is>
          <t>金采8-11</t>
        </is>
      </c>
      <c r="F2152" s="172" t="inlineStr">
        <is>
          <t>上交所</t>
        </is>
      </c>
      <c r="G2152" s="172" t="inlineStr">
        <is>
          <t>华泰资管</t>
        </is>
      </c>
      <c r="H2152" s="172" t="inlineStr">
        <is>
          <t>国开证券</t>
        </is>
      </c>
      <c r="I2152" s="172" t="inlineStr">
        <is>
          <t>青岛银行</t>
        </is>
      </c>
      <c r="J2152" s="172" t="n">
        <v>9</v>
      </c>
      <c r="K2152" s="172" t="inlineStr">
        <is>
          <t>7+12</t>
        </is>
      </c>
      <c r="L2152" s="202" t="n">
        <v>46231</v>
      </c>
      <c r="M2152" s="175" t="n">
        <v>0.0148</v>
      </c>
      <c r="N2152" s="176" t="n">
        <v>0.0187</v>
      </c>
      <c r="O2152" s="191" t="n">
        <v>1.58</v>
      </c>
      <c r="P2152" s="172" t="inlineStr">
        <is>
          <t>次级</t>
        </is>
      </c>
      <c r="Q2152" s="175" t="n">
        <v>0.05</v>
      </c>
      <c r="R2152" s="192" t="n">
        <v>0.45</v>
      </c>
      <c r="S2152" s="175" t="inlineStr">
        <is>
          <t>无</t>
        </is>
      </c>
      <c r="T2152" s="175" t="n">
        <v>0.0455</v>
      </c>
      <c r="U2152" s="172" t="inlineStr">
        <is>
          <t>厦门汇正</t>
        </is>
      </c>
      <c r="V2152" s="201">
        <f>R1449*0.05</f>
        <v/>
      </c>
      <c r="W2152" s="172" t="n"/>
      <c r="X2152" s="172" t="n"/>
      <c r="Y2152" s="172" t="n"/>
    </row>
    <row r="2153">
      <c r="A2153" s="172" t="n">
        <v>123</v>
      </c>
      <c r="B2153" s="172" t="inlineStr">
        <is>
          <t>7月</t>
        </is>
      </c>
      <c r="C2153" s="172" t="inlineStr">
        <is>
          <t>企金</t>
        </is>
      </c>
      <c r="D2153" s="172" t="inlineStr">
        <is>
          <t>金采</t>
        </is>
      </c>
      <c r="E2153" s="172" t="inlineStr">
        <is>
          <t>金采8-11</t>
        </is>
      </c>
      <c r="F2153" s="172" t="inlineStr">
        <is>
          <t>上交所</t>
        </is>
      </c>
      <c r="G2153" s="172" t="inlineStr">
        <is>
          <t>华泰资管</t>
        </is>
      </c>
      <c r="H2153" s="172" t="inlineStr">
        <is>
          <t>国开证券</t>
        </is>
      </c>
      <c r="I2153" s="172" t="inlineStr">
        <is>
          <t>青岛银行</t>
        </is>
      </c>
      <c r="J2153" s="172" t="n">
        <v>9</v>
      </c>
      <c r="K2153" s="172" t="inlineStr">
        <is>
          <t>7+12</t>
        </is>
      </c>
      <c r="L2153" s="202" t="n">
        <v>46231</v>
      </c>
      <c r="M2153" s="175" t="n">
        <v>0.0148</v>
      </c>
      <c r="N2153" s="176" t="n">
        <v>0.0187</v>
      </c>
      <c r="O2153" s="191" t="n">
        <v>1.58</v>
      </c>
      <c r="P2153" s="172" t="inlineStr">
        <is>
          <t>次级</t>
        </is>
      </c>
      <c r="Q2153" s="175" t="n">
        <v>0.05</v>
      </c>
      <c r="R2153" s="192" t="n">
        <v>0.45</v>
      </c>
      <c r="S2153" s="175" t="inlineStr">
        <is>
          <t>无</t>
        </is>
      </c>
      <c r="T2153" s="175" t="n">
        <v>0.0455</v>
      </c>
      <c r="U2153" s="172" t="inlineStr">
        <is>
          <t>德邦证券自营</t>
        </is>
      </c>
      <c r="V2153" s="201" t="n">
        <v>0.1875</v>
      </c>
      <c r="W2153" s="172" t="n"/>
      <c r="X2153" s="172" t="n"/>
      <c r="Y2153" s="172" t="n"/>
    </row>
    <row r="2154">
      <c r="A2154" s="172" t="n">
        <v>123</v>
      </c>
      <c r="B2154" s="172" t="inlineStr">
        <is>
          <t>7月</t>
        </is>
      </c>
      <c r="C2154" s="172" t="inlineStr">
        <is>
          <t>企金</t>
        </is>
      </c>
      <c r="D2154" s="172" t="inlineStr">
        <is>
          <t>金采</t>
        </is>
      </c>
      <c r="E2154" s="172" t="inlineStr">
        <is>
          <t>金采8-11</t>
        </is>
      </c>
      <c r="F2154" s="172" t="inlineStr">
        <is>
          <t>上交所</t>
        </is>
      </c>
      <c r="G2154" s="172" t="inlineStr">
        <is>
          <t>华泰资管</t>
        </is>
      </c>
      <c r="H2154" s="172" t="inlineStr">
        <is>
          <t>国开证券</t>
        </is>
      </c>
      <c r="I2154" s="172" t="inlineStr">
        <is>
          <t>青岛银行</t>
        </is>
      </c>
      <c r="J2154" s="172" t="n">
        <v>9</v>
      </c>
      <c r="K2154" s="172" t="inlineStr">
        <is>
          <t>7+12</t>
        </is>
      </c>
      <c r="L2154" s="202" t="n">
        <v>46231</v>
      </c>
      <c r="M2154" s="175" t="n">
        <v>0.0148</v>
      </c>
      <c r="N2154" s="176" t="n">
        <v>0.0187</v>
      </c>
      <c r="O2154" s="191" t="n">
        <v>1.58</v>
      </c>
      <c r="P2154" s="172" t="inlineStr">
        <is>
          <t>次级</t>
        </is>
      </c>
      <c r="Q2154" s="175" t="n">
        <v>0.05</v>
      </c>
      <c r="R2154" s="192" t="n">
        <v>0.45</v>
      </c>
      <c r="S2154" s="175" t="inlineStr">
        <is>
          <t>无</t>
        </is>
      </c>
      <c r="T2154" s="175" t="n">
        <v>0.0455</v>
      </c>
      <c r="U2154" s="172" t="inlineStr">
        <is>
          <t>中泰证券自营</t>
        </is>
      </c>
      <c r="V2154" s="193" t="n">
        <v>0.17</v>
      </c>
      <c r="W2154" s="172" t="n"/>
      <c r="X2154" s="172" t="n"/>
      <c r="Y2154" s="172" t="n"/>
    </row>
    <row r="2155">
      <c r="A2155" s="172" t="n">
        <v>123</v>
      </c>
      <c r="B2155" s="172" t="inlineStr">
        <is>
          <t>7月</t>
        </is>
      </c>
      <c r="C2155" s="172" t="inlineStr">
        <is>
          <t>企金</t>
        </is>
      </c>
      <c r="D2155" s="172" t="inlineStr">
        <is>
          <t>金采</t>
        </is>
      </c>
      <c r="E2155" s="172" t="inlineStr">
        <is>
          <t>金采8-11</t>
        </is>
      </c>
      <c r="F2155" s="172" t="inlineStr">
        <is>
          <t>上交所</t>
        </is>
      </c>
      <c r="G2155" s="172" t="inlineStr">
        <is>
          <t>华泰资管</t>
        </is>
      </c>
      <c r="H2155" s="172" t="inlineStr">
        <is>
          <t>国开证券</t>
        </is>
      </c>
      <c r="I2155" s="172" t="inlineStr">
        <is>
          <t>青岛银行</t>
        </is>
      </c>
      <c r="J2155" s="172" t="n">
        <v>9</v>
      </c>
      <c r="K2155" s="172" t="inlineStr">
        <is>
          <t>7+12</t>
        </is>
      </c>
      <c r="L2155" s="202" t="n">
        <v>46231</v>
      </c>
      <c r="M2155" s="175" t="n">
        <v>0.0148</v>
      </c>
      <c r="N2155" s="176" t="n">
        <v>0.0187</v>
      </c>
      <c r="O2155" s="191" t="n">
        <v>1.58</v>
      </c>
      <c r="P2155" s="172" t="inlineStr">
        <is>
          <t>次级</t>
        </is>
      </c>
      <c r="Q2155" s="175" t="n">
        <v>0.05</v>
      </c>
      <c r="R2155" s="192" t="n">
        <v>0.45</v>
      </c>
      <c r="S2155" s="175" t="inlineStr">
        <is>
          <t>无</t>
        </is>
      </c>
      <c r="T2155" s="175" t="n">
        <v>0.0455</v>
      </c>
      <c r="U2155" s="172" t="inlineStr">
        <is>
          <t>申万宏源自营</t>
        </is>
      </c>
      <c r="V2155" s="191" t="n">
        <v>0.07000000000000001</v>
      </c>
      <c r="W2155" s="172" t="n"/>
      <c r="X2155" s="172" t="n"/>
      <c r="Y2155" s="172" t="n"/>
    </row>
    <row r="2156">
      <c r="A2156" s="172" t="n">
        <v>124</v>
      </c>
      <c r="B2156" s="173" t="inlineStr">
        <is>
          <t>7月</t>
        </is>
      </c>
      <c r="C2156" s="173" t="inlineStr">
        <is>
          <t>消金</t>
        </is>
      </c>
      <c r="D2156" s="173" t="inlineStr">
        <is>
          <t>金条&amp;白取混发</t>
        </is>
      </c>
      <c r="E2156" s="173" t="inlineStr">
        <is>
          <t>2026东樾4号1期（东樾4-3）</t>
        </is>
      </c>
      <c r="F2156" s="173" t="inlineStr">
        <is>
          <t>银行间</t>
        </is>
      </c>
      <c r="G2156" s="173" t="inlineStr">
        <is>
          <t>中信证券</t>
        </is>
      </c>
      <c r="H2156" s="173" t="inlineStr">
        <is>
          <t>国信证券/光大证券/国泰海通</t>
        </is>
      </c>
      <c r="I2156" s="173" t="inlineStr">
        <is>
          <t>中邮北分</t>
        </is>
      </c>
      <c r="J2156" s="172" t="n">
        <v>10</v>
      </c>
      <c r="K2156" s="173" t="inlineStr">
        <is>
          <t>22+24</t>
        </is>
      </c>
      <c r="L2156" s="202" t="n">
        <v>46233</v>
      </c>
      <c r="M2156" s="175" t="n">
        <v>0.0148</v>
      </c>
      <c r="N2156" s="176" t="n">
        <v>0.02271</v>
      </c>
      <c r="O2156" s="172" t="n">
        <v>2.24</v>
      </c>
      <c r="P2156" s="177" t="inlineStr">
        <is>
          <t>优先A</t>
        </is>
      </c>
      <c r="Q2156" s="178" t="n">
        <v>0.87</v>
      </c>
      <c r="R2156" s="179" t="n">
        <v>8.699999999999999</v>
      </c>
      <c r="S2156" s="177" t="inlineStr">
        <is>
          <t>AAA</t>
        </is>
      </c>
      <c r="T2156" s="178" t="n">
        <v>0.018</v>
      </c>
      <c r="U2156" s="172" t="inlineStr">
        <is>
          <t>中邮理财</t>
        </is>
      </c>
      <c r="V2156" s="192" t="n">
        <v>2.6</v>
      </c>
      <c r="W2156" s="175" t="n">
        <v>0.0178</v>
      </c>
      <c r="X2156" s="172" t="inlineStr">
        <is>
          <t>中邮理财</t>
        </is>
      </c>
      <c r="Y2156" s="191" t="n">
        <v>2.6</v>
      </c>
    </row>
    <row r="2157">
      <c r="A2157" s="172" t="n">
        <v>124</v>
      </c>
      <c r="B2157" s="172" t="inlineStr">
        <is>
          <t>7月</t>
        </is>
      </c>
      <c r="C2157" s="172" t="inlineStr">
        <is>
          <t>消金</t>
        </is>
      </c>
      <c r="D2157" s="172" t="inlineStr">
        <is>
          <t>金条&amp;白取混发</t>
        </is>
      </c>
      <c r="E2157" s="172" t="inlineStr">
        <is>
          <t>2026东樾4号1期（东樾4-3）</t>
        </is>
      </c>
      <c r="F2157" s="172" t="inlineStr">
        <is>
          <t>银行间</t>
        </is>
      </c>
      <c r="G2157" s="172" t="inlineStr">
        <is>
          <t>中信证券</t>
        </is>
      </c>
      <c r="H2157" s="172" t="inlineStr">
        <is>
          <t>国信证券/光大证券/国泰海通</t>
        </is>
      </c>
      <c r="I2157" s="172" t="inlineStr">
        <is>
          <t>中邮北分</t>
        </is>
      </c>
      <c r="J2157" s="172" t="n">
        <v>10</v>
      </c>
      <c r="K2157" s="172" t="inlineStr">
        <is>
          <t>22+24</t>
        </is>
      </c>
      <c r="L2157" s="208" t="n">
        <v>46233</v>
      </c>
      <c r="M2157" s="175" t="n">
        <v>0.0148</v>
      </c>
      <c r="N2157" s="176" t="n">
        <v>0.02271</v>
      </c>
      <c r="O2157" s="172" t="n">
        <v>2.24</v>
      </c>
      <c r="P2157" s="172" t="inlineStr">
        <is>
          <t>优先A</t>
        </is>
      </c>
      <c r="Q2157" s="175" t="n">
        <v>0.87</v>
      </c>
      <c r="R2157" s="192" t="n">
        <v>8.699999999999999</v>
      </c>
      <c r="S2157" s="172" t="inlineStr">
        <is>
          <t>AAA</t>
        </is>
      </c>
      <c r="T2157" s="175" t="n">
        <v>0.018</v>
      </c>
      <c r="U2157" s="172" t="n"/>
      <c r="V2157" s="172" t="n"/>
      <c r="W2157" s="175" t="n">
        <v>0.0197</v>
      </c>
      <c r="X2157" s="172" t="inlineStr">
        <is>
          <t>中邮理财</t>
        </is>
      </c>
      <c r="Y2157" s="191" t="n">
        <v>0.01</v>
      </c>
    </row>
    <row r="2158">
      <c r="A2158" s="172" t="n">
        <v>124</v>
      </c>
      <c r="B2158" s="173" t="inlineStr">
        <is>
          <t>7月</t>
        </is>
      </c>
      <c r="C2158" s="173" t="inlineStr">
        <is>
          <t>消金</t>
        </is>
      </c>
      <c r="D2158" s="173" t="inlineStr">
        <is>
          <t>金条&amp;白取混发</t>
        </is>
      </c>
      <c r="E2158" s="173" t="inlineStr">
        <is>
          <t>2026东樾4号1期（东樾4-3）</t>
        </is>
      </c>
      <c r="F2158" s="173" t="inlineStr">
        <is>
          <t>银行间</t>
        </is>
      </c>
      <c r="G2158" s="173" t="inlineStr">
        <is>
          <t>中信证券</t>
        </is>
      </c>
      <c r="H2158" s="173" t="inlineStr">
        <is>
          <t>国信证券/光大证券/国泰海通</t>
        </is>
      </c>
      <c r="I2158" s="173" t="inlineStr">
        <is>
          <t>中邮北分</t>
        </is>
      </c>
      <c r="J2158" s="172" t="n">
        <v>10</v>
      </c>
      <c r="K2158" s="173" t="inlineStr">
        <is>
          <t>22+24</t>
        </is>
      </c>
      <c r="L2158" s="202" t="n">
        <v>46233</v>
      </c>
      <c r="M2158" s="175" t="n">
        <v>0.0148</v>
      </c>
      <c r="N2158" s="176" t="n">
        <v>0.02271</v>
      </c>
      <c r="O2158" s="172" t="n">
        <v>2.24</v>
      </c>
      <c r="P2158" s="172" t="inlineStr">
        <is>
          <t>优先A</t>
        </is>
      </c>
      <c r="Q2158" s="178" t="n">
        <v>0.87</v>
      </c>
      <c r="R2158" s="179" t="n">
        <v>8.699999999999999</v>
      </c>
      <c r="S2158" s="177" t="inlineStr">
        <is>
          <t>AAA</t>
        </is>
      </c>
      <c r="T2158" s="178" t="n">
        <v>0.018</v>
      </c>
      <c r="U2158" s="172" t="inlineStr">
        <is>
          <t>易方达基金</t>
        </is>
      </c>
      <c r="V2158" s="192" t="n">
        <v>2.4</v>
      </c>
      <c r="W2158" s="175" t="n">
        <v>0.018</v>
      </c>
      <c r="X2158" s="172" t="inlineStr">
        <is>
          <t>易方达基金</t>
        </is>
      </c>
      <c r="Y2158" s="191" t="n">
        <v>4.3</v>
      </c>
    </row>
    <row r="2159">
      <c r="A2159" s="172" t="n">
        <v>124</v>
      </c>
      <c r="B2159" s="173" t="inlineStr">
        <is>
          <t>7月</t>
        </is>
      </c>
      <c r="C2159" s="173" t="inlineStr">
        <is>
          <t>消金</t>
        </is>
      </c>
      <c r="D2159" s="173" t="inlineStr">
        <is>
          <t>金条&amp;白取混发</t>
        </is>
      </c>
      <c r="E2159" s="173" t="inlineStr">
        <is>
          <t>2026东樾4号1期（东樾4-3）</t>
        </is>
      </c>
      <c r="F2159" s="173" t="inlineStr">
        <is>
          <t>银行间</t>
        </is>
      </c>
      <c r="G2159" s="173" t="inlineStr">
        <is>
          <t>中信证券</t>
        </is>
      </c>
      <c r="H2159" s="173" t="inlineStr">
        <is>
          <t>国信证券/光大证券/国泰海通</t>
        </is>
      </c>
      <c r="I2159" s="173" t="inlineStr">
        <is>
          <t>中邮北分</t>
        </is>
      </c>
      <c r="J2159" s="172" t="n">
        <v>10</v>
      </c>
      <c r="K2159" s="173" t="inlineStr">
        <is>
          <t>22+24</t>
        </is>
      </c>
      <c r="L2159" s="202" t="n">
        <v>46233</v>
      </c>
      <c r="M2159" s="175" t="n">
        <v>0.0148</v>
      </c>
      <c r="N2159" s="176" t="n">
        <v>0.02271</v>
      </c>
      <c r="O2159" s="172" t="n">
        <v>2.24</v>
      </c>
      <c r="P2159" s="172" t="inlineStr">
        <is>
          <t>优先A</t>
        </is>
      </c>
      <c r="Q2159" s="178" t="n">
        <v>0.87</v>
      </c>
      <c r="R2159" s="179" t="n">
        <v>8.699999999999999</v>
      </c>
      <c r="S2159" s="177" t="inlineStr">
        <is>
          <t>AAA</t>
        </is>
      </c>
      <c r="T2159" s="178" t="n">
        <v>0.018</v>
      </c>
      <c r="U2159" s="172" t="inlineStr">
        <is>
          <t>交银理财</t>
        </is>
      </c>
      <c r="V2159" s="192" t="n">
        <v>1.5</v>
      </c>
      <c r="W2159" s="175" t="n">
        <v>0.018</v>
      </c>
      <c r="X2159" s="172" t="inlineStr">
        <is>
          <t>交银理财</t>
        </is>
      </c>
      <c r="Y2159" s="191" t="n">
        <v>2.61</v>
      </c>
    </row>
    <row r="2160">
      <c r="A2160" s="172" t="n">
        <v>124</v>
      </c>
      <c r="B2160" s="173" t="inlineStr">
        <is>
          <t>7月</t>
        </is>
      </c>
      <c r="C2160" s="173" t="inlineStr">
        <is>
          <t>消金</t>
        </is>
      </c>
      <c r="D2160" s="173" t="inlineStr">
        <is>
          <t>金条&amp;白取混发</t>
        </is>
      </c>
      <c r="E2160" s="173" t="inlineStr">
        <is>
          <t>2026东樾4号1期（东樾4-3）</t>
        </is>
      </c>
      <c r="F2160" s="173" t="inlineStr">
        <is>
          <t>银行间</t>
        </is>
      </c>
      <c r="G2160" s="173" t="inlineStr">
        <is>
          <t>中信证券</t>
        </is>
      </c>
      <c r="H2160" s="173" t="inlineStr">
        <is>
          <t>国信证券/光大证券/国泰海通</t>
        </is>
      </c>
      <c r="I2160" s="173" t="inlineStr">
        <is>
          <t>中邮北分</t>
        </is>
      </c>
      <c r="J2160" s="172" t="n">
        <v>10</v>
      </c>
      <c r="K2160" s="173" t="inlineStr">
        <is>
          <t>22+24</t>
        </is>
      </c>
      <c r="L2160" s="202" t="n">
        <v>46233</v>
      </c>
      <c r="M2160" s="175" t="n">
        <v>0.0148</v>
      </c>
      <c r="N2160" s="176" t="n">
        <v>0.02271</v>
      </c>
      <c r="O2160" s="172" t="n">
        <v>2.24</v>
      </c>
      <c r="P2160" s="172" t="inlineStr">
        <is>
          <t>优先A</t>
        </is>
      </c>
      <c r="Q2160" s="178" t="n">
        <v>0.87</v>
      </c>
      <c r="R2160" s="179" t="n">
        <v>8.699999999999999</v>
      </c>
      <c r="S2160" s="177" t="inlineStr">
        <is>
          <t>AAA</t>
        </is>
      </c>
      <c r="T2160" s="178" t="n">
        <v>0.018</v>
      </c>
      <c r="U2160" s="172" t="inlineStr">
        <is>
          <t>兴银理财</t>
        </is>
      </c>
      <c r="V2160" s="192" t="n">
        <v>1</v>
      </c>
      <c r="W2160" s="175" t="n">
        <v>0.0179</v>
      </c>
      <c r="X2160" s="172" t="inlineStr">
        <is>
          <t>兴银理财</t>
        </is>
      </c>
      <c r="Y2160" s="191" t="n">
        <v>0.7</v>
      </c>
    </row>
    <row r="2161">
      <c r="A2161" s="172" t="n">
        <v>124</v>
      </c>
      <c r="B2161" s="172" t="inlineStr">
        <is>
          <t>7月</t>
        </is>
      </c>
      <c r="C2161" s="172" t="inlineStr">
        <is>
          <t>消金</t>
        </is>
      </c>
      <c r="D2161" s="172" t="inlineStr">
        <is>
          <t>金条&amp;白取混发</t>
        </is>
      </c>
      <c r="E2161" s="172" t="inlineStr">
        <is>
          <t>2026东樾4号1期（东樾4-3）</t>
        </is>
      </c>
      <c r="F2161" s="172" t="inlineStr">
        <is>
          <t>银行间</t>
        </is>
      </c>
      <c r="G2161" s="172" t="inlineStr">
        <is>
          <t>中信证券</t>
        </is>
      </c>
      <c r="H2161" s="172" t="inlineStr">
        <is>
          <t>国信证券/光大证券/国泰海通</t>
        </is>
      </c>
      <c r="I2161" s="172" t="inlineStr">
        <is>
          <t>中邮北分</t>
        </is>
      </c>
      <c r="J2161" s="172" t="n">
        <v>10</v>
      </c>
      <c r="K2161" s="172" t="inlineStr">
        <is>
          <t>22+24</t>
        </is>
      </c>
      <c r="L2161" s="208" t="n">
        <v>46233</v>
      </c>
      <c r="M2161" s="175" t="n">
        <v>0.0148</v>
      </c>
      <c r="N2161" s="176" t="n">
        <v>0.02271</v>
      </c>
      <c r="O2161" s="172" t="n">
        <v>2.24</v>
      </c>
      <c r="P2161" s="172" t="inlineStr">
        <is>
          <t>优先A</t>
        </is>
      </c>
      <c r="Q2161" s="175" t="n">
        <v>0.87</v>
      </c>
      <c r="R2161" s="192" t="n">
        <v>8.699999999999999</v>
      </c>
      <c r="S2161" s="172" t="inlineStr">
        <is>
          <t>AAA</t>
        </is>
      </c>
      <c r="T2161" s="175" t="n">
        <v>0.018</v>
      </c>
      <c r="U2161" s="172" t="n"/>
      <c r="V2161" s="172" t="n"/>
      <c r="W2161" s="175" t="n">
        <v>0.018</v>
      </c>
      <c r="X2161" s="172" t="inlineStr">
        <is>
          <t>兴银理财</t>
        </is>
      </c>
      <c r="Y2161" s="191" t="n">
        <v>0.5</v>
      </c>
    </row>
    <row r="2162">
      <c r="A2162" s="172" t="n">
        <v>124</v>
      </c>
      <c r="B2162" s="172" t="inlineStr">
        <is>
          <t>7月</t>
        </is>
      </c>
      <c r="C2162" s="172" t="inlineStr">
        <is>
          <t>消金</t>
        </is>
      </c>
      <c r="D2162" s="172" t="inlineStr">
        <is>
          <t>金条&amp;白取混发</t>
        </is>
      </c>
      <c r="E2162" s="172" t="inlineStr">
        <is>
          <t>2026东樾4号1期（东樾4-3）</t>
        </is>
      </c>
      <c r="F2162" s="172" t="inlineStr">
        <is>
          <t>银行间</t>
        </is>
      </c>
      <c r="G2162" s="172" t="inlineStr">
        <is>
          <t>中信证券</t>
        </is>
      </c>
      <c r="H2162" s="172" t="inlineStr">
        <is>
          <t>国信证券/光大证券/国泰海通</t>
        </is>
      </c>
      <c r="I2162" s="172" t="inlineStr">
        <is>
          <t>中邮北分</t>
        </is>
      </c>
      <c r="J2162" s="172" t="n">
        <v>10</v>
      </c>
      <c r="K2162" s="172" t="inlineStr">
        <is>
          <t>22+24</t>
        </is>
      </c>
      <c r="L2162" s="208" t="n">
        <v>46233</v>
      </c>
      <c r="M2162" s="175" t="n">
        <v>0.0148</v>
      </c>
      <c r="N2162" s="176" t="n">
        <v>0.02271</v>
      </c>
      <c r="O2162" s="172" t="n">
        <v>2.24</v>
      </c>
      <c r="P2162" s="172" t="inlineStr">
        <is>
          <t>优先A</t>
        </is>
      </c>
      <c r="Q2162" s="175" t="n">
        <v>0.87</v>
      </c>
      <c r="R2162" s="192" t="n">
        <v>8.699999999999999</v>
      </c>
      <c r="S2162" s="172" t="inlineStr">
        <is>
          <t>AAA</t>
        </is>
      </c>
      <c r="T2162" s="175" t="n">
        <v>0.018</v>
      </c>
      <c r="U2162" s="172" t="n"/>
      <c r="V2162" s="172" t="n"/>
      <c r="W2162" s="175" t="n">
        <v>0.0183</v>
      </c>
      <c r="X2162" s="172" t="inlineStr">
        <is>
          <t>兴银理财</t>
        </is>
      </c>
      <c r="Y2162" s="191" t="n">
        <v>0.54</v>
      </c>
    </row>
    <row r="2163">
      <c r="A2163" s="172" t="n">
        <v>124</v>
      </c>
      <c r="B2163" s="173" t="inlineStr">
        <is>
          <t>7月</t>
        </is>
      </c>
      <c r="C2163" s="173" t="inlineStr">
        <is>
          <t>消金</t>
        </is>
      </c>
      <c r="D2163" s="173" t="inlineStr">
        <is>
          <t>金条&amp;白取混发</t>
        </is>
      </c>
      <c r="E2163" s="173" t="inlineStr">
        <is>
          <t>2026东樾4号1期（东樾4-3）</t>
        </is>
      </c>
      <c r="F2163" s="173" t="inlineStr">
        <is>
          <t>银行间</t>
        </is>
      </c>
      <c r="G2163" s="173" t="inlineStr">
        <is>
          <t>中信证券</t>
        </is>
      </c>
      <c r="H2163" s="173" t="inlineStr">
        <is>
          <t>国信证券/光大证券/国泰海通</t>
        </is>
      </c>
      <c r="I2163" s="173" t="inlineStr">
        <is>
          <t>中邮北分</t>
        </is>
      </c>
      <c r="J2163" s="172" t="n">
        <v>10</v>
      </c>
      <c r="K2163" s="173" t="inlineStr">
        <is>
          <t>22+24</t>
        </is>
      </c>
      <c r="L2163" s="202" t="n">
        <v>46233</v>
      </c>
      <c r="M2163" s="175" t="n">
        <v>0.0148</v>
      </c>
      <c r="N2163" s="176" t="n">
        <v>0.02271</v>
      </c>
      <c r="O2163" s="172" t="n">
        <v>2.24</v>
      </c>
      <c r="P2163" s="172" t="inlineStr">
        <is>
          <t>优先A</t>
        </is>
      </c>
      <c r="Q2163" s="178" t="n">
        <v>0.87</v>
      </c>
      <c r="R2163" s="179" t="n">
        <v>8.699999999999999</v>
      </c>
      <c r="S2163" s="177" t="inlineStr">
        <is>
          <t>AAA</t>
        </is>
      </c>
      <c r="T2163" s="178" t="n">
        <v>0.018</v>
      </c>
      <c r="U2163" s="172" t="inlineStr">
        <is>
          <t>建信信托</t>
        </is>
      </c>
      <c r="V2163" s="192" t="n">
        <v>0.85</v>
      </c>
      <c r="W2163" s="175" t="n">
        <v>0.018</v>
      </c>
      <c r="X2163" s="172" t="inlineStr">
        <is>
          <t>建信信托</t>
        </is>
      </c>
      <c r="Y2163" s="191" t="n">
        <v>1.5</v>
      </c>
    </row>
    <row r="2164">
      <c r="A2164" s="172" t="n">
        <v>124</v>
      </c>
      <c r="B2164" s="173" t="inlineStr">
        <is>
          <t>7月</t>
        </is>
      </c>
      <c r="C2164" s="173" t="inlineStr">
        <is>
          <t>消金</t>
        </is>
      </c>
      <c r="D2164" s="173" t="inlineStr">
        <is>
          <t>金条&amp;白取混发</t>
        </is>
      </c>
      <c r="E2164" s="173" t="inlineStr">
        <is>
          <t>2026东樾4号1期（东樾4-3）</t>
        </is>
      </c>
      <c r="F2164" s="173" t="inlineStr">
        <is>
          <t>银行间</t>
        </is>
      </c>
      <c r="G2164" s="173" t="inlineStr">
        <is>
          <t>中信证券</t>
        </is>
      </c>
      <c r="H2164" s="173" t="inlineStr">
        <is>
          <t>国信证券/光大证券/国泰海通</t>
        </is>
      </c>
      <c r="I2164" s="173" t="inlineStr">
        <is>
          <t>中邮北分</t>
        </is>
      </c>
      <c r="J2164" s="172" t="n">
        <v>10</v>
      </c>
      <c r="K2164" s="173" t="inlineStr">
        <is>
          <t>22+24</t>
        </is>
      </c>
      <c r="L2164" s="202" t="n">
        <v>46233</v>
      </c>
      <c r="M2164" s="175" t="n">
        <v>0.0148</v>
      </c>
      <c r="N2164" s="176" t="n">
        <v>0.02271</v>
      </c>
      <c r="O2164" s="172" t="n">
        <v>2.24</v>
      </c>
      <c r="P2164" s="172" t="inlineStr">
        <is>
          <t>优先A</t>
        </is>
      </c>
      <c r="Q2164" s="178" t="n">
        <v>0.87</v>
      </c>
      <c r="R2164" s="179" t="n">
        <v>8.699999999999999</v>
      </c>
      <c r="S2164" s="177" t="inlineStr">
        <is>
          <t>AAA</t>
        </is>
      </c>
      <c r="T2164" s="178" t="n">
        <v>0.018</v>
      </c>
      <c r="U2164" s="172" t="inlineStr">
        <is>
          <t>宝物财务</t>
        </is>
      </c>
      <c r="V2164" s="192" t="n">
        <v>0.35</v>
      </c>
      <c r="W2164" s="172" t="n"/>
      <c r="X2164" s="172" t="n"/>
      <c r="Y2164" s="172" t="n"/>
    </row>
    <row r="2165">
      <c r="A2165" s="172" t="n">
        <v>124</v>
      </c>
      <c r="B2165" s="172" t="inlineStr">
        <is>
          <t>7月</t>
        </is>
      </c>
      <c r="C2165" s="172" t="inlineStr">
        <is>
          <t>消金</t>
        </is>
      </c>
      <c r="D2165" s="172" t="inlineStr">
        <is>
          <t>金条&amp;白取混发</t>
        </is>
      </c>
      <c r="E2165" s="172" t="inlineStr">
        <is>
          <t>2026东樾4号1期（东樾4-3）</t>
        </is>
      </c>
      <c r="F2165" s="172" t="inlineStr">
        <is>
          <t>银行间</t>
        </is>
      </c>
      <c r="G2165" s="172" t="inlineStr">
        <is>
          <t>中信证券</t>
        </is>
      </c>
      <c r="H2165" s="172" t="inlineStr">
        <is>
          <t>国信证券/光大证券/国泰海通</t>
        </is>
      </c>
      <c r="I2165" s="172" t="inlineStr">
        <is>
          <t>中邮北分</t>
        </is>
      </c>
      <c r="J2165" s="172" t="n">
        <v>10</v>
      </c>
      <c r="K2165" s="172" t="inlineStr">
        <is>
          <t>22+24</t>
        </is>
      </c>
      <c r="L2165" s="208" t="n">
        <v>46233</v>
      </c>
      <c r="M2165" s="175" t="n">
        <v>0.0148</v>
      </c>
      <c r="N2165" s="176" t="n">
        <v>0.02271</v>
      </c>
      <c r="O2165" s="172" t="n">
        <v>2.24</v>
      </c>
      <c r="P2165" s="172" t="inlineStr">
        <is>
          <t>优先A</t>
        </is>
      </c>
      <c r="Q2165" s="175" t="n">
        <v>0.87</v>
      </c>
      <c r="R2165" s="192" t="n">
        <v>8.699999999999999</v>
      </c>
      <c r="S2165" s="172" t="inlineStr">
        <is>
          <t>AAA</t>
        </is>
      </c>
      <c r="T2165" s="175" t="n">
        <v>0.018</v>
      </c>
      <c r="U2165" s="172" t="n"/>
      <c r="V2165" s="172" t="n"/>
      <c r="W2165" s="175" t="n">
        <v>0.018</v>
      </c>
      <c r="X2165" s="172" t="inlineStr">
        <is>
          <t>宝武集团财务公司</t>
        </is>
      </c>
      <c r="Y2165" s="191" t="n">
        <v>0.65</v>
      </c>
    </row>
    <row r="2166">
      <c r="A2166" s="172" t="n">
        <v>124</v>
      </c>
      <c r="B2166" s="172" t="inlineStr">
        <is>
          <t>7月</t>
        </is>
      </c>
      <c r="C2166" s="172" t="inlineStr">
        <is>
          <t>消金</t>
        </is>
      </c>
      <c r="D2166" s="172" t="inlineStr">
        <is>
          <t>金条&amp;白取混发</t>
        </is>
      </c>
      <c r="E2166" s="172" t="inlineStr">
        <is>
          <t>2026东樾4号1期（东樾4-3）</t>
        </is>
      </c>
      <c r="F2166" s="172" t="inlineStr">
        <is>
          <t>银行间</t>
        </is>
      </c>
      <c r="G2166" s="172" t="inlineStr">
        <is>
          <t>中信证券</t>
        </is>
      </c>
      <c r="H2166" s="172" t="inlineStr">
        <is>
          <t>国信证券/光大证券/国泰海通</t>
        </is>
      </c>
      <c r="I2166" s="172" t="inlineStr">
        <is>
          <t>中邮北分</t>
        </is>
      </c>
      <c r="J2166" s="172" t="n">
        <v>10</v>
      </c>
      <c r="K2166" s="172" t="inlineStr">
        <is>
          <t>22+24</t>
        </is>
      </c>
      <c r="L2166" s="208" t="n">
        <v>46233</v>
      </c>
      <c r="M2166" s="175" t="n">
        <v>0.0148</v>
      </c>
      <c r="N2166" s="176" t="n">
        <v>0.02271</v>
      </c>
      <c r="O2166" s="172" t="n">
        <v>2.24</v>
      </c>
      <c r="P2166" s="172" t="inlineStr">
        <is>
          <t>优先A</t>
        </is>
      </c>
      <c r="Q2166" s="175" t="n">
        <v>0.87</v>
      </c>
      <c r="R2166" s="192" t="n">
        <v>8.699999999999999</v>
      </c>
      <c r="S2166" s="172" t="inlineStr">
        <is>
          <t>AAA</t>
        </is>
      </c>
      <c r="T2166" s="175" t="n">
        <v>0.018</v>
      </c>
      <c r="U2166" s="172" t="n"/>
      <c r="V2166" s="172" t="n"/>
      <c r="W2166" s="175" t="n">
        <v>0.0184</v>
      </c>
      <c r="X2166" s="172" t="inlineStr">
        <is>
          <t>银河证券</t>
        </is>
      </c>
      <c r="Y2166" s="191" t="n">
        <v>0.5</v>
      </c>
    </row>
    <row r="2167">
      <c r="A2167" s="172" t="n">
        <v>124</v>
      </c>
      <c r="B2167" s="172" t="inlineStr">
        <is>
          <t>7月</t>
        </is>
      </c>
      <c r="C2167" s="172" t="inlineStr">
        <is>
          <t>消金</t>
        </is>
      </c>
      <c r="D2167" s="172" t="inlineStr">
        <is>
          <t>金条&amp;白取混发</t>
        </is>
      </c>
      <c r="E2167" s="172" t="inlineStr">
        <is>
          <t>2026东樾4号1期（东樾4-3）</t>
        </is>
      </c>
      <c r="F2167" s="172" t="inlineStr">
        <is>
          <t>银行间</t>
        </is>
      </c>
      <c r="G2167" s="172" t="inlineStr">
        <is>
          <t>中信证券</t>
        </is>
      </c>
      <c r="H2167" s="172" t="inlineStr">
        <is>
          <t>国信证券/光大证券/国泰海通</t>
        </is>
      </c>
      <c r="I2167" s="172" t="inlineStr">
        <is>
          <t>中邮北分</t>
        </is>
      </c>
      <c r="J2167" s="172" t="n">
        <v>10</v>
      </c>
      <c r="K2167" s="172" t="inlineStr">
        <is>
          <t>22+24</t>
        </is>
      </c>
      <c r="L2167" s="208" t="n">
        <v>46233</v>
      </c>
      <c r="M2167" s="175" t="n">
        <v>0.0148</v>
      </c>
      <c r="N2167" s="176" t="n">
        <v>0.02271</v>
      </c>
      <c r="O2167" s="172" t="n">
        <v>2.24</v>
      </c>
      <c r="P2167" s="172" t="inlineStr">
        <is>
          <t>优先A</t>
        </is>
      </c>
      <c r="Q2167" s="175" t="n">
        <v>0.87</v>
      </c>
      <c r="R2167" s="192" t="n">
        <v>8.699999999999999</v>
      </c>
      <c r="S2167" s="172" t="inlineStr">
        <is>
          <t>AAA</t>
        </is>
      </c>
      <c r="T2167" s="175" t="n">
        <v>0.018</v>
      </c>
      <c r="U2167" s="172" t="n"/>
      <c r="V2167" s="172" t="n"/>
      <c r="W2167" s="175" t="n">
        <v>0.0185</v>
      </c>
      <c r="X2167" s="172" t="inlineStr">
        <is>
          <t>中信证券（投行上报）</t>
        </is>
      </c>
      <c r="Y2167" s="191" t="n">
        <v>1.3</v>
      </c>
    </row>
    <row r="2168">
      <c r="A2168" s="172" t="n">
        <v>124</v>
      </c>
      <c r="B2168" s="172" t="inlineStr">
        <is>
          <t>7月</t>
        </is>
      </c>
      <c r="C2168" s="172" t="inlineStr">
        <is>
          <t>消金</t>
        </is>
      </c>
      <c r="D2168" s="172" t="inlineStr">
        <is>
          <t>金条&amp;白取混发</t>
        </is>
      </c>
      <c r="E2168" s="172" t="inlineStr">
        <is>
          <t>2026东樾4号1期（东樾4-3）</t>
        </is>
      </c>
      <c r="F2168" s="172" t="inlineStr">
        <is>
          <t>银行间</t>
        </is>
      </c>
      <c r="G2168" s="172" t="inlineStr">
        <is>
          <t>中信证券</t>
        </is>
      </c>
      <c r="H2168" s="172" t="inlineStr">
        <is>
          <t>国信证券/光大证券/国泰海通</t>
        </is>
      </c>
      <c r="I2168" s="172" t="inlineStr">
        <is>
          <t>中邮北分</t>
        </is>
      </c>
      <c r="J2168" s="172" t="n">
        <v>10</v>
      </c>
      <c r="K2168" s="172" t="inlineStr">
        <is>
          <t>22+24</t>
        </is>
      </c>
      <c r="L2168" s="208" t="n">
        <v>46233</v>
      </c>
      <c r="M2168" s="175" t="n">
        <v>0.0148</v>
      </c>
      <c r="N2168" s="176" t="n">
        <v>0.02271</v>
      </c>
      <c r="O2168" s="172" t="n">
        <v>2.24</v>
      </c>
      <c r="P2168" s="172" t="inlineStr">
        <is>
          <t>优先A</t>
        </is>
      </c>
      <c r="Q2168" s="175" t="n">
        <v>0.87</v>
      </c>
      <c r="R2168" s="192" t="n">
        <v>8.699999999999999</v>
      </c>
      <c r="S2168" s="172" t="inlineStr">
        <is>
          <t>AAA</t>
        </is>
      </c>
      <c r="T2168" s="175" t="n">
        <v>0.018</v>
      </c>
      <c r="U2168" s="172" t="n"/>
      <c r="V2168" s="172" t="n"/>
      <c r="W2168" s="175" t="n">
        <v>0.0185</v>
      </c>
      <c r="X2168" s="172" t="inlineStr">
        <is>
          <t>国信证券（投行上报）</t>
        </is>
      </c>
      <c r="Y2168" s="191" t="n">
        <v>1.3</v>
      </c>
    </row>
    <row r="2169">
      <c r="A2169" s="172" t="n">
        <v>124</v>
      </c>
      <c r="B2169" s="172" t="inlineStr">
        <is>
          <t>7月</t>
        </is>
      </c>
      <c r="C2169" s="172" t="inlineStr">
        <is>
          <t>消金</t>
        </is>
      </c>
      <c r="D2169" s="172" t="inlineStr">
        <is>
          <t>金条&amp;白取混发</t>
        </is>
      </c>
      <c r="E2169" s="172" t="inlineStr">
        <is>
          <t>2026东樾4号1期（东樾4-3）</t>
        </is>
      </c>
      <c r="F2169" s="172" t="inlineStr">
        <is>
          <t>银行间</t>
        </is>
      </c>
      <c r="G2169" s="172" t="inlineStr">
        <is>
          <t>中信证券</t>
        </is>
      </c>
      <c r="H2169" s="172" t="inlineStr">
        <is>
          <t>国信证券/光大证券/国泰海通</t>
        </is>
      </c>
      <c r="I2169" s="172" t="inlineStr">
        <is>
          <t>中邮北分</t>
        </is>
      </c>
      <c r="J2169" s="172" t="n">
        <v>10</v>
      </c>
      <c r="K2169" s="172" t="inlineStr">
        <is>
          <t>22+24</t>
        </is>
      </c>
      <c r="L2169" s="208" t="n">
        <v>46233</v>
      </c>
      <c r="M2169" s="175" t="n">
        <v>0.0148</v>
      </c>
      <c r="N2169" s="176" t="n">
        <v>0.02271</v>
      </c>
      <c r="O2169" s="172" t="n">
        <v>2.24</v>
      </c>
      <c r="P2169" s="172" t="inlineStr">
        <is>
          <t>优先A</t>
        </is>
      </c>
      <c r="Q2169" s="175" t="n">
        <v>0.87</v>
      </c>
      <c r="R2169" s="192" t="n">
        <v>8.699999999999999</v>
      </c>
      <c r="S2169" s="172" t="inlineStr">
        <is>
          <t>AAA</t>
        </is>
      </c>
      <c r="T2169" s="175" t="n">
        <v>0.018</v>
      </c>
      <c r="U2169" s="172" t="n"/>
      <c r="V2169" s="172" t="n"/>
      <c r="W2169" s="175" t="n">
        <v>0.0185</v>
      </c>
      <c r="X2169" s="172" t="inlineStr">
        <is>
          <t>光大证券（投行上报）</t>
        </is>
      </c>
      <c r="Y2169" s="191" t="n">
        <v>1</v>
      </c>
    </row>
    <row r="2170">
      <c r="A2170" s="172" t="n">
        <v>124</v>
      </c>
      <c r="B2170" s="172" t="inlineStr">
        <is>
          <t>7月</t>
        </is>
      </c>
      <c r="C2170" s="172" t="inlineStr">
        <is>
          <t>消金</t>
        </is>
      </c>
      <c r="D2170" s="172" t="inlineStr">
        <is>
          <t>金条&amp;白取混发</t>
        </is>
      </c>
      <c r="E2170" s="172" t="inlineStr">
        <is>
          <t>2026东樾4号1期（东樾4-3）</t>
        </is>
      </c>
      <c r="F2170" s="172" t="inlineStr">
        <is>
          <t>银行间</t>
        </is>
      </c>
      <c r="G2170" s="172" t="inlineStr">
        <is>
          <t>中信证券</t>
        </is>
      </c>
      <c r="H2170" s="172" t="inlineStr">
        <is>
          <t>国信证券/光大证券/国泰海通</t>
        </is>
      </c>
      <c r="I2170" s="172" t="inlineStr">
        <is>
          <t>中邮北分</t>
        </is>
      </c>
      <c r="J2170" s="172" t="n">
        <v>10</v>
      </c>
      <c r="K2170" s="172" t="inlineStr">
        <is>
          <t>22+24</t>
        </is>
      </c>
      <c r="L2170" s="208" t="n">
        <v>46233</v>
      </c>
      <c r="M2170" s="175" t="n">
        <v>0.0148</v>
      </c>
      <c r="N2170" s="176" t="n">
        <v>0.02271</v>
      </c>
      <c r="O2170" s="172" t="n">
        <v>2.24</v>
      </c>
      <c r="P2170" s="172" t="inlineStr">
        <is>
          <t>优先A</t>
        </is>
      </c>
      <c r="Q2170" s="175" t="n">
        <v>0.87</v>
      </c>
      <c r="R2170" s="192" t="n">
        <v>8.699999999999999</v>
      </c>
      <c r="S2170" s="172" t="inlineStr">
        <is>
          <t>AAA</t>
        </is>
      </c>
      <c r="T2170" s="175" t="n">
        <v>0.018</v>
      </c>
      <c r="U2170" s="172" t="n"/>
      <c r="V2170" s="172" t="n"/>
      <c r="W2170" s="175" t="n">
        <v>0.024</v>
      </c>
      <c r="X2170" s="172" t="inlineStr">
        <is>
          <t>上海利曦私募</t>
        </is>
      </c>
      <c r="Y2170" s="191" t="n">
        <v>2</v>
      </c>
    </row>
    <row r="2171">
      <c r="A2171" s="172" t="n">
        <v>124</v>
      </c>
      <c r="B2171" s="173" t="inlineStr">
        <is>
          <t>7月</t>
        </is>
      </c>
      <c r="C2171" s="173" t="inlineStr">
        <is>
          <t>消金</t>
        </is>
      </c>
      <c r="D2171" s="173" t="inlineStr">
        <is>
          <t>金条&amp;白取混发</t>
        </is>
      </c>
      <c r="E2171" s="173" t="inlineStr">
        <is>
          <t>2026东樾4号1期（东樾4-3）</t>
        </is>
      </c>
      <c r="F2171" s="173" t="inlineStr">
        <is>
          <t>银行间</t>
        </is>
      </c>
      <c r="G2171" s="173" t="inlineStr">
        <is>
          <t>中信证券</t>
        </is>
      </c>
      <c r="H2171" s="173" t="inlineStr">
        <is>
          <t>国信证券/光大证券/国泰海通</t>
        </is>
      </c>
      <c r="I2171" s="173" t="inlineStr">
        <is>
          <t>中邮北分</t>
        </is>
      </c>
      <c r="J2171" s="172" t="n">
        <v>10</v>
      </c>
      <c r="K2171" s="173" t="inlineStr">
        <is>
          <t>22+24</t>
        </is>
      </c>
      <c r="L2171" s="202" t="n">
        <v>46233</v>
      </c>
      <c r="M2171" s="175" t="n">
        <v>0.0148</v>
      </c>
      <c r="N2171" s="176" t="n">
        <v>0.02271</v>
      </c>
      <c r="O2171" s="172" t="n">
        <v>2.24</v>
      </c>
      <c r="P2171" s="177" t="inlineStr">
        <is>
          <t>优先B</t>
        </is>
      </c>
      <c r="Q2171" s="178" t="n">
        <v>0.04</v>
      </c>
      <c r="R2171" s="179" t="n">
        <v>0.4</v>
      </c>
      <c r="S2171" s="177" t="inlineStr">
        <is>
          <t>AA+</t>
        </is>
      </c>
      <c r="T2171" s="178" t="n">
        <v>0.0185</v>
      </c>
      <c r="U2171" s="172" t="inlineStr">
        <is>
          <t>建信信托</t>
        </is>
      </c>
      <c r="V2171" s="192" t="n">
        <v>0.28</v>
      </c>
      <c r="W2171" s="175" t="n">
        <v>0.0185</v>
      </c>
      <c r="X2171" s="172" t="inlineStr">
        <is>
          <t>建信信托</t>
        </is>
      </c>
      <c r="Y2171" s="191" t="n">
        <v>0.28</v>
      </c>
    </row>
    <row r="2172">
      <c r="A2172" s="172" t="n">
        <v>124</v>
      </c>
      <c r="B2172" s="173" t="inlineStr">
        <is>
          <t>7月</t>
        </is>
      </c>
      <c r="C2172" s="173" t="inlineStr">
        <is>
          <t>消金</t>
        </is>
      </c>
      <c r="D2172" s="173" t="inlineStr">
        <is>
          <t>金条&amp;白取混发</t>
        </is>
      </c>
      <c r="E2172" s="173" t="inlineStr">
        <is>
          <t>2026东樾4号1期（东樾4-3）</t>
        </is>
      </c>
      <c r="F2172" s="173" t="inlineStr">
        <is>
          <t>银行间</t>
        </is>
      </c>
      <c r="G2172" s="173" t="inlineStr">
        <is>
          <t>中信证券</t>
        </is>
      </c>
      <c r="H2172" s="173" t="inlineStr">
        <is>
          <t>国信证券/光大证券/国泰海通</t>
        </is>
      </c>
      <c r="I2172" s="173" t="inlineStr">
        <is>
          <t>中邮北分</t>
        </is>
      </c>
      <c r="J2172" s="172" t="n">
        <v>10</v>
      </c>
      <c r="K2172" s="173" t="inlineStr">
        <is>
          <t>22+24</t>
        </is>
      </c>
      <c r="L2172" s="202" t="n">
        <v>46233</v>
      </c>
      <c r="M2172" s="175" t="n">
        <v>0.0148</v>
      </c>
      <c r="N2172" s="176" t="n">
        <v>0.02271</v>
      </c>
      <c r="O2172" s="172" t="n">
        <v>2.24</v>
      </c>
      <c r="P2172" s="172" t="inlineStr">
        <is>
          <t>优先B</t>
        </is>
      </c>
      <c r="Q2172" s="178" t="n">
        <v>0.04</v>
      </c>
      <c r="R2172" s="179" t="n">
        <v>0.4</v>
      </c>
      <c r="S2172" s="177" t="inlineStr">
        <is>
          <t>AA+</t>
        </is>
      </c>
      <c r="T2172" s="178" t="n">
        <v>0.0185</v>
      </c>
      <c r="U2172" s="172" t="inlineStr">
        <is>
          <t>交银理财</t>
        </is>
      </c>
      <c r="V2172" s="192" t="n">
        <v>0.12</v>
      </c>
      <c r="W2172" s="175" t="n">
        <v>0.018</v>
      </c>
      <c r="X2172" s="172" t="inlineStr">
        <is>
          <t>交银理财</t>
        </is>
      </c>
      <c r="Y2172" s="191" t="n">
        <v>0.12</v>
      </c>
    </row>
    <row r="2173">
      <c r="A2173" s="172" t="n">
        <v>124</v>
      </c>
      <c r="B2173" s="172" t="inlineStr">
        <is>
          <t>7月</t>
        </is>
      </c>
      <c r="C2173" s="172" t="inlineStr">
        <is>
          <t>消金</t>
        </is>
      </c>
      <c r="D2173" s="172" t="inlineStr">
        <is>
          <t>金条&amp;白取混发</t>
        </is>
      </c>
      <c r="E2173" s="172" t="inlineStr">
        <is>
          <t>2026东樾4号1期（东樾4-3）</t>
        </is>
      </c>
      <c r="F2173" s="172" t="inlineStr">
        <is>
          <t>银行间</t>
        </is>
      </c>
      <c r="G2173" s="172" t="inlineStr">
        <is>
          <t>中信证券</t>
        </is>
      </c>
      <c r="H2173" s="172" t="inlineStr">
        <is>
          <t>国信证券/光大证券/国泰海通</t>
        </is>
      </c>
      <c r="I2173" s="172" t="inlineStr">
        <is>
          <t>中邮北分</t>
        </is>
      </c>
      <c r="J2173" s="172" t="n">
        <v>10</v>
      </c>
      <c r="K2173" s="172" t="inlineStr">
        <is>
          <t>22+24</t>
        </is>
      </c>
      <c r="L2173" s="208" t="n">
        <v>46233</v>
      </c>
      <c r="M2173" s="175" t="n">
        <v>0.0148</v>
      </c>
      <c r="N2173" s="176" t="n">
        <v>0.02271</v>
      </c>
      <c r="O2173" s="172" t="n">
        <v>2.24</v>
      </c>
      <c r="P2173" s="172" t="inlineStr">
        <is>
          <t>优先B</t>
        </is>
      </c>
      <c r="Q2173" s="175" t="n">
        <v>0.04</v>
      </c>
      <c r="R2173" s="192" t="n">
        <v>0.4</v>
      </c>
      <c r="S2173" s="172" t="inlineStr">
        <is>
          <t>AA+</t>
        </is>
      </c>
      <c r="T2173" s="175" t="n">
        <v>0.0185</v>
      </c>
      <c r="U2173" s="172" t="n"/>
      <c r="V2173" s="172" t="n"/>
      <c r="W2173" s="175" t="n">
        <v>0.0195</v>
      </c>
      <c r="X2173" s="172" t="inlineStr">
        <is>
          <t>国信证券（投行上报）</t>
        </is>
      </c>
      <c r="Y2173" s="191" t="n">
        <v>0.06</v>
      </c>
    </row>
    <row r="2174">
      <c r="A2174" s="172" t="n">
        <v>124</v>
      </c>
      <c r="B2174" s="173" t="inlineStr">
        <is>
          <t>7月</t>
        </is>
      </c>
      <c r="C2174" s="173" t="inlineStr">
        <is>
          <t>消金</t>
        </is>
      </c>
      <c r="D2174" s="173" t="inlineStr">
        <is>
          <t>金条&amp;白取混发</t>
        </is>
      </c>
      <c r="E2174" s="173" t="inlineStr">
        <is>
          <t>2026东樾4号1期（东樾4-3）</t>
        </is>
      </c>
      <c r="F2174" s="173" t="inlineStr">
        <is>
          <t>银行间</t>
        </is>
      </c>
      <c r="G2174" s="173" t="inlineStr">
        <is>
          <t>中信证券</t>
        </is>
      </c>
      <c r="H2174" s="173" t="inlineStr">
        <is>
          <t>国信证券/光大证券/国泰海通</t>
        </is>
      </c>
      <c r="I2174" s="173" t="inlineStr">
        <is>
          <t>中邮北分</t>
        </is>
      </c>
      <c r="J2174" s="172" t="n">
        <v>10</v>
      </c>
      <c r="K2174" s="173" t="inlineStr">
        <is>
          <t>22+24</t>
        </is>
      </c>
      <c r="L2174" s="202" t="n">
        <v>46233</v>
      </c>
      <c r="M2174" s="175" t="n">
        <v>0.0148</v>
      </c>
      <c r="N2174" s="176" t="n">
        <v>0.02271</v>
      </c>
      <c r="O2174" s="172" t="n">
        <v>2.24</v>
      </c>
      <c r="P2174" s="177" t="inlineStr">
        <is>
          <t>中间级</t>
        </is>
      </c>
      <c r="Q2174" s="178" t="n">
        <v>0.04</v>
      </c>
      <c r="R2174" s="179" t="n">
        <v>0.4</v>
      </c>
      <c r="S2174" s="177" t="inlineStr">
        <is>
          <t>A+</t>
        </is>
      </c>
      <c r="T2174" s="178" t="n">
        <v>0.032</v>
      </c>
      <c r="U2174" s="172" t="inlineStr">
        <is>
          <t>上汽财务</t>
        </is>
      </c>
      <c r="V2174" s="192" t="n">
        <v>0.3</v>
      </c>
      <c r="W2174" s="172" t="n"/>
      <c r="X2174" s="172" t="n"/>
      <c r="Y2174" s="172" t="n"/>
    </row>
    <row r="2175">
      <c r="A2175" s="172" t="n">
        <v>124</v>
      </c>
      <c r="B2175" s="173" t="inlineStr">
        <is>
          <t>7月</t>
        </is>
      </c>
      <c r="C2175" s="173" t="inlineStr">
        <is>
          <t>消金</t>
        </is>
      </c>
      <c r="D2175" s="173" t="inlineStr">
        <is>
          <t>金条&amp;白取混发</t>
        </is>
      </c>
      <c r="E2175" s="173" t="inlineStr">
        <is>
          <t>2026东樾4号1期（东樾4-3）</t>
        </is>
      </c>
      <c r="F2175" s="173" t="inlineStr">
        <is>
          <t>银行间</t>
        </is>
      </c>
      <c r="G2175" s="173" t="inlineStr">
        <is>
          <t>中信证券</t>
        </is>
      </c>
      <c r="H2175" s="173" t="inlineStr">
        <is>
          <t>国信证券/光大证券/国泰海通</t>
        </is>
      </c>
      <c r="I2175" s="173" t="inlineStr">
        <is>
          <t>中邮北分</t>
        </is>
      </c>
      <c r="J2175" s="172" t="n">
        <v>10</v>
      </c>
      <c r="K2175" s="173" t="inlineStr">
        <is>
          <t>22+24</t>
        </is>
      </c>
      <c r="L2175" s="202" t="n">
        <v>46233</v>
      </c>
      <c r="M2175" s="175" t="n">
        <v>0.0148</v>
      </c>
      <c r="N2175" s="176" t="n">
        <v>0.02271</v>
      </c>
      <c r="O2175" s="172" t="n">
        <v>2.24</v>
      </c>
      <c r="P2175" s="172" t="inlineStr">
        <is>
          <t>中间级</t>
        </is>
      </c>
      <c r="Q2175" s="178" t="n">
        <v>0.04</v>
      </c>
      <c r="R2175" s="179" t="n">
        <v>0.4</v>
      </c>
      <c r="S2175" s="177" t="inlineStr">
        <is>
          <t>A+</t>
        </is>
      </c>
      <c r="T2175" s="178" t="n">
        <v>0.032</v>
      </c>
      <c r="U2175" s="172" t="inlineStr">
        <is>
          <t>中信建投机构部</t>
        </is>
      </c>
      <c r="V2175" s="192" t="n">
        <v>0.1</v>
      </c>
      <c r="W2175" s="172" t="n"/>
      <c r="X2175" s="172" t="n"/>
      <c r="Y2175" s="172" t="n"/>
    </row>
    <row r="2176">
      <c r="A2176" s="172" t="n">
        <v>124</v>
      </c>
      <c r="B2176" s="173" t="inlineStr">
        <is>
          <t>7月</t>
        </is>
      </c>
      <c r="C2176" s="173" t="inlineStr">
        <is>
          <t>消金</t>
        </is>
      </c>
      <c r="D2176" s="173" t="inlineStr">
        <is>
          <t>金条&amp;白取混发</t>
        </is>
      </c>
      <c r="E2176" s="173" t="inlineStr">
        <is>
          <t>2026东樾4号1期（东樾4-3）</t>
        </is>
      </c>
      <c r="F2176" s="173" t="inlineStr">
        <is>
          <t>银行间</t>
        </is>
      </c>
      <c r="G2176" s="173" t="inlineStr">
        <is>
          <t>中信证券</t>
        </is>
      </c>
      <c r="H2176" s="173" t="inlineStr">
        <is>
          <t>国信证券/光大证券/国泰海通</t>
        </is>
      </c>
      <c r="I2176" s="173" t="inlineStr">
        <is>
          <t>中邮北分</t>
        </is>
      </c>
      <c r="J2176" s="172" t="n">
        <v>10</v>
      </c>
      <c r="K2176" s="173" t="inlineStr">
        <is>
          <t>22+24</t>
        </is>
      </c>
      <c r="L2176" s="202" t="n">
        <v>46233</v>
      </c>
      <c r="M2176" s="175" t="n">
        <v>0.0148</v>
      </c>
      <c r="N2176" s="176" t="n">
        <v>0.02271</v>
      </c>
      <c r="O2176" s="172" t="n">
        <v>2.24</v>
      </c>
      <c r="P2176" s="177" t="inlineStr">
        <is>
          <t>受益权</t>
        </is>
      </c>
      <c r="Q2176" s="178" t="n">
        <v>0.05</v>
      </c>
      <c r="R2176" s="179" t="n">
        <v>0.5</v>
      </c>
      <c r="S2176" s="177" t="inlineStr">
        <is>
          <t>无</t>
        </is>
      </c>
      <c r="T2176" s="178" t="n">
        <v>0.0495</v>
      </c>
      <c r="U2176" s="172" t="inlineStr">
        <is>
          <t>上汽财务</t>
        </is>
      </c>
      <c r="V2176" s="192" t="n">
        <v>0.3</v>
      </c>
      <c r="W2176" s="172" t="n"/>
      <c r="X2176" s="172" t="n"/>
      <c r="Y2176" s="172" t="n"/>
    </row>
    <row r="2177">
      <c r="A2177" s="172" t="n">
        <v>124</v>
      </c>
      <c r="B2177" s="173" t="inlineStr">
        <is>
          <t>7月</t>
        </is>
      </c>
      <c r="C2177" s="173" t="inlineStr">
        <is>
          <t>消金</t>
        </is>
      </c>
      <c r="D2177" s="173" t="inlineStr">
        <is>
          <t>金条&amp;白取混发</t>
        </is>
      </c>
      <c r="E2177" s="173" t="inlineStr">
        <is>
          <t>2026东樾4号1期（东樾4-3）</t>
        </is>
      </c>
      <c r="F2177" s="173" t="inlineStr">
        <is>
          <t>银行间</t>
        </is>
      </c>
      <c r="G2177" s="173" t="inlineStr">
        <is>
          <t>中信证券</t>
        </is>
      </c>
      <c r="H2177" s="173" t="inlineStr">
        <is>
          <t>国信证券/光大证券/国泰海通</t>
        </is>
      </c>
      <c r="I2177" s="173" t="inlineStr">
        <is>
          <t>中邮北分</t>
        </is>
      </c>
      <c r="J2177" s="172" t="n">
        <v>10</v>
      </c>
      <c r="K2177" s="173" t="inlineStr">
        <is>
          <t>22+24</t>
        </is>
      </c>
      <c r="L2177" s="202" t="n">
        <v>46233</v>
      </c>
      <c r="M2177" s="175" t="n">
        <v>0.0148</v>
      </c>
      <c r="N2177" s="176" t="n">
        <v>0.02271</v>
      </c>
      <c r="O2177" s="172" t="n">
        <v>2.24</v>
      </c>
      <c r="P2177" s="172" t="inlineStr">
        <is>
          <t>受益权</t>
        </is>
      </c>
      <c r="Q2177" s="178" t="n">
        <v>0.05</v>
      </c>
      <c r="R2177" s="179" t="n">
        <v>0.5</v>
      </c>
      <c r="S2177" s="177" t="inlineStr">
        <is>
          <t>无</t>
        </is>
      </c>
      <c r="T2177" s="178" t="n">
        <v>0.0495</v>
      </c>
      <c r="U2177" s="172" t="inlineStr">
        <is>
          <t>中信建投衍生品</t>
        </is>
      </c>
      <c r="V2177" s="192" t="n">
        <v>0.1</v>
      </c>
      <c r="W2177" s="172" t="n"/>
      <c r="X2177" s="172" t="n"/>
      <c r="Y2177" s="172" t="n"/>
    </row>
    <row r="2178">
      <c r="A2178" s="172" t="n">
        <v>124</v>
      </c>
      <c r="B2178" s="173" t="inlineStr">
        <is>
          <t>7月</t>
        </is>
      </c>
      <c r="C2178" s="173" t="inlineStr">
        <is>
          <t>消金</t>
        </is>
      </c>
      <c r="D2178" s="173" t="inlineStr">
        <is>
          <t>金条&amp;白取混发</t>
        </is>
      </c>
      <c r="E2178" s="173" t="inlineStr">
        <is>
          <t>2026东樾4号1期（东樾4-3）</t>
        </is>
      </c>
      <c r="F2178" s="173" t="inlineStr">
        <is>
          <t>银行间</t>
        </is>
      </c>
      <c r="G2178" s="173" t="inlineStr">
        <is>
          <t>中信证券</t>
        </is>
      </c>
      <c r="H2178" s="173" t="inlineStr">
        <is>
          <t>国信证券/光大证券/国泰海通</t>
        </is>
      </c>
      <c r="I2178" s="173" t="inlineStr">
        <is>
          <t>中邮北分</t>
        </is>
      </c>
      <c r="J2178" s="172" t="n">
        <v>10</v>
      </c>
      <c r="K2178" s="173" t="inlineStr">
        <is>
          <t>22+24</t>
        </is>
      </c>
      <c r="L2178" s="202" t="n">
        <v>46233</v>
      </c>
      <c r="M2178" s="175" t="n">
        <v>0.0148</v>
      </c>
      <c r="N2178" s="176" t="n">
        <v>0.02271</v>
      </c>
      <c r="O2178" s="172" t="n">
        <v>2.24</v>
      </c>
      <c r="P2178" s="172" t="inlineStr">
        <is>
          <t>受益权</t>
        </is>
      </c>
      <c r="Q2178" s="178" t="n">
        <v>0.05</v>
      </c>
      <c r="R2178" s="179" t="n">
        <v>0.5</v>
      </c>
      <c r="S2178" s="177" t="inlineStr">
        <is>
          <t>无</t>
        </is>
      </c>
      <c r="T2178" s="178" t="n">
        <v>0.0495</v>
      </c>
      <c r="U2178" s="172" t="inlineStr">
        <is>
          <t>中信建投投顾</t>
        </is>
      </c>
      <c r="V2178" s="192" t="n">
        <v>0.1</v>
      </c>
      <c r="W2178" s="172" t="n"/>
      <c r="X2178" s="172" t="n"/>
      <c r="Y2178" s="172" t="n"/>
    </row>
    <row r="2179">
      <c r="A2179" s="172" t="n">
        <v>125</v>
      </c>
      <c r="B2179" s="173" t="inlineStr">
        <is>
          <t>7月</t>
        </is>
      </c>
      <c r="C2179" s="173" t="inlineStr">
        <is>
          <t>消金</t>
        </is>
      </c>
      <c r="D2179" s="173" t="inlineStr">
        <is>
          <t>汽车融资租赁</t>
        </is>
      </c>
      <c r="E2179" s="173" t="inlineStr">
        <is>
          <t>尚乘1-3</t>
        </is>
      </c>
      <c r="F2179" s="173" t="inlineStr">
        <is>
          <t>上交所</t>
        </is>
      </c>
      <c r="G2179" s="173" t="inlineStr">
        <is>
          <t>华泰资管</t>
        </is>
      </c>
      <c r="H2179" s="173" t="inlineStr">
        <is>
          <t>国信证券/兴业证券</t>
        </is>
      </c>
      <c r="I2179" s="173" t="inlineStr">
        <is>
          <t>青岛银行</t>
        </is>
      </c>
      <c r="J2179" s="172" t="n">
        <v>8</v>
      </c>
      <c r="K2179" s="173" t="inlineStr">
        <is>
          <t>0+47</t>
        </is>
      </c>
      <c r="L2179" s="202" t="n">
        <v>46234</v>
      </c>
      <c r="M2179" s="175" t="n">
        <v>0.0148</v>
      </c>
      <c r="N2179" s="176" t="n">
        <v>0.02865</v>
      </c>
      <c r="O2179" s="172" t="n">
        <v>3.25</v>
      </c>
      <c r="P2179" s="177" t="inlineStr">
        <is>
          <t>优先A1</t>
        </is>
      </c>
      <c r="Q2179" s="178" t="n">
        <v>0.2813</v>
      </c>
      <c r="R2179" s="179" t="n">
        <v>2.25</v>
      </c>
      <c r="S2179" s="177" t="inlineStr">
        <is>
          <t>AAA</t>
        </is>
      </c>
      <c r="T2179" s="178" t="n">
        <v>0.0176</v>
      </c>
      <c r="U2179" s="177" t="inlineStr">
        <is>
          <t>厦门汇正</t>
        </is>
      </c>
      <c r="V2179" s="192" t="n">
        <v>0.12</v>
      </c>
      <c r="W2179" s="175" t="n">
        <v>0.017</v>
      </c>
      <c r="X2179" s="172" t="inlineStr">
        <is>
          <t>厦门汇正</t>
        </is>
      </c>
      <c r="Y2179" s="191" t="n">
        <v>0.12</v>
      </c>
    </row>
    <row r="2180">
      <c r="A2180" s="172" t="n">
        <v>125</v>
      </c>
      <c r="B2180" s="173" t="inlineStr">
        <is>
          <t>7月</t>
        </is>
      </c>
      <c r="C2180" s="173" t="inlineStr">
        <is>
          <t>消金</t>
        </is>
      </c>
      <c r="D2180" s="173" t="inlineStr">
        <is>
          <t>汽车融资租赁</t>
        </is>
      </c>
      <c r="E2180" s="173" t="inlineStr">
        <is>
          <t>尚乘1-3</t>
        </is>
      </c>
      <c r="F2180" s="173" t="inlineStr">
        <is>
          <t>上交所</t>
        </is>
      </c>
      <c r="G2180" s="173" t="inlineStr">
        <is>
          <t>华泰资管</t>
        </is>
      </c>
      <c r="H2180" s="173" t="inlineStr">
        <is>
          <t>国信证券/兴业证券</t>
        </is>
      </c>
      <c r="I2180" s="173" t="inlineStr">
        <is>
          <t>青岛银行</t>
        </is>
      </c>
      <c r="J2180" s="172" t="n">
        <v>8</v>
      </c>
      <c r="K2180" s="173" t="inlineStr">
        <is>
          <t>0+47</t>
        </is>
      </c>
      <c r="L2180" s="202" t="n">
        <v>46234</v>
      </c>
      <c r="M2180" s="175" t="n">
        <v>0.0148</v>
      </c>
      <c r="N2180" s="176" t="n">
        <v>0.02865</v>
      </c>
      <c r="O2180" s="172" t="n">
        <v>3.25</v>
      </c>
      <c r="P2180" s="172" t="inlineStr">
        <is>
          <t>优先A1</t>
        </is>
      </c>
      <c r="Q2180" s="178" t="n">
        <v>0.2813</v>
      </c>
      <c r="R2180" s="179" t="n">
        <v>2.25</v>
      </c>
      <c r="S2180" s="177" t="inlineStr">
        <is>
          <t>AAA</t>
        </is>
      </c>
      <c r="T2180" s="178" t="n">
        <v>0.0176</v>
      </c>
      <c r="U2180" s="172" t="inlineStr">
        <is>
          <t>广发证券资管</t>
        </is>
      </c>
      <c r="V2180" s="192" t="n">
        <v>0.2</v>
      </c>
      <c r="W2180" s="172" t="n"/>
      <c r="X2180" s="172" t="n"/>
      <c r="Y2180" s="172" t="n"/>
    </row>
    <row r="2181">
      <c r="A2181" s="172" t="n">
        <v>125</v>
      </c>
      <c r="B2181" s="173" t="inlineStr">
        <is>
          <t>7月</t>
        </is>
      </c>
      <c r="C2181" s="173" t="inlineStr">
        <is>
          <t>消金</t>
        </is>
      </c>
      <c r="D2181" s="173" t="inlineStr">
        <is>
          <t>汽车融资租赁</t>
        </is>
      </c>
      <c r="E2181" s="173" t="inlineStr">
        <is>
          <t>尚乘1-3</t>
        </is>
      </c>
      <c r="F2181" s="173" t="inlineStr">
        <is>
          <t>上交所</t>
        </is>
      </c>
      <c r="G2181" s="173" t="inlineStr">
        <is>
          <t>华泰资管</t>
        </is>
      </c>
      <c r="H2181" s="173" t="inlineStr">
        <is>
          <t>国信证券/兴业证券</t>
        </is>
      </c>
      <c r="I2181" s="173" t="inlineStr">
        <is>
          <t>青岛银行</t>
        </is>
      </c>
      <c r="J2181" s="172" t="n">
        <v>8</v>
      </c>
      <c r="K2181" s="173" t="inlineStr">
        <is>
          <t>0+47</t>
        </is>
      </c>
      <c r="L2181" s="202" t="n">
        <v>46234</v>
      </c>
      <c r="M2181" s="175" t="n">
        <v>0.0148</v>
      </c>
      <c r="N2181" s="176" t="n">
        <v>0.02865</v>
      </c>
      <c r="O2181" s="172" t="n">
        <v>3.25</v>
      </c>
      <c r="P2181" s="172" t="inlineStr">
        <is>
          <t>优先A1</t>
        </is>
      </c>
      <c r="Q2181" s="178" t="n">
        <v>0.2813</v>
      </c>
      <c r="R2181" s="179" t="n">
        <v>2.25</v>
      </c>
      <c r="S2181" s="177" t="inlineStr">
        <is>
          <t>AAA</t>
        </is>
      </c>
      <c r="T2181" s="178" t="n">
        <v>0.0176</v>
      </c>
      <c r="U2181" s="177" t="inlineStr">
        <is>
          <t>国新证券资管</t>
        </is>
      </c>
      <c r="V2181" s="192" t="n">
        <v>0.06</v>
      </c>
      <c r="W2181" s="175" t="n">
        <v>0.0176</v>
      </c>
      <c r="X2181" s="172" t="inlineStr">
        <is>
          <t>国新证券资管</t>
        </is>
      </c>
      <c r="Y2181" s="191" t="n">
        <v>0.1</v>
      </c>
    </row>
    <row r="2182">
      <c r="A2182" s="172" t="n">
        <v>125</v>
      </c>
      <c r="B2182" s="173" t="inlineStr">
        <is>
          <t>7月</t>
        </is>
      </c>
      <c r="C2182" s="173" t="inlineStr">
        <is>
          <t>消金</t>
        </is>
      </c>
      <c r="D2182" s="173" t="inlineStr">
        <is>
          <t>汽车融资租赁</t>
        </is>
      </c>
      <c r="E2182" s="173" t="inlineStr">
        <is>
          <t>尚乘1-3</t>
        </is>
      </c>
      <c r="F2182" s="173" t="inlineStr">
        <is>
          <t>上交所</t>
        </is>
      </c>
      <c r="G2182" s="173" t="inlineStr">
        <is>
          <t>华泰资管</t>
        </is>
      </c>
      <c r="H2182" s="173" t="inlineStr">
        <is>
          <t>国信证券/兴业证券</t>
        </is>
      </c>
      <c r="I2182" s="173" t="inlineStr">
        <is>
          <t>青岛银行</t>
        </is>
      </c>
      <c r="J2182" s="172" t="n">
        <v>8</v>
      </c>
      <c r="K2182" s="173" t="inlineStr">
        <is>
          <t>0+47</t>
        </is>
      </c>
      <c r="L2182" s="202" t="n">
        <v>46234</v>
      </c>
      <c r="M2182" s="175" t="n">
        <v>0.0148</v>
      </c>
      <c r="N2182" s="176" t="n">
        <v>0.02865</v>
      </c>
      <c r="O2182" s="172" t="n">
        <v>3.25</v>
      </c>
      <c r="P2182" s="172" t="inlineStr">
        <is>
          <t>优先A1</t>
        </is>
      </c>
      <c r="Q2182" s="178" t="n">
        <v>0.2813</v>
      </c>
      <c r="R2182" s="179" t="n">
        <v>2.25</v>
      </c>
      <c r="S2182" s="177" t="inlineStr">
        <is>
          <t>AAA</t>
        </is>
      </c>
      <c r="T2182" s="178" t="n">
        <v>0.0176</v>
      </c>
      <c r="U2182" s="177" t="inlineStr">
        <is>
          <t>华兴银行</t>
        </is>
      </c>
      <c r="V2182" s="192" t="n">
        <v>0.2</v>
      </c>
      <c r="W2182" s="175" t="n">
        <v>0.017</v>
      </c>
      <c r="X2182" s="172" t="inlineStr">
        <is>
          <t>华兴银行</t>
        </is>
      </c>
      <c r="Y2182" s="191" t="n">
        <v>0.2</v>
      </c>
    </row>
    <row r="2183">
      <c r="A2183" s="172" t="n">
        <v>125</v>
      </c>
      <c r="B2183" s="173" t="inlineStr">
        <is>
          <t>7月</t>
        </is>
      </c>
      <c r="C2183" s="173" t="inlineStr">
        <is>
          <t>消金</t>
        </is>
      </c>
      <c r="D2183" s="173" t="inlineStr">
        <is>
          <t>汽车融资租赁</t>
        </is>
      </c>
      <c r="E2183" s="173" t="inlineStr">
        <is>
          <t>尚乘1-3</t>
        </is>
      </c>
      <c r="F2183" s="173" t="inlineStr">
        <is>
          <t>上交所</t>
        </is>
      </c>
      <c r="G2183" s="173" t="inlineStr">
        <is>
          <t>华泰资管</t>
        </is>
      </c>
      <c r="H2183" s="173" t="inlineStr">
        <is>
          <t>国信证券/兴业证券</t>
        </is>
      </c>
      <c r="I2183" s="173" t="inlineStr">
        <is>
          <t>青岛银行</t>
        </is>
      </c>
      <c r="J2183" s="172" t="n">
        <v>8</v>
      </c>
      <c r="K2183" s="173" t="inlineStr">
        <is>
          <t>0+47</t>
        </is>
      </c>
      <c r="L2183" s="202" t="n">
        <v>46234</v>
      </c>
      <c r="M2183" s="175" t="n">
        <v>0.0148</v>
      </c>
      <c r="N2183" s="176" t="n">
        <v>0.02865</v>
      </c>
      <c r="O2183" s="172" t="n">
        <v>3.25</v>
      </c>
      <c r="P2183" s="172" t="inlineStr">
        <is>
          <t>优先A1</t>
        </is>
      </c>
      <c r="Q2183" s="178" t="n">
        <v>0.2813</v>
      </c>
      <c r="R2183" s="179" t="n">
        <v>2.25</v>
      </c>
      <c r="S2183" s="177" t="inlineStr">
        <is>
          <t>AAA</t>
        </is>
      </c>
      <c r="T2183" s="178" t="n">
        <v>0.0176</v>
      </c>
      <c r="U2183" s="177" t="inlineStr">
        <is>
          <t>汇华理财</t>
        </is>
      </c>
      <c r="V2183" s="192" t="n">
        <v>0.13</v>
      </c>
      <c r="W2183" s="175" t="n">
        <v>0.0176</v>
      </c>
      <c r="X2183" s="172" t="inlineStr">
        <is>
          <t>汇华理财</t>
        </is>
      </c>
      <c r="Y2183" s="191" t="n">
        <v>0.2</v>
      </c>
    </row>
    <row r="2184">
      <c r="A2184" s="172" t="n">
        <v>125</v>
      </c>
      <c r="B2184" s="172" t="inlineStr">
        <is>
          <t>7月</t>
        </is>
      </c>
      <c r="C2184" s="172" t="inlineStr">
        <is>
          <t>消金</t>
        </is>
      </c>
      <c r="D2184" s="172" t="inlineStr">
        <is>
          <t>汽车融资租赁</t>
        </is>
      </c>
      <c r="E2184" s="172" t="inlineStr">
        <is>
          <t>尚乘1-3</t>
        </is>
      </c>
      <c r="F2184" s="172" t="inlineStr">
        <is>
          <t>上交所</t>
        </is>
      </c>
      <c r="G2184" s="172" t="inlineStr">
        <is>
          <t>华泰资管</t>
        </is>
      </c>
      <c r="H2184" s="172" t="inlineStr">
        <is>
          <t>国信证券/兴业证券</t>
        </is>
      </c>
      <c r="I2184" s="172" t="inlineStr">
        <is>
          <t>青岛银行</t>
        </is>
      </c>
      <c r="J2184" s="172" t="n">
        <v>8</v>
      </c>
      <c r="K2184" s="172" t="inlineStr">
        <is>
          <t>0+47</t>
        </is>
      </c>
      <c r="L2184" s="208" t="n">
        <v>46234</v>
      </c>
      <c r="M2184" s="175" t="n">
        <v>0.0148</v>
      </c>
      <c r="N2184" s="176" t="n">
        <v>0.02865</v>
      </c>
      <c r="O2184" s="172" t="n">
        <v>3.25</v>
      </c>
      <c r="P2184" s="172" t="inlineStr">
        <is>
          <t>优先A1</t>
        </is>
      </c>
      <c r="Q2184" s="175" t="n">
        <v>0.2813</v>
      </c>
      <c r="R2184" s="192" t="n">
        <v>2.25</v>
      </c>
      <c r="S2184" s="172" t="inlineStr">
        <is>
          <t>AAA</t>
        </is>
      </c>
      <c r="T2184" s="175" t="n">
        <v>0.0176</v>
      </c>
      <c r="U2184" s="172" t="n"/>
      <c r="V2184" s="172" t="n"/>
      <c r="W2184" s="175" t="n">
        <v>0.0177</v>
      </c>
      <c r="X2184" s="172" t="inlineStr">
        <is>
          <t>汇华理财</t>
        </is>
      </c>
      <c r="Y2184" s="191" t="n">
        <v>0.2</v>
      </c>
    </row>
    <row r="2185">
      <c r="A2185" s="172" t="n">
        <v>125</v>
      </c>
      <c r="B2185" s="173" t="inlineStr">
        <is>
          <t>7月</t>
        </is>
      </c>
      <c r="C2185" s="173" t="inlineStr">
        <is>
          <t>消金</t>
        </is>
      </c>
      <c r="D2185" s="173" t="inlineStr">
        <is>
          <t>汽车融资租赁</t>
        </is>
      </c>
      <c r="E2185" s="173" t="inlineStr">
        <is>
          <t>尚乘1-3</t>
        </is>
      </c>
      <c r="F2185" s="173" t="inlineStr">
        <is>
          <t>上交所</t>
        </is>
      </c>
      <c r="G2185" s="173" t="inlineStr">
        <is>
          <t>华泰资管</t>
        </is>
      </c>
      <c r="H2185" s="173" t="inlineStr">
        <is>
          <t>国信证券/兴业证券</t>
        </is>
      </c>
      <c r="I2185" s="173" t="inlineStr">
        <is>
          <t>青岛银行</t>
        </is>
      </c>
      <c r="J2185" s="172" t="n">
        <v>8</v>
      </c>
      <c r="K2185" s="173" t="inlineStr">
        <is>
          <t>0+47</t>
        </is>
      </c>
      <c r="L2185" s="202" t="n">
        <v>46234</v>
      </c>
      <c r="M2185" s="175" t="n">
        <v>0.0148</v>
      </c>
      <c r="N2185" s="176" t="n">
        <v>0.02865</v>
      </c>
      <c r="O2185" s="172" t="n">
        <v>3.25</v>
      </c>
      <c r="P2185" s="172" t="inlineStr">
        <is>
          <t>优先A1</t>
        </is>
      </c>
      <c r="Q2185" s="178" t="n">
        <v>0.2813</v>
      </c>
      <c r="R2185" s="179" t="n">
        <v>2.25</v>
      </c>
      <c r="S2185" s="177" t="inlineStr">
        <is>
          <t>AAA</t>
        </is>
      </c>
      <c r="T2185" s="178" t="n">
        <v>0.0176</v>
      </c>
      <c r="U2185" s="177" t="inlineStr">
        <is>
          <t>民生理财</t>
        </is>
      </c>
      <c r="V2185" s="192" t="n">
        <v>0.67</v>
      </c>
      <c r="W2185" s="175" t="n">
        <v>0.017</v>
      </c>
      <c r="X2185" s="172" t="inlineStr">
        <is>
          <t>民生理财</t>
        </is>
      </c>
      <c r="Y2185" s="191" t="n">
        <v>0.67</v>
      </c>
    </row>
    <row r="2186">
      <c r="A2186" s="172" t="n">
        <v>125</v>
      </c>
      <c r="B2186" s="173" t="inlineStr">
        <is>
          <t>7月</t>
        </is>
      </c>
      <c r="C2186" s="173" t="inlineStr">
        <is>
          <t>消金</t>
        </is>
      </c>
      <c r="D2186" s="173" t="inlineStr">
        <is>
          <t>汽车融资租赁</t>
        </is>
      </c>
      <c r="E2186" s="173" t="inlineStr">
        <is>
          <t>尚乘1-3</t>
        </is>
      </c>
      <c r="F2186" s="173" t="inlineStr">
        <is>
          <t>上交所</t>
        </is>
      </c>
      <c r="G2186" s="173" t="inlineStr">
        <is>
          <t>华泰资管</t>
        </is>
      </c>
      <c r="H2186" s="173" t="inlineStr">
        <is>
          <t>国信证券/兴业证券</t>
        </is>
      </c>
      <c r="I2186" s="173" t="inlineStr">
        <is>
          <t>青岛银行</t>
        </is>
      </c>
      <c r="J2186" s="172" t="n">
        <v>8</v>
      </c>
      <c r="K2186" s="173" t="inlineStr">
        <is>
          <t>0+47</t>
        </is>
      </c>
      <c r="L2186" s="202" t="n">
        <v>46234</v>
      </c>
      <c r="M2186" s="175" t="n">
        <v>0.0148</v>
      </c>
      <c r="N2186" s="176" t="n">
        <v>0.02865</v>
      </c>
      <c r="O2186" s="172" t="n">
        <v>3.25</v>
      </c>
      <c r="P2186" s="172" t="inlineStr">
        <is>
          <t>优先A1</t>
        </is>
      </c>
      <c r="Q2186" s="178" t="n">
        <v>0.2813</v>
      </c>
      <c r="R2186" s="179" t="n">
        <v>2.25</v>
      </c>
      <c r="S2186" s="177" t="inlineStr">
        <is>
          <t>AAA</t>
        </is>
      </c>
      <c r="T2186" s="178" t="n">
        <v>0.0176</v>
      </c>
      <c r="U2186" s="177" t="inlineStr">
        <is>
          <t>申万宏源投顾</t>
        </is>
      </c>
      <c r="V2186" s="192" t="n">
        <v>0.3</v>
      </c>
      <c r="W2186" s="172" t="n"/>
      <c r="X2186" s="172" t="n"/>
      <c r="Y2186" s="172" t="n"/>
    </row>
    <row r="2187">
      <c r="A2187" s="172" t="n">
        <v>125</v>
      </c>
      <c r="B2187" s="173" t="inlineStr">
        <is>
          <t>7月</t>
        </is>
      </c>
      <c r="C2187" s="173" t="inlineStr">
        <is>
          <t>消金</t>
        </is>
      </c>
      <c r="D2187" s="173" t="inlineStr">
        <is>
          <t>汽车融资租赁</t>
        </is>
      </c>
      <c r="E2187" s="173" t="inlineStr">
        <is>
          <t>尚乘1-3</t>
        </is>
      </c>
      <c r="F2187" s="173" t="inlineStr">
        <is>
          <t>上交所</t>
        </is>
      </c>
      <c r="G2187" s="173" t="inlineStr">
        <is>
          <t>华泰资管</t>
        </is>
      </c>
      <c r="H2187" s="173" t="inlineStr">
        <is>
          <t>国信证券/兴业证券</t>
        </is>
      </c>
      <c r="I2187" s="173" t="inlineStr">
        <is>
          <t>青岛银行</t>
        </is>
      </c>
      <c r="J2187" s="172" t="n">
        <v>8</v>
      </c>
      <c r="K2187" s="173" t="inlineStr">
        <is>
          <t>0+47</t>
        </is>
      </c>
      <c r="L2187" s="202" t="n">
        <v>46234</v>
      </c>
      <c r="M2187" s="175" t="n">
        <v>0.0148</v>
      </c>
      <c r="N2187" s="176" t="n">
        <v>0.02865</v>
      </c>
      <c r="O2187" s="172" t="n">
        <v>3.25</v>
      </c>
      <c r="P2187" s="172" t="inlineStr">
        <is>
          <t>优先A1</t>
        </is>
      </c>
      <c r="Q2187" s="178" t="n">
        <v>0.2813</v>
      </c>
      <c r="R2187" s="179" t="n">
        <v>2.25</v>
      </c>
      <c r="S2187" s="177" t="inlineStr">
        <is>
          <t>AAA</t>
        </is>
      </c>
      <c r="T2187" s="178" t="n">
        <v>0.0176</v>
      </c>
      <c r="U2187" s="177" t="inlineStr">
        <is>
          <t>中信证券投顾</t>
        </is>
      </c>
      <c r="V2187" s="192" t="n">
        <v>0.17</v>
      </c>
      <c r="W2187" s="172" t="n"/>
      <c r="X2187" s="172" t="n"/>
      <c r="Y2187" s="172" t="n"/>
    </row>
    <row r="2188">
      <c r="A2188" s="172" t="n">
        <v>125</v>
      </c>
      <c r="B2188" s="173" t="inlineStr">
        <is>
          <t>7月</t>
        </is>
      </c>
      <c r="C2188" s="173" t="inlineStr">
        <is>
          <t>消金</t>
        </is>
      </c>
      <c r="D2188" s="173" t="inlineStr">
        <is>
          <t>汽车融资租赁</t>
        </is>
      </c>
      <c r="E2188" s="173" t="inlineStr">
        <is>
          <t>尚乘1-3</t>
        </is>
      </c>
      <c r="F2188" s="173" t="inlineStr">
        <is>
          <t>上交所</t>
        </is>
      </c>
      <c r="G2188" s="173" t="inlineStr">
        <is>
          <t>华泰资管</t>
        </is>
      </c>
      <c r="H2188" s="173" t="inlineStr">
        <is>
          <t>国信证券/兴业证券</t>
        </is>
      </c>
      <c r="I2188" s="173" t="inlineStr">
        <is>
          <t>青岛银行</t>
        </is>
      </c>
      <c r="J2188" s="172" t="n">
        <v>8</v>
      </c>
      <c r="K2188" s="173" t="inlineStr">
        <is>
          <t>0+47</t>
        </is>
      </c>
      <c r="L2188" s="202" t="n">
        <v>46234</v>
      </c>
      <c r="M2188" s="175" t="n">
        <v>0.0148</v>
      </c>
      <c r="N2188" s="176" t="n">
        <v>0.02865</v>
      </c>
      <c r="O2188" s="172" t="n">
        <v>3.25</v>
      </c>
      <c r="P2188" s="172" t="inlineStr">
        <is>
          <t>优先A1</t>
        </is>
      </c>
      <c r="Q2188" s="178" t="n">
        <v>0.2813</v>
      </c>
      <c r="R2188" s="179" t="n">
        <v>2.25</v>
      </c>
      <c r="S2188" s="177" t="inlineStr">
        <is>
          <t>AAA</t>
        </is>
      </c>
      <c r="T2188" s="178" t="n">
        <v>0.0176</v>
      </c>
      <c r="U2188" s="177" t="inlineStr">
        <is>
          <t>中信证券财富</t>
        </is>
      </c>
      <c r="V2188" s="192" t="n">
        <v>0.4</v>
      </c>
      <c r="W2188" s="175" t="n">
        <v>0.017</v>
      </c>
      <c r="X2188" s="172" t="inlineStr">
        <is>
          <t>中信证券财富</t>
        </is>
      </c>
      <c r="Y2188" s="191" t="n">
        <v>0.2</v>
      </c>
    </row>
    <row r="2189">
      <c r="A2189" s="172" t="n">
        <v>125</v>
      </c>
      <c r="B2189" s="172" t="inlineStr">
        <is>
          <t>7月</t>
        </is>
      </c>
      <c r="C2189" s="172" t="inlineStr">
        <is>
          <t>消金</t>
        </is>
      </c>
      <c r="D2189" s="172" t="inlineStr">
        <is>
          <t>汽车融资租赁</t>
        </is>
      </c>
      <c r="E2189" s="172" t="inlineStr">
        <is>
          <t>尚乘1-3</t>
        </is>
      </c>
      <c r="F2189" s="172" t="inlineStr">
        <is>
          <t>上交所</t>
        </is>
      </c>
      <c r="G2189" s="172" t="inlineStr">
        <is>
          <t>华泰资管</t>
        </is>
      </c>
      <c r="H2189" s="172" t="inlineStr">
        <is>
          <t>国信证券/兴业证券</t>
        </is>
      </c>
      <c r="I2189" s="172" t="inlineStr">
        <is>
          <t>青岛银行</t>
        </is>
      </c>
      <c r="J2189" s="172" t="n">
        <v>8</v>
      </c>
      <c r="K2189" s="172" t="inlineStr">
        <is>
          <t>0+47</t>
        </is>
      </c>
      <c r="L2189" s="208" t="n">
        <v>46234</v>
      </c>
      <c r="M2189" s="175" t="n">
        <v>0.0148</v>
      </c>
      <c r="N2189" s="176" t="n">
        <v>0.02865</v>
      </c>
      <c r="O2189" s="172" t="n">
        <v>3.25</v>
      </c>
      <c r="P2189" s="172" t="inlineStr">
        <is>
          <t>优先A1</t>
        </is>
      </c>
      <c r="Q2189" s="175" t="n">
        <v>0.2813</v>
      </c>
      <c r="R2189" s="192" t="n">
        <v>2.25</v>
      </c>
      <c r="S2189" s="172" t="inlineStr">
        <is>
          <t>AAA</t>
        </is>
      </c>
      <c r="T2189" s="175" t="n">
        <v>0.0176</v>
      </c>
      <c r="U2189" s="172" t="n"/>
      <c r="V2189" s="172" t="n"/>
      <c r="W2189" s="175" t="n">
        <v>0.017</v>
      </c>
      <c r="X2189" s="172" t="inlineStr">
        <is>
          <t>广发资管</t>
        </is>
      </c>
      <c r="Y2189" s="191" t="n">
        <v>0.2</v>
      </c>
    </row>
    <row r="2190">
      <c r="A2190" s="172" t="n">
        <v>125</v>
      </c>
      <c r="B2190" s="172" t="inlineStr">
        <is>
          <t>7月</t>
        </is>
      </c>
      <c r="C2190" s="172" t="inlineStr">
        <is>
          <t>消金</t>
        </is>
      </c>
      <c r="D2190" s="172" t="inlineStr">
        <is>
          <t>汽车融资租赁</t>
        </is>
      </c>
      <c r="E2190" s="172" t="inlineStr">
        <is>
          <t>尚乘1-3</t>
        </is>
      </c>
      <c r="F2190" s="172" t="inlineStr">
        <is>
          <t>上交所</t>
        </is>
      </c>
      <c r="G2190" s="172" t="inlineStr">
        <is>
          <t>华泰资管</t>
        </is>
      </c>
      <c r="H2190" s="172" t="inlineStr">
        <is>
          <t>国信证券/兴业证券</t>
        </is>
      </c>
      <c r="I2190" s="172" t="inlineStr">
        <is>
          <t>青岛银行</t>
        </is>
      </c>
      <c r="J2190" s="172" t="n">
        <v>8</v>
      </c>
      <c r="K2190" s="172" t="inlineStr">
        <is>
          <t>0+47</t>
        </is>
      </c>
      <c r="L2190" s="208" t="n">
        <v>46234</v>
      </c>
      <c r="M2190" s="175" t="n">
        <v>0.0148</v>
      </c>
      <c r="N2190" s="176" t="n">
        <v>0.02865</v>
      </c>
      <c r="O2190" s="172" t="n">
        <v>3.25</v>
      </c>
      <c r="P2190" s="172" t="inlineStr">
        <is>
          <t>优先A1</t>
        </is>
      </c>
      <c r="Q2190" s="175" t="n">
        <v>0.2813</v>
      </c>
      <c r="R2190" s="192" t="n">
        <v>2.25</v>
      </c>
      <c r="S2190" s="172" t="inlineStr">
        <is>
          <t>AAA</t>
        </is>
      </c>
      <c r="T2190" s="175" t="n">
        <v>0.0176</v>
      </c>
      <c r="U2190" s="172" t="n"/>
      <c r="V2190" s="172" t="n"/>
      <c r="W2190" s="175" t="n">
        <v>0.0174</v>
      </c>
      <c r="X2190" s="172" t="inlineStr">
        <is>
          <t>中信证券财富</t>
        </is>
      </c>
      <c r="Y2190" s="191" t="n">
        <v>0.2</v>
      </c>
    </row>
    <row r="2191">
      <c r="A2191" s="172" t="n">
        <v>125</v>
      </c>
      <c r="B2191" s="172" t="inlineStr">
        <is>
          <t>7月</t>
        </is>
      </c>
      <c r="C2191" s="172" t="inlineStr">
        <is>
          <t>消金</t>
        </is>
      </c>
      <c r="D2191" s="172" t="inlineStr">
        <is>
          <t>汽车融资租赁</t>
        </is>
      </c>
      <c r="E2191" s="172" t="inlineStr">
        <is>
          <t>尚乘1-3</t>
        </is>
      </c>
      <c r="F2191" s="172" t="inlineStr">
        <is>
          <t>上交所</t>
        </is>
      </c>
      <c r="G2191" s="172" t="inlineStr">
        <is>
          <t>华泰资管</t>
        </is>
      </c>
      <c r="H2191" s="172" t="inlineStr">
        <is>
          <t>国信证券/兴业证券</t>
        </is>
      </c>
      <c r="I2191" s="172" t="inlineStr">
        <is>
          <t>青岛银行</t>
        </is>
      </c>
      <c r="J2191" s="172" t="n">
        <v>8</v>
      </c>
      <c r="K2191" s="172" t="inlineStr">
        <is>
          <t>0+47</t>
        </is>
      </c>
      <c r="L2191" s="208" t="n">
        <v>46234</v>
      </c>
      <c r="M2191" s="175" t="n">
        <v>0.0148</v>
      </c>
      <c r="N2191" s="176" t="n">
        <v>0.02865</v>
      </c>
      <c r="O2191" s="172" t="n">
        <v>3.25</v>
      </c>
      <c r="P2191" s="172" t="inlineStr">
        <is>
          <t>优先A1</t>
        </is>
      </c>
      <c r="Q2191" s="175" t="n">
        <v>0.2813</v>
      </c>
      <c r="R2191" s="192" t="n">
        <v>2.25</v>
      </c>
      <c r="S2191" s="172" t="inlineStr">
        <is>
          <t>AAA</t>
        </is>
      </c>
      <c r="T2191" s="175" t="n">
        <v>0.0176</v>
      </c>
      <c r="U2191" s="172" t="n"/>
      <c r="V2191" s="172" t="n"/>
      <c r="W2191" s="175" t="n">
        <v>0.0174</v>
      </c>
      <c r="X2191" s="172" t="inlineStr">
        <is>
          <t>中信投顾2</t>
        </is>
      </c>
      <c r="Y2191" s="191" t="n">
        <v>0.17</v>
      </c>
    </row>
    <row r="2192">
      <c r="A2192" s="172" t="n">
        <v>125</v>
      </c>
      <c r="B2192" s="172" t="inlineStr">
        <is>
          <t>7月</t>
        </is>
      </c>
      <c r="C2192" s="172" t="inlineStr">
        <is>
          <t>消金</t>
        </is>
      </c>
      <c r="D2192" s="172" t="inlineStr">
        <is>
          <t>汽车融资租赁</t>
        </is>
      </c>
      <c r="E2192" s="172" t="inlineStr">
        <is>
          <t>尚乘1-3</t>
        </is>
      </c>
      <c r="F2192" s="172" t="inlineStr">
        <is>
          <t>上交所</t>
        </is>
      </c>
      <c r="G2192" s="172" t="inlineStr">
        <is>
          <t>华泰资管</t>
        </is>
      </c>
      <c r="H2192" s="172" t="inlineStr">
        <is>
          <t>国信证券/兴业证券</t>
        </is>
      </c>
      <c r="I2192" s="172" t="inlineStr">
        <is>
          <t>青岛银行</t>
        </is>
      </c>
      <c r="J2192" s="172" t="n">
        <v>8</v>
      </c>
      <c r="K2192" s="172" t="inlineStr">
        <is>
          <t>0+47</t>
        </is>
      </c>
      <c r="L2192" s="208" t="n">
        <v>46234</v>
      </c>
      <c r="M2192" s="175" t="n">
        <v>0.0148</v>
      </c>
      <c r="N2192" s="176" t="n">
        <v>0.02865</v>
      </c>
      <c r="O2192" s="172" t="n">
        <v>3.25</v>
      </c>
      <c r="P2192" s="172" t="inlineStr">
        <is>
          <t>优先A1</t>
        </is>
      </c>
      <c r="Q2192" s="175" t="n">
        <v>0.2813</v>
      </c>
      <c r="R2192" s="192" t="n">
        <v>2.25</v>
      </c>
      <c r="S2192" s="172" t="inlineStr">
        <is>
          <t>AAA</t>
        </is>
      </c>
      <c r="T2192" s="175" t="n">
        <v>0.0176</v>
      </c>
      <c r="U2192" s="172" t="n"/>
      <c r="V2192" s="172" t="n"/>
      <c r="W2192" s="175" t="n">
        <v>0.0175</v>
      </c>
      <c r="X2192" s="172" t="inlineStr">
        <is>
          <t>申万投顾</t>
        </is>
      </c>
      <c r="Y2192" s="191" t="n">
        <v>0.3</v>
      </c>
    </row>
    <row r="2193">
      <c r="A2193" s="172" t="n">
        <v>125</v>
      </c>
      <c r="B2193" s="172" t="inlineStr">
        <is>
          <t>7月</t>
        </is>
      </c>
      <c r="C2193" s="172" t="inlineStr">
        <is>
          <t>消金</t>
        </is>
      </c>
      <c r="D2193" s="172" t="inlineStr">
        <is>
          <t>汽车融资租赁</t>
        </is>
      </c>
      <c r="E2193" s="172" t="inlineStr">
        <is>
          <t>尚乘1-3</t>
        </is>
      </c>
      <c r="F2193" s="172" t="inlineStr">
        <is>
          <t>上交所</t>
        </is>
      </c>
      <c r="G2193" s="172" t="inlineStr">
        <is>
          <t>华泰资管</t>
        </is>
      </c>
      <c r="H2193" s="172" t="inlineStr">
        <is>
          <t>国信证券/兴业证券</t>
        </is>
      </c>
      <c r="I2193" s="172" t="inlineStr">
        <is>
          <t>青岛银行</t>
        </is>
      </c>
      <c r="J2193" s="172" t="n">
        <v>8</v>
      </c>
      <c r="K2193" s="172" t="inlineStr">
        <is>
          <t>0+47</t>
        </is>
      </c>
      <c r="L2193" s="208" t="n">
        <v>46234</v>
      </c>
      <c r="M2193" s="175" t="n">
        <v>0.0148</v>
      </c>
      <c r="N2193" s="176" t="n">
        <v>0.02865</v>
      </c>
      <c r="O2193" s="172" t="n">
        <v>3.25</v>
      </c>
      <c r="P2193" s="172" t="inlineStr">
        <is>
          <t>优先A1</t>
        </is>
      </c>
      <c r="Q2193" s="175" t="n">
        <v>0.2813</v>
      </c>
      <c r="R2193" s="192" t="n">
        <v>2.25</v>
      </c>
      <c r="S2193" s="172" t="inlineStr">
        <is>
          <t>AAA</t>
        </is>
      </c>
      <c r="T2193" s="175" t="n">
        <v>0.0176</v>
      </c>
      <c r="U2193" s="172" t="n"/>
      <c r="V2193" s="172" t="n"/>
      <c r="W2193" s="175" t="n">
        <v>0.0177</v>
      </c>
      <c r="X2193" s="172" t="inlineStr">
        <is>
          <t>易方达基金</t>
        </is>
      </c>
      <c r="Y2193" s="191" t="n">
        <v>0.6</v>
      </c>
    </row>
    <row r="2194">
      <c r="A2194" s="172" t="n">
        <v>125</v>
      </c>
      <c r="B2194" s="172" t="inlineStr">
        <is>
          <t>7月</t>
        </is>
      </c>
      <c r="C2194" s="172" t="inlineStr">
        <is>
          <t>消金</t>
        </is>
      </c>
      <c r="D2194" s="172" t="inlineStr">
        <is>
          <t>汽车融资租赁</t>
        </is>
      </c>
      <c r="E2194" s="172" t="inlineStr">
        <is>
          <t>尚乘1-3</t>
        </is>
      </c>
      <c r="F2194" s="172" t="inlineStr">
        <is>
          <t>上交所</t>
        </is>
      </c>
      <c r="G2194" s="172" t="inlineStr">
        <is>
          <t>华泰资管</t>
        </is>
      </c>
      <c r="H2194" s="172" t="inlineStr">
        <is>
          <t>国信证券/兴业证券</t>
        </is>
      </c>
      <c r="I2194" s="172" t="inlineStr">
        <is>
          <t>青岛银行</t>
        </is>
      </c>
      <c r="J2194" s="172" t="n">
        <v>8</v>
      </c>
      <c r="K2194" s="172" t="inlineStr">
        <is>
          <t>0+47</t>
        </is>
      </c>
      <c r="L2194" s="208" t="n">
        <v>46234</v>
      </c>
      <c r="M2194" s="175" t="n">
        <v>0.0148</v>
      </c>
      <c r="N2194" s="176" t="n">
        <v>0.02865</v>
      </c>
      <c r="O2194" s="172" t="n">
        <v>3.25</v>
      </c>
      <c r="P2194" s="172" t="inlineStr">
        <is>
          <t>优先A1</t>
        </is>
      </c>
      <c r="Q2194" s="175" t="n">
        <v>0.2813</v>
      </c>
      <c r="R2194" s="192" t="n">
        <v>2.25</v>
      </c>
      <c r="S2194" s="172" t="inlineStr">
        <is>
          <t>AAA</t>
        </is>
      </c>
      <c r="T2194" s="175" t="n">
        <v>0.0176</v>
      </c>
      <c r="U2194" s="172" t="n"/>
      <c r="V2194" s="172" t="n"/>
      <c r="W2194" s="175" t="n">
        <v>0.0177</v>
      </c>
      <c r="X2194" s="172" t="inlineStr">
        <is>
          <t>中信投顾3</t>
        </is>
      </c>
      <c r="Y2194" s="191" t="n">
        <v>0.2</v>
      </c>
    </row>
    <row r="2195">
      <c r="A2195" s="172" t="n">
        <v>125</v>
      </c>
      <c r="B2195" s="172" t="inlineStr">
        <is>
          <t>7月</t>
        </is>
      </c>
      <c r="C2195" s="172" t="inlineStr">
        <is>
          <t>消金</t>
        </is>
      </c>
      <c r="D2195" s="172" t="inlineStr">
        <is>
          <t>汽车融资租赁</t>
        </is>
      </c>
      <c r="E2195" s="172" t="inlineStr">
        <is>
          <t>尚乘1-3</t>
        </is>
      </c>
      <c r="F2195" s="172" t="inlineStr">
        <is>
          <t>上交所</t>
        </is>
      </c>
      <c r="G2195" s="172" t="inlineStr">
        <is>
          <t>华泰资管</t>
        </is>
      </c>
      <c r="H2195" s="172" t="inlineStr">
        <is>
          <t>国信证券/兴业证券</t>
        </is>
      </c>
      <c r="I2195" s="172" t="inlineStr">
        <is>
          <t>青岛银行</t>
        </is>
      </c>
      <c r="J2195" s="172" t="n">
        <v>8</v>
      </c>
      <c r="K2195" s="172" t="inlineStr">
        <is>
          <t>0+47</t>
        </is>
      </c>
      <c r="L2195" s="208" t="n">
        <v>46234</v>
      </c>
      <c r="M2195" s="175" t="n">
        <v>0.0148</v>
      </c>
      <c r="N2195" s="176" t="n">
        <v>0.02865</v>
      </c>
      <c r="O2195" s="172" t="n">
        <v>3.25</v>
      </c>
      <c r="P2195" s="172" t="inlineStr">
        <is>
          <t>优先A1</t>
        </is>
      </c>
      <c r="Q2195" s="175" t="n">
        <v>0.2813</v>
      </c>
      <c r="R2195" s="192" t="n">
        <v>2.25</v>
      </c>
      <c r="S2195" s="172" t="inlineStr">
        <is>
          <t>AAA</t>
        </is>
      </c>
      <c r="T2195" s="175" t="n">
        <v>0.0176</v>
      </c>
      <c r="U2195" s="172" t="n"/>
      <c r="V2195" s="172" t="n"/>
      <c r="W2195" s="175" t="n">
        <v>0.018</v>
      </c>
      <c r="X2195" s="172" t="inlineStr">
        <is>
          <t>财通资管</t>
        </is>
      </c>
      <c r="Y2195" s="191" t="n">
        <v>0.36</v>
      </c>
    </row>
    <row r="2196">
      <c r="A2196" s="172" t="n">
        <v>125</v>
      </c>
      <c r="B2196" s="172" t="inlineStr">
        <is>
          <t>7月</t>
        </is>
      </c>
      <c r="C2196" s="172" t="inlineStr">
        <is>
          <t>消金</t>
        </is>
      </c>
      <c r="D2196" s="172" t="inlineStr">
        <is>
          <t>汽车融资租赁</t>
        </is>
      </c>
      <c r="E2196" s="172" t="inlineStr">
        <is>
          <t>尚乘1-3</t>
        </is>
      </c>
      <c r="F2196" s="172" t="inlineStr">
        <is>
          <t>上交所</t>
        </is>
      </c>
      <c r="G2196" s="172" t="inlineStr">
        <is>
          <t>华泰资管</t>
        </is>
      </c>
      <c r="H2196" s="172" t="inlineStr">
        <is>
          <t>国信证券/兴业证券</t>
        </is>
      </c>
      <c r="I2196" s="172" t="inlineStr">
        <is>
          <t>青岛银行</t>
        </is>
      </c>
      <c r="J2196" s="172" t="n">
        <v>8</v>
      </c>
      <c r="K2196" s="172" t="inlineStr">
        <is>
          <t>0+47</t>
        </is>
      </c>
      <c r="L2196" s="208" t="n">
        <v>46234</v>
      </c>
      <c r="M2196" s="175" t="n">
        <v>0.0148</v>
      </c>
      <c r="N2196" s="176" t="n">
        <v>0.02865</v>
      </c>
      <c r="O2196" s="172" t="n">
        <v>3.25</v>
      </c>
      <c r="P2196" s="172" t="inlineStr">
        <is>
          <t>优先A1</t>
        </is>
      </c>
      <c r="Q2196" s="175" t="n">
        <v>0.2813</v>
      </c>
      <c r="R2196" s="192" t="n">
        <v>2.25</v>
      </c>
      <c r="S2196" s="172" t="inlineStr">
        <is>
          <t>AAA</t>
        </is>
      </c>
      <c r="T2196" s="175" t="n">
        <v>0.0176</v>
      </c>
      <c r="U2196" s="172" t="n"/>
      <c r="V2196" s="172" t="n"/>
      <c r="W2196" s="175" t="n">
        <v>0.018</v>
      </c>
      <c r="X2196" s="172" t="inlineStr">
        <is>
          <t>中信投顾1</t>
        </is>
      </c>
      <c r="Y2196" s="191" t="n">
        <v>0.6</v>
      </c>
    </row>
    <row r="2197">
      <c r="A2197" s="172" t="n">
        <v>125</v>
      </c>
      <c r="B2197" s="172" t="inlineStr">
        <is>
          <t>7月</t>
        </is>
      </c>
      <c r="C2197" s="172" t="inlineStr">
        <is>
          <t>消金</t>
        </is>
      </c>
      <c r="D2197" s="172" t="inlineStr">
        <is>
          <t>汽车融资租赁</t>
        </is>
      </c>
      <c r="E2197" s="172" t="inlineStr">
        <is>
          <t>尚乘1-3</t>
        </is>
      </c>
      <c r="F2197" s="172" t="inlineStr">
        <is>
          <t>上交所</t>
        </is>
      </c>
      <c r="G2197" s="172" t="inlineStr">
        <is>
          <t>华泰资管</t>
        </is>
      </c>
      <c r="H2197" s="172" t="inlineStr">
        <is>
          <t>国信证券/兴业证券</t>
        </is>
      </c>
      <c r="I2197" s="172" t="inlineStr">
        <is>
          <t>青岛银行</t>
        </is>
      </c>
      <c r="J2197" s="172" t="n">
        <v>8</v>
      </c>
      <c r="K2197" s="172" t="inlineStr">
        <is>
          <t>0+47</t>
        </is>
      </c>
      <c r="L2197" s="208" t="n">
        <v>46234</v>
      </c>
      <c r="M2197" s="175" t="n">
        <v>0.0148</v>
      </c>
      <c r="N2197" s="176" t="n">
        <v>0.02865</v>
      </c>
      <c r="O2197" s="172" t="n">
        <v>3.25</v>
      </c>
      <c r="P2197" s="172" t="inlineStr">
        <is>
          <t>优先A1</t>
        </is>
      </c>
      <c r="Q2197" s="175" t="n">
        <v>0.2813</v>
      </c>
      <c r="R2197" s="192" t="n">
        <v>2.25</v>
      </c>
      <c r="S2197" s="172" t="inlineStr">
        <is>
          <t>AAA</t>
        </is>
      </c>
      <c r="T2197" s="175" t="n">
        <v>0.0176</v>
      </c>
      <c r="U2197" s="172" t="n"/>
      <c r="V2197" s="172" t="n"/>
      <c r="W2197" s="175" t="n">
        <v>0.018</v>
      </c>
      <c r="X2197" s="172" t="inlineStr">
        <is>
          <t>中金资管</t>
        </is>
      </c>
      <c r="Y2197" s="191" t="n">
        <v>0.47</v>
      </c>
    </row>
    <row r="2198">
      <c r="A2198" s="172" t="n">
        <v>125</v>
      </c>
      <c r="B2198" s="172" t="inlineStr">
        <is>
          <t>7月</t>
        </is>
      </c>
      <c r="C2198" s="172" t="inlineStr">
        <is>
          <t>消金</t>
        </is>
      </c>
      <c r="D2198" s="172" t="inlineStr">
        <is>
          <t>汽车融资租赁</t>
        </is>
      </c>
      <c r="E2198" s="172" t="inlineStr">
        <is>
          <t>尚乘1-3</t>
        </is>
      </c>
      <c r="F2198" s="172" t="inlineStr">
        <is>
          <t>上交所</t>
        </is>
      </c>
      <c r="G2198" s="172" t="inlineStr">
        <is>
          <t>华泰资管</t>
        </is>
      </c>
      <c r="H2198" s="172" t="inlineStr">
        <is>
          <t>国信证券/兴业证券</t>
        </is>
      </c>
      <c r="I2198" s="172" t="inlineStr">
        <is>
          <t>青岛银行</t>
        </is>
      </c>
      <c r="J2198" s="172" t="n">
        <v>8</v>
      </c>
      <c r="K2198" s="172" t="inlineStr">
        <is>
          <t>0+47</t>
        </is>
      </c>
      <c r="L2198" s="208" t="n">
        <v>46234</v>
      </c>
      <c r="M2198" s="175" t="n">
        <v>0.0148</v>
      </c>
      <c r="N2198" s="176" t="n">
        <v>0.02865</v>
      </c>
      <c r="O2198" s="172" t="n">
        <v>3.25</v>
      </c>
      <c r="P2198" s="172" t="inlineStr">
        <is>
          <t>优先A1</t>
        </is>
      </c>
      <c r="Q2198" s="175" t="n">
        <v>0.2813</v>
      </c>
      <c r="R2198" s="192" t="n">
        <v>2.25</v>
      </c>
      <c r="S2198" s="172" t="inlineStr">
        <is>
          <t>AAA</t>
        </is>
      </c>
      <c r="T2198" s="175" t="n">
        <v>0.0176</v>
      </c>
      <c r="U2198" s="172" t="n"/>
      <c r="V2198" s="172" t="n"/>
      <c r="W2198" s="175" t="n">
        <v>0.0185</v>
      </c>
      <c r="X2198" s="172" t="inlineStr">
        <is>
          <t>华泰资管</t>
        </is>
      </c>
      <c r="Y2198" s="191" t="n">
        <v>0.22</v>
      </c>
    </row>
    <row r="2199">
      <c r="A2199" s="172" t="n">
        <v>125</v>
      </c>
      <c r="B2199" s="172" t="inlineStr">
        <is>
          <t>7月</t>
        </is>
      </c>
      <c r="C2199" s="172" t="inlineStr">
        <is>
          <t>消金</t>
        </is>
      </c>
      <c r="D2199" s="172" t="inlineStr">
        <is>
          <t>汽车融资租赁</t>
        </is>
      </c>
      <c r="E2199" s="172" t="inlineStr">
        <is>
          <t>尚乘1-3</t>
        </is>
      </c>
      <c r="F2199" s="172" t="inlineStr">
        <is>
          <t>上交所</t>
        </is>
      </c>
      <c r="G2199" s="172" t="inlineStr">
        <is>
          <t>华泰资管</t>
        </is>
      </c>
      <c r="H2199" s="172" t="inlineStr">
        <is>
          <t>国信证券/兴业证券</t>
        </is>
      </c>
      <c r="I2199" s="172" t="inlineStr">
        <is>
          <t>青岛银行</t>
        </is>
      </c>
      <c r="J2199" s="172" t="n">
        <v>8</v>
      </c>
      <c r="K2199" s="172" t="inlineStr">
        <is>
          <t>0+47</t>
        </is>
      </c>
      <c r="L2199" s="208" t="n">
        <v>46234</v>
      </c>
      <c r="M2199" s="175" t="n">
        <v>0.0148</v>
      </c>
      <c r="N2199" s="176" t="n">
        <v>0.02865</v>
      </c>
      <c r="O2199" s="172" t="n">
        <v>3.25</v>
      </c>
      <c r="P2199" s="172" t="inlineStr">
        <is>
          <t>优先A1</t>
        </is>
      </c>
      <c r="Q2199" s="175" t="n">
        <v>0.2813</v>
      </c>
      <c r="R2199" s="192" t="n">
        <v>2.25</v>
      </c>
      <c r="S2199" s="172" t="inlineStr">
        <is>
          <t>AAA</t>
        </is>
      </c>
      <c r="T2199" s="175" t="n">
        <v>0.0176</v>
      </c>
      <c r="U2199" s="172" t="n"/>
      <c r="V2199" s="172" t="n"/>
      <c r="W2199" s="175" t="n">
        <v>0.0195</v>
      </c>
      <c r="X2199" s="172" t="inlineStr">
        <is>
          <t>首创证券</t>
        </is>
      </c>
      <c r="Y2199" s="191" t="n">
        <v>0.2</v>
      </c>
    </row>
    <row r="2200">
      <c r="A2200" s="172" t="n">
        <v>125</v>
      </c>
      <c r="B2200" s="172" t="inlineStr">
        <is>
          <t>7月</t>
        </is>
      </c>
      <c r="C2200" s="172" t="inlineStr">
        <is>
          <t>消金</t>
        </is>
      </c>
      <c r="D2200" s="172" t="inlineStr">
        <is>
          <t>汽车融资租赁</t>
        </is>
      </c>
      <c r="E2200" s="172" t="inlineStr">
        <is>
          <t>尚乘1-3</t>
        </is>
      </c>
      <c r="F2200" s="172" t="inlineStr">
        <is>
          <t>上交所</t>
        </is>
      </c>
      <c r="G2200" s="172" t="inlineStr">
        <is>
          <t>华泰资管</t>
        </is>
      </c>
      <c r="H2200" s="172" t="inlineStr">
        <is>
          <t>国信证券/兴业证券</t>
        </is>
      </c>
      <c r="I2200" s="172" t="inlineStr">
        <is>
          <t>青岛银行</t>
        </is>
      </c>
      <c r="J2200" s="172" t="n">
        <v>8</v>
      </c>
      <c r="K2200" s="172" t="inlineStr">
        <is>
          <t>0+47</t>
        </is>
      </c>
      <c r="L2200" s="208" t="n">
        <v>46234</v>
      </c>
      <c r="M2200" s="175" t="n">
        <v>0.0148</v>
      </c>
      <c r="N2200" s="176" t="n">
        <v>0.02865</v>
      </c>
      <c r="O2200" s="172" t="n">
        <v>3.25</v>
      </c>
      <c r="P2200" s="172" t="inlineStr">
        <is>
          <t>优先A1</t>
        </is>
      </c>
      <c r="Q2200" s="175" t="n">
        <v>0.2813</v>
      </c>
      <c r="R2200" s="192" t="n">
        <v>2.25</v>
      </c>
      <c r="S2200" s="172" t="inlineStr">
        <is>
          <t>AAA</t>
        </is>
      </c>
      <c r="T2200" s="175" t="n">
        <v>0.0176</v>
      </c>
      <c r="U2200" s="172" t="n"/>
      <c r="V2200" s="172" t="n"/>
      <c r="W2200" s="175" t="n">
        <v>0.025</v>
      </c>
      <c r="X2200" s="172" t="inlineStr">
        <is>
          <t>华宝资管</t>
        </is>
      </c>
      <c r="Y2200" s="191" t="n">
        <v>0.5</v>
      </c>
    </row>
    <row r="2201">
      <c r="A2201" s="172" t="n">
        <v>125</v>
      </c>
      <c r="B2201" s="172" t="inlineStr">
        <is>
          <t>7月</t>
        </is>
      </c>
      <c r="C2201" s="172" t="inlineStr">
        <is>
          <t>消金</t>
        </is>
      </c>
      <c r="D2201" s="172" t="inlineStr">
        <is>
          <t>汽车融资租赁</t>
        </is>
      </c>
      <c r="E2201" s="172" t="inlineStr">
        <is>
          <t>尚乘1-3</t>
        </is>
      </c>
      <c r="F2201" s="172" t="inlineStr">
        <is>
          <t>上交所</t>
        </is>
      </c>
      <c r="G2201" s="172" t="inlineStr">
        <is>
          <t>华泰资管</t>
        </is>
      </c>
      <c r="H2201" s="172" t="inlineStr">
        <is>
          <t>国信证券/兴业证券</t>
        </is>
      </c>
      <c r="I2201" s="172" t="inlineStr">
        <is>
          <t>青岛银行</t>
        </is>
      </c>
      <c r="J2201" s="172" t="n">
        <v>8</v>
      </c>
      <c r="K2201" s="172" t="inlineStr">
        <is>
          <t>0+47</t>
        </is>
      </c>
      <c r="L2201" s="208" t="n">
        <v>46234</v>
      </c>
      <c r="M2201" s="175" t="n">
        <v>0.0148</v>
      </c>
      <c r="N2201" s="176" t="n">
        <v>0.02865</v>
      </c>
      <c r="O2201" s="172" t="n">
        <v>3.25</v>
      </c>
      <c r="P2201" s="172" t="inlineStr">
        <is>
          <t>优先A1</t>
        </is>
      </c>
      <c r="Q2201" s="175" t="n">
        <v>0.2813</v>
      </c>
      <c r="R2201" s="192" t="n">
        <v>2.25</v>
      </c>
      <c r="S2201" s="172" t="inlineStr">
        <is>
          <t>AAA</t>
        </is>
      </c>
      <c r="T2201" s="175" t="n">
        <v>0.0176</v>
      </c>
      <c r="U2201" s="172" t="n"/>
      <c r="V2201" s="172" t="n"/>
      <c r="W2201" s="175" t="n">
        <v>0.0265</v>
      </c>
      <c r="X2201" s="172" t="inlineStr">
        <is>
          <t>华福证券</t>
        </is>
      </c>
      <c r="Y2201" s="191" t="n">
        <v>0.3</v>
      </c>
    </row>
    <row r="2202">
      <c r="A2202" s="172" t="n">
        <v>125</v>
      </c>
      <c r="B2202" s="172" t="inlineStr">
        <is>
          <t>7月</t>
        </is>
      </c>
      <c r="C2202" s="172" t="inlineStr">
        <is>
          <t>消金</t>
        </is>
      </c>
      <c r="D2202" s="172" t="inlineStr">
        <is>
          <t>汽车融资租赁</t>
        </is>
      </c>
      <c r="E2202" s="172" t="inlineStr">
        <is>
          <t>尚乘1-3</t>
        </is>
      </c>
      <c r="F2202" s="172" t="inlineStr">
        <is>
          <t>上交所</t>
        </is>
      </c>
      <c r="G2202" s="172" t="inlineStr">
        <is>
          <t>华泰资管</t>
        </is>
      </c>
      <c r="H2202" s="172" t="inlineStr">
        <is>
          <t>国信证券/兴业证券</t>
        </is>
      </c>
      <c r="I2202" s="172" t="inlineStr">
        <is>
          <t>青岛银行</t>
        </is>
      </c>
      <c r="J2202" s="172" t="n">
        <v>8</v>
      </c>
      <c r="K2202" s="172" t="inlineStr">
        <is>
          <t>0+47</t>
        </is>
      </c>
      <c r="L2202" s="208" t="n">
        <v>46234</v>
      </c>
      <c r="M2202" s="175" t="n">
        <v>0.0148</v>
      </c>
      <c r="N2202" s="176" t="n">
        <v>0.02865</v>
      </c>
      <c r="O2202" s="172" t="n">
        <v>3.25</v>
      </c>
      <c r="P2202" s="172" t="inlineStr">
        <is>
          <t>优先A1</t>
        </is>
      </c>
      <c r="Q2202" s="175" t="n">
        <v>0.2813</v>
      </c>
      <c r="R2202" s="192" t="n">
        <v>2.25</v>
      </c>
      <c r="S2202" s="172" t="inlineStr">
        <is>
          <t>AAA</t>
        </is>
      </c>
      <c r="T2202" s="175" t="n">
        <v>0.0176</v>
      </c>
      <c r="U2202" s="172" t="n"/>
      <c r="V2202" s="172" t="n"/>
      <c r="W2202" s="175" t="n">
        <v>0.027</v>
      </c>
      <c r="X2202" s="172" t="inlineStr">
        <is>
          <t>国信证券</t>
        </is>
      </c>
      <c r="Y2202" s="191" t="n">
        <v>0.3</v>
      </c>
    </row>
    <row r="2203">
      <c r="A2203" s="172" t="n">
        <v>125</v>
      </c>
      <c r="B2203" s="172" t="inlineStr">
        <is>
          <t>7月</t>
        </is>
      </c>
      <c r="C2203" s="172" t="inlineStr">
        <is>
          <t>消金</t>
        </is>
      </c>
      <c r="D2203" s="172" t="inlineStr">
        <is>
          <t>汽车融资租赁</t>
        </is>
      </c>
      <c r="E2203" s="172" t="inlineStr">
        <is>
          <t>尚乘1-3</t>
        </is>
      </c>
      <c r="F2203" s="172" t="inlineStr">
        <is>
          <t>上交所</t>
        </is>
      </c>
      <c r="G2203" s="172" t="inlineStr">
        <is>
          <t>华泰资管</t>
        </is>
      </c>
      <c r="H2203" s="172" t="inlineStr">
        <is>
          <t>国信证券/兴业证券</t>
        </is>
      </c>
      <c r="I2203" s="172" t="inlineStr">
        <is>
          <t>青岛银行</t>
        </is>
      </c>
      <c r="J2203" s="172" t="n">
        <v>8</v>
      </c>
      <c r="K2203" s="172" t="inlineStr">
        <is>
          <t>0+47</t>
        </is>
      </c>
      <c r="L2203" s="208" t="n">
        <v>46234</v>
      </c>
      <c r="M2203" s="175" t="n">
        <v>0.0148</v>
      </c>
      <c r="N2203" s="176" t="n">
        <v>0.02865</v>
      </c>
      <c r="O2203" s="172" t="n">
        <v>3.25</v>
      </c>
      <c r="P2203" s="172" t="inlineStr">
        <is>
          <t>优先A1</t>
        </is>
      </c>
      <c r="Q2203" s="175" t="n">
        <v>0.2813</v>
      </c>
      <c r="R2203" s="192" t="n">
        <v>2.25</v>
      </c>
      <c r="S2203" s="172" t="inlineStr">
        <is>
          <t>AAA</t>
        </is>
      </c>
      <c r="T2203" s="175" t="n">
        <v>0.0176</v>
      </c>
      <c r="U2203" s="172" t="n"/>
      <c r="V2203" s="172" t="n"/>
      <c r="W2203" s="175" t="n">
        <v>0.027</v>
      </c>
      <c r="X2203" s="172" t="inlineStr">
        <is>
          <t>利曦基金</t>
        </is>
      </c>
      <c r="Y2203" s="191" t="n">
        <v>1</v>
      </c>
    </row>
    <row r="2204">
      <c r="A2204" s="172" t="n">
        <v>125</v>
      </c>
      <c r="B2204" s="173" t="inlineStr">
        <is>
          <t>7月</t>
        </is>
      </c>
      <c r="C2204" s="173" t="inlineStr">
        <is>
          <t>消金</t>
        </is>
      </c>
      <c r="D2204" s="173" t="inlineStr">
        <is>
          <t>汽车融资租赁</t>
        </is>
      </c>
      <c r="E2204" s="173" t="inlineStr">
        <is>
          <t>尚乘1-3</t>
        </is>
      </c>
      <c r="F2204" s="173" t="inlineStr">
        <is>
          <t>上交所</t>
        </is>
      </c>
      <c r="G2204" s="173" t="inlineStr">
        <is>
          <t>华泰资管</t>
        </is>
      </c>
      <c r="H2204" s="173" t="inlineStr">
        <is>
          <t>国信证券/兴业证券</t>
        </is>
      </c>
      <c r="I2204" s="173" t="inlineStr">
        <is>
          <t>青岛银行</t>
        </is>
      </c>
      <c r="J2204" s="172" t="n">
        <v>8</v>
      </c>
      <c r="K2204" s="173" t="inlineStr">
        <is>
          <t>0+47</t>
        </is>
      </c>
      <c r="L2204" s="202" t="n">
        <v>46234</v>
      </c>
      <c r="M2204" s="175" t="n">
        <v>0.0148</v>
      </c>
      <c r="N2204" s="176" t="n">
        <v>0.02865</v>
      </c>
      <c r="O2204" s="172" t="n">
        <v>3.25</v>
      </c>
      <c r="P2204" s="177" t="inlineStr">
        <is>
          <t>优先A2</t>
        </is>
      </c>
      <c r="Q2204" s="178" t="n">
        <v>0.4625</v>
      </c>
      <c r="R2204" s="179" t="n">
        <v>3.7</v>
      </c>
      <c r="S2204" s="177" t="inlineStr">
        <is>
          <t>AAA</t>
        </is>
      </c>
      <c r="T2204" s="178" t="n">
        <v>0.0198</v>
      </c>
      <c r="U2204" s="177" t="inlineStr">
        <is>
          <t>厦门汇正</t>
        </is>
      </c>
      <c r="V2204" s="192" t="n">
        <v>0.19</v>
      </c>
      <c r="W2204" s="175" t="n">
        <v>0.019</v>
      </c>
      <c r="X2204" s="172" t="inlineStr">
        <is>
          <t>厦门汇正</t>
        </is>
      </c>
      <c r="Y2204" s="191" t="n">
        <v>0.19</v>
      </c>
    </row>
    <row r="2205">
      <c r="A2205" s="172" t="n">
        <v>125</v>
      </c>
      <c r="B2205" s="173" t="inlineStr">
        <is>
          <t>7月</t>
        </is>
      </c>
      <c r="C2205" s="173" t="inlineStr">
        <is>
          <t>消金</t>
        </is>
      </c>
      <c r="D2205" s="173" t="inlineStr">
        <is>
          <t>汽车融资租赁</t>
        </is>
      </c>
      <c r="E2205" s="173" t="inlineStr">
        <is>
          <t>尚乘1-3</t>
        </is>
      </c>
      <c r="F2205" s="173" t="inlineStr">
        <is>
          <t>上交所</t>
        </is>
      </c>
      <c r="G2205" s="173" t="inlineStr">
        <is>
          <t>华泰资管</t>
        </is>
      </c>
      <c r="H2205" s="173" t="inlineStr">
        <is>
          <t>国信证券/兴业证券</t>
        </is>
      </c>
      <c r="I2205" s="173" t="inlineStr">
        <is>
          <t>青岛银行</t>
        </is>
      </c>
      <c r="J2205" s="172" t="n">
        <v>8</v>
      </c>
      <c r="K2205" s="173" t="inlineStr">
        <is>
          <t>0+47</t>
        </is>
      </c>
      <c r="L2205" s="202" t="n">
        <v>46234</v>
      </c>
      <c r="M2205" s="175" t="n">
        <v>0.0148</v>
      </c>
      <c r="N2205" s="176" t="n">
        <v>0.02865</v>
      </c>
      <c r="O2205" s="172" t="n">
        <v>3.25</v>
      </c>
      <c r="P2205" s="172" t="inlineStr">
        <is>
          <t>优先A2</t>
        </is>
      </c>
      <c r="Q2205" s="178" t="n">
        <v>0.4625</v>
      </c>
      <c r="R2205" s="179" t="n">
        <v>3.7</v>
      </c>
      <c r="S2205" s="177" t="inlineStr">
        <is>
          <t>AAA</t>
        </is>
      </c>
      <c r="T2205" s="178" t="n">
        <v>0.0198</v>
      </c>
      <c r="U2205" s="177" t="inlineStr">
        <is>
          <t>青岛银行</t>
        </is>
      </c>
      <c r="V2205" s="192" t="n">
        <v>0.26</v>
      </c>
      <c r="W2205" s="175" t="n">
        <v>0.019</v>
      </c>
      <c r="X2205" s="172" t="inlineStr">
        <is>
          <t>青岛银行</t>
        </is>
      </c>
      <c r="Y2205" s="191" t="n">
        <v>0.26</v>
      </c>
    </row>
    <row r="2206">
      <c r="A2206" s="172" t="n">
        <v>125</v>
      </c>
      <c r="B2206" s="173" t="inlineStr">
        <is>
          <t>7月</t>
        </is>
      </c>
      <c r="C2206" s="173" t="inlineStr">
        <is>
          <t>消金</t>
        </is>
      </c>
      <c r="D2206" s="173" t="inlineStr">
        <is>
          <t>汽车融资租赁</t>
        </is>
      </c>
      <c r="E2206" s="173" t="inlineStr">
        <is>
          <t>尚乘1-3</t>
        </is>
      </c>
      <c r="F2206" s="173" t="inlineStr">
        <is>
          <t>上交所</t>
        </is>
      </c>
      <c r="G2206" s="173" t="inlineStr">
        <is>
          <t>华泰资管</t>
        </is>
      </c>
      <c r="H2206" s="173" t="inlineStr">
        <is>
          <t>国信证券/兴业证券</t>
        </is>
      </c>
      <c r="I2206" s="173" t="inlineStr">
        <is>
          <t>青岛银行</t>
        </is>
      </c>
      <c r="J2206" s="172" t="n">
        <v>8</v>
      </c>
      <c r="K2206" s="173" t="inlineStr">
        <is>
          <t>0+47</t>
        </is>
      </c>
      <c r="L2206" s="202" t="n">
        <v>46234</v>
      </c>
      <c r="M2206" s="175" t="n">
        <v>0.0148</v>
      </c>
      <c r="N2206" s="176" t="n">
        <v>0.02865</v>
      </c>
      <c r="O2206" s="172" t="n">
        <v>3.25</v>
      </c>
      <c r="P2206" s="172" t="inlineStr">
        <is>
          <t>优先A2</t>
        </is>
      </c>
      <c r="Q2206" s="178" t="n">
        <v>0.4625</v>
      </c>
      <c r="R2206" s="179" t="n">
        <v>3.7</v>
      </c>
      <c r="S2206" s="177" t="inlineStr">
        <is>
          <t>AAA</t>
        </is>
      </c>
      <c r="T2206" s="178" t="n">
        <v>0.0198</v>
      </c>
      <c r="U2206" s="177" t="inlineStr">
        <is>
          <t>广发资管</t>
        </is>
      </c>
      <c r="V2206" s="192" t="n">
        <v>0.45</v>
      </c>
      <c r="W2206" s="175" t="n">
        <v>0.019</v>
      </c>
      <c r="X2206" s="172" t="inlineStr">
        <is>
          <t>广发资管</t>
        </is>
      </c>
      <c r="Y2206" s="191" t="n">
        <v>0.45</v>
      </c>
    </row>
    <row r="2207">
      <c r="A2207" s="172" t="n">
        <v>125</v>
      </c>
      <c r="B2207" s="173" t="inlineStr">
        <is>
          <t>7月</t>
        </is>
      </c>
      <c r="C2207" s="173" t="inlineStr">
        <is>
          <t>消金</t>
        </is>
      </c>
      <c r="D2207" s="173" t="inlineStr">
        <is>
          <t>汽车融资租赁</t>
        </is>
      </c>
      <c r="E2207" s="173" t="inlineStr">
        <is>
          <t>尚乘1-3</t>
        </is>
      </c>
      <c r="F2207" s="173" t="inlineStr">
        <is>
          <t>上交所</t>
        </is>
      </c>
      <c r="G2207" s="173" t="inlineStr">
        <is>
          <t>华泰资管</t>
        </is>
      </c>
      <c r="H2207" s="173" t="inlineStr">
        <is>
          <t>国信证券/兴业证券</t>
        </is>
      </c>
      <c r="I2207" s="173" t="inlineStr">
        <is>
          <t>青岛银行</t>
        </is>
      </c>
      <c r="J2207" s="172" t="n">
        <v>8</v>
      </c>
      <c r="K2207" s="173" t="inlineStr">
        <is>
          <t>0+47</t>
        </is>
      </c>
      <c r="L2207" s="202" t="n">
        <v>46234</v>
      </c>
      <c r="M2207" s="175" t="n">
        <v>0.0148</v>
      </c>
      <c r="N2207" s="176" t="n">
        <v>0.02865</v>
      </c>
      <c r="O2207" s="172" t="n">
        <v>3.25</v>
      </c>
      <c r="P2207" s="172" t="inlineStr">
        <is>
          <t>优先A2</t>
        </is>
      </c>
      <c r="Q2207" s="178" t="n">
        <v>0.4625</v>
      </c>
      <c r="R2207" s="179" t="n">
        <v>3.7</v>
      </c>
      <c r="S2207" s="177" t="inlineStr">
        <is>
          <t>AAA</t>
        </is>
      </c>
      <c r="T2207" s="178" t="n">
        <v>0.0198</v>
      </c>
      <c r="U2207" s="177" t="inlineStr">
        <is>
          <t>易方达基金</t>
        </is>
      </c>
      <c r="V2207" s="192" t="n">
        <v>0.9</v>
      </c>
      <c r="W2207" s="175" t="n">
        <v>0.0198</v>
      </c>
      <c r="X2207" s="172" t="inlineStr">
        <is>
          <t>易方达基金</t>
        </is>
      </c>
      <c r="Y2207" s="191" t="n">
        <v>0.9</v>
      </c>
    </row>
    <row r="2208">
      <c r="A2208" s="172" t="n">
        <v>125</v>
      </c>
      <c r="B2208" s="173" t="inlineStr">
        <is>
          <t>7月</t>
        </is>
      </c>
      <c r="C2208" s="173" t="inlineStr">
        <is>
          <t>消金</t>
        </is>
      </c>
      <c r="D2208" s="173" t="inlineStr">
        <is>
          <t>汽车融资租赁</t>
        </is>
      </c>
      <c r="E2208" s="173" t="inlineStr">
        <is>
          <t>尚乘1-3</t>
        </is>
      </c>
      <c r="F2208" s="173" t="inlineStr">
        <is>
          <t>上交所</t>
        </is>
      </c>
      <c r="G2208" s="173" t="inlineStr">
        <is>
          <t>华泰资管</t>
        </is>
      </c>
      <c r="H2208" s="173" t="inlineStr">
        <is>
          <t>国信证券/兴业证券</t>
        </is>
      </c>
      <c r="I2208" s="173" t="inlineStr">
        <is>
          <t>青岛银行</t>
        </is>
      </c>
      <c r="J2208" s="172" t="n">
        <v>8</v>
      </c>
      <c r="K2208" s="173" t="inlineStr">
        <is>
          <t>0+47</t>
        </is>
      </c>
      <c r="L2208" s="202" t="n">
        <v>46234</v>
      </c>
      <c r="M2208" s="175" t="n">
        <v>0.0148</v>
      </c>
      <c r="N2208" s="176" t="n">
        <v>0.02865</v>
      </c>
      <c r="O2208" s="172" t="n">
        <v>3.25</v>
      </c>
      <c r="P2208" s="172" t="inlineStr">
        <is>
          <t>优先A2</t>
        </is>
      </c>
      <c r="Q2208" s="178" t="n">
        <v>0.4625</v>
      </c>
      <c r="R2208" s="179" t="n">
        <v>3.7</v>
      </c>
      <c r="S2208" s="177" t="inlineStr">
        <is>
          <t>AAA</t>
        </is>
      </c>
      <c r="T2208" s="178" t="n">
        <v>0.0198</v>
      </c>
      <c r="U2208" s="177" t="inlineStr">
        <is>
          <t>朗姿韩亚</t>
        </is>
      </c>
      <c r="V2208" s="192" t="n">
        <v>0.35</v>
      </c>
      <c r="W2208" s="175" t="n">
        <v>0.0198</v>
      </c>
      <c r="X2208" s="172" t="inlineStr">
        <is>
          <t>朗姿韩亚</t>
        </is>
      </c>
      <c r="Y2208" s="191" t="n">
        <v>0.36</v>
      </c>
    </row>
    <row r="2209">
      <c r="A2209" s="172" t="n">
        <v>125</v>
      </c>
      <c r="B2209" s="173" t="inlineStr">
        <is>
          <t>7月</t>
        </is>
      </c>
      <c r="C2209" s="173" t="inlineStr">
        <is>
          <t>消金</t>
        </is>
      </c>
      <c r="D2209" s="173" t="inlineStr">
        <is>
          <t>汽车融资租赁</t>
        </is>
      </c>
      <c r="E2209" s="173" t="inlineStr">
        <is>
          <t>尚乘1-3</t>
        </is>
      </c>
      <c r="F2209" s="173" t="inlineStr">
        <is>
          <t>上交所</t>
        </is>
      </c>
      <c r="G2209" s="173" t="inlineStr">
        <is>
          <t>华泰资管</t>
        </is>
      </c>
      <c r="H2209" s="173" t="inlineStr">
        <is>
          <t>国信证券/兴业证券</t>
        </is>
      </c>
      <c r="I2209" s="173" t="inlineStr">
        <is>
          <t>青岛银行</t>
        </is>
      </c>
      <c r="J2209" s="172" t="n">
        <v>8</v>
      </c>
      <c r="K2209" s="173" t="inlineStr">
        <is>
          <t>0+47</t>
        </is>
      </c>
      <c r="L2209" s="202" t="n">
        <v>46234</v>
      </c>
      <c r="M2209" s="175" t="n">
        <v>0.0148</v>
      </c>
      <c r="N2209" s="176" t="n">
        <v>0.02865</v>
      </c>
      <c r="O2209" s="172" t="n">
        <v>3.25</v>
      </c>
      <c r="P2209" s="172" t="inlineStr">
        <is>
          <t>优先A2</t>
        </is>
      </c>
      <c r="Q2209" s="178" t="n">
        <v>0.4625</v>
      </c>
      <c r="R2209" s="179" t="n">
        <v>3.7</v>
      </c>
      <c r="S2209" s="177" t="inlineStr">
        <is>
          <t>AAA</t>
        </is>
      </c>
      <c r="T2209" s="178" t="n">
        <v>0.0198</v>
      </c>
      <c r="U2209" s="177" t="inlineStr">
        <is>
          <t>中建投信托</t>
        </is>
      </c>
      <c r="V2209" s="192" t="n">
        <v>0.15</v>
      </c>
      <c r="W2209" s="175" t="n">
        <v>0.0195</v>
      </c>
      <c r="X2209" s="172" t="inlineStr">
        <is>
          <t>中建投信托</t>
        </is>
      </c>
      <c r="Y2209" s="191" t="n">
        <v>0.15</v>
      </c>
    </row>
    <row r="2210">
      <c r="A2210" s="172" t="n">
        <v>125</v>
      </c>
      <c r="B2210" s="173" t="inlineStr">
        <is>
          <t>7月</t>
        </is>
      </c>
      <c r="C2210" s="173" t="inlineStr">
        <is>
          <t>消金</t>
        </is>
      </c>
      <c r="D2210" s="173" t="inlineStr">
        <is>
          <t>汽车融资租赁</t>
        </is>
      </c>
      <c r="E2210" s="173" t="inlineStr">
        <is>
          <t>尚乘1-3</t>
        </is>
      </c>
      <c r="F2210" s="173" t="inlineStr">
        <is>
          <t>上交所</t>
        </is>
      </c>
      <c r="G2210" s="173" t="inlineStr">
        <is>
          <t>华泰资管</t>
        </is>
      </c>
      <c r="H2210" s="173" t="inlineStr">
        <is>
          <t>国信证券/兴业证券</t>
        </is>
      </c>
      <c r="I2210" s="173" t="inlineStr">
        <is>
          <t>青岛银行</t>
        </is>
      </c>
      <c r="J2210" s="172" t="n">
        <v>8</v>
      </c>
      <c r="K2210" s="173" t="inlineStr">
        <is>
          <t>0+47</t>
        </is>
      </c>
      <c r="L2210" s="202" t="n">
        <v>46234</v>
      </c>
      <c r="M2210" s="175" t="n">
        <v>0.0148</v>
      </c>
      <c r="N2210" s="176" t="n">
        <v>0.02865</v>
      </c>
      <c r="O2210" s="172" t="n">
        <v>3.25</v>
      </c>
      <c r="P2210" s="172" t="inlineStr">
        <is>
          <t>优先A2</t>
        </is>
      </c>
      <c r="Q2210" s="178" t="n">
        <v>0.4625</v>
      </c>
      <c r="R2210" s="179" t="n">
        <v>3.7</v>
      </c>
      <c r="S2210" s="177" t="inlineStr">
        <is>
          <t>AAA</t>
        </is>
      </c>
      <c r="T2210" s="178" t="n">
        <v>0.0198</v>
      </c>
      <c r="U2210" s="177" t="inlineStr">
        <is>
          <t>利曦基金</t>
        </is>
      </c>
      <c r="V2210" s="192" t="n">
        <v>0.1</v>
      </c>
      <c r="W2210" s="175" t="n">
        <v>0.019</v>
      </c>
      <c r="X2210" s="172" t="inlineStr">
        <is>
          <t>利曦基金</t>
        </is>
      </c>
      <c r="Y2210" s="191" t="n">
        <v>0.1</v>
      </c>
    </row>
    <row r="2211">
      <c r="A2211" s="172" t="n">
        <v>125</v>
      </c>
      <c r="B2211" s="172" t="inlineStr">
        <is>
          <t>7月</t>
        </is>
      </c>
      <c r="C2211" s="172" t="inlineStr">
        <is>
          <t>消金</t>
        </is>
      </c>
      <c r="D2211" s="172" t="inlineStr">
        <is>
          <t>汽车融资租赁</t>
        </is>
      </c>
      <c r="E2211" s="172" t="inlineStr">
        <is>
          <t>尚乘1-3</t>
        </is>
      </c>
      <c r="F2211" s="172" t="inlineStr">
        <is>
          <t>上交所</t>
        </is>
      </c>
      <c r="G2211" s="172" t="inlineStr">
        <is>
          <t>华泰资管</t>
        </is>
      </c>
      <c r="H2211" s="172" t="inlineStr">
        <is>
          <t>国信证券/兴业证券</t>
        </is>
      </c>
      <c r="I2211" s="172" t="inlineStr">
        <is>
          <t>青岛银行</t>
        </is>
      </c>
      <c r="J2211" s="172" t="n">
        <v>8</v>
      </c>
      <c r="K2211" s="172" t="inlineStr">
        <is>
          <t>0+47</t>
        </is>
      </c>
      <c r="L2211" s="208" t="n">
        <v>46234</v>
      </c>
      <c r="M2211" s="175" t="n">
        <v>0.0148</v>
      </c>
      <c r="N2211" s="176" t="n">
        <v>0.02865</v>
      </c>
      <c r="O2211" s="172" t="n">
        <v>3.25</v>
      </c>
      <c r="P2211" s="172" t="inlineStr">
        <is>
          <t>优先A2</t>
        </is>
      </c>
      <c r="Q2211" s="175" t="n">
        <v>0.4625</v>
      </c>
      <c r="R2211" s="192" t="n">
        <v>3.7</v>
      </c>
      <c r="S2211" s="172" t="inlineStr">
        <is>
          <t>AAA</t>
        </is>
      </c>
      <c r="T2211" s="175" t="n">
        <v>0.0198</v>
      </c>
      <c r="U2211" s="172" t="n"/>
      <c r="V2211" s="172" t="n"/>
      <c r="W2211" s="175" t="n">
        <v>0.029</v>
      </c>
      <c r="X2211" s="172" t="inlineStr">
        <is>
          <t>利曦基金</t>
        </is>
      </c>
      <c r="Y2211" s="191" t="n">
        <v>0.6</v>
      </c>
    </row>
    <row r="2212">
      <c r="A2212" s="172" t="n">
        <v>125</v>
      </c>
      <c r="B2212" s="173" t="inlineStr">
        <is>
          <t>7月</t>
        </is>
      </c>
      <c r="C2212" s="173" t="inlineStr">
        <is>
          <t>消金</t>
        </is>
      </c>
      <c r="D2212" s="173" t="inlineStr">
        <is>
          <t>汽车融资租赁</t>
        </is>
      </c>
      <c r="E2212" s="173" t="inlineStr">
        <is>
          <t>尚乘1-3</t>
        </is>
      </c>
      <c r="F2212" s="173" t="inlineStr">
        <is>
          <t>上交所</t>
        </is>
      </c>
      <c r="G2212" s="173" t="inlineStr">
        <is>
          <t>华泰资管</t>
        </is>
      </c>
      <c r="H2212" s="173" t="inlineStr">
        <is>
          <t>国信证券/兴业证券</t>
        </is>
      </c>
      <c r="I2212" s="173" t="inlineStr">
        <is>
          <t>青岛银行</t>
        </is>
      </c>
      <c r="J2212" s="172" t="n">
        <v>8</v>
      </c>
      <c r="K2212" s="173" t="inlineStr">
        <is>
          <t>0+47</t>
        </is>
      </c>
      <c r="L2212" s="202" t="n">
        <v>46234</v>
      </c>
      <c r="M2212" s="175" t="n">
        <v>0.0148</v>
      </c>
      <c r="N2212" s="176" t="n">
        <v>0.02865</v>
      </c>
      <c r="O2212" s="172" t="n">
        <v>3.25</v>
      </c>
      <c r="P2212" s="172" t="inlineStr">
        <is>
          <t>优先A2</t>
        </is>
      </c>
      <c r="Q2212" s="178" t="n">
        <v>0.4625</v>
      </c>
      <c r="R2212" s="179" t="n">
        <v>3.7</v>
      </c>
      <c r="S2212" s="177" t="inlineStr">
        <is>
          <t>AAA</t>
        </is>
      </c>
      <c r="T2212" s="178" t="n">
        <v>0.0198</v>
      </c>
      <c r="U2212" s="177" t="inlineStr">
        <is>
          <t>申万投顾</t>
        </is>
      </c>
      <c r="V2212" s="192" t="n">
        <v>0.6</v>
      </c>
      <c r="W2212" s="175" t="n">
        <v>0.0195</v>
      </c>
      <c r="X2212" s="172" t="inlineStr">
        <is>
          <t>申万投顾</t>
        </is>
      </c>
      <c r="Y2212" s="191" t="n">
        <v>0.6</v>
      </c>
    </row>
    <row r="2213">
      <c r="A2213" s="172" t="n">
        <v>125</v>
      </c>
      <c r="B2213" s="173" t="inlineStr">
        <is>
          <t>7月</t>
        </is>
      </c>
      <c r="C2213" s="173" t="inlineStr">
        <is>
          <t>消金</t>
        </is>
      </c>
      <c r="D2213" s="173" t="inlineStr">
        <is>
          <t>汽车融资租赁</t>
        </is>
      </c>
      <c r="E2213" s="173" t="inlineStr">
        <is>
          <t>尚乘1-3</t>
        </is>
      </c>
      <c r="F2213" s="173" t="inlineStr">
        <is>
          <t>上交所</t>
        </is>
      </c>
      <c r="G2213" s="173" t="inlineStr">
        <is>
          <t>华泰资管</t>
        </is>
      </c>
      <c r="H2213" s="173" t="inlineStr">
        <is>
          <t>国信证券/兴业证券</t>
        </is>
      </c>
      <c r="I2213" s="173" t="inlineStr">
        <is>
          <t>青岛银行</t>
        </is>
      </c>
      <c r="J2213" s="172" t="n">
        <v>8</v>
      </c>
      <c r="K2213" s="173" t="inlineStr">
        <is>
          <t>0+47</t>
        </is>
      </c>
      <c r="L2213" s="202" t="n">
        <v>46234</v>
      </c>
      <c r="M2213" s="175" t="n">
        <v>0.0148</v>
      </c>
      <c r="N2213" s="176" t="n">
        <v>0.02865</v>
      </c>
      <c r="O2213" s="172" t="n">
        <v>3.25</v>
      </c>
      <c r="P2213" s="172" t="inlineStr">
        <is>
          <t>优先A2</t>
        </is>
      </c>
      <c r="Q2213" s="178" t="n">
        <v>0.4625</v>
      </c>
      <c r="R2213" s="179" t="n">
        <v>3.7</v>
      </c>
      <c r="S2213" s="177" t="inlineStr">
        <is>
          <t>AAA</t>
        </is>
      </c>
      <c r="T2213" s="178" t="n">
        <v>0.0198</v>
      </c>
      <c r="U2213" s="177" t="inlineStr">
        <is>
          <t>中金财富自营</t>
        </is>
      </c>
      <c r="V2213" s="192" t="n">
        <v>0.2</v>
      </c>
      <c r="W2213" s="175" t="n">
        <v>0.0194</v>
      </c>
      <c r="X2213" s="172" t="inlineStr">
        <is>
          <t>中金财富</t>
        </is>
      </c>
      <c r="Y2213" s="191" t="n">
        <v>0.2</v>
      </c>
    </row>
    <row r="2214">
      <c r="A2214" s="172" t="n">
        <v>125</v>
      </c>
      <c r="B2214" s="173" t="inlineStr">
        <is>
          <t>7月</t>
        </is>
      </c>
      <c r="C2214" s="173" t="inlineStr">
        <is>
          <t>消金</t>
        </is>
      </c>
      <c r="D2214" s="173" t="inlineStr">
        <is>
          <t>汽车融资租赁</t>
        </is>
      </c>
      <c r="E2214" s="173" t="inlineStr">
        <is>
          <t>尚乘1-3</t>
        </is>
      </c>
      <c r="F2214" s="173" t="inlineStr">
        <is>
          <t>上交所</t>
        </is>
      </c>
      <c r="G2214" s="173" t="inlineStr">
        <is>
          <t>华泰资管</t>
        </is>
      </c>
      <c r="H2214" s="173" t="inlineStr">
        <is>
          <t>国信证券/兴业证券</t>
        </is>
      </c>
      <c r="I2214" s="173" t="inlineStr">
        <is>
          <t>青岛银行</t>
        </is>
      </c>
      <c r="J2214" s="172" t="n">
        <v>8</v>
      </c>
      <c r="K2214" s="173" t="inlineStr">
        <is>
          <t>0+47</t>
        </is>
      </c>
      <c r="L2214" s="202" t="n">
        <v>46234</v>
      </c>
      <c r="M2214" s="175" t="n">
        <v>0.0148</v>
      </c>
      <c r="N2214" s="176" t="n">
        <v>0.02865</v>
      </c>
      <c r="O2214" s="172" t="n">
        <v>3.25</v>
      </c>
      <c r="P2214" s="172" t="inlineStr">
        <is>
          <t>优先A2</t>
        </is>
      </c>
      <c r="Q2214" s="178" t="n">
        <v>0.4625</v>
      </c>
      <c r="R2214" s="179" t="n">
        <v>3.7</v>
      </c>
      <c r="S2214" s="177" t="inlineStr">
        <is>
          <t>AAA</t>
        </is>
      </c>
      <c r="T2214" s="178" t="n">
        <v>0.0198</v>
      </c>
      <c r="U2214" s="177" t="inlineStr">
        <is>
          <t>中金投顾</t>
        </is>
      </c>
      <c r="V2214" s="192" t="n">
        <v>0.5</v>
      </c>
      <c r="W2214" s="175" t="n">
        <v>0.0195</v>
      </c>
      <c r="X2214" s="172" t="inlineStr">
        <is>
          <t>中金投顾</t>
        </is>
      </c>
      <c r="Y2214" s="191" t="n">
        <v>0.5</v>
      </c>
    </row>
    <row r="2215">
      <c r="A2215" s="172" t="n">
        <v>125</v>
      </c>
      <c r="B2215" s="172" t="inlineStr">
        <is>
          <t>7月</t>
        </is>
      </c>
      <c r="C2215" s="172" t="inlineStr">
        <is>
          <t>消金</t>
        </is>
      </c>
      <c r="D2215" s="172" t="inlineStr">
        <is>
          <t>汽车融资租赁</t>
        </is>
      </c>
      <c r="E2215" s="172" t="inlineStr">
        <is>
          <t>尚乘1-3</t>
        </is>
      </c>
      <c r="F2215" s="172" t="inlineStr">
        <is>
          <t>上交所</t>
        </is>
      </c>
      <c r="G2215" s="172" t="inlineStr">
        <is>
          <t>华泰资管</t>
        </is>
      </c>
      <c r="H2215" s="172" t="inlineStr">
        <is>
          <t>国信证券/兴业证券</t>
        </is>
      </c>
      <c r="I2215" s="172" t="inlineStr">
        <is>
          <t>青岛银行</t>
        </is>
      </c>
      <c r="J2215" s="172" t="n">
        <v>8</v>
      </c>
      <c r="K2215" s="172" t="inlineStr">
        <is>
          <t>0+47</t>
        </is>
      </c>
      <c r="L2215" s="208" t="n">
        <v>46234</v>
      </c>
      <c r="M2215" s="175" t="n">
        <v>0.0148</v>
      </c>
      <c r="N2215" s="176" t="n">
        <v>0.02865</v>
      </c>
      <c r="O2215" s="172" t="n">
        <v>3.25</v>
      </c>
      <c r="P2215" s="172" t="inlineStr">
        <is>
          <t>优先A2</t>
        </is>
      </c>
      <c r="Q2215" s="175" t="n">
        <v>0.4625</v>
      </c>
      <c r="R2215" s="192" t="n">
        <v>3.7</v>
      </c>
      <c r="S2215" s="172" t="inlineStr">
        <is>
          <t>AAA</t>
        </is>
      </c>
      <c r="T2215" s="175" t="n">
        <v>0.0198</v>
      </c>
      <c r="U2215" s="172" t="n"/>
      <c r="V2215" s="172" t="n"/>
      <c r="W2215" s="175" t="n">
        <v>0.02</v>
      </c>
      <c r="X2215" s="172" t="inlineStr">
        <is>
          <t>财通资管</t>
        </is>
      </c>
      <c r="Y2215" s="191" t="n">
        <v>0.91</v>
      </c>
    </row>
    <row r="2216">
      <c r="A2216" s="172" t="n">
        <v>125</v>
      </c>
      <c r="B2216" s="172" t="inlineStr">
        <is>
          <t>7月</t>
        </is>
      </c>
      <c r="C2216" s="172" t="inlineStr">
        <is>
          <t>消金</t>
        </is>
      </c>
      <c r="D2216" s="172" t="inlineStr">
        <is>
          <t>汽车融资租赁</t>
        </is>
      </c>
      <c r="E2216" s="172" t="inlineStr">
        <is>
          <t>尚乘1-3</t>
        </is>
      </c>
      <c r="F2216" s="172" t="inlineStr">
        <is>
          <t>上交所</t>
        </is>
      </c>
      <c r="G2216" s="172" t="inlineStr">
        <is>
          <t>华泰资管</t>
        </is>
      </c>
      <c r="H2216" s="172" t="inlineStr">
        <is>
          <t>国信证券/兴业证券</t>
        </is>
      </c>
      <c r="I2216" s="172" t="inlineStr">
        <is>
          <t>青岛银行</t>
        </is>
      </c>
      <c r="J2216" s="172" t="n">
        <v>8</v>
      </c>
      <c r="K2216" s="172" t="inlineStr">
        <is>
          <t>0+47</t>
        </is>
      </c>
      <c r="L2216" s="208" t="n">
        <v>46234</v>
      </c>
      <c r="M2216" s="175" t="n">
        <v>0.0148</v>
      </c>
      <c r="N2216" s="176" t="n">
        <v>0.02865</v>
      </c>
      <c r="O2216" s="172" t="n">
        <v>3.25</v>
      </c>
      <c r="P2216" s="172" t="inlineStr">
        <is>
          <t>优先A2</t>
        </is>
      </c>
      <c r="Q2216" s="175" t="n">
        <v>0.4625</v>
      </c>
      <c r="R2216" s="192" t="n">
        <v>3.7</v>
      </c>
      <c r="S2216" s="172" t="inlineStr">
        <is>
          <t>AAA</t>
        </is>
      </c>
      <c r="T2216" s="175" t="n">
        <v>0.0198</v>
      </c>
      <c r="U2216" s="172" t="n"/>
      <c r="V2216" s="172" t="n"/>
      <c r="W2216" s="175" t="n">
        <v>0.02</v>
      </c>
      <c r="X2216" s="172" t="inlineStr">
        <is>
          <t>国信证券</t>
        </is>
      </c>
      <c r="Y2216" s="191" t="n">
        <v>0.5</v>
      </c>
    </row>
    <row r="2217">
      <c r="A2217" s="172" t="n">
        <v>125</v>
      </c>
      <c r="B2217" s="172" t="inlineStr">
        <is>
          <t>7月</t>
        </is>
      </c>
      <c r="C2217" s="172" t="inlineStr">
        <is>
          <t>消金</t>
        </is>
      </c>
      <c r="D2217" s="172" t="inlineStr">
        <is>
          <t>汽车融资租赁</t>
        </is>
      </c>
      <c r="E2217" s="172" t="inlineStr">
        <is>
          <t>尚乘1-3</t>
        </is>
      </c>
      <c r="F2217" s="172" t="inlineStr">
        <is>
          <t>上交所</t>
        </is>
      </c>
      <c r="G2217" s="172" t="inlineStr">
        <is>
          <t>华泰资管</t>
        </is>
      </c>
      <c r="H2217" s="172" t="inlineStr">
        <is>
          <t>国信证券/兴业证券</t>
        </is>
      </c>
      <c r="I2217" s="172" t="inlineStr">
        <is>
          <t>青岛银行</t>
        </is>
      </c>
      <c r="J2217" s="172" t="n">
        <v>8</v>
      </c>
      <c r="K2217" s="172" t="inlineStr">
        <is>
          <t>0+47</t>
        </is>
      </c>
      <c r="L2217" s="208" t="n">
        <v>46234</v>
      </c>
      <c r="M2217" s="175" t="n">
        <v>0.0148</v>
      </c>
      <c r="N2217" s="176" t="n">
        <v>0.02865</v>
      </c>
      <c r="O2217" s="172" t="n">
        <v>3.25</v>
      </c>
      <c r="P2217" s="172" t="inlineStr">
        <is>
          <t>优先A2</t>
        </is>
      </c>
      <c r="Q2217" s="175" t="n">
        <v>0.4625</v>
      </c>
      <c r="R2217" s="192" t="n">
        <v>3.7</v>
      </c>
      <c r="S2217" s="172" t="inlineStr">
        <is>
          <t>AAA</t>
        </is>
      </c>
      <c r="T2217" s="175" t="n">
        <v>0.0198</v>
      </c>
      <c r="U2217" s="172" t="n"/>
      <c r="V2217" s="172" t="n"/>
      <c r="W2217" s="175" t="n">
        <v>0.02</v>
      </c>
      <c r="X2217" s="172" t="inlineStr">
        <is>
          <t>华福证券</t>
        </is>
      </c>
      <c r="Y2217" s="191" t="n">
        <v>0.5</v>
      </c>
    </row>
    <row r="2218">
      <c r="A2218" s="172" t="n">
        <v>125</v>
      </c>
      <c r="B2218" s="172" t="inlineStr">
        <is>
          <t>7月</t>
        </is>
      </c>
      <c r="C2218" s="172" t="inlineStr">
        <is>
          <t>消金</t>
        </is>
      </c>
      <c r="D2218" s="172" t="inlineStr">
        <is>
          <t>汽车融资租赁</t>
        </is>
      </c>
      <c r="E2218" s="172" t="inlineStr">
        <is>
          <t>尚乘1-3</t>
        </is>
      </c>
      <c r="F2218" s="172" t="inlineStr">
        <is>
          <t>上交所</t>
        </is>
      </c>
      <c r="G2218" s="172" t="inlineStr">
        <is>
          <t>华泰资管</t>
        </is>
      </c>
      <c r="H2218" s="172" t="inlineStr">
        <is>
          <t>国信证券/兴业证券</t>
        </is>
      </c>
      <c r="I2218" s="172" t="inlineStr">
        <is>
          <t>青岛银行</t>
        </is>
      </c>
      <c r="J2218" s="172" t="n">
        <v>8</v>
      </c>
      <c r="K2218" s="172" t="inlineStr">
        <is>
          <t>0+47</t>
        </is>
      </c>
      <c r="L2218" s="208" t="n">
        <v>46234</v>
      </c>
      <c r="M2218" s="175" t="n">
        <v>0.0148</v>
      </c>
      <c r="N2218" s="176" t="n">
        <v>0.02865</v>
      </c>
      <c r="O2218" s="172" t="n">
        <v>3.25</v>
      </c>
      <c r="P2218" s="172" t="inlineStr">
        <is>
          <t>优先A2</t>
        </is>
      </c>
      <c r="Q2218" s="175" t="n">
        <v>0.4625</v>
      </c>
      <c r="R2218" s="192" t="n">
        <v>3.7</v>
      </c>
      <c r="S2218" s="172" t="inlineStr">
        <is>
          <t>AAA</t>
        </is>
      </c>
      <c r="T2218" s="175" t="n">
        <v>0.0198</v>
      </c>
      <c r="U2218" s="172" t="n"/>
      <c r="V2218" s="172" t="n"/>
      <c r="W2218" s="175" t="n">
        <v>0.02</v>
      </c>
      <c r="X2218" s="172" t="inlineStr">
        <is>
          <t>兴业证券</t>
        </is>
      </c>
      <c r="Y2218" s="191" t="n">
        <v>0.8</v>
      </c>
    </row>
    <row r="2219">
      <c r="A2219" s="172" t="n">
        <v>125</v>
      </c>
      <c r="B2219" s="172" t="inlineStr">
        <is>
          <t>7月</t>
        </is>
      </c>
      <c r="C2219" s="172" t="inlineStr">
        <is>
          <t>消金</t>
        </is>
      </c>
      <c r="D2219" s="172" t="inlineStr">
        <is>
          <t>汽车融资租赁</t>
        </is>
      </c>
      <c r="E2219" s="172" t="inlineStr">
        <is>
          <t>尚乘1-3</t>
        </is>
      </c>
      <c r="F2219" s="172" t="inlineStr">
        <is>
          <t>上交所</t>
        </is>
      </c>
      <c r="G2219" s="172" t="inlineStr">
        <is>
          <t>华泰资管</t>
        </is>
      </c>
      <c r="H2219" s="172" t="inlineStr">
        <is>
          <t>国信证券/兴业证券</t>
        </is>
      </c>
      <c r="I2219" s="172" t="inlineStr">
        <is>
          <t>青岛银行</t>
        </is>
      </c>
      <c r="J2219" s="172" t="n">
        <v>8</v>
      </c>
      <c r="K2219" s="172" t="inlineStr">
        <is>
          <t>0+47</t>
        </is>
      </c>
      <c r="L2219" s="208" t="n">
        <v>46234</v>
      </c>
      <c r="M2219" s="175" t="n">
        <v>0.0148</v>
      </c>
      <c r="N2219" s="176" t="n">
        <v>0.02865</v>
      </c>
      <c r="O2219" s="172" t="n">
        <v>3.25</v>
      </c>
      <c r="P2219" s="172" t="inlineStr">
        <is>
          <t>优先A2</t>
        </is>
      </c>
      <c r="Q2219" s="175" t="n">
        <v>0.4625</v>
      </c>
      <c r="R2219" s="192" t="n">
        <v>3.7</v>
      </c>
      <c r="S2219" s="172" t="inlineStr">
        <is>
          <t>AAA</t>
        </is>
      </c>
      <c r="T2219" s="175" t="n">
        <v>0.0198</v>
      </c>
      <c r="U2219" s="172" t="n"/>
      <c r="V2219" s="172" t="n"/>
      <c r="W2219" s="175" t="n">
        <v>0.02</v>
      </c>
      <c r="X2219" s="172" t="inlineStr">
        <is>
          <t>中金资管</t>
        </is>
      </c>
      <c r="Y2219" s="191" t="n">
        <v>0.76</v>
      </c>
    </row>
    <row r="2220">
      <c r="A2220" s="172" t="n">
        <v>125</v>
      </c>
      <c r="B2220" s="172" t="inlineStr">
        <is>
          <t>7月</t>
        </is>
      </c>
      <c r="C2220" s="172" t="inlineStr">
        <is>
          <t>消金</t>
        </is>
      </c>
      <c r="D2220" s="172" t="inlineStr">
        <is>
          <t>汽车融资租赁</t>
        </is>
      </c>
      <c r="E2220" s="172" t="inlineStr">
        <is>
          <t>尚乘1-3</t>
        </is>
      </c>
      <c r="F2220" s="172" t="inlineStr">
        <is>
          <t>上交所</t>
        </is>
      </c>
      <c r="G2220" s="172" t="inlineStr">
        <is>
          <t>华泰资管</t>
        </is>
      </c>
      <c r="H2220" s="172" t="inlineStr">
        <is>
          <t>国信证券/兴业证券</t>
        </is>
      </c>
      <c r="I2220" s="172" t="inlineStr">
        <is>
          <t>青岛银行</t>
        </is>
      </c>
      <c r="J2220" s="172" t="n">
        <v>8</v>
      </c>
      <c r="K2220" s="172" t="inlineStr">
        <is>
          <t>0+47</t>
        </is>
      </c>
      <c r="L2220" s="208" t="n">
        <v>46234</v>
      </c>
      <c r="M2220" s="175" t="n">
        <v>0.0148</v>
      </c>
      <c r="N2220" s="176" t="n">
        <v>0.02865</v>
      </c>
      <c r="O2220" s="172" t="n">
        <v>3.25</v>
      </c>
      <c r="P2220" s="172" t="inlineStr">
        <is>
          <t>优先A2</t>
        </is>
      </c>
      <c r="Q2220" s="175" t="n">
        <v>0.4625</v>
      </c>
      <c r="R2220" s="192" t="n">
        <v>3.7</v>
      </c>
      <c r="S2220" s="172" t="inlineStr">
        <is>
          <t>AAA</t>
        </is>
      </c>
      <c r="T2220" s="175" t="n">
        <v>0.0198</v>
      </c>
      <c r="U2220" s="172" t="n"/>
      <c r="V2220" s="172" t="n"/>
      <c r="W2220" s="175" t="n">
        <v>0.021</v>
      </c>
      <c r="X2220" s="172" t="inlineStr">
        <is>
          <t>首创证券</t>
        </is>
      </c>
      <c r="Y2220" s="191" t="n">
        <v>0.3</v>
      </c>
    </row>
    <row r="2221">
      <c r="A2221" s="172" t="n">
        <v>125</v>
      </c>
      <c r="B2221" s="173" t="inlineStr">
        <is>
          <t>7月</t>
        </is>
      </c>
      <c r="C2221" s="173" t="inlineStr">
        <is>
          <t>消金</t>
        </is>
      </c>
      <c r="D2221" s="173" t="inlineStr">
        <is>
          <t>汽车融资租赁</t>
        </is>
      </c>
      <c r="E2221" s="173" t="inlineStr">
        <is>
          <t>尚乘1-3</t>
        </is>
      </c>
      <c r="F2221" s="173" t="inlineStr">
        <is>
          <t>上交所</t>
        </is>
      </c>
      <c r="G2221" s="173" t="inlineStr">
        <is>
          <t>华泰资管</t>
        </is>
      </c>
      <c r="H2221" s="173" t="inlineStr">
        <is>
          <t>国信证券/兴业证券</t>
        </is>
      </c>
      <c r="I2221" s="173" t="inlineStr">
        <is>
          <t>青岛银行</t>
        </is>
      </c>
      <c r="J2221" s="172" t="n">
        <v>8</v>
      </c>
      <c r="K2221" s="173" t="inlineStr">
        <is>
          <t>0+47</t>
        </is>
      </c>
      <c r="L2221" s="202" t="n">
        <v>46234</v>
      </c>
      <c r="M2221" s="175" t="n">
        <v>0.0148</v>
      </c>
      <c r="N2221" s="176" t="n">
        <v>0.02865</v>
      </c>
      <c r="O2221" s="172" t="n">
        <v>3.25</v>
      </c>
      <c r="P2221" s="177" t="inlineStr">
        <is>
          <t>优先B</t>
        </is>
      </c>
      <c r="Q2221" s="178" t="n">
        <v>0.1188</v>
      </c>
      <c r="R2221" s="179" t="n">
        <v>0.95</v>
      </c>
      <c r="S2221" s="177" t="inlineStr">
        <is>
          <t>AA+</t>
        </is>
      </c>
      <c r="T2221" s="178" t="n">
        <v>0.031</v>
      </c>
      <c r="U2221" s="172" t="inlineStr">
        <is>
          <t>朗资韩亚</t>
        </is>
      </c>
      <c r="V2221" s="192" t="n">
        <v>0.5</v>
      </c>
      <c r="W2221" s="172" t="n"/>
      <c r="X2221" s="172" t="n"/>
      <c r="Y2221" s="172" t="n"/>
    </row>
    <row r="2222">
      <c r="A2222" s="172" t="n">
        <v>125</v>
      </c>
      <c r="B2222" s="173" t="inlineStr">
        <is>
          <t>7月</t>
        </is>
      </c>
      <c r="C2222" s="173" t="inlineStr">
        <is>
          <t>消金</t>
        </is>
      </c>
      <c r="D2222" s="173" t="inlineStr">
        <is>
          <t>汽车融资租赁</t>
        </is>
      </c>
      <c r="E2222" s="173" t="inlineStr">
        <is>
          <t>尚乘1-3</t>
        </is>
      </c>
      <c r="F2222" s="173" t="inlineStr">
        <is>
          <t>上交所</t>
        </is>
      </c>
      <c r="G2222" s="173" t="inlineStr">
        <is>
          <t>华泰资管</t>
        </is>
      </c>
      <c r="H2222" s="173" t="inlineStr">
        <is>
          <t>国信证券/兴业证券</t>
        </is>
      </c>
      <c r="I2222" s="173" t="inlineStr">
        <is>
          <t>青岛银行</t>
        </is>
      </c>
      <c r="J2222" s="172" t="n">
        <v>8</v>
      </c>
      <c r="K2222" s="173" t="inlineStr">
        <is>
          <t>0+47</t>
        </is>
      </c>
      <c r="L2222" s="202" t="n">
        <v>46234</v>
      </c>
      <c r="M2222" s="175" t="n">
        <v>0.0148</v>
      </c>
      <c r="N2222" s="176" t="n">
        <v>0.02865</v>
      </c>
      <c r="O2222" s="172" t="n">
        <v>3.25</v>
      </c>
      <c r="P2222" s="172" t="inlineStr">
        <is>
          <t>优先B</t>
        </is>
      </c>
      <c r="Q2222" s="178" t="n">
        <v>0.1188</v>
      </c>
      <c r="R2222" s="179" t="n">
        <v>0.95</v>
      </c>
      <c r="S2222" s="177" t="inlineStr">
        <is>
          <t>AA+</t>
        </is>
      </c>
      <c r="T2222" s="178" t="n">
        <v>0.031</v>
      </c>
      <c r="U2222" s="172" t="inlineStr">
        <is>
          <t>中金投顾</t>
        </is>
      </c>
      <c r="V2222" s="192" t="n">
        <v>0.3</v>
      </c>
      <c r="W2222" s="172" t="n"/>
      <c r="X2222" s="172" t="n"/>
      <c r="Y2222" s="172" t="n"/>
    </row>
    <row r="2223">
      <c r="A2223" s="172" t="n">
        <v>125</v>
      </c>
      <c r="B2223" s="173" t="inlineStr">
        <is>
          <t>7月</t>
        </is>
      </c>
      <c r="C2223" s="173" t="inlineStr">
        <is>
          <t>消金</t>
        </is>
      </c>
      <c r="D2223" s="173" t="inlineStr">
        <is>
          <t>汽车融资租赁</t>
        </is>
      </c>
      <c r="E2223" s="173" t="inlineStr">
        <is>
          <t>尚乘1-3</t>
        </is>
      </c>
      <c r="F2223" s="173" t="inlineStr">
        <is>
          <t>上交所</t>
        </is>
      </c>
      <c r="G2223" s="173" t="inlineStr">
        <is>
          <t>华泰资管</t>
        </is>
      </c>
      <c r="H2223" s="173" t="inlineStr">
        <is>
          <t>国信证券/兴业证券</t>
        </is>
      </c>
      <c r="I2223" s="173" t="inlineStr">
        <is>
          <t>青岛银行</t>
        </is>
      </c>
      <c r="J2223" s="172" t="n">
        <v>8</v>
      </c>
      <c r="K2223" s="173" t="inlineStr">
        <is>
          <t>0+47</t>
        </is>
      </c>
      <c r="L2223" s="202" t="n">
        <v>46234</v>
      </c>
      <c r="M2223" s="175" t="n">
        <v>0.0148</v>
      </c>
      <c r="N2223" s="176" t="n">
        <v>0.02865</v>
      </c>
      <c r="O2223" s="172" t="n">
        <v>3.25</v>
      </c>
      <c r="P2223" s="172" t="inlineStr">
        <is>
          <t>优先B</t>
        </is>
      </c>
      <c r="Q2223" s="178" t="n">
        <v>0.1188</v>
      </c>
      <c r="R2223" s="179" t="n">
        <v>0.95</v>
      </c>
      <c r="S2223" s="177" t="inlineStr">
        <is>
          <t>AA+</t>
        </is>
      </c>
      <c r="T2223" s="178" t="n">
        <v>0.031</v>
      </c>
      <c r="U2223" s="172" t="inlineStr">
        <is>
          <t>广发资管</t>
        </is>
      </c>
      <c r="V2223" s="192" t="n">
        <v>0.1</v>
      </c>
      <c r="W2223" s="172" t="n"/>
      <c r="X2223" s="172" t="n"/>
      <c r="Y2223" s="172" t="n"/>
    </row>
    <row r="2224">
      <c r="A2224" s="172" t="n">
        <v>125</v>
      </c>
      <c r="B2224" s="173" t="inlineStr">
        <is>
          <t>7月</t>
        </is>
      </c>
      <c r="C2224" s="173" t="inlineStr">
        <is>
          <t>消金</t>
        </is>
      </c>
      <c r="D2224" s="173" t="inlineStr">
        <is>
          <t>汽车融资租赁</t>
        </is>
      </c>
      <c r="E2224" s="173" t="inlineStr">
        <is>
          <t>尚乘1-3</t>
        </is>
      </c>
      <c r="F2224" s="173" t="inlineStr">
        <is>
          <t>上交所</t>
        </is>
      </c>
      <c r="G2224" s="173" t="inlineStr">
        <is>
          <t>华泰资管</t>
        </is>
      </c>
      <c r="H2224" s="173" t="inlineStr">
        <is>
          <t>国信证券/兴业证券</t>
        </is>
      </c>
      <c r="I2224" s="173" t="inlineStr">
        <is>
          <t>青岛银行</t>
        </is>
      </c>
      <c r="J2224" s="172" t="n">
        <v>8</v>
      </c>
      <c r="K2224" s="173" t="inlineStr">
        <is>
          <t>0+47</t>
        </is>
      </c>
      <c r="L2224" s="202" t="n">
        <v>46234</v>
      </c>
      <c r="M2224" s="175" t="n">
        <v>0.0148</v>
      </c>
      <c r="N2224" s="176" t="n">
        <v>0.02865</v>
      </c>
      <c r="O2224" s="172" t="n">
        <v>3.25</v>
      </c>
      <c r="P2224" s="172" t="inlineStr">
        <is>
          <t>优先B</t>
        </is>
      </c>
      <c r="Q2224" s="178" t="n">
        <v>0.1188</v>
      </c>
      <c r="R2224" s="179" t="n">
        <v>0.95</v>
      </c>
      <c r="S2224" s="177" t="inlineStr">
        <is>
          <t>AA+</t>
        </is>
      </c>
      <c r="T2224" s="178" t="n">
        <v>0.031</v>
      </c>
      <c r="U2224" s="177" t="inlineStr">
        <is>
          <t>厦门汇正</t>
        </is>
      </c>
      <c r="V2224" s="192" t="n">
        <v>0.05</v>
      </c>
      <c r="W2224" s="172" t="n"/>
      <c r="X2224" s="172" t="n"/>
      <c r="Y2224" s="172" t="n"/>
    </row>
    <row r="2225">
      <c r="A2225" s="172" t="n">
        <v>125</v>
      </c>
      <c r="B2225" s="173" t="inlineStr">
        <is>
          <t>7月</t>
        </is>
      </c>
      <c r="C2225" s="173" t="inlineStr">
        <is>
          <t>消金</t>
        </is>
      </c>
      <c r="D2225" s="173" t="inlineStr">
        <is>
          <t>汽车融资租赁</t>
        </is>
      </c>
      <c r="E2225" s="173" t="inlineStr">
        <is>
          <t>尚乘1-3</t>
        </is>
      </c>
      <c r="F2225" s="173" t="inlineStr">
        <is>
          <t>上交所</t>
        </is>
      </c>
      <c r="G2225" s="173" t="inlineStr">
        <is>
          <t>华泰资管</t>
        </is>
      </c>
      <c r="H2225" s="173" t="inlineStr">
        <is>
          <t>国信证券/兴业证券</t>
        </is>
      </c>
      <c r="I2225" s="173" t="inlineStr">
        <is>
          <t>青岛银行</t>
        </is>
      </c>
      <c r="J2225" s="172" t="n">
        <v>8</v>
      </c>
      <c r="K2225" s="173" t="inlineStr">
        <is>
          <t>0+47</t>
        </is>
      </c>
      <c r="L2225" s="202" t="n">
        <v>46234</v>
      </c>
      <c r="M2225" s="175" t="n">
        <v>0.0148</v>
      </c>
      <c r="N2225" s="176" t="n">
        <v>0.02865</v>
      </c>
      <c r="O2225" s="172" t="n">
        <v>3.25</v>
      </c>
      <c r="P2225" s="177" t="inlineStr">
        <is>
          <t>次级</t>
        </is>
      </c>
      <c r="Q2225" s="178" t="n">
        <v>0.1375</v>
      </c>
      <c r="R2225" s="179" t="n">
        <v>1.1</v>
      </c>
      <c r="S2225" s="177" t="inlineStr">
        <is>
          <t>无</t>
        </is>
      </c>
      <c r="T2225" s="178" t="n">
        <v>0.052</v>
      </c>
      <c r="U2225" s="172" t="inlineStr">
        <is>
          <t>东家铂睿</t>
        </is>
      </c>
      <c r="V2225" s="192" t="n">
        <v>0.27</v>
      </c>
      <c r="W2225" s="172" t="n"/>
      <c r="X2225" s="172" t="n"/>
      <c r="Y2225" s="172" t="n"/>
    </row>
    <row r="2226">
      <c r="A2226" s="172" t="n">
        <v>125</v>
      </c>
      <c r="B2226" s="173" t="inlineStr">
        <is>
          <t>7月</t>
        </is>
      </c>
      <c r="C2226" s="173" t="inlineStr">
        <is>
          <t>消金</t>
        </is>
      </c>
      <c r="D2226" s="173" t="inlineStr">
        <is>
          <t>汽车融资租赁</t>
        </is>
      </c>
      <c r="E2226" s="173" t="inlineStr">
        <is>
          <t>尚乘1-3</t>
        </is>
      </c>
      <c r="F2226" s="173" t="inlineStr">
        <is>
          <t>上交所</t>
        </is>
      </c>
      <c r="G2226" s="173" t="inlineStr">
        <is>
          <t>华泰资管</t>
        </is>
      </c>
      <c r="H2226" s="173" t="inlineStr">
        <is>
          <t>国信证券/兴业证券</t>
        </is>
      </c>
      <c r="I2226" s="173" t="inlineStr">
        <is>
          <t>青岛银行</t>
        </is>
      </c>
      <c r="J2226" s="172" t="n">
        <v>8</v>
      </c>
      <c r="K2226" s="173" t="inlineStr">
        <is>
          <t>0+47</t>
        </is>
      </c>
      <c r="L2226" s="202" t="n">
        <v>46234</v>
      </c>
      <c r="M2226" s="175" t="n">
        <v>0.0148</v>
      </c>
      <c r="N2226" s="176" t="n">
        <v>0.02865</v>
      </c>
      <c r="O2226" s="172" t="n">
        <v>3.25</v>
      </c>
      <c r="P2226" s="172" t="inlineStr">
        <is>
          <t>次级</t>
        </is>
      </c>
      <c r="Q2226" s="178" t="n">
        <v>0.1375</v>
      </c>
      <c r="R2226" s="179" t="n">
        <v>1.1</v>
      </c>
      <c r="S2226" s="177" t="inlineStr">
        <is>
          <t>无</t>
        </is>
      </c>
      <c r="T2226" s="178" t="n">
        <v>0.052</v>
      </c>
      <c r="U2226" s="172" t="inlineStr">
        <is>
          <t>朗资韩亚</t>
        </is>
      </c>
      <c r="V2226" s="192" t="n">
        <v>0.57</v>
      </c>
      <c r="W2226" s="172" t="n"/>
      <c r="X2226" s="172" t="n"/>
      <c r="Y2226" s="172" t="n"/>
    </row>
    <row r="2227">
      <c r="A2227" s="172" t="n">
        <v>125</v>
      </c>
      <c r="B2227" s="173" t="inlineStr">
        <is>
          <t>7月</t>
        </is>
      </c>
      <c r="C2227" s="173" t="inlineStr">
        <is>
          <t>消金</t>
        </is>
      </c>
      <c r="D2227" s="173" t="inlineStr">
        <is>
          <t>汽车融资租赁</t>
        </is>
      </c>
      <c r="E2227" s="173" t="inlineStr">
        <is>
          <t>尚乘1-3</t>
        </is>
      </c>
      <c r="F2227" s="173" t="inlineStr">
        <is>
          <t>上交所</t>
        </is>
      </c>
      <c r="G2227" s="173" t="inlineStr">
        <is>
          <t>华泰资管</t>
        </is>
      </c>
      <c r="H2227" s="173" t="inlineStr">
        <is>
          <t>国信证券/兴业证券</t>
        </is>
      </c>
      <c r="I2227" s="173" t="inlineStr">
        <is>
          <t>青岛银行</t>
        </is>
      </c>
      <c r="J2227" s="172" t="n">
        <v>8</v>
      </c>
      <c r="K2227" s="173" t="inlineStr">
        <is>
          <t>0+47</t>
        </is>
      </c>
      <c r="L2227" s="202" t="n">
        <v>46234</v>
      </c>
      <c r="M2227" s="175" t="n">
        <v>0.0148</v>
      </c>
      <c r="N2227" s="176" t="n">
        <v>0.02865</v>
      </c>
      <c r="O2227" s="172" t="n">
        <v>3.25</v>
      </c>
      <c r="P2227" s="172" t="inlineStr">
        <is>
          <t>次级</t>
        </is>
      </c>
      <c r="Q2227" s="178" t="n">
        <v>0.1375</v>
      </c>
      <c r="R2227" s="179" t="n">
        <v>1.1</v>
      </c>
      <c r="S2227" s="177" t="inlineStr">
        <is>
          <t>无</t>
        </is>
      </c>
      <c r="T2227" s="178" t="n">
        <v>0.052</v>
      </c>
      <c r="U2227" s="172" t="inlineStr">
        <is>
          <t>思达星汇</t>
        </is>
      </c>
      <c r="V2227" s="192" t="n">
        <v>0.2</v>
      </c>
      <c r="W2227" s="172" t="n"/>
      <c r="X2227" s="172" t="n"/>
      <c r="Y2227" s="172" t="n"/>
    </row>
    <row r="2228">
      <c r="A2228" s="172" t="n">
        <v>125</v>
      </c>
      <c r="B2228" s="173" t="inlineStr">
        <is>
          <t>7月</t>
        </is>
      </c>
      <c r="C2228" s="173" t="inlineStr">
        <is>
          <t>消金</t>
        </is>
      </c>
      <c r="D2228" s="173" t="inlineStr">
        <is>
          <t>汽车融资租赁</t>
        </is>
      </c>
      <c r="E2228" s="173" t="inlineStr">
        <is>
          <t>尚乘1-3</t>
        </is>
      </c>
      <c r="F2228" s="173" t="inlineStr">
        <is>
          <t>上交所</t>
        </is>
      </c>
      <c r="G2228" s="173" t="inlineStr">
        <is>
          <t>华泰资管</t>
        </is>
      </c>
      <c r="H2228" s="173" t="inlineStr">
        <is>
          <t>国信证券/兴业证券</t>
        </is>
      </c>
      <c r="I2228" s="173" t="inlineStr">
        <is>
          <t>青岛银行</t>
        </is>
      </c>
      <c r="J2228" s="172" t="n">
        <v>8</v>
      </c>
      <c r="K2228" s="173" t="inlineStr">
        <is>
          <t>0+47</t>
        </is>
      </c>
      <c r="L2228" s="202" t="n">
        <v>46234</v>
      </c>
      <c r="M2228" s="175" t="n">
        <v>0.0148</v>
      </c>
      <c r="N2228" s="176" t="n">
        <v>0.02865</v>
      </c>
      <c r="O2228" s="172" t="n">
        <v>3.25</v>
      </c>
      <c r="P2228" s="172" t="inlineStr">
        <is>
          <t>次级</t>
        </is>
      </c>
      <c r="Q2228" s="178" t="n">
        <v>0.1375</v>
      </c>
      <c r="R2228" s="179" t="n">
        <v>1.1</v>
      </c>
      <c r="S2228" s="177" t="inlineStr">
        <is>
          <t>无</t>
        </is>
      </c>
      <c r="T2228" s="178" t="n">
        <v>0.052</v>
      </c>
      <c r="U2228" s="177" t="inlineStr">
        <is>
          <t>厦门汇正</t>
        </is>
      </c>
      <c r="V2228" s="192" t="n">
        <v>0.06</v>
      </c>
      <c r="W2228" s="172" t="n"/>
      <c r="X2228" s="172" t="n"/>
      <c r="Y2228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 t="n">
        <v>0.9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 t="n">
        <v>0.03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0.2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 t="n">
        <v>0.9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 t="n">
        <v>0.03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 t="n">
        <v>0.9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 t="n">
        <v>0.03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 t="n">
        <v>0.9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 t="n">
        <v>0.03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 t="n">
        <v>0.03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 t="n">
        <v>0.9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 t="n">
        <v>0.03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0.045</v>
      </c>
      <c r="Q67" s="213" t="n">
        <v>0.2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0.045</v>
      </c>
      <c r="Q78" s="213" t="n">
        <v>0.2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0.35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0.4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F95:F111"/>
    <mergeCell ref="L46:L63"/>
    <mergeCell ref="Q24:Q31"/>
    <mergeCell ref="Q41:Q45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0.24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0.3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0.3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李亦非</dc:creator>
  <dcterms:created xmlns:dcterms="http://purl.org/dc/terms/" xmlns:xsi="http://www.w3.org/2001/XMLSchema-instance" xsi:type="dcterms:W3CDTF">2026-01-09T09:51:24Z</dcterms:created>
  <dcterms:modified xmlns:dcterms="http://purl.org/dc/terms/" xmlns:xsi="http://www.w3.org/2001/XMLSchema-instance" xsi:type="dcterms:W3CDTF">2026-08-02T04:07:36Z</dcterms:modified>
  <cp:lastModifiedBy>wupeizhi.nolan</cp:lastModifiedBy>
</cp:coreProperties>
</file>