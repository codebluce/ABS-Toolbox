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xmlns:r="http://schemas.openxmlformats.org/officeDocument/2006/relationships" name="总表" sheetId="1" state="visible" r:id="rId1"/>
    <sheet xmlns:r="http://schemas.openxmlformats.org/officeDocument/2006/relationships" name="储架情况" sheetId="2" state="visible" r:id="rId2"/>
    <sheet xmlns:r="http://schemas.openxmlformats.org/officeDocument/2006/relationships" name="发行情况" sheetId="3" state="visible" r:id="rId3"/>
    <sheet xmlns:r="http://schemas.openxmlformats.org/officeDocument/2006/relationships" name="金条" sheetId="4" state="visible" r:id="rId4"/>
    <sheet xmlns:r="http://schemas.openxmlformats.org/officeDocument/2006/relationships" name="金条创收" sheetId="5" state="visible" r:id="rId5"/>
    <sheet xmlns:r="http://schemas.openxmlformats.org/officeDocument/2006/relationships" name="金条非标" sheetId="6" state="visible" r:id="rId6"/>
    <sheet xmlns:r="http://schemas.openxmlformats.org/officeDocument/2006/relationships" name="金条非标创收" sheetId="7" state="visible" r:id="rId7"/>
    <sheet xmlns:r="http://schemas.openxmlformats.org/officeDocument/2006/relationships" name="白条" sheetId="8" state="visible" r:id="rId8"/>
    <sheet xmlns:r="http://schemas.openxmlformats.org/officeDocument/2006/relationships" name="白条创收" sheetId="9" state="visible" r:id="rId9"/>
    <sheet xmlns:r="http://schemas.openxmlformats.org/officeDocument/2006/relationships" name="白条非标" sheetId="10" state="visible" r:id="rId10"/>
    <sheet xmlns:r="http://schemas.openxmlformats.org/officeDocument/2006/relationships" name="白条非标创收" sheetId="11" state="visible" r:id="rId11"/>
    <sheet xmlns:r="http://schemas.openxmlformats.org/officeDocument/2006/relationships" name="白取" sheetId="12" state="visible" r:id="rId12"/>
    <sheet xmlns:r="http://schemas.openxmlformats.org/officeDocument/2006/relationships" name="白取创收" sheetId="13" state="visible" r:id="rId13"/>
    <sheet xmlns:r="http://schemas.openxmlformats.org/officeDocument/2006/relationships" name="白取非标" sheetId="14" state="visible" r:id="rId14"/>
    <sheet xmlns:r="http://schemas.openxmlformats.org/officeDocument/2006/relationships" name="白取非标创收" sheetId="15" state="visible" r:id="rId15"/>
    <sheet xmlns:r="http://schemas.openxmlformats.org/officeDocument/2006/relationships" name="消金混池非标" sheetId="16" state="visible" r:id="rId16"/>
    <sheet xmlns:r="http://schemas.openxmlformats.org/officeDocument/2006/relationships" name="消金混池非标创收" sheetId="17" state="visible" r:id="rId17"/>
    <sheet xmlns:r="http://schemas.openxmlformats.org/officeDocument/2006/relationships" name="企业主贷" sheetId="18" state="visible" r:id="rId18"/>
    <sheet xmlns:r="http://schemas.openxmlformats.org/officeDocument/2006/relationships" name="企业主贷创收" sheetId="19" state="visible" r:id="rId19"/>
    <sheet xmlns:r="http://schemas.openxmlformats.org/officeDocument/2006/relationships" name="保理" sheetId="20" state="visible" r:id="rId20"/>
    <sheet xmlns:r="http://schemas.openxmlformats.org/officeDocument/2006/relationships" name="保理创收" sheetId="21" state="visible" r:id="rId21"/>
    <sheet xmlns:r="http://schemas.openxmlformats.org/officeDocument/2006/relationships" name="京企贷" sheetId="22" state="visible" r:id="rId22"/>
    <sheet xmlns:r="http://schemas.openxmlformats.org/officeDocument/2006/relationships" name="京企贷创收" sheetId="23" state="visible" r:id="rId23"/>
    <sheet xmlns:r="http://schemas.openxmlformats.org/officeDocument/2006/relationships" name="动产质押" sheetId="24" state="visible" r:id="rId24"/>
    <sheet xmlns:r="http://schemas.openxmlformats.org/officeDocument/2006/relationships"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34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 t="n">
        <v>0.9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 t="n">
        <v>0.9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 t="n">
        <v>0.9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 t="n">
        <v>0.9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 t="n">
        <v>0.9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 t="n">
        <v>0.9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 t="n">
        <v>0.9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 t="n">
        <v>0.03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 t="n">
        <v>0.03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 t="n">
        <v>0.03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 t="n">
        <v>0.03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0.4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0.4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0.4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0.4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0.4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0.045</v>
      </c>
      <c r="R262" s="181" t="n">
        <v>0.2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0.045</v>
      </c>
      <c r="R263" s="192" t="n">
        <v>0.2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0.045</v>
      </c>
      <c r="R264" s="192" t="n">
        <v>0.2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杭州银行/南京银行/江苏银行/中信银行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杭州银行/南京银行/江苏银行/中信银行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杭州银行/南京银行/江苏银行/中信银行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杭州银行/南京银行/江苏银行/中信银行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杭州银行/南京银行/江苏银行/中信银行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杭州银行/南京银行/江苏银行/中信银行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杭州银行/南京银行/江苏银行/中信银行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杭州银行/南京银行/江苏银行/中信银行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杭州银行/南京银行/江苏银行/中信银行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0.045</v>
      </c>
      <c r="R298" s="181" t="n">
        <v>0.2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杭州银行/南京银行/江苏银行/中信银行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0.045</v>
      </c>
      <c r="R299" s="192" t="n">
        <v>0.2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杭州银行/南京银行/江苏银行/中信银行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0.045</v>
      </c>
      <c r="R300" s="192" t="n">
        <v>0.2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0.24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0.24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0.24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0.3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0.3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0.35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0.2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 t="n">
        <v>0.9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 t="n">
        <v>0.9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 t="n">
        <v>0.9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 t="n">
        <v>0.9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 t="n">
        <v>0.9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 t="n">
        <v>0.9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 t="n">
        <v>0.9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 t="n">
        <v>0.9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 t="n">
        <v>0.9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 t="n">
        <v>0.9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 t="n">
        <v>0.9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 t="n">
        <v>0.9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 t="n">
        <v>0.9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 t="n">
        <v>0.9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 t="n">
        <v>0.9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 t="n">
        <v>0.9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 t="n">
        <v>0.9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 t="n">
        <v>0.03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 t="n">
        <v>0.03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 t="n">
        <v>0.03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 t="n">
        <v>0.03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 t="n">
        <v>0.03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 t="n">
        <v>0.9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 t="n">
        <v>0.9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 t="n">
        <v>0.9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 t="n">
        <v>0.9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 t="n">
        <v>0.9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 t="n">
        <v>0.9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 t="n">
        <v>0.9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 t="n">
        <v>0.9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 t="n">
        <v>0.9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 t="n">
        <v>0.9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 t="n">
        <v>0.9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 t="n">
        <v>0.9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 t="n">
        <v>0.9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 t="n">
        <v>0.9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 t="n">
        <v>0.9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 t="n">
        <v>0.9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 t="n">
        <v>0.9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 t="n">
        <v>0.9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 t="n">
        <v>0.9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 t="n">
        <v>0.9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 t="n">
        <v>0.9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 t="n">
        <v>0.03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 t="n">
        <v>0.03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 t="n">
        <v>0.03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 t="n">
        <v>0.03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 t="n">
        <v>0.03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 t="n">
        <v>0.9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 t="n">
        <v>0.9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 t="n">
        <v>0.9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 t="n">
        <v>0.9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 t="n">
        <v>0.9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 t="n">
        <v>0.9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 t="n">
        <v>0.9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 t="n">
        <v>0.9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 t="n">
        <v>0.9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 t="n">
        <v>0.9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 t="n">
        <v>0.9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 t="n">
        <v>0.9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 t="n">
        <v>0.9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 t="n">
        <v>0.9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 t="n">
        <v>0.9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 t="n">
        <v>0.9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 t="n">
        <v>0.9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 t="n">
        <v>0.9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 t="n">
        <v>0.9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 t="n">
        <v>0.03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 t="n">
        <v>0.03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 t="n">
        <v>0.03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 t="n">
        <v>0.03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 t="n">
        <v>0.03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平层非标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平层非标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平层非标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 t="n">
        <v>0.9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 t="n">
        <v>0.9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 t="n">
        <v>0.9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 t="n">
        <v>0.9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 t="n">
        <v>0.9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 t="n">
        <v>0.9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 t="n">
        <v>0.9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 t="n">
        <v>0.9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 t="n">
        <v>0.9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 t="n">
        <v>0.9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 t="n">
        <v>0.9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 t="n">
        <v>0.9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 t="n">
        <v>0.9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 t="n">
        <v>0.03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 t="n">
        <v>0.03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 t="n">
        <v>0.03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 t="n">
        <v>0.9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 t="n">
        <v>0.9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 t="n">
        <v>0.9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 t="n">
        <v>0.9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 t="n">
        <v>0.9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 t="n">
        <v>0.9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 t="n">
        <v>0.9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 t="n">
        <v>0.9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 t="n">
        <v>0.9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 t="n">
        <v>0.9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 t="n">
        <v>0.9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 t="n">
        <v>0.9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 t="n">
        <v>0.9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 t="n">
        <v>0.9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 t="n">
        <v>0.9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 t="n">
        <v>0.9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 t="n">
        <v>0.9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 t="n">
        <v>0.03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 t="n">
        <v>0.03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 t="n">
        <v>0.03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 t="n">
        <v>0.03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 t="n">
        <v>0.3682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 t="n">
        <v>0.3682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 t="n">
        <v>0.3682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 t="n">
        <v>0.3682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 t="n">
        <v>0.3682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 t="n">
        <v>0.3682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 t="n">
        <v>0.3682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 t="n">
        <v>0.3682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 t="n">
        <v>0.3682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 t="n">
        <v>0.3682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 t="n">
        <v>0.3682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 t="n">
        <v>0.3682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 t="n">
        <v>0.3682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 t="n">
        <v>0.3682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 t="n">
        <v>0.3682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 t="n">
        <v>0.3682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 t="n">
        <v>0.3682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 t="n">
        <v>0.3682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 t="n">
        <v>0.3682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 t="n">
        <v>0.3682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 t="n">
        <v>0.3682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 t="n">
        <v>0.3682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 t="n">
        <v>0.3764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 t="n">
        <v>0.3764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 t="n">
        <v>0.3764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 t="n">
        <v>0.3764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 t="n">
        <v>0.3764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 t="n">
        <v>0.3764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 t="n">
        <v>0.3764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 t="n">
        <v>0.3764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 t="n">
        <v>0.3764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 t="n">
        <v>0.3764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 t="n">
        <v>0.3764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 t="n">
        <v>0.3764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 t="n">
        <v>0.3764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 t="n">
        <v>0.3764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 t="n">
        <v>0.3764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>
        <f>0.75-V866</f>
        <v/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消金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消金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江苏银行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5" t="n">
        <v>0.0149</v>
      </c>
      <c r="X1471" s="172" t="inlineStr">
        <is>
          <t>平安资产</t>
        </is>
      </c>
      <c r="Y1471" s="191" t="n">
        <v>4.95</v>
      </c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5" t="n">
        <v>0.0149</v>
      </c>
      <c r="X1472" s="172" t="inlineStr">
        <is>
          <t>杭银理财</t>
        </is>
      </c>
      <c r="Y1472" s="191" t="n">
        <v>0.45</v>
      </c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5" t="n">
        <v>0.015</v>
      </c>
      <c r="X1473" s="172" t="inlineStr">
        <is>
          <t>信银理财</t>
        </is>
      </c>
      <c r="Y1473" s="191" t="n">
        <v>2.97</v>
      </c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5" t="n">
        <v>0.015</v>
      </c>
      <c r="X1474" s="172" t="inlineStr">
        <is>
          <t>建信理财</t>
        </is>
      </c>
      <c r="Y1474" s="191" t="n">
        <v>2.9</v>
      </c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5" t="n">
        <v>0.015</v>
      </c>
      <c r="X1475" s="172" t="inlineStr">
        <is>
          <t>平安理财</t>
        </is>
      </c>
      <c r="Y1475" s="191" t="n">
        <v>2.47</v>
      </c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5" t="n">
        <v>0.015</v>
      </c>
      <c r="X1476" s="172" t="inlineStr">
        <is>
          <t>中银理财</t>
        </is>
      </c>
      <c r="Y1476" s="191" t="n">
        <v>1</v>
      </c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8" t="n">
        <v>46182</v>
      </c>
      <c r="M1477" s="175" t="n">
        <v>0.0145</v>
      </c>
      <c r="N1477" s="176" t="n">
        <v>0.0157</v>
      </c>
      <c r="O1477" s="172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n"/>
      <c r="V1477" s="172" t="n"/>
      <c r="W1477" s="175" t="n">
        <v>0.016</v>
      </c>
      <c r="X1477" s="172" t="inlineStr">
        <is>
          <t>中银理财</t>
        </is>
      </c>
      <c r="Y1477" s="191" t="n">
        <v>0.5</v>
      </c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8" t="n">
        <v>46182</v>
      </c>
      <c r="M1478" s="175" t="n">
        <v>0.0145</v>
      </c>
      <c r="N1478" s="176" t="n">
        <v>0.0157</v>
      </c>
      <c r="O1478" s="172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n"/>
      <c r="V1478" s="172" t="n"/>
      <c r="W1478" s="175" t="n">
        <v>0.0165</v>
      </c>
      <c r="X1478" s="172" t="inlineStr">
        <is>
          <t>中银理财</t>
        </is>
      </c>
      <c r="Y1478" s="191" t="n">
        <v>0.5</v>
      </c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优先级</t>
        </is>
      </c>
      <c r="Q1479" s="175" t="n">
        <v>0.99</v>
      </c>
      <c r="R1479" s="192" t="n">
        <v>9.9</v>
      </c>
      <c r="S1479" s="172" t="inlineStr">
        <is>
          <t>AAA</t>
        </is>
      </c>
      <c r="T1479" s="175" t="n">
        <v>0.015</v>
      </c>
      <c r="U1479" s="172" t="inlineStr">
        <is>
          <t>光大理财</t>
        </is>
      </c>
      <c r="V1479" s="191" t="n">
        <v>0.73</v>
      </c>
      <c r="W1479" s="175" t="n">
        <v>0.015</v>
      </c>
      <c r="X1479" s="172" t="inlineStr">
        <is>
          <t>光大理财</t>
        </is>
      </c>
      <c r="Y1479" s="191" t="n">
        <v>2.35</v>
      </c>
    </row>
    <row r="1480">
      <c r="A1480" s="172" t="n">
        <v>85</v>
      </c>
      <c r="B1480" s="172" t="inlineStr">
        <is>
          <t>6月</t>
        </is>
      </c>
      <c r="C1480" s="172" t="inlineStr">
        <is>
          <t>企金</t>
        </is>
      </c>
      <c r="D1480" s="172" t="inlineStr">
        <is>
          <t>保理</t>
        </is>
      </c>
      <c r="E1480" s="172" t="inlineStr">
        <is>
          <t>京诚15-9</t>
        </is>
      </c>
      <c r="F1480" s="172" t="inlineStr">
        <is>
          <t>上交所</t>
        </is>
      </c>
      <c r="G1480" s="172" t="inlineStr">
        <is>
          <t>首创证券</t>
        </is>
      </c>
      <c r="H1480" s="172" t="inlineStr">
        <is>
          <t>国金证券</t>
        </is>
      </c>
      <c r="I1480" s="172" t="inlineStr">
        <is>
          <t>工银天分</t>
        </is>
      </c>
      <c r="J1480" s="172" t="n">
        <v>10</v>
      </c>
      <c r="K1480" s="172" t="inlineStr">
        <is>
          <t>2+4</t>
        </is>
      </c>
      <c r="L1480" s="202" t="n">
        <v>46182</v>
      </c>
      <c r="M1480" s="175" t="n">
        <v>0.0145</v>
      </c>
      <c r="N1480" s="176" t="n">
        <v>0.0157</v>
      </c>
      <c r="O1480" s="191" t="n">
        <v>3.92</v>
      </c>
      <c r="P1480" s="172" t="inlineStr">
        <is>
          <t>优先级</t>
        </is>
      </c>
      <c r="Q1480" s="175" t="n">
        <v>0.99</v>
      </c>
      <c r="R1480" s="192" t="n">
        <v>9.9</v>
      </c>
      <c r="S1480" s="172" t="inlineStr">
        <is>
          <t>AAA</t>
        </is>
      </c>
      <c r="T1480" s="175" t="n">
        <v>0.015</v>
      </c>
      <c r="U1480" s="172" t="inlineStr">
        <is>
          <t>浦银理财</t>
        </is>
      </c>
      <c r="V1480" s="191" t="n">
        <v>0.86</v>
      </c>
      <c r="W1480" s="175" t="n">
        <v>0.015</v>
      </c>
      <c r="X1480" s="172" t="inlineStr">
        <is>
          <t>浦银理财</t>
        </is>
      </c>
      <c r="Y1480" s="191" t="n">
        <v>2.76</v>
      </c>
    </row>
    <row r="1481">
      <c r="A1481" s="172" t="n">
        <v>85</v>
      </c>
      <c r="B1481" s="172" t="inlineStr">
        <is>
          <t>6月</t>
        </is>
      </c>
      <c r="C1481" s="172" t="inlineStr">
        <is>
          <t>企金</t>
        </is>
      </c>
      <c r="D1481" s="172" t="inlineStr">
        <is>
          <t>保理</t>
        </is>
      </c>
      <c r="E1481" s="172" t="inlineStr">
        <is>
          <t>京诚15-9</t>
        </is>
      </c>
      <c r="F1481" s="172" t="inlineStr">
        <is>
          <t>上交所</t>
        </is>
      </c>
      <c r="G1481" s="172" t="inlineStr">
        <is>
          <t>首创证券</t>
        </is>
      </c>
      <c r="H1481" s="172" t="inlineStr">
        <is>
          <t>国金证券</t>
        </is>
      </c>
      <c r="I1481" s="172" t="inlineStr">
        <is>
          <t>工银天分</t>
        </is>
      </c>
      <c r="J1481" s="172" t="n">
        <v>10</v>
      </c>
      <c r="K1481" s="172" t="inlineStr">
        <is>
          <t>2+4</t>
        </is>
      </c>
      <c r="L1481" s="208" t="n">
        <v>46182</v>
      </c>
      <c r="M1481" s="175" t="n">
        <v>0.0145</v>
      </c>
      <c r="N1481" s="176" t="n">
        <v>0.0157</v>
      </c>
      <c r="O1481" s="172" t="n">
        <v>3.92</v>
      </c>
      <c r="P1481" s="172" t="inlineStr">
        <is>
          <t>优先级</t>
        </is>
      </c>
      <c r="Q1481" s="175" t="n">
        <v>0.99</v>
      </c>
      <c r="R1481" s="192" t="n">
        <v>9.9</v>
      </c>
      <c r="S1481" s="172" t="inlineStr">
        <is>
          <t>AAA</t>
        </is>
      </c>
      <c r="T1481" s="175" t="n">
        <v>0.015</v>
      </c>
      <c r="U1481" s="172" t="n"/>
      <c r="V1481" s="172" t="n"/>
      <c r="W1481" s="175" t="n">
        <v>0.0151</v>
      </c>
      <c r="X1481" s="172" t="inlineStr">
        <is>
          <t>工银理财</t>
        </is>
      </c>
      <c r="Y1481" s="191" t="n">
        <v>2.5</v>
      </c>
    </row>
    <row r="1482">
      <c r="A1482" s="172" t="n">
        <v>85</v>
      </c>
      <c r="B1482" s="172" t="inlineStr">
        <is>
          <t>6月</t>
        </is>
      </c>
      <c r="C1482" s="172" t="inlineStr">
        <is>
          <t>企金</t>
        </is>
      </c>
      <c r="D1482" s="172" t="inlineStr">
        <is>
          <t>保理</t>
        </is>
      </c>
      <c r="E1482" s="172" t="inlineStr">
        <is>
          <t>京诚15-9</t>
        </is>
      </c>
      <c r="F1482" s="172" t="inlineStr">
        <is>
          <t>上交所</t>
        </is>
      </c>
      <c r="G1482" s="172" t="inlineStr">
        <is>
          <t>首创证券</t>
        </is>
      </c>
      <c r="H1482" s="172" t="inlineStr">
        <is>
          <t>国金证券</t>
        </is>
      </c>
      <c r="I1482" s="172" t="inlineStr">
        <is>
          <t>工银天分</t>
        </is>
      </c>
      <c r="J1482" s="172" t="n">
        <v>10</v>
      </c>
      <c r="K1482" s="172" t="inlineStr">
        <is>
          <t>2+4</t>
        </is>
      </c>
      <c r="L1482" s="208" t="n">
        <v>46182</v>
      </c>
      <c r="M1482" s="175" t="n">
        <v>0.0145</v>
      </c>
      <c r="N1482" s="176" t="n">
        <v>0.0157</v>
      </c>
      <c r="O1482" s="172" t="n">
        <v>3.92</v>
      </c>
      <c r="P1482" s="172" t="inlineStr">
        <is>
          <t>优先级</t>
        </is>
      </c>
      <c r="Q1482" s="175" t="n">
        <v>0.99</v>
      </c>
      <c r="R1482" s="192" t="n">
        <v>9.9</v>
      </c>
      <c r="S1482" s="172" t="inlineStr">
        <is>
          <t>AAA</t>
        </is>
      </c>
      <c r="T1482" s="175" t="n">
        <v>0.015</v>
      </c>
      <c r="U1482" s="172" t="n"/>
      <c r="V1482" s="172" t="n"/>
      <c r="W1482" s="175" t="n">
        <v>0.0154</v>
      </c>
      <c r="X1482" s="172" t="inlineStr">
        <is>
          <t>民生理财</t>
        </is>
      </c>
      <c r="Y1482" s="191" t="n">
        <v>2.7</v>
      </c>
    </row>
    <row r="1483">
      <c r="A1483" s="172" t="n">
        <v>85</v>
      </c>
      <c r="B1483" s="172" t="inlineStr">
        <is>
          <t>6月</t>
        </is>
      </c>
      <c r="C1483" s="172" t="inlineStr">
        <is>
          <t>企金</t>
        </is>
      </c>
      <c r="D1483" s="172" t="inlineStr">
        <is>
          <t>保理</t>
        </is>
      </c>
      <c r="E1483" s="172" t="inlineStr">
        <is>
          <t>京诚15-9</t>
        </is>
      </c>
      <c r="F1483" s="172" t="inlineStr">
        <is>
          <t>上交所</t>
        </is>
      </c>
      <c r="G1483" s="172" t="inlineStr">
        <is>
          <t>首创证券</t>
        </is>
      </c>
      <c r="H1483" s="172" t="inlineStr">
        <is>
          <t>国金证券</t>
        </is>
      </c>
      <c r="I1483" s="172" t="inlineStr">
        <is>
          <t>工银天分</t>
        </is>
      </c>
      <c r="J1483" s="172" t="n">
        <v>10</v>
      </c>
      <c r="K1483" s="172" t="inlineStr">
        <is>
          <t>2+4</t>
        </is>
      </c>
      <c r="L1483" s="208" t="n">
        <v>46182</v>
      </c>
      <c r="M1483" s="175" t="n">
        <v>0.0145</v>
      </c>
      <c r="N1483" s="176" t="n">
        <v>0.0157</v>
      </c>
      <c r="O1483" s="172" t="n">
        <v>3.92</v>
      </c>
      <c r="P1483" s="172" t="inlineStr">
        <is>
          <t>优先级</t>
        </is>
      </c>
      <c r="Q1483" s="175" t="n">
        <v>0.99</v>
      </c>
      <c r="R1483" s="192" t="n">
        <v>9.9</v>
      </c>
      <c r="S1483" s="172" t="inlineStr">
        <is>
          <t>AAA</t>
        </is>
      </c>
      <c r="T1483" s="175" t="n">
        <v>0.015</v>
      </c>
      <c r="U1483" s="172" t="n"/>
      <c r="V1483" s="172" t="n"/>
      <c r="W1483" s="175" t="n">
        <v>0.0155</v>
      </c>
      <c r="X1483" s="172" t="inlineStr">
        <is>
          <t>交银理财</t>
        </is>
      </c>
      <c r="Y1483" s="191" t="n">
        <v>0.5</v>
      </c>
    </row>
    <row r="1484">
      <c r="A1484" s="172" t="n">
        <v>85</v>
      </c>
      <c r="B1484" s="172" t="inlineStr">
        <is>
          <t>6月</t>
        </is>
      </c>
      <c r="C1484" s="172" t="inlineStr">
        <is>
          <t>企金</t>
        </is>
      </c>
      <c r="D1484" s="172" t="inlineStr">
        <is>
          <t>保理</t>
        </is>
      </c>
      <c r="E1484" s="172" t="inlineStr">
        <is>
          <t>京诚15-9</t>
        </is>
      </c>
      <c r="F1484" s="172" t="inlineStr">
        <is>
          <t>上交所</t>
        </is>
      </c>
      <c r="G1484" s="172" t="inlineStr">
        <is>
          <t>首创证券</t>
        </is>
      </c>
      <c r="H1484" s="172" t="inlineStr">
        <is>
          <t>国金证券</t>
        </is>
      </c>
      <c r="I1484" s="172" t="inlineStr">
        <is>
          <t>工银天分</t>
        </is>
      </c>
      <c r="J1484" s="172" t="n">
        <v>10</v>
      </c>
      <c r="K1484" s="172" t="inlineStr">
        <is>
          <t>2+4</t>
        </is>
      </c>
      <c r="L1484" s="208" t="n">
        <v>46182</v>
      </c>
      <c r="M1484" s="175" t="n">
        <v>0.0145</v>
      </c>
      <c r="N1484" s="176" t="n">
        <v>0.0157</v>
      </c>
      <c r="O1484" s="172" t="n">
        <v>3.92</v>
      </c>
      <c r="P1484" s="172" t="inlineStr">
        <is>
          <t>优先级</t>
        </is>
      </c>
      <c r="Q1484" s="175" t="n">
        <v>0.99</v>
      </c>
      <c r="R1484" s="192" t="n">
        <v>9.9</v>
      </c>
      <c r="S1484" s="172" t="inlineStr">
        <is>
          <t>AAA</t>
        </is>
      </c>
      <c r="T1484" s="175" t="n">
        <v>0.015</v>
      </c>
      <c r="U1484" s="172" t="n"/>
      <c r="V1484" s="172" t="n"/>
      <c r="W1484" s="175" t="n">
        <v>0.0158</v>
      </c>
      <c r="X1484" s="172" t="inlineStr">
        <is>
          <t>交银理财</t>
        </is>
      </c>
      <c r="Y1484" s="191" t="n">
        <v>0.3</v>
      </c>
    </row>
    <row r="1485">
      <c r="A1485" s="172" t="n">
        <v>85</v>
      </c>
      <c r="B1485" s="172" t="inlineStr">
        <is>
          <t>6月</t>
        </is>
      </c>
      <c r="C1485" s="172" t="inlineStr">
        <is>
          <t>企金</t>
        </is>
      </c>
      <c r="D1485" s="172" t="inlineStr">
        <is>
          <t>保理</t>
        </is>
      </c>
      <c r="E1485" s="172" t="inlineStr">
        <is>
          <t>京诚15-9</t>
        </is>
      </c>
      <c r="F1485" s="172" t="inlineStr">
        <is>
          <t>上交所</t>
        </is>
      </c>
      <c r="G1485" s="172" t="inlineStr">
        <is>
          <t>首创证券</t>
        </is>
      </c>
      <c r="H1485" s="172" t="inlineStr">
        <is>
          <t>国金证券</t>
        </is>
      </c>
      <c r="I1485" s="172" t="inlineStr">
        <is>
          <t>工银天分</t>
        </is>
      </c>
      <c r="J1485" s="172" t="n">
        <v>10</v>
      </c>
      <c r="K1485" s="172" t="inlineStr">
        <is>
          <t>2+4</t>
        </is>
      </c>
      <c r="L1485" s="208" t="n">
        <v>46182</v>
      </c>
      <c r="M1485" s="175" t="n">
        <v>0.0145</v>
      </c>
      <c r="N1485" s="176" t="n">
        <v>0.0157</v>
      </c>
      <c r="O1485" s="172" t="n">
        <v>3.92</v>
      </c>
      <c r="P1485" s="172" t="inlineStr">
        <is>
          <t>优先级</t>
        </is>
      </c>
      <c r="Q1485" s="175" t="n">
        <v>0.99</v>
      </c>
      <c r="R1485" s="192" t="n">
        <v>9.9</v>
      </c>
      <c r="S1485" s="172" t="inlineStr">
        <is>
          <t>AAA</t>
        </is>
      </c>
      <c r="T1485" s="175" t="n">
        <v>0.015</v>
      </c>
      <c r="U1485" s="172" t="n"/>
      <c r="V1485" s="172" t="n"/>
      <c r="W1485" s="175" t="n">
        <v>0.0155</v>
      </c>
      <c r="X1485" s="172" t="inlineStr">
        <is>
          <t>平安银行</t>
        </is>
      </c>
      <c r="Y1485" s="191" t="n">
        <v>3.96</v>
      </c>
    </row>
    <row r="1486">
      <c r="A1486" s="172" t="n">
        <v>85</v>
      </c>
      <c r="B1486" s="172" t="inlineStr">
        <is>
          <t>6月</t>
        </is>
      </c>
      <c r="C1486" s="172" t="inlineStr">
        <is>
          <t>企金</t>
        </is>
      </c>
      <c r="D1486" s="172" t="inlineStr">
        <is>
          <t>保理</t>
        </is>
      </c>
      <c r="E1486" s="172" t="inlineStr">
        <is>
          <t>京诚15-9</t>
        </is>
      </c>
      <c r="F1486" s="172" t="inlineStr">
        <is>
          <t>上交所</t>
        </is>
      </c>
      <c r="G1486" s="172" t="inlineStr">
        <is>
          <t>首创证券</t>
        </is>
      </c>
      <c r="H1486" s="172" t="inlineStr">
        <is>
          <t>国金证券</t>
        </is>
      </c>
      <c r="I1486" s="172" t="inlineStr">
        <is>
          <t>工银天分</t>
        </is>
      </c>
      <c r="J1486" s="172" t="n">
        <v>10</v>
      </c>
      <c r="K1486" s="172" t="inlineStr">
        <is>
          <t>2+4</t>
        </is>
      </c>
      <c r="L1486" s="208" t="n">
        <v>46182</v>
      </c>
      <c r="M1486" s="175" t="n">
        <v>0.0145</v>
      </c>
      <c r="N1486" s="176" t="n">
        <v>0.0157</v>
      </c>
      <c r="O1486" s="172" t="n">
        <v>3.92</v>
      </c>
      <c r="P1486" s="172" t="inlineStr">
        <is>
          <t>优先级</t>
        </is>
      </c>
      <c r="Q1486" s="175" t="n">
        <v>0.99</v>
      </c>
      <c r="R1486" s="192" t="n">
        <v>9.9</v>
      </c>
      <c r="S1486" s="172" t="inlineStr">
        <is>
          <t>AAA</t>
        </is>
      </c>
      <c r="T1486" s="175" t="n">
        <v>0.015</v>
      </c>
      <c r="U1486" s="172" t="n"/>
      <c r="V1486" s="172" t="n"/>
      <c r="W1486" s="175" t="n">
        <v>0.0155</v>
      </c>
      <c r="X1486" s="172" t="inlineStr">
        <is>
          <t>中邮理财</t>
        </is>
      </c>
      <c r="Y1486" s="191" t="n">
        <v>2.9</v>
      </c>
    </row>
    <row r="1487">
      <c r="A1487" s="172" t="n">
        <v>85</v>
      </c>
      <c r="B1487" s="172" t="inlineStr">
        <is>
          <t>6月</t>
        </is>
      </c>
      <c r="C1487" s="172" t="inlineStr">
        <is>
          <t>企金</t>
        </is>
      </c>
      <c r="D1487" s="172" t="inlineStr">
        <is>
          <t>保理</t>
        </is>
      </c>
      <c r="E1487" s="172" t="inlineStr">
        <is>
          <t>京诚15-9</t>
        </is>
      </c>
      <c r="F1487" s="172" t="inlineStr">
        <is>
          <t>上交所</t>
        </is>
      </c>
      <c r="G1487" s="172" t="inlineStr">
        <is>
          <t>首创证券</t>
        </is>
      </c>
      <c r="H1487" s="172" t="inlineStr">
        <is>
          <t>国金证券</t>
        </is>
      </c>
      <c r="I1487" s="172" t="inlineStr">
        <is>
          <t>工银天分</t>
        </is>
      </c>
      <c r="J1487" s="172" t="n">
        <v>10</v>
      </c>
      <c r="K1487" s="172" t="inlineStr">
        <is>
          <t>2+4</t>
        </is>
      </c>
      <c r="L1487" s="208" t="n">
        <v>46182</v>
      </c>
      <c r="M1487" s="175" t="n">
        <v>0.0145</v>
      </c>
      <c r="N1487" s="176" t="n">
        <v>0.0157</v>
      </c>
      <c r="O1487" s="172" t="n">
        <v>3.92</v>
      </c>
      <c r="P1487" s="172" t="inlineStr">
        <is>
          <t>优先级</t>
        </is>
      </c>
      <c r="Q1487" s="175" t="n">
        <v>0.99</v>
      </c>
      <c r="R1487" s="192" t="n">
        <v>9.9</v>
      </c>
      <c r="S1487" s="172" t="inlineStr">
        <is>
          <t>AAA</t>
        </is>
      </c>
      <c r="T1487" s="175" t="n">
        <v>0.015</v>
      </c>
      <c r="U1487" s="172" t="n"/>
      <c r="V1487" s="172" t="n"/>
      <c r="W1487" s="175" t="n">
        <v>0.016</v>
      </c>
      <c r="X1487" s="172" t="inlineStr">
        <is>
          <t>中邮理财</t>
        </is>
      </c>
      <c r="Y1487" s="191" t="n">
        <v>0.06900000000000001</v>
      </c>
    </row>
    <row r="1488">
      <c r="A1488" s="172" t="n">
        <v>85</v>
      </c>
      <c r="B1488" s="172" t="inlineStr">
        <is>
          <t>6月</t>
        </is>
      </c>
      <c r="C1488" s="172" t="inlineStr">
        <is>
          <t>企金</t>
        </is>
      </c>
      <c r="D1488" s="172" t="inlineStr">
        <is>
          <t>保理</t>
        </is>
      </c>
      <c r="E1488" s="172" t="inlineStr">
        <is>
          <t>京诚15-9</t>
        </is>
      </c>
      <c r="F1488" s="172" t="inlineStr">
        <is>
          <t>上交所</t>
        </is>
      </c>
      <c r="G1488" s="172" t="inlineStr">
        <is>
          <t>首创证券</t>
        </is>
      </c>
      <c r="H1488" s="172" t="inlineStr">
        <is>
          <t>国金证券</t>
        </is>
      </c>
      <c r="I1488" s="172" t="inlineStr">
        <is>
          <t>工银天分</t>
        </is>
      </c>
      <c r="J1488" s="172" t="n">
        <v>10</v>
      </c>
      <c r="K1488" s="172" t="inlineStr">
        <is>
          <t>2+4</t>
        </is>
      </c>
      <c r="L1488" s="208" t="n">
        <v>46182</v>
      </c>
      <c r="M1488" s="175" t="n">
        <v>0.0145</v>
      </c>
      <c r="N1488" s="176" t="n">
        <v>0.0157</v>
      </c>
      <c r="O1488" s="172" t="n">
        <v>3.92</v>
      </c>
      <c r="P1488" s="172" t="inlineStr">
        <is>
          <t>优先级</t>
        </is>
      </c>
      <c r="Q1488" s="175" t="n">
        <v>0.99</v>
      </c>
      <c r="R1488" s="192" t="n">
        <v>9.9</v>
      </c>
      <c r="S1488" s="172" t="inlineStr">
        <is>
          <t>AAA</t>
        </is>
      </c>
      <c r="T1488" s="175" t="n">
        <v>0.015</v>
      </c>
      <c r="U1488" s="172" t="n"/>
      <c r="V1488" s="172" t="n"/>
      <c r="W1488" s="175" t="n">
        <v>0.0165</v>
      </c>
      <c r="X1488" s="172" t="inlineStr">
        <is>
          <t>国金资管</t>
        </is>
      </c>
      <c r="Y1488" s="191" t="n">
        <v>1.5</v>
      </c>
    </row>
    <row r="1489">
      <c r="A1489" s="172" t="n">
        <v>85</v>
      </c>
      <c r="B1489" s="172" t="inlineStr">
        <is>
          <t>6月</t>
        </is>
      </c>
      <c r="C1489" s="172" t="inlineStr">
        <is>
          <t>企金</t>
        </is>
      </c>
      <c r="D1489" s="172" t="inlineStr">
        <is>
          <t>保理</t>
        </is>
      </c>
      <c r="E1489" s="172" t="inlineStr">
        <is>
          <t>京诚15-9</t>
        </is>
      </c>
      <c r="F1489" s="172" t="inlineStr">
        <is>
          <t>上交所</t>
        </is>
      </c>
      <c r="G1489" s="172" t="inlineStr">
        <is>
          <t>首创证券</t>
        </is>
      </c>
      <c r="H1489" s="172" t="inlineStr">
        <is>
          <t>国金证券</t>
        </is>
      </c>
      <c r="I1489" s="172" t="inlineStr">
        <is>
          <t>工银天分</t>
        </is>
      </c>
      <c r="J1489" s="172" t="n">
        <v>10</v>
      </c>
      <c r="K1489" s="172" t="inlineStr">
        <is>
          <t>2+4</t>
        </is>
      </c>
      <c r="L1489" s="208" t="n">
        <v>46182</v>
      </c>
      <c r="M1489" s="175" t="n">
        <v>0.0145</v>
      </c>
      <c r="N1489" s="176" t="n">
        <v>0.0157</v>
      </c>
      <c r="O1489" s="172" t="n">
        <v>3.92</v>
      </c>
      <c r="P1489" s="172" t="inlineStr">
        <is>
          <t>优先级</t>
        </is>
      </c>
      <c r="Q1489" s="175" t="n">
        <v>0.99</v>
      </c>
      <c r="R1489" s="192" t="n">
        <v>9.9</v>
      </c>
      <c r="S1489" s="172" t="inlineStr">
        <is>
          <t>AAA</t>
        </is>
      </c>
      <c r="T1489" s="175" t="n">
        <v>0.015</v>
      </c>
      <c r="U1489" s="172" t="n"/>
      <c r="V1489" s="172" t="n"/>
      <c r="W1489" s="175" t="n">
        <v>0.023</v>
      </c>
      <c r="X1489" s="172" t="inlineStr">
        <is>
          <t>利曦基金</t>
        </is>
      </c>
      <c r="Y1489" s="191" t="n">
        <v>2</v>
      </c>
    </row>
    <row r="1490">
      <c r="A1490" s="172" t="n">
        <v>85</v>
      </c>
      <c r="B1490" s="172" t="inlineStr">
        <is>
          <t>6月</t>
        </is>
      </c>
      <c r="C1490" s="172" t="inlineStr">
        <is>
          <t>企金</t>
        </is>
      </c>
      <c r="D1490" s="172" t="inlineStr">
        <is>
          <t>保理</t>
        </is>
      </c>
      <c r="E1490" s="172" t="inlineStr">
        <is>
          <t>京诚15-9</t>
        </is>
      </c>
      <c r="F1490" s="172" t="inlineStr">
        <is>
          <t>上交所</t>
        </is>
      </c>
      <c r="G1490" s="172" t="inlineStr">
        <is>
          <t>首创证券</t>
        </is>
      </c>
      <c r="H1490" s="172" t="inlineStr">
        <is>
          <t>国金证券</t>
        </is>
      </c>
      <c r="I1490" s="172" t="inlineStr">
        <is>
          <t>工银天分</t>
        </is>
      </c>
      <c r="J1490" s="172" t="n">
        <v>10</v>
      </c>
      <c r="K1490" s="172" t="inlineStr">
        <is>
          <t>2+4</t>
        </is>
      </c>
      <c r="L1490" s="208" t="n">
        <v>46182</v>
      </c>
      <c r="M1490" s="175" t="n">
        <v>0.0145</v>
      </c>
      <c r="N1490" s="176" t="n">
        <v>0.0157</v>
      </c>
      <c r="O1490" s="172" t="n">
        <v>3.92</v>
      </c>
      <c r="P1490" s="172" t="inlineStr">
        <is>
          <t>优先级</t>
        </is>
      </c>
      <c r="Q1490" s="175" t="n">
        <v>0.99</v>
      </c>
      <c r="R1490" s="192" t="n">
        <v>9.9</v>
      </c>
      <c r="S1490" s="172" t="inlineStr">
        <is>
          <t>AAA</t>
        </is>
      </c>
      <c r="T1490" s="175" t="n">
        <v>0.015</v>
      </c>
      <c r="U1490" s="172" t="n"/>
      <c r="V1490" s="172" t="n"/>
      <c r="W1490" s="175" t="n">
        <v>0.024</v>
      </c>
      <c r="X1490" s="172" t="inlineStr">
        <is>
          <t>首创自营</t>
        </is>
      </c>
      <c r="Y1490" s="191" t="n">
        <v>1.48</v>
      </c>
    </row>
    <row r="1491">
      <c r="A1491" s="172" t="n">
        <v>85</v>
      </c>
      <c r="B1491" s="172" t="inlineStr">
        <is>
          <t>6月</t>
        </is>
      </c>
      <c r="C1491" s="172" t="inlineStr">
        <is>
          <t>企金</t>
        </is>
      </c>
      <c r="D1491" s="172" t="inlineStr">
        <is>
          <t>保理</t>
        </is>
      </c>
      <c r="E1491" s="172" t="inlineStr">
        <is>
          <t>京诚15-9</t>
        </is>
      </c>
      <c r="F1491" s="172" t="inlineStr">
        <is>
          <t>上交所</t>
        </is>
      </c>
      <c r="G1491" s="172" t="inlineStr">
        <is>
          <t>首创证券</t>
        </is>
      </c>
      <c r="H1491" s="172" t="inlineStr">
        <is>
          <t>国金证券</t>
        </is>
      </c>
      <c r="I1491" s="172" t="inlineStr">
        <is>
          <t>工银天分</t>
        </is>
      </c>
      <c r="J1491" s="172" t="n">
        <v>10</v>
      </c>
      <c r="K1491" s="172" t="inlineStr">
        <is>
          <t>2+4</t>
        </is>
      </c>
      <c r="L1491" s="202" t="n">
        <v>46182</v>
      </c>
      <c r="M1491" s="175" t="n">
        <v>0.0145</v>
      </c>
      <c r="N1491" s="176" t="n">
        <v>0.0157</v>
      </c>
      <c r="O1491" s="191" t="n">
        <v>3.92</v>
      </c>
      <c r="P1491" s="172" t="inlineStr">
        <is>
          <t>次级</t>
        </is>
      </c>
      <c r="Q1491" s="175" t="n">
        <v>0.01</v>
      </c>
      <c r="R1491" s="192" t="n">
        <v>0.1</v>
      </c>
      <c r="S1491" s="175" t="inlineStr">
        <is>
          <t>无</t>
        </is>
      </c>
      <c r="T1491" s="175" t="n">
        <v>0.043</v>
      </c>
      <c r="U1491" s="172" t="inlineStr">
        <is>
          <t>华宝证券资管</t>
        </is>
      </c>
      <c r="V1491" s="191" t="n">
        <v>0.1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0.01942</v>
      </c>
      <c r="O1492" s="191" t="n">
        <v>2</v>
      </c>
      <c r="P1492" s="203" t="inlineStr">
        <is>
          <t>优先A</t>
        </is>
      </c>
      <c r="Q1492" s="204" t="n">
        <v>0.9</v>
      </c>
      <c r="R1492" s="205" t="n">
        <v>9</v>
      </c>
      <c r="S1492" s="203" t="inlineStr">
        <is>
          <t>AAA</t>
        </is>
      </c>
      <c r="T1492" s="204" t="n">
        <v>0.016</v>
      </c>
      <c r="U1492" s="203" t="inlineStr">
        <is>
          <t>中银理财</t>
        </is>
      </c>
      <c r="V1492" s="192" t="n">
        <v>2.64</v>
      </c>
      <c r="W1492" s="175" t="n">
        <v>0.015</v>
      </c>
      <c r="X1492" s="172" t="inlineStr">
        <is>
          <t>中银理财</t>
        </is>
      </c>
      <c r="Y1492" s="191" t="n">
        <v>0.5</v>
      </c>
    </row>
    <row r="1493">
      <c r="A1493" s="172" t="n">
        <v>84</v>
      </c>
      <c r="B1493" s="172" t="inlineStr">
        <is>
          <t>6月</t>
        </is>
      </c>
      <c r="C1493" s="172" t="inlineStr">
        <is>
          <t>消金</t>
        </is>
      </c>
      <c r="D1493" s="172" t="inlineStr">
        <is>
          <t>信托金条</t>
        </is>
      </c>
      <c r="E1493" s="172" t="inlineStr">
        <is>
          <t>耘睿22-3</t>
        </is>
      </c>
      <c r="F1493" s="172" t="inlineStr">
        <is>
          <t>上交所</t>
        </is>
      </c>
      <c r="G1493" s="172" t="inlineStr">
        <is>
          <t>国信证券</t>
        </is>
      </c>
      <c r="H1493" s="172" t="inlineStr">
        <is>
          <t>中信建投</t>
        </is>
      </c>
      <c r="I1493" s="172" t="inlineStr">
        <is>
          <t>渤海银行自贸区分行</t>
        </is>
      </c>
      <c r="J1493" s="172" t="n">
        <v>10</v>
      </c>
      <c r="K1493" s="172" t="inlineStr">
        <is>
          <t>11+24</t>
        </is>
      </c>
      <c r="L1493" s="208" t="n">
        <v>46182</v>
      </c>
      <c r="M1493" s="175" t="n">
        <v>0.0145</v>
      </c>
      <c r="N1493" s="176" t="n">
        <v>0.01942</v>
      </c>
      <c r="O1493" s="172" t="n">
        <v>2</v>
      </c>
      <c r="P1493" s="172" t="inlineStr">
        <is>
          <t>优先A</t>
        </is>
      </c>
      <c r="Q1493" s="175" t="n">
        <v>0.9</v>
      </c>
      <c r="R1493" s="192" t="n">
        <v>9</v>
      </c>
      <c r="S1493" s="172" t="inlineStr">
        <is>
          <t>AAA</t>
        </is>
      </c>
      <c r="T1493" s="175" t="n">
        <v>0.016</v>
      </c>
      <c r="U1493" s="172" t="n"/>
      <c r="V1493" s="172" t="n"/>
      <c r="W1493" s="175" t="n">
        <v>0.0152</v>
      </c>
      <c r="X1493" s="172" t="inlineStr">
        <is>
          <t>中银理财</t>
        </is>
      </c>
      <c r="Y1493" s="191" t="n">
        <v>2</v>
      </c>
    </row>
    <row r="1494">
      <c r="A1494" s="172" t="n">
        <v>84</v>
      </c>
      <c r="B1494" s="172" t="inlineStr">
        <is>
          <t>6月</t>
        </is>
      </c>
      <c r="C1494" s="172" t="inlineStr">
        <is>
          <t>消金</t>
        </is>
      </c>
      <c r="D1494" s="172" t="inlineStr">
        <is>
          <t>信托金条</t>
        </is>
      </c>
      <c r="E1494" s="172" t="inlineStr">
        <is>
          <t>耘睿22-3</t>
        </is>
      </c>
      <c r="F1494" s="172" t="inlineStr">
        <is>
          <t>上交所</t>
        </is>
      </c>
      <c r="G1494" s="172" t="inlineStr">
        <is>
          <t>国信证券</t>
        </is>
      </c>
      <c r="H1494" s="172" t="inlineStr">
        <is>
          <t>中信建投</t>
        </is>
      </c>
      <c r="I1494" s="172" t="inlineStr">
        <is>
          <t>渤海银行自贸区分行</t>
        </is>
      </c>
      <c r="J1494" s="172" t="n">
        <v>10</v>
      </c>
      <c r="K1494" s="172" t="inlineStr">
        <is>
          <t>11+24</t>
        </is>
      </c>
      <c r="L1494" s="208" t="n">
        <v>46182</v>
      </c>
      <c r="M1494" s="175" t="n">
        <v>0.0145</v>
      </c>
      <c r="N1494" s="176" t="n">
        <v>0.01942</v>
      </c>
      <c r="O1494" s="172" t="n">
        <v>2</v>
      </c>
      <c r="P1494" s="172" t="inlineStr">
        <is>
          <t>优先A</t>
        </is>
      </c>
      <c r="Q1494" s="175" t="n">
        <v>0.9</v>
      </c>
      <c r="R1494" s="192" t="n">
        <v>9</v>
      </c>
      <c r="S1494" s="172" t="inlineStr">
        <is>
          <t>AAA</t>
        </is>
      </c>
      <c r="T1494" s="175" t="n">
        <v>0.016</v>
      </c>
      <c r="U1494" s="172" t="n"/>
      <c r="V1494" s="172" t="n"/>
      <c r="W1494" s="175" t="n">
        <v>0.016</v>
      </c>
      <c r="X1494" s="172" t="inlineStr">
        <is>
          <t>中银理财</t>
        </is>
      </c>
      <c r="Y1494" s="191" t="n">
        <v>0.2</v>
      </c>
    </row>
    <row r="1495">
      <c r="A1495" s="172" t="n">
        <v>84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耘睿22-3</t>
        </is>
      </c>
      <c r="F1495" s="173" t="inlineStr">
        <is>
          <t>上交所</t>
        </is>
      </c>
      <c r="G1495" s="173" t="inlineStr">
        <is>
          <t>国信证券</t>
        </is>
      </c>
      <c r="H1495" s="173" t="inlineStr">
        <is>
          <t>中信建投</t>
        </is>
      </c>
      <c r="I1495" s="173" t="inlineStr">
        <is>
          <t>渤海银行自贸区分行</t>
        </is>
      </c>
      <c r="J1495" s="172" t="n">
        <v>10</v>
      </c>
      <c r="K1495" s="173" t="inlineStr">
        <is>
          <t>11+24</t>
        </is>
      </c>
      <c r="L1495" s="202" t="n">
        <v>46182</v>
      </c>
      <c r="M1495" s="175" t="n">
        <v>0.0145</v>
      </c>
      <c r="N1495" s="176" t="n">
        <v>0.01942</v>
      </c>
      <c r="O1495" s="191" t="n">
        <v>2</v>
      </c>
      <c r="P1495" s="172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交银理财</t>
        </is>
      </c>
      <c r="V1495" s="192" t="n">
        <v>2.1</v>
      </c>
      <c r="W1495" s="175" t="n">
        <v>0.0157</v>
      </c>
      <c r="X1495" s="172" t="inlineStr">
        <is>
          <t>交银理财</t>
        </is>
      </c>
      <c r="Y1495" s="191" t="n">
        <v>0.5</v>
      </c>
    </row>
    <row r="1496">
      <c r="A1496" s="172" t="n">
        <v>84</v>
      </c>
      <c r="B1496" s="172" t="inlineStr">
        <is>
          <t>6月</t>
        </is>
      </c>
      <c r="C1496" s="172" t="inlineStr">
        <is>
          <t>消金</t>
        </is>
      </c>
      <c r="D1496" s="172" t="inlineStr">
        <is>
          <t>信托金条</t>
        </is>
      </c>
      <c r="E1496" s="172" t="inlineStr">
        <is>
          <t>耘睿22-3</t>
        </is>
      </c>
      <c r="F1496" s="172" t="inlineStr">
        <is>
          <t>上交所</t>
        </is>
      </c>
      <c r="G1496" s="172" t="inlineStr">
        <is>
          <t>国信证券</t>
        </is>
      </c>
      <c r="H1496" s="172" t="inlineStr">
        <is>
          <t>中信建投</t>
        </is>
      </c>
      <c r="I1496" s="172" t="inlineStr">
        <is>
          <t>渤海银行自贸区分行</t>
        </is>
      </c>
      <c r="J1496" s="172" t="n">
        <v>10</v>
      </c>
      <c r="K1496" s="172" t="inlineStr">
        <is>
          <t>11+24</t>
        </is>
      </c>
      <c r="L1496" s="208" t="n">
        <v>46182</v>
      </c>
      <c r="M1496" s="175" t="n">
        <v>0.0145</v>
      </c>
      <c r="N1496" s="176" t="n">
        <v>0.01942</v>
      </c>
      <c r="O1496" s="172" t="n">
        <v>2</v>
      </c>
      <c r="P1496" s="172" t="inlineStr">
        <is>
          <t>优先A</t>
        </is>
      </c>
      <c r="Q1496" s="175" t="n">
        <v>0.9</v>
      </c>
      <c r="R1496" s="192" t="n">
        <v>9</v>
      </c>
      <c r="S1496" s="172" t="inlineStr">
        <is>
          <t>AAA</t>
        </is>
      </c>
      <c r="T1496" s="175" t="n">
        <v>0.016</v>
      </c>
      <c r="U1496" s="172" t="n"/>
      <c r="V1496" s="172" t="n"/>
      <c r="W1496" s="175" t="n">
        <v>0.0158</v>
      </c>
      <c r="X1496" s="172" t="inlineStr">
        <is>
          <t>交银理财</t>
        </is>
      </c>
      <c r="Y1496" s="191" t="n">
        <v>0.3</v>
      </c>
    </row>
    <row r="1497">
      <c r="A1497" s="172" t="n">
        <v>84</v>
      </c>
      <c r="B1497" s="172" t="inlineStr">
        <is>
          <t>6月</t>
        </is>
      </c>
      <c r="C1497" s="172" t="inlineStr">
        <is>
          <t>消金</t>
        </is>
      </c>
      <c r="D1497" s="172" t="inlineStr">
        <is>
          <t>信托金条</t>
        </is>
      </c>
      <c r="E1497" s="172" t="inlineStr">
        <is>
          <t>耘睿22-3</t>
        </is>
      </c>
      <c r="F1497" s="172" t="inlineStr">
        <is>
          <t>上交所</t>
        </is>
      </c>
      <c r="G1497" s="172" t="inlineStr">
        <is>
          <t>国信证券</t>
        </is>
      </c>
      <c r="H1497" s="172" t="inlineStr">
        <is>
          <t>中信建投</t>
        </is>
      </c>
      <c r="I1497" s="172" t="inlineStr">
        <is>
          <t>渤海银行自贸区分行</t>
        </is>
      </c>
      <c r="J1497" s="172" t="n">
        <v>10</v>
      </c>
      <c r="K1497" s="172" t="inlineStr">
        <is>
          <t>11+24</t>
        </is>
      </c>
      <c r="L1497" s="208" t="n">
        <v>46182</v>
      </c>
      <c r="M1497" s="175" t="n">
        <v>0.0145</v>
      </c>
      <c r="N1497" s="176" t="n">
        <v>0.01942</v>
      </c>
      <c r="O1497" s="172" t="n">
        <v>2</v>
      </c>
      <c r="P1497" s="172" t="inlineStr">
        <is>
          <t>优先A</t>
        </is>
      </c>
      <c r="Q1497" s="175" t="n">
        <v>0.9</v>
      </c>
      <c r="R1497" s="192" t="n">
        <v>9</v>
      </c>
      <c r="S1497" s="172" t="inlineStr">
        <is>
          <t>AAA</t>
        </is>
      </c>
      <c r="T1497" s="175" t="n">
        <v>0.016</v>
      </c>
      <c r="U1497" s="172" t="n"/>
      <c r="V1497" s="172" t="n"/>
      <c r="W1497" s="175" t="n">
        <v>0.016</v>
      </c>
      <c r="X1497" s="172" t="inlineStr">
        <is>
          <t>交银理财</t>
        </is>
      </c>
      <c r="Y1497" s="191" t="n">
        <v>1.9</v>
      </c>
    </row>
    <row r="1498">
      <c r="A1498" s="172" t="n">
        <v>84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耘睿22-3</t>
        </is>
      </c>
      <c r="F1498" s="173" t="inlineStr">
        <is>
          <t>上交所</t>
        </is>
      </c>
      <c r="G1498" s="173" t="inlineStr">
        <is>
          <t>国信证券</t>
        </is>
      </c>
      <c r="H1498" s="173" t="inlineStr">
        <is>
          <t>中信建投</t>
        </is>
      </c>
      <c r="I1498" s="173" t="inlineStr">
        <is>
          <t>渤海银行自贸区分行</t>
        </is>
      </c>
      <c r="J1498" s="172" t="n">
        <v>10</v>
      </c>
      <c r="K1498" s="173" t="inlineStr">
        <is>
          <t>11+24</t>
        </is>
      </c>
      <c r="L1498" s="202" t="n">
        <v>46182</v>
      </c>
      <c r="M1498" s="175" t="n">
        <v>0.0145</v>
      </c>
      <c r="N1498" s="176" t="n">
        <v>0.01942</v>
      </c>
      <c r="O1498" s="191" t="n">
        <v>2</v>
      </c>
      <c r="P1498" s="172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中邮理财</t>
        </is>
      </c>
      <c r="V1498" s="192" t="n">
        <v>1.85</v>
      </c>
      <c r="W1498" s="175" t="n">
        <v>0.016</v>
      </c>
      <c r="X1498" s="172" t="inlineStr">
        <is>
          <t>中邮理财</t>
        </is>
      </c>
      <c r="Y1498" s="191" t="n">
        <v>2.7</v>
      </c>
    </row>
    <row r="1499">
      <c r="A1499" s="172" t="n">
        <v>84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耘睿22-3</t>
        </is>
      </c>
      <c r="F1499" s="173" t="inlineStr">
        <is>
          <t>上交所</t>
        </is>
      </c>
      <c r="G1499" s="173" t="inlineStr">
        <is>
          <t>国信证券</t>
        </is>
      </c>
      <c r="H1499" s="173" t="inlineStr">
        <is>
          <t>中信建投</t>
        </is>
      </c>
      <c r="I1499" s="173" t="inlineStr">
        <is>
          <t>渤海银行自贸区分行</t>
        </is>
      </c>
      <c r="J1499" s="172" t="n">
        <v>10</v>
      </c>
      <c r="K1499" s="173" t="inlineStr">
        <is>
          <t>11+24</t>
        </is>
      </c>
      <c r="L1499" s="202" t="n">
        <v>46182</v>
      </c>
      <c r="M1499" s="175" t="n">
        <v>0.0145</v>
      </c>
      <c r="N1499" s="176" t="n">
        <v>0.01942</v>
      </c>
      <c r="O1499" s="191" t="n">
        <v>2</v>
      </c>
      <c r="P1499" s="172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建信理财</t>
        </is>
      </c>
      <c r="V1499" s="192" t="n">
        <v>1.1</v>
      </c>
      <c r="W1499" s="175" t="n">
        <v>0.0155</v>
      </c>
      <c r="X1499" s="172" t="inlineStr">
        <is>
          <t>建信理财</t>
        </is>
      </c>
      <c r="Y1499" s="191" t="n">
        <v>0.9</v>
      </c>
    </row>
    <row r="1500">
      <c r="A1500" s="172" t="n">
        <v>84</v>
      </c>
      <c r="B1500" s="172" t="inlineStr">
        <is>
          <t>6月</t>
        </is>
      </c>
      <c r="C1500" s="172" t="inlineStr">
        <is>
          <t>消金</t>
        </is>
      </c>
      <c r="D1500" s="172" t="inlineStr">
        <is>
          <t>信托金条</t>
        </is>
      </c>
      <c r="E1500" s="172" t="inlineStr">
        <is>
          <t>耘睿22-3</t>
        </is>
      </c>
      <c r="F1500" s="172" t="inlineStr">
        <is>
          <t>上交所</t>
        </is>
      </c>
      <c r="G1500" s="172" t="inlineStr">
        <is>
          <t>国信证券</t>
        </is>
      </c>
      <c r="H1500" s="172" t="inlineStr">
        <is>
          <t>中信建投</t>
        </is>
      </c>
      <c r="I1500" s="172" t="inlineStr">
        <is>
          <t>渤海银行自贸区分行</t>
        </is>
      </c>
      <c r="J1500" s="172" t="n">
        <v>10</v>
      </c>
      <c r="K1500" s="172" t="inlineStr">
        <is>
          <t>11+24</t>
        </is>
      </c>
      <c r="L1500" s="208" t="n">
        <v>46182</v>
      </c>
      <c r="M1500" s="175" t="n">
        <v>0.0145</v>
      </c>
      <c r="N1500" s="176" t="n">
        <v>0.01942</v>
      </c>
      <c r="O1500" s="172" t="n">
        <v>2</v>
      </c>
      <c r="P1500" s="172" t="inlineStr">
        <is>
          <t>优先A</t>
        </is>
      </c>
      <c r="Q1500" s="175" t="n">
        <v>0.9</v>
      </c>
      <c r="R1500" s="192" t="n">
        <v>9</v>
      </c>
      <c r="S1500" s="172" t="inlineStr">
        <is>
          <t>AAA</t>
        </is>
      </c>
      <c r="T1500" s="175" t="n">
        <v>0.016</v>
      </c>
      <c r="U1500" s="172" t="n"/>
      <c r="V1500" s="172" t="n"/>
      <c r="W1500" s="175" t="n">
        <v>0.0156</v>
      </c>
      <c r="X1500" s="172" t="inlineStr">
        <is>
          <t>建信理财</t>
        </is>
      </c>
      <c r="Y1500" s="191" t="n">
        <v>0.2</v>
      </c>
    </row>
    <row r="1501">
      <c r="A1501" s="172" t="n">
        <v>84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耘睿22-3</t>
        </is>
      </c>
      <c r="F1501" s="173" t="inlineStr">
        <is>
          <t>上交所</t>
        </is>
      </c>
      <c r="G1501" s="173" t="inlineStr">
        <is>
          <t>国信证券</t>
        </is>
      </c>
      <c r="H1501" s="173" t="inlineStr">
        <is>
          <t>中信建投</t>
        </is>
      </c>
      <c r="I1501" s="173" t="inlineStr">
        <is>
          <t>渤海银行自贸区分行</t>
        </is>
      </c>
      <c r="J1501" s="172" t="n">
        <v>10</v>
      </c>
      <c r="K1501" s="173" t="inlineStr">
        <is>
          <t>11+24</t>
        </is>
      </c>
      <c r="L1501" s="202" t="n">
        <v>46182</v>
      </c>
      <c r="M1501" s="175" t="n">
        <v>0.0145</v>
      </c>
      <c r="N1501" s="176" t="n">
        <v>0.01942</v>
      </c>
      <c r="O1501" s="191" t="n">
        <v>2</v>
      </c>
      <c r="P1501" s="172" t="inlineStr">
        <is>
          <t>优先A</t>
        </is>
      </c>
      <c r="Q1501" s="204" t="n">
        <v>0.9</v>
      </c>
      <c r="R1501" s="205" t="n">
        <v>9</v>
      </c>
      <c r="S1501" s="203" t="inlineStr">
        <is>
          <t>AAA</t>
        </is>
      </c>
      <c r="T1501" s="204" t="n">
        <v>0.016</v>
      </c>
      <c r="U1501" s="203" t="inlineStr">
        <is>
          <t>渝农商理财</t>
        </is>
      </c>
      <c r="V1501" s="192" t="n">
        <v>0.6899999999999999</v>
      </c>
      <c r="W1501" s="175" t="n">
        <v>0.016</v>
      </c>
      <c r="X1501" s="172" t="inlineStr">
        <is>
          <t>渝农商理财</t>
        </is>
      </c>
      <c r="Y1501" s="191" t="n">
        <v>1</v>
      </c>
    </row>
    <row r="1502">
      <c r="A1502" s="172" t="n">
        <v>84</v>
      </c>
      <c r="B1502" s="172" t="inlineStr">
        <is>
          <t>6月</t>
        </is>
      </c>
      <c r="C1502" s="172" t="inlineStr">
        <is>
          <t>消金</t>
        </is>
      </c>
      <c r="D1502" s="172" t="inlineStr">
        <is>
          <t>信托金条</t>
        </is>
      </c>
      <c r="E1502" s="172" t="inlineStr">
        <is>
          <t>耘睿22-3</t>
        </is>
      </c>
      <c r="F1502" s="172" t="inlineStr">
        <is>
          <t>上交所</t>
        </is>
      </c>
      <c r="G1502" s="172" t="inlineStr">
        <is>
          <t>国信证券</t>
        </is>
      </c>
      <c r="H1502" s="172" t="inlineStr">
        <is>
          <t>中信建投</t>
        </is>
      </c>
      <c r="I1502" s="172" t="inlineStr">
        <is>
          <t>渤海银行自贸区分行</t>
        </is>
      </c>
      <c r="J1502" s="172" t="n">
        <v>10</v>
      </c>
      <c r="K1502" s="172" t="inlineStr">
        <is>
          <t>11+24</t>
        </is>
      </c>
      <c r="L1502" s="208" t="n">
        <v>46182</v>
      </c>
      <c r="M1502" s="175" t="n">
        <v>0.0145</v>
      </c>
      <c r="N1502" s="176" t="n">
        <v>0.01942</v>
      </c>
      <c r="O1502" s="172" t="n">
        <v>2</v>
      </c>
      <c r="P1502" s="172" t="inlineStr">
        <is>
          <t>优先A</t>
        </is>
      </c>
      <c r="Q1502" s="175" t="n">
        <v>0.9</v>
      </c>
      <c r="R1502" s="192" t="n">
        <v>9</v>
      </c>
      <c r="S1502" s="172" t="inlineStr">
        <is>
          <t>AAA</t>
        </is>
      </c>
      <c r="T1502" s="175" t="n">
        <v>0.016</v>
      </c>
      <c r="U1502" s="172" t="n"/>
      <c r="V1502" s="172" t="n"/>
      <c r="W1502" s="175" t="n">
        <v>0.0163</v>
      </c>
      <c r="X1502" s="172" t="inlineStr">
        <is>
          <t>渝农商理财</t>
        </is>
      </c>
      <c r="Y1502" s="191" t="n">
        <v>0.1</v>
      </c>
    </row>
    <row r="1503">
      <c r="A1503" s="172" t="n">
        <v>84</v>
      </c>
      <c r="B1503" s="172" t="inlineStr">
        <is>
          <t>6月</t>
        </is>
      </c>
      <c r="C1503" s="172" t="inlineStr">
        <is>
          <t>消金</t>
        </is>
      </c>
      <c r="D1503" s="172" t="inlineStr">
        <is>
          <t>信托金条</t>
        </is>
      </c>
      <c r="E1503" s="172" t="inlineStr">
        <is>
          <t>耘睿22-3</t>
        </is>
      </c>
      <c r="F1503" s="172" t="inlineStr">
        <is>
          <t>上交所</t>
        </is>
      </c>
      <c r="G1503" s="172" t="inlineStr">
        <is>
          <t>国信证券</t>
        </is>
      </c>
      <c r="H1503" s="172" t="inlineStr">
        <is>
          <t>中信建投</t>
        </is>
      </c>
      <c r="I1503" s="172" t="inlineStr">
        <is>
          <t>渤海银行自贸区分行</t>
        </is>
      </c>
      <c r="J1503" s="172" t="n">
        <v>10</v>
      </c>
      <c r="K1503" s="172" t="inlineStr">
        <is>
          <t>11+24</t>
        </is>
      </c>
      <c r="L1503" s="208" t="n">
        <v>46182</v>
      </c>
      <c r="M1503" s="175" t="n">
        <v>0.0145</v>
      </c>
      <c r="N1503" s="176" t="n">
        <v>0.01942</v>
      </c>
      <c r="O1503" s="172" t="n">
        <v>2</v>
      </c>
      <c r="P1503" s="172" t="inlineStr">
        <is>
          <t>优先A</t>
        </is>
      </c>
      <c r="Q1503" s="175" t="n">
        <v>0.9</v>
      </c>
      <c r="R1503" s="192" t="n">
        <v>9</v>
      </c>
      <c r="S1503" s="172" t="inlineStr">
        <is>
          <t>AAA</t>
        </is>
      </c>
      <c r="T1503" s="175" t="n">
        <v>0.016</v>
      </c>
      <c r="U1503" s="172" t="n"/>
      <c r="V1503" s="172" t="n"/>
      <c r="W1503" s="175" t="n">
        <v>0.0165</v>
      </c>
      <c r="X1503" s="172" t="inlineStr">
        <is>
          <t>渝农商理财</t>
        </is>
      </c>
      <c r="Y1503" s="191" t="n">
        <v>1.6</v>
      </c>
    </row>
    <row r="1504">
      <c r="A1504" s="172" t="n">
        <v>84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耘睿22-3</t>
        </is>
      </c>
      <c r="F1504" s="173" t="inlineStr">
        <is>
          <t>上交所</t>
        </is>
      </c>
      <c r="G1504" s="173" t="inlineStr">
        <is>
          <t>国信证券</t>
        </is>
      </c>
      <c r="H1504" s="173" t="inlineStr">
        <is>
          <t>中信建投</t>
        </is>
      </c>
      <c r="I1504" s="173" t="inlineStr">
        <is>
          <t>渤海银行自贸区分行</t>
        </is>
      </c>
      <c r="J1504" s="172" t="n">
        <v>10</v>
      </c>
      <c r="K1504" s="173" t="inlineStr">
        <is>
          <t>11+24</t>
        </is>
      </c>
      <c r="L1504" s="202" t="n">
        <v>46182</v>
      </c>
      <c r="M1504" s="175" t="n">
        <v>0.0145</v>
      </c>
      <c r="N1504" s="176" t="n">
        <v>0.01942</v>
      </c>
      <c r="O1504" s="191" t="n">
        <v>2</v>
      </c>
      <c r="P1504" s="172" t="inlineStr">
        <is>
          <t>优先A</t>
        </is>
      </c>
      <c r="Q1504" s="204" t="n">
        <v>0.9</v>
      </c>
      <c r="R1504" s="205" t="n">
        <v>9</v>
      </c>
      <c r="S1504" s="203" t="inlineStr">
        <is>
          <t>AAA</t>
        </is>
      </c>
      <c r="T1504" s="204" t="n">
        <v>0.016</v>
      </c>
      <c r="U1504" s="203" t="inlineStr">
        <is>
          <t>华夏基金</t>
        </is>
      </c>
      <c r="V1504" s="192" t="n">
        <v>0.62</v>
      </c>
      <c r="W1504" s="175" t="n">
        <v>0.016</v>
      </c>
      <c r="X1504" s="172" t="inlineStr">
        <is>
          <t>华夏基金</t>
        </is>
      </c>
      <c r="Y1504" s="191" t="n">
        <v>0.9</v>
      </c>
    </row>
    <row r="1505">
      <c r="A1505" s="172" t="n">
        <v>84</v>
      </c>
      <c r="B1505" s="172" t="inlineStr">
        <is>
          <t>6月</t>
        </is>
      </c>
      <c r="C1505" s="172" t="inlineStr">
        <is>
          <t>消金</t>
        </is>
      </c>
      <c r="D1505" s="172" t="inlineStr">
        <is>
          <t>信托金条</t>
        </is>
      </c>
      <c r="E1505" s="172" t="inlineStr">
        <is>
          <t>耘睿22-3</t>
        </is>
      </c>
      <c r="F1505" s="172" t="inlineStr">
        <is>
          <t>上交所</t>
        </is>
      </c>
      <c r="G1505" s="172" t="inlineStr">
        <is>
          <t>国信证券</t>
        </is>
      </c>
      <c r="H1505" s="172" t="inlineStr">
        <is>
          <t>中信建投</t>
        </is>
      </c>
      <c r="I1505" s="172" t="inlineStr">
        <is>
          <t>渤海银行自贸区分行</t>
        </is>
      </c>
      <c r="J1505" s="172" t="n">
        <v>10</v>
      </c>
      <c r="K1505" s="172" t="inlineStr">
        <is>
          <t>11+24</t>
        </is>
      </c>
      <c r="L1505" s="208" t="n">
        <v>46182</v>
      </c>
      <c r="M1505" s="175" t="n">
        <v>0.0145</v>
      </c>
      <c r="N1505" s="176" t="n">
        <v>0.01942</v>
      </c>
      <c r="O1505" s="172" t="n">
        <v>2</v>
      </c>
      <c r="P1505" s="172" t="inlineStr">
        <is>
          <t>优先A</t>
        </is>
      </c>
      <c r="Q1505" s="175" t="n">
        <v>0.9</v>
      </c>
      <c r="R1505" s="192" t="n">
        <v>9</v>
      </c>
      <c r="S1505" s="172" t="inlineStr">
        <is>
          <t>AAA</t>
        </is>
      </c>
      <c r="T1505" s="175" t="n">
        <v>0.016</v>
      </c>
      <c r="U1505" s="172" t="n"/>
      <c r="V1505" s="172" t="n"/>
      <c r="W1505" s="175" t="n">
        <v>0.016</v>
      </c>
      <c r="X1505" s="172" t="inlineStr">
        <is>
          <t>中信建投证券</t>
        </is>
      </c>
      <c r="Y1505" s="191" t="n">
        <v>1.3</v>
      </c>
    </row>
    <row r="1506">
      <c r="A1506" s="172" t="n">
        <v>84</v>
      </c>
      <c r="B1506" s="172" t="inlineStr">
        <is>
          <t>6月</t>
        </is>
      </c>
      <c r="C1506" s="172" t="inlineStr">
        <is>
          <t>消金</t>
        </is>
      </c>
      <c r="D1506" s="172" t="inlineStr">
        <is>
          <t>信托金条</t>
        </is>
      </c>
      <c r="E1506" s="172" t="inlineStr">
        <is>
          <t>耘睿22-3</t>
        </is>
      </c>
      <c r="F1506" s="172" t="inlineStr">
        <is>
          <t>上交所</t>
        </is>
      </c>
      <c r="G1506" s="172" t="inlineStr">
        <is>
          <t>国信证券</t>
        </is>
      </c>
      <c r="H1506" s="172" t="inlineStr">
        <is>
          <t>中信建投</t>
        </is>
      </c>
      <c r="I1506" s="172" t="inlineStr">
        <is>
          <t>渤海银行自贸区分行</t>
        </is>
      </c>
      <c r="J1506" s="172" t="n">
        <v>10</v>
      </c>
      <c r="K1506" s="172" t="inlineStr">
        <is>
          <t>11+24</t>
        </is>
      </c>
      <c r="L1506" s="208" t="n">
        <v>46182</v>
      </c>
      <c r="M1506" s="175" t="n">
        <v>0.0145</v>
      </c>
      <c r="N1506" s="176" t="n">
        <v>0.01942</v>
      </c>
      <c r="O1506" s="172" t="n">
        <v>2</v>
      </c>
      <c r="P1506" s="172" t="inlineStr">
        <is>
          <t>优先A</t>
        </is>
      </c>
      <c r="Q1506" s="175" t="n">
        <v>0.9</v>
      </c>
      <c r="R1506" s="192" t="n">
        <v>9</v>
      </c>
      <c r="S1506" s="172" t="inlineStr">
        <is>
          <t>AAA</t>
        </is>
      </c>
      <c r="T1506" s="175" t="n">
        <v>0.016</v>
      </c>
      <c r="U1506" s="172" t="n"/>
      <c r="V1506" s="172" t="n"/>
      <c r="W1506" s="175" t="n">
        <v>0.017</v>
      </c>
      <c r="X1506" s="172" t="inlineStr">
        <is>
          <t>国信证券</t>
        </is>
      </c>
      <c r="Y1506" s="191" t="n">
        <v>1.3</v>
      </c>
    </row>
    <row r="1507">
      <c r="A1507" s="172" t="n">
        <v>84</v>
      </c>
      <c r="B1507" s="172" t="inlineStr">
        <is>
          <t>6月</t>
        </is>
      </c>
      <c r="C1507" s="172" t="inlineStr">
        <is>
          <t>消金</t>
        </is>
      </c>
      <c r="D1507" s="172" t="inlineStr">
        <is>
          <t>信托金条</t>
        </is>
      </c>
      <c r="E1507" s="172" t="inlineStr">
        <is>
          <t>耘睿22-3</t>
        </is>
      </c>
      <c r="F1507" s="172" t="inlineStr">
        <is>
          <t>上交所</t>
        </is>
      </c>
      <c r="G1507" s="172" t="inlineStr">
        <is>
          <t>国信证券</t>
        </is>
      </c>
      <c r="H1507" s="172" t="inlineStr">
        <is>
          <t>中信建投</t>
        </is>
      </c>
      <c r="I1507" s="172" t="inlineStr">
        <is>
          <t>渤海银行自贸区分行</t>
        </is>
      </c>
      <c r="J1507" s="172" t="n">
        <v>10</v>
      </c>
      <c r="K1507" s="172" t="inlineStr">
        <is>
          <t>11+24</t>
        </is>
      </c>
      <c r="L1507" s="208" t="n">
        <v>46182</v>
      </c>
      <c r="M1507" s="175" t="n">
        <v>0.0145</v>
      </c>
      <c r="N1507" s="176" t="n">
        <v>0.01942</v>
      </c>
      <c r="O1507" s="172" t="n">
        <v>2</v>
      </c>
      <c r="P1507" s="172" t="inlineStr">
        <is>
          <t>优先A</t>
        </is>
      </c>
      <c r="Q1507" s="175" t="n">
        <v>0.9</v>
      </c>
      <c r="R1507" s="192" t="n">
        <v>9</v>
      </c>
      <c r="S1507" s="172" t="inlineStr">
        <is>
          <t>AAA</t>
        </is>
      </c>
      <c r="T1507" s="175" t="n">
        <v>0.016</v>
      </c>
      <c r="U1507" s="172" t="n"/>
      <c r="V1507" s="172" t="n"/>
      <c r="W1507" s="175" t="n">
        <v>0.017</v>
      </c>
      <c r="X1507" s="172" t="inlineStr">
        <is>
          <t>杭州联合农商行</t>
        </is>
      </c>
      <c r="Y1507" s="191" t="n">
        <v>0.5</v>
      </c>
    </row>
    <row r="1508">
      <c r="A1508" s="172" t="n">
        <v>84</v>
      </c>
      <c r="B1508" s="172" t="inlineStr">
        <is>
          <t>6月</t>
        </is>
      </c>
      <c r="C1508" s="172" t="inlineStr">
        <is>
          <t>消金</t>
        </is>
      </c>
      <c r="D1508" s="172" t="inlineStr">
        <is>
          <t>信托金条</t>
        </is>
      </c>
      <c r="E1508" s="172" t="inlineStr">
        <is>
          <t>耘睿22-3</t>
        </is>
      </c>
      <c r="F1508" s="172" t="inlineStr">
        <is>
          <t>上交所</t>
        </is>
      </c>
      <c r="G1508" s="172" t="inlineStr">
        <is>
          <t>国信证券</t>
        </is>
      </c>
      <c r="H1508" s="172" t="inlineStr">
        <is>
          <t>中信建投</t>
        </is>
      </c>
      <c r="I1508" s="172" t="inlineStr">
        <is>
          <t>渤海银行自贸区分行</t>
        </is>
      </c>
      <c r="J1508" s="172" t="n">
        <v>10</v>
      </c>
      <c r="K1508" s="172" t="inlineStr">
        <is>
          <t>11+24</t>
        </is>
      </c>
      <c r="L1508" s="208" t="n">
        <v>46182</v>
      </c>
      <c r="M1508" s="175" t="n">
        <v>0.0145</v>
      </c>
      <c r="N1508" s="176" t="n">
        <v>0.01942</v>
      </c>
      <c r="O1508" s="172" t="n">
        <v>2</v>
      </c>
      <c r="P1508" s="172" t="inlineStr">
        <is>
          <t>优先A</t>
        </is>
      </c>
      <c r="Q1508" s="175" t="n">
        <v>0.9</v>
      </c>
      <c r="R1508" s="192" t="n">
        <v>9</v>
      </c>
      <c r="S1508" s="172" t="inlineStr">
        <is>
          <t>AAA</t>
        </is>
      </c>
      <c r="T1508" s="175" t="n">
        <v>0.016</v>
      </c>
      <c r="U1508" s="172" t="n"/>
      <c r="V1508" s="172" t="n"/>
      <c r="W1508" s="175" t="n">
        <v>0.024</v>
      </c>
      <c r="X1508" s="172" t="inlineStr">
        <is>
          <t>利曦私募基金</t>
        </is>
      </c>
      <c r="Y1508" s="191" t="n">
        <v>2</v>
      </c>
    </row>
    <row r="1509">
      <c r="A1509" s="172" t="n">
        <v>84</v>
      </c>
      <c r="B1509" s="173" t="inlineStr">
        <is>
          <t>6月</t>
        </is>
      </c>
      <c r="C1509" s="173" t="inlineStr">
        <is>
          <t>消金</t>
        </is>
      </c>
      <c r="D1509" s="173" t="inlineStr">
        <is>
          <t>信托金条</t>
        </is>
      </c>
      <c r="E1509" s="173" t="inlineStr">
        <is>
          <t>耘睿22-3</t>
        </is>
      </c>
      <c r="F1509" s="173" t="inlineStr">
        <is>
          <t>上交所</t>
        </is>
      </c>
      <c r="G1509" s="173" t="inlineStr">
        <is>
          <t>国信证券</t>
        </is>
      </c>
      <c r="H1509" s="173" t="inlineStr">
        <is>
          <t>中信建投</t>
        </is>
      </c>
      <c r="I1509" s="173" t="inlineStr">
        <is>
          <t>渤海银行自贸区分行</t>
        </is>
      </c>
      <c r="J1509" s="172" t="n">
        <v>10</v>
      </c>
      <c r="K1509" s="173" t="inlineStr">
        <is>
          <t>11+24</t>
        </is>
      </c>
      <c r="L1509" s="202" t="n">
        <v>46182</v>
      </c>
      <c r="M1509" s="175" t="n">
        <v>0.0145</v>
      </c>
      <c r="N1509" s="176" t="n">
        <v>0.01942</v>
      </c>
      <c r="O1509" s="191" t="n">
        <v>2</v>
      </c>
      <c r="P1509" s="203" t="inlineStr">
        <is>
          <t>优先B</t>
        </is>
      </c>
      <c r="Q1509" s="204" t="n">
        <v>0.03</v>
      </c>
      <c r="R1509" s="205" t="n">
        <v>0.3</v>
      </c>
      <c r="S1509" s="203" t="inlineStr">
        <is>
          <t>AA+</t>
        </is>
      </c>
      <c r="T1509" s="204" t="n">
        <v>0.017</v>
      </c>
      <c r="U1509" s="203" t="inlineStr">
        <is>
          <t>交银理财</t>
        </is>
      </c>
      <c r="V1509" s="192" t="n">
        <v>0.09</v>
      </c>
      <c r="W1509" s="175" t="n">
        <v>0.017</v>
      </c>
      <c r="X1509" s="172" t="inlineStr">
        <is>
          <t>交银理财</t>
        </is>
      </c>
      <c r="Y1509" s="191" t="n">
        <v>0.09</v>
      </c>
    </row>
    <row r="1510">
      <c r="A1510" s="172" t="n">
        <v>84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耘睿22-3</t>
        </is>
      </c>
      <c r="F1510" s="173" t="inlineStr">
        <is>
          <t>上交所</t>
        </is>
      </c>
      <c r="G1510" s="173" t="inlineStr">
        <is>
          <t>国信证券</t>
        </is>
      </c>
      <c r="H1510" s="173" t="inlineStr">
        <is>
          <t>中信建投</t>
        </is>
      </c>
      <c r="I1510" s="173" t="inlineStr">
        <is>
          <t>渤海银行自贸区分行</t>
        </is>
      </c>
      <c r="J1510" s="172" t="n">
        <v>10</v>
      </c>
      <c r="K1510" s="173" t="inlineStr">
        <is>
          <t>11+24</t>
        </is>
      </c>
      <c r="L1510" s="202" t="n">
        <v>46182</v>
      </c>
      <c r="M1510" s="175" t="n">
        <v>0.0145</v>
      </c>
      <c r="N1510" s="176" t="n">
        <v>0.01942</v>
      </c>
      <c r="O1510" s="191" t="n">
        <v>2</v>
      </c>
      <c r="P1510" s="172" t="inlineStr">
        <is>
          <t>优先B</t>
        </is>
      </c>
      <c r="Q1510" s="204" t="n">
        <v>0.03</v>
      </c>
      <c r="R1510" s="205" t="n">
        <v>0.3</v>
      </c>
      <c r="S1510" s="203" t="inlineStr">
        <is>
          <t>AA+</t>
        </is>
      </c>
      <c r="T1510" s="204" t="n">
        <v>0.017</v>
      </c>
      <c r="U1510" s="203" t="inlineStr">
        <is>
          <t>渝农商理财</t>
        </is>
      </c>
      <c r="V1510" s="192" t="n">
        <v>0.09</v>
      </c>
      <c r="W1510" s="175" t="n">
        <v>0.017</v>
      </c>
      <c r="X1510" s="172" t="inlineStr">
        <is>
          <t>渝农商理财</t>
        </is>
      </c>
      <c r="Y1510" s="191" t="n">
        <v>0.09</v>
      </c>
    </row>
    <row r="1511">
      <c r="A1511" s="172" t="n">
        <v>84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耘睿22-3</t>
        </is>
      </c>
      <c r="F1511" s="173" t="inlineStr">
        <is>
          <t>上交所</t>
        </is>
      </c>
      <c r="G1511" s="173" t="inlineStr">
        <is>
          <t>国信证券</t>
        </is>
      </c>
      <c r="H1511" s="173" t="inlineStr">
        <is>
          <t>中信建投</t>
        </is>
      </c>
      <c r="I1511" s="173" t="inlineStr">
        <is>
          <t>渤海银行自贸区分行</t>
        </is>
      </c>
      <c r="J1511" s="172" t="n">
        <v>10</v>
      </c>
      <c r="K1511" s="173" t="inlineStr">
        <is>
          <t>11+24</t>
        </is>
      </c>
      <c r="L1511" s="202" t="n">
        <v>46182</v>
      </c>
      <c r="M1511" s="175" t="n">
        <v>0.0145</v>
      </c>
      <c r="N1511" s="176" t="n">
        <v>0.01942</v>
      </c>
      <c r="O1511" s="191" t="n">
        <v>2</v>
      </c>
      <c r="P1511" s="172" t="inlineStr">
        <is>
          <t>优先B</t>
        </is>
      </c>
      <c r="Q1511" s="204" t="n">
        <v>0.03</v>
      </c>
      <c r="R1511" s="205" t="n">
        <v>0.3</v>
      </c>
      <c r="S1511" s="203" t="inlineStr">
        <is>
          <t>AA+</t>
        </is>
      </c>
      <c r="T1511" s="204" t="n">
        <v>0.017</v>
      </c>
      <c r="U1511" s="203" t="inlineStr">
        <is>
          <t>杭州联合银行</t>
        </is>
      </c>
      <c r="V1511" s="192" t="n">
        <v>0.09</v>
      </c>
      <c r="W1511" s="172" t="n"/>
      <c r="X1511" s="172" t="n"/>
      <c r="Y1511" s="172" t="n"/>
    </row>
    <row r="1512">
      <c r="A1512" s="172" t="n">
        <v>84</v>
      </c>
      <c r="B1512" s="173" t="inlineStr">
        <is>
          <t>6月</t>
        </is>
      </c>
      <c r="C1512" s="173" t="inlineStr">
        <is>
          <t>消金</t>
        </is>
      </c>
      <c r="D1512" s="173" t="inlineStr">
        <is>
          <t>信托金条</t>
        </is>
      </c>
      <c r="E1512" s="173" t="inlineStr">
        <is>
          <t>耘睿22-3</t>
        </is>
      </c>
      <c r="F1512" s="173" t="inlineStr">
        <is>
          <t>上交所</t>
        </is>
      </c>
      <c r="G1512" s="173" t="inlineStr">
        <is>
          <t>国信证券</t>
        </is>
      </c>
      <c r="H1512" s="173" t="inlineStr">
        <is>
          <t>中信建投</t>
        </is>
      </c>
      <c r="I1512" s="173" t="inlineStr">
        <is>
          <t>渤海银行自贸区分行</t>
        </is>
      </c>
      <c r="J1512" s="172" t="n">
        <v>10</v>
      </c>
      <c r="K1512" s="173" t="inlineStr">
        <is>
          <t>11+24</t>
        </is>
      </c>
      <c r="L1512" s="202" t="n">
        <v>46182</v>
      </c>
      <c r="M1512" s="175" t="n">
        <v>0.0145</v>
      </c>
      <c r="N1512" s="176" t="n">
        <v>0.01942</v>
      </c>
      <c r="O1512" s="191" t="n">
        <v>2</v>
      </c>
      <c r="P1512" s="172" t="inlineStr">
        <is>
          <t>优先B</t>
        </is>
      </c>
      <c r="Q1512" s="204" t="n">
        <v>0.03</v>
      </c>
      <c r="R1512" s="205" t="n">
        <v>0.3</v>
      </c>
      <c r="S1512" s="203" t="inlineStr">
        <is>
          <t>AA+</t>
        </is>
      </c>
      <c r="T1512" s="204" t="n">
        <v>0.017</v>
      </c>
      <c r="U1512" s="203" t="inlineStr">
        <is>
          <t>国信证券投行</t>
        </is>
      </c>
      <c r="V1512" s="192" t="n">
        <v>0.03</v>
      </c>
      <c r="W1512" s="175" t="n">
        <v>0.017</v>
      </c>
      <c r="X1512" s="172" t="inlineStr">
        <is>
          <t>国信证券</t>
        </is>
      </c>
      <c r="Y1512" s="191" t="n">
        <v>0.03</v>
      </c>
    </row>
    <row r="1513">
      <c r="A1513" s="172" t="n">
        <v>84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耘睿22-3</t>
        </is>
      </c>
      <c r="F1513" s="172" t="inlineStr">
        <is>
          <t>上交所</t>
        </is>
      </c>
      <c r="G1513" s="172" t="inlineStr">
        <is>
          <t>国信证券</t>
        </is>
      </c>
      <c r="H1513" s="172" t="inlineStr">
        <is>
          <t>中信建投</t>
        </is>
      </c>
      <c r="I1513" s="172" t="inlineStr">
        <is>
          <t>渤海银行自贸区分行</t>
        </is>
      </c>
      <c r="J1513" s="172" t="n">
        <v>10</v>
      </c>
      <c r="K1513" s="172" t="inlineStr">
        <is>
          <t>11+24</t>
        </is>
      </c>
      <c r="L1513" s="208" t="n">
        <v>46182</v>
      </c>
      <c r="M1513" s="175" t="n">
        <v>0.0145</v>
      </c>
      <c r="N1513" s="176" t="n">
        <v>0.01942</v>
      </c>
      <c r="O1513" s="172" t="n">
        <v>2</v>
      </c>
      <c r="P1513" s="172" t="inlineStr">
        <is>
          <t>优先B</t>
        </is>
      </c>
      <c r="Q1513" s="175" t="n">
        <v>0.03</v>
      </c>
      <c r="R1513" s="192" t="n">
        <v>0.3</v>
      </c>
      <c r="S1513" s="172" t="inlineStr">
        <is>
          <t>AA+</t>
        </is>
      </c>
      <c r="T1513" s="175" t="n">
        <v>0.017</v>
      </c>
      <c r="U1513" s="172" t="n"/>
      <c r="V1513" s="172" t="n"/>
      <c r="W1513" s="175" t="n">
        <v>0.017</v>
      </c>
      <c r="X1513" s="172" t="inlineStr">
        <is>
          <t>杭州联合农商行</t>
        </is>
      </c>
      <c r="Y1513" s="191" t="n">
        <v>0.09</v>
      </c>
    </row>
    <row r="1514">
      <c r="A1514" s="172" t="n">
        <v>84</v>
      </c>
      <c r="B1514" s="173" t="inlineStr">
        <is>
          <t>6月</t>
        </is>
      </c>
      <c r="C1514" s="173" t="inlineStr">
        <is>
          <t>消金</t>
        </is>
      </c>
      <c r="D1514" s="173" t="inlineStr">
        <is>
          <t>信托金条</t>
        </is>
      </c>
      <c r="E1514" s="173" t="inlineStr">
        <is>
          <t>耘睿22-3</t>
        </is>
      </c>
      <c r="F1514" s="173" t="inlineStr">
        <is>
          <t>上交所</t>
        </is>
      </c>
      <c r="G1514" s="173" t="inlineStr">
        <is>
          <t>国信证券</t>
        </is>
      </c>
      <c r="H1514" s="173" t="inlineStr">
        <is>
          <t>中信建投</t>
        </is>
      </c>
      <c r="I1514" s="173" t="inlineStr">
        <is>
          <t>渤海银行自贸区分行</t>
        </is>
      </c>
      <c r="J1514" s="172" t="n">
        <v>10</v>
      </c>
      <c r="K1514" s="173" t="inlineStr">
        <is>
          <t>11+24</t>
        </is>
      </c>
      <c r="L1514" s="202" t="n">
        <v>46182</v>
      </c>
      <c r="M1514" s="175" t="n">
        <v>0.0145</v>
      </c>
      <c r="N1514" s="176" t="n">
        <v>0.01942</v>
      </c>
      <c r="O1514" s="191" t="n">
        <v>2</v>
      </c>
      <c r="P1514" s="203" t="inlineStr">
        <is>
          <t>中间级</t>
        </is>
      </c>
      <c r="Q1514" s="204" t="n">
        <v>0.02</v>
      </c>
      <c r="R1514" s="205" t="n">
        <v>0.2</v>
      </c>
      <c r="S1514" s="203" t="inlineStr">
        <is>
          <t>A+</t>
        </is>
      </c>
      <c r="T1514" s="204" t="n">
        <v>0.031</v>
      </c>
      <c r="U1514" s="203" t="inlineStr">
        <is>
          <t>中金投顾</t>
        </is>
      </c>
      <c r="V1514" s="192" t="n">
        <v>0.14</v>
      </c>
      <c r="W1514" s="172" t="n"/>
      <c r="X1514" s="172" t="n"/>
      <c r="Y1514" s="172" t="n"/>
    </row>
    <row r="1515">
      <c r="A1515" s="172" t="n">
        <v>84</v>
      </c>
      <c r="B1515" s="173" t="inlineStr">
        <is>
          <t>6月</t>
        </is>
      </c>
      <c r="C1515" s="173" t="inlineStr">
        <is>
          <t>消金</t>
        </is>
      </c>
      <c r="D1515" s="173" t="inlineStr">
        <is>
          <t>信托金条</t>
        </is>
      </c>
      <c r="E1515" s="173" t="inlineStr">
        <is>
          <t>耘睿22-3</t>
        </is>
      </c>
      <c r="F1515" s="173" t="inlineStr">
        <is>
          <t>上交所</t>
        </is>
      </c>
      <c r="G1515" s="173" t="inlineStr">
        <is>
          <t>国信证券</t>
        </is>
      </c>
      <c r="H1515" s="173" t="inlineStr">
        <is>
          <t>中信建投</t>
        </is>
      </c>
      <c r="I1515" s="173" t="inlineStr">
        <is>
          <t>渤海银行自贸区分行</t>
        </is>
      </c>
      <c r="J1515" s="172" t="n">
        <v>10</v>
      </c>
      <c r="K1515" s="173" t="inlineStr">
        <is>
          <t>11+24</t>
        </is>
      </c>
      <c r="L1515" s="202" t="n">
        <v>46182</v>
      </c>
      <c r="M1515" s="175" t="n">
        <v>0.0145</v>
      </c>
      <c r="N1515" s="176" t="n">
        <v>0.01942</v>
      </c>
      <c r="O1515" s="191" t="n">
        <v>2</v>
      </c>
      <c r="P1515" s="172" t="inlineStr">
        <is>
          <t>中间级</t>
        </is>
      </c>
      <c r="Q1515" s="204" t="n">
        <v>0.02</v>
      </c>
      <c r="R1515" s="205" t="n">
        <v>0.2</v>
      </c>
      <c r="S1515" s="203" t="inlineStr">
        <is>
          <t>A+</t>
        </is>
      </c>
      <c r="T1515" s="204" t="n">
        <v>0.031</v>
      </c>
      <c r="U1515" s="203" t="inlineStr">
        <is>
          <t>杭州联合银行</t>
        </is>
      </c>
      <c r="V1515" s="192" t="n">
        <v>0.06</v>
      </c>
      <c r="W1515" s="172" t="n"/>
      <c r="X1515" s="172" t="n"/>
      <c r="Y1515" s="172" t="n"/>
    </row>
    <row r="1516">
      <c r="A1516" s="172" t="n">
        <v>84</v>
      </c>
      <c r="B1516" s="173" t="inlineStr">
        <is>
          <t>6月</t>
        </is>
      </c>
      <c r="C1516" s="173" t="inlineStr">
        <is>
          <t>消金</t>
        </is>
      </c>
      <c r="D1516" s="173" t="inlineStr">
        <is>
          <t>信托金条</t>
        </is>
      </c>
      <c r="E1516" s="173" t="inlineStr">
        <is>
          <t>耘睿22-3</t>
        </is>
      </c>
      <c r="F1516" s="173" t="inlineStr">
        <is>
          <t>上交所</t>
        </is>
      </c>
      <c r="G1516" s="173" t="inlineStr">
        <is>
          <t>国信证券</t>
        </is>
      </c>
      <c r="H1516" s="173" t="inlineStr">
        <is>
          <t>中信建投</t>
        </is>
      </c>
      <c r="I1516" s="173" t="inlineStr">
        <is>
          <t>渤海银行自贸区分行</t>
        </is>
      </c>
      <c r="J1516" s="172" t="n">
        <v>10</v>
      </c>
      <c r="K1516" s="173" t="inlineStr">
        <is>
          <t>11+24</t>
        </is>
      </c>
      <c r="L1516" s="202" t="n">
        <v>46182</v>
      </c>
      <c r="M1516" s="175" t="n">
        <v>0.0145</v>
      </c>
      <c r="N1516" s="176" t="n">
        <v>0.01942</v>
      </c>
      <c r="O1516" s="191" t="n">
        <v>2</v>
      </c>
      <c r="P1516" s="203" t="inlineStr">
        <is>
          <t>次级</t>
        </is>
      </c>
      <c r="Q1516" s="204" t="n">
        <v>0.05</v>
      </c>
      <c r="R1516" s="205" t="n">
        <v>0.5</v>
      </c>
      <c r="S1516" s="203" t="inlineStr">
        <is>
          <t>无</t>
        </is>
      </c>
      <c r="T1516" s="204" t="n">
        <v>0.0495</v>
      </c>
      <c r="U1516" s="203" t="inlineStr">
        <is>
          <t>华兴证券自营</t>
        </is>
      </c>
      <c r="V1516" s="192" t="n">
        <v>0.07000000000000001</v>
      </c>
      <c r="W1516" s="172" t="n"/>
      <c r="X1516" s="172" t="n"/>
      <c r="Y1516" s="172" t="n"/>
    </row>
    <row r="1517">
      <c r="A1517" s="172" t="n">
        <v>84</v>
      </c>
      <c r="B1517" s="173" t="inlineStr">
        <is>
          <t>6月</t>
        </is>
      </c>
      <c r="C1517" s="173" t="inlineStr">
        <is>
          <t>消金</t>
        </is>
      </c>
      <c r="D1517" s="173" t="inlineStr">
        <is>
          <t>信托金条</t>
        </is>
      </c>
      <c r="E1517" s="173" t="inlineStr">
        <is>
          <t>耘睿22-3</t>
        </is>
      </c>
      <c r="F1517" s="173" t="inlineStr">
        <is>
          <t>上交所</t>
        </is>
      </c>
      <c r="G1517" s="173" t="inlineStr">
        <is>
          <t>国信证券</t>
        </is>
      </c>
      <c r="H1517" s="173" t="inlineStr">
        <is>
          <t>中信建投</t>
        </is>
      </c>
      <c r="I1517" s="173" t="inlineStr">
        <is>
          <t>渤海银行自贸区分行</t>
        </is>
      </c>
      <c r="J1517" s="172" t="n">
        <v>10</v>
      </c>
      <c r="K1517" s="173" t="inlineStr">
        <is>
          <t>11+24</t>
        </is>
      </c>
      <c r="L1517" s="202" t="n">
        <v>46182</v>
      </c>
      <c r="M1517" s="175" t="n">
        <v>0.0145</v>
      </c>
      <c r="N1517" s="176" t="n">
        <v>0.01942</v>
      </c>
      <c r="O1517" s="191" t="n">
        <v>2</v>
      </c>
      <c r="P1517" s="172" t="inlineStr">
        <is>
          <t>次级</t>
        </is>
      </c>
      <c r="Q1517" s="204" t="n">
        <v>0.05</v>
      </c>
      <c r="R1517" s="205" t="n">
        <v>0.5</v>
      </c>
      <c r="S1517" s="203" t="inlineStr">
        <is>
          <t>无</t>
        </is>
      </c>
      <c r="T1517" s="204" t="n">
        <v>0.0495</v>
      </c>
      <c r="U1517" s="203" t="inlineStr">
        <is>
          <t>中信建投投顾</t>
        </is>
      </c>
      <c r="V1517" s="192" t="n">
        <v>0.25</v>
      </c>
      <c r="W1517" s="172" t="n"/>
      <c r="X1517" s="172" t="n"/>
      <c r="Y1517" s="172" t="n"/>
    </row>
    <row r="1518">
      <c r="A1518" s="172" t="n">
        <v>84</v>
      </c>
      <c r="B1518" s="173" t="inlineStr">
        <is>
          <t>6月</t>
        </is>
      </c>
      <c r="C1518" s="173" t="inlineStr">
        <is>
          <t>消金</t>
        </is>
      </c>
      <c r="D1518" s="173" t="inlineStr">
        <is>
          <t>信托金条</t>
        </is>
      </c>
      <c r="E1518" s="173" t="inlineStr">
        <is>
          <t>耘睿22-3</t>
        </is>
      </c>
      <c r="F1518" s="173" t="inlineStr">
        <is>
          <t>上交所</t>
        </is>
      </c>
      <c r="G1518" s="173" t="inlineStr">
        <is>
          <t>国信证券</t>
        </is>
      </c>
      <c r="H1518" s="173" t="inlineStr">
        <is>
          <t>中信建投</t>
        </is>
      </c>
      <c r="I1518" s="173" t="inlineStr">
        <is>
          <t>渤海银行自贸区分行</t>
        </is>
      </c>
      <c r="J1518" s="172" t="n">
        <v>10</v>
      </c>
      <c r="K1518" s="173" t="inlineStr">
        <is>
          <t>11+24</t>
        </is>
      </c>
      <c r="L1518" s="202" t="n">
        <v>46182</v>
      </c>
      <c r="M1518" s="175" t="n">
        <v>0.0145</v>
      </c>
      <c r="N1518" s="176" t="n">
        <v>0.01942</v>
      </c>
      <c r="O1518" s="191" t="n">
        <v>2</v>
      </c>
      <c r="P1518" s="172" t="inlineStr">
        <is>
          <t>次级</t>
        </is>
      </c>
      <c r="Q1518" s="204" t="n">
        <v>0.05</v>
      </c>
      <c r="R1518" s="205" t="n">
        <v>0.5</v>
      </c>
      <c r="S1518" s="203" t="inlineStr">
        <is>
          <t>无</t>
        </is>
      </c>
      <c r="T1518" s="204" t="n">
        <v>0.0495</v>
      </c>
      <c r="U1518" s="203" t="inlineStr">
        <is>
          <t>中信建投机构部</t>
        </is>
      </c>
      <c r="V1518" s="195" t="n">
        <v>0.18</v>
      </c>
      <c r="W1518" s="172" t="n"/>
      <c r="X1518" s="172" t="n"/>
      <c r="Y1518" s="172" t="n"/>
    </row>
    <row r="1519">
      <c r="A1519" s="172" t="n">
        <v>86</v>
      </c>
      <c r="B1519" s="173" t="inlineStr">
        <is>
          <t>6月</t>
        </is>
      </c>
      <c r="C1519" s="173" t="inlineStr">
        <is>
          <t>消金</t>
        </is>
      </c>
      <c r="D1519" s="173" t="inlineStr">
        <is>
          <t>信托金条</t>
        </is>
      </c>
      <c r="E1519" s="173" t="inlineStr">
        <is>
          <t>耘睿22-5</t>
        </is>
      </c>
      <c r="F1519" s="173" t="inlineStr">
        <is>
          <t>上交所</t>
        </is>
      </c>
      <c r="G1519" s="173" t="inlineStr">
        <is>
          <t>招商证券</t>
        </is>
      </c>
      <c r="H1519" s="173" t="inlineStr">
        <is>
          <t>平安证券</t>
        </is>
      </c>
      <c r="I1519" s="173" t="inlineStr">
        <is>
          <t>北京银行西单支行</t>
        </is>
      </c>
      <c r="J1519" s="172" t="n">
        <v>10</v>
      </c>
      <c r="K1519" s="173" t="inlineStr">
        <is>
          <t>11+24</t>
        </is>
      </c>
      <c r="L1519" s="202" t="n">
        <v>46184</v>
      </c>
      <c r="M1519" s="175" t="n">
        <v>0.0145</v>
      </c>
      <c r="N1519" s="176" t="n">
        <v>0.01926</v>
      </c>
      <c r="O1519" s="172" t="n">
        <v>1.92</v>
      </c>
      <c r="P1519" s="203" t="inlineStr">
        <is>
          <t>优先A</t>
        </is>
      </c>
      <c r="Q1519" s="204" t="n">
        <v>0.9</v>
      </c>
      <c r="R1519" s="205" t="n">
        <v>9</v>
      </c>
      <c r="S1519" s="203" t="inlineStr">
        <is>
          <t>AAA</t>
        </is>
      </c>
      <c r="T1519" s="204" t="n">
        <v>0.016</v>
      </c>
      <c r="U1519" s="203" t="inlineStr">
        <is>
          <t>中邮理财</t>
        </is>
      </c>
      <c r="V1519" s="192" t="n">
        <v>1.8</v>
      </c>
      <c r="W1519" s="175" t="n">
        <v>0.016</v>
      </c>
      <c r="X1519" s="172" t="inlineStr">
        <is>
          <t>中邮理财</t>
        </is>
      </c>
      <c r="Y1519" s="191" t="n">
        <v>2.7</v>
      </c>
    </row>
    <row r="1520">
      <c r="A1520" s="172" t="n">
        <v>86</v>
      </c>
      <c r="B1520" s="173" t="inlineStr">
        <is>
          <t>6月</t>
        </is>
      </c>
      <c r="C1520" s="173" t="inlineStr">
        <is>
          <t>消金</t>
        </is>
      </c>
      <c r="D1520" s="173" t="inlineStr">
        <is>
          <t>信托金条</t>
        </is>
      </c>
      <c r="E1520" s="173" t="inlineStr">
        <is>
          <t>耘睿22-5</t>
        </is>
      </c>
      <c r="F1520" s="173" t="inlineStr">
        <is>
          <t>上交所</t>
        </is>
      </c>
      <c r="G1520" s="173" t="inlineStr">
        <is>
          <t>招商证券</t>
        </is>
      </c>
      <c r="H1520" s="173" t="inlineStr">
        <is>
          <t>平安证券</t>
        </is>
      </c>
      <c r="I1520" s="173" t="inlineStr">
        <is>
          <t>北京银行西单支行</t>
        </is>
      </c>
      <c r="J1520" s="172" t="n">
        <v>10</v>
      </c>
      <c r="K1520" s="173" t="inlineStr">
        <is>
          <t>11+24</t>
        </is>
      </c>
      <c r="L1520" s="202" t="n">
        <v>46184</v>
      </c>
      <c r="M1520" s="175" t="n">
        <v>0.0145</v>
      </c>
      <c r="N1520" s="176" t="n">
        <v>0.01926</v>
      </c>
      <c r="O1520" s="172" t="n">
        <v>1.92</v>
      </c>
      <c r="P1520" s="172" t="inlineStr">
        <is>
          <t>优先A</t>
        </is>
      </c>
      <c r="Q1520" s="204" t="n">
        <v>0.9</v>
      </c>
      <c r="R1520" s="205" t="n">
        <v>9</v>
      </c>
      <c r="S1520" s="203" t="inlineStr">
        <is>
          <t>AAA</t>
        </is>
      </c>
      <c r="T1520" s="204" t="n">
        <v>0.016</v>
      </c>
      <c r="U1520" s="203" t="inlineStr">
        <is>
          <t>中银理财</t>
        </is>
      </c>
      <c r="V1520" s="192" t="n">
        <v>2.7</v>
      </c>
      <c r="W1520" s="175" t="n">
        <v>0.0157</v>
      </c>
      <c r="X1520" s="172" t="inlineStr">
        <is>
          <t>中银理财</t>
        </is>
      </c>
      <c r="Y1520" s="191" t="n">
        <v>1</v>
      </c>
    </row>
    <row r="1521">
      <c r="A1521" s="172" t="n">
        <v>86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耘睿22-5</t>
        </is>
      </c>
      <c r="F1521" s="172" t="inlineStr">
        <is>
          <t>上交所</t>
        </is>
      </c>
      <c r="G1521" s="172" t="inlineStr">
        <is>
          <t>招商证券</t>
        </is>
      </c>
      <c r="H1521" s="172" t="inlineStr">
        <is>
          <t>平安证券</t>
        </is>
      </c>
      <c r="I1521" s="172" t="inlineStr">
        <is>
          <t>北京银行西单支行</t>
        </is>
      </c>
      <c r="J1521" s="172" t="n">
        <v>10</v>
      </c>
      <c r="K1521" s="172" t="inlineStr">
        <is>
          <t>11+24</t>
        </is>
      </c>
      <c r="L1521" s="208" t="n">
        <v>46184</v>
      </c>
      <c r="M1521" s="175" t="n">
        <v>0.0145</v>
      </c>
      <c r="N1521" s="176" t="n">
        <v>0.01926</v>
      </c>
      <c r="O1521" s="172" t="n">
        <v>1.92</v>
      </c>
      <c r="P1521" s="172" t="inlineStr">
        <is>
          <t>优先A</t>
        </is>
      </c>
      <c r="Q1521" s="175" t="n">
        <v>0.9</v>
      </c>
      <c r="R1521" s="192" t="n">
        <v>9</v>
      </c>
      <c r="S1521" s="172" t="inlineStr">
        <is>
          <t>AAA</t>
        </is>
      </c>
      <c r="T1521" s="175" t="n">
        <v>0.016</v>
      </c>
      <c r="U1521" s="172" t="n"/>
      <c r="V1521" s="172" t="n"/>
      <c r="W1521" s="175" t="n">
        <v>0.0158</v>
      </c>
      <c r="X1521" s="172" t="inlineStr">
        <is>
          <t>中银理财</t>
        </is>
      </c>
      <c r="Y1521" s="191" t="n">
        <v>1.7</v>
      </c>
    </row>
    <row r="1522">
      <c r="A1522" s="172" t="n">
        <v>86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耘睿22-5</t>
        </is>
      </c>
      <c r="F1522" s="173" t="inlineStr">
        <is>
          <t>上交所</t>
        </is>
      </c>
      <c r="G1522" s="173" t="inlineStr">
        <is>
          <t>招商证券</t>
        </is>
      </c>
      <c r="H1522" s="173" t="inlineStr">
        <is>
          <t>平安证券</t>
        </is>
      </c>
      <c r="I1522" s="173" t="inlineStr">
        <is>
          <t>北京银行西单支行</t>
        </is>
      </c>
      <c r="J1522" s="172" t="n">
        <v>10</v>
      </c>
      <c r="K1522" s="173" t="inlineStr">
        <is>
          <t>11+24</t>
        </is>
      </c>
      <c r="L1522" s="202" t="n">
        <v>46184</v>
      </c>
      <c r="M1522" s="175" t="n">
        <v>0.0145</v>
      </c>
      <c r="N1522" s="176" t="n">
        <v>0.01926</v>
      </c>
      <c r="O1522" s="172" t="n">
        <v>1.92</v>
      </c>
      <c r="P1522" s="172" t="inlineStr">
        <is>
          <t>优先A</t>
        </is>
      </c>
      <c r="Q1522" s="204" t="n">
        <v>0.9</v>
      </c>
      <c r="R1522" s="205" t="n">
        <v>9</v>
      </c>
      <c r="S1522" s="203" t="inlineStr">
        <is>
          <t>AAA</t>
        </is>
      </c>
      <c r="T1522" s="204" t="n">
        <v>0.016</v>
      </c>
      <c r="U1522" s="203" t="inlineStr">
        <is>
          <t>渝农商资源</t>
        </is>
      </c>
      <c r="V1522" s="192" t="n">
        <v>2</v>
      </c>
      <c r="W1522" s="172" t="n"/>
      <c r="X1522" s="172" t="n"/>
      <c r="Y1522" s="172" t="n"/>
    </row>
    <row r="1523">
      <c r="A1523" s="172" t="n">
        <v>86</v>
      </c>
      <c r="B1523" s="173" t="inlineStr">
        <is>
          <t>6月</t>
        </is>
      </c>
      <c r="C1523" s="173" t="inlineStr">
        <is>
          <t>消金</t>
        </is>
      </c>
      <c r="D1523" s="173" t="inlineStr">
        <is>
          <t>信托金条</t>
        </is>
      </c>
      <c r="E1523" s="173" t="inlineStr">
        <is>
          <t>耘睿22-5</t>
        </is>
      </c>
      <c r="F1523" s="173" t="inlineStr">
        <is>
          <t>上交所</t>
        </is>
      </c>
      <c r="G1523" s="173" t="inlineStr">
        <is>
          <t>招商证券</t>
        </is>
      </c>
      <c r="H1523" s="173" t="inlineStr">
        <is>
          <t>平安证券</t>
        </is>
      </c>
      <c r="I1523" s="173" t="inlineStr">
        <is>
          <t>北京银行西单支行</t>
        </is>
      </c>
      <c r="J1523" s="172" t="n">
        <v>10</v>
      </c>
      <c r="K1523" s="173" t="inlineStr">
        <is>
          <t>11+24</t>
        </is>
      </c>
      <c r="L1523" s="202" t="n">
        <v>46184</v>
      </c>
      <c r="M1523" s="175" t="n">
        <v>0.0145</v>
      </c>
      <c r="N1523" s="176" t="n">
        <v>0.01926</v>
      </c>
      <c r="O1523" s="172" t="n">
        <v>1.92</v>
      </c>
      <c r="P1523" s="172" t="inlineStr">
        <is>
          <t>优先A</t>
        </is>
      </c>
      <c r="Q1523" s="204" t="n">
        <v>0.9</v>
      </c>
      <c r="R1523" s="205" t="n">
        <v>9</v>
      </c>
      <c r="S1523" s="203" t="inlineStr">
        <is>
          <t>AAA</t>
        </is>
      </c>
      <c r="T1523" s="204" t="n">
        <v>0.016</v>
      </c>
      <c r="U1523" s="203" t="inlineStr">
        <is>
          <t>渝农商理财</t>
        </is>
      </c>
      <c r="V1523" s="192" t="n">
        <v>0.53</v>
      </c>
      <c r="W1523" s="175" t="n">
        <v>0.0158</v>
      </c>
      <c r="X1523" s="172" t="inlineStr">
        <is>
          <t>渝农商自营</t>
        </is>
      </c>
      <c r="Y1523" s="191" t="n">
        <v>2</v>
      </c>
    </row>
    <row r="1524">
      <c r="A1524" s="172" t="n">
        <v>86</v>
      </c>
      <c r="B1524" s="173" t="inlineStr">
        <is>
          <t>6月</t>
        </is>
      </c>
      <c r="C1524" s="173" t="inlineStr">
        <is>
          <t>消金</t>
        </is>
      </c>
      <c r="D1524" s="173" t="inlineStr">
        <is>
          <t>信托金条</t>
        </is>
      </c>
      <c r="E1524" s="173" t="inlineStr">
        <is>
          <t>耘睿22-5</t>
        </is>
      </c>
      <c r="F1524" s="173" t="inlineStr">
        <is>
          <t>上交所</t>
        </is>
      </c>
      <c r="G1524" s="173" t="inlineStr">
        <is>
          <t>招商证券</t>
        </is>
      </c>
      <c r="H1524" s="173" t="inlineStr">
        <is>
          <t>平安证券</t>
        </is>
      </c>
      <c r="I1524" s="173" t="inlineStr">
        <is>
          <t>北京银行西单支行</t>
        </is>
      </c>
      <c r="J1524" s="172" t="n">
        <v>10</v>
      </c>
      <c r="K1524" s="173" t="inlineStr">
        <is>
          <t>11+24</t>
        </is>
      </c>
      <c r="L1524" s="202" t="n">
        <v>46184</v>
      </c>
      <c r="M1524" s="175" t="n">
        <v>0.0145</v>
      </c>
      <c r="N1524" s="176" t="n">
        <v>0.01926</v>
      </c>
      <c r="O1524" s="172" t="n">
        <v>1.92</v>
      </c>
      <c r="P1524" s="172" t="inlineStr">
        <is>
          <t>优先A</t>
        </is>
      </c>
      <c r="Q1524" s="204" t="n">
        <v>0.9</v>
      </c>
      <c r="R1524" s="205" t="n">
        <v>9</v>
      </c>
      <c r="S1524" s="203" t="inlineStr">
        <is>
          <t>AAA</t>
        </is>
      </c>
      <c r="T1524" s="204" t="n">
        <v>0.016</v>
      </c>
      <c r="U1524" s="203" t="inlineStr">
        <is>
          <t>交银理财</t>
        </is>
      </c>
      <c r="V1524" s="192" t="n">
        <v>1.97</v>
      </c>
      <c r="W1524" s="175" t="n">
        <v>0.0158</v>
      </c>
      <c r="X1524" s="172" t="inlineStr">
        <is>
          <t>交银理财</t>
        </is>
      </c>
      <c r="Y1524" s="191" t="n">
        <v>0.5</v>
      </c>
    </row>
    <row r="1525">
      <c r="A1525" s="172" t="n">
        <v>86</v>
      </c>
      <c r="B1525" s="172" t="inlineStr">
        <is>
          <t>6月</t>
        </is>
      </c>
      <c r="C1525" s="172" t="inlineStr">
        <is>
          <t>消金</t>
        </is>
      </c>
      <c r="D1525" s="172" t="inlineStr">
        <is>
          <t>信托金条</t>
        </is>
      </c>
      <c r="E1525" s="172" t="inlineStr">
        <is>
          <t>耘睿22-5</t>
        </is>
      </c>
      <c r="F1525" s="172" t="inlineStr">
        <is>
          <t>上交所</t>
        </is>
      </c>
      <c r="G1525" s="172" t="inlineStr">
        <is>
          <t>招商证券</t>
        </is>
      </c>
      <c r="H1525" s="172" t="inlineStr">
        <is>
          <t>平安证券</t>
        </is>
      </c>
      <c r="I1525" s="172" t="inlineStr">
        <is>
          <t>北京银行西单支行</t>
        </is>
      </c>
      <c r="J1525" s="172" t="n">
        <v>10</v>
      </c>
      <c r="K1525" s="172" t="inlineStr">
        <is>
          <t>11+24</t>
        </is>
      </c>
      <c r="L1525" s="208" t="n">
        <v>46184</v>
      </c>
      <c r="M1525" s="175" t="n">
        <v>0.0145</v>
      </c>
      <c r="N1525" s="176" t="n">
        <v>0.01926</v>
      </c>
      <c r="O1525" s="172" t="n">
        <v>1.92</v>
      </c>
      <c r="P1525" s="172" t="inlineStr">
        <is>
          <t>优先A</t>
        </is>
      </c>
      <c r="Q1525" s="175" t="n">
        <v>0.9</v>
      </c>
      <c r="R1525" s="192" t="n">
        <v>9</v>
      </c>
      <c r="S1525" s="172" t="inlineStr">
        <is>
          <t>AAA</t>
        </is>
      </c>
      <c r="T1525" s="175" t="n">
        <v>0.016</v>
      </c>
      <c r="U1525" s="172" t="n"/>
      <c r="V1525" s="172" t="n"/>
      <c r="W1525" s="175" t="n">
        <v>0.016</v>
      </c>
      <c r="X1525" s="172" t="inlineStr">
        <is>
          <t>交银理财</t>
        </is>
      </c>
      <c r="Y1525" s="191" t="n">
        <v>2.2</v>
      </c>
    </row>
    <row r="1526">
      <c r="A1526" s="172" t="n">
        <v>86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耘睿22-5</t>
        </is>
      </c>
      <c r="F1526" s="172" t="inlineStr">
        <is>
          <t>上交所</t>
        </is>
      </c>
      <c r="G1526" s="172" t="inlineStr">
        <is>
          <t>招商证券</t>
        </is>
      </c>
      <c r="H1526" s="172" t="inlineStr">
        <is>
          <t>平安证券</t>
        </is>
      </c>
      <c r="I1526" s="172" t="inlineStr">
        <is>
          <t>北京银行西单支行</t>
        </is>
      </c>
      <c r="J1526" s="172" t="n">
        <v>10</v>
      </c>
      <c r="K1526" s="172" t="inlineStr">
        <is>
          <t>11+24</t>
        </is>
      </c>
      <c r="L1526" s="208" t="n">
        <v>46184</v>
      </c>
      <c r="M1526" s="175" t="n">
        <v>0.0145</v>
      </c>
      <c r="N1526" s="176" t="n">
        <v>0.01926</v>
      </c>
      <c r="O1526" s="172" t="n">
        <v>1.92</v>
      </c>
      <c r="P1526" s="172" t="inlineStr">
        <is>
          <t>优先A</t>
        </is>
      </c>
      <c r="Q1526" s="175" t="n">
        <v>0.9</v>
      </c>
      <c r="R1526" s="192" t="n">
        <v>9</v>
      </c>
      <c r="S1526" s="172" t="inlineStr">
        <is>
          <t>AAA</t>
        </is>
      </c>
      <c r="T1526" s="175" t="n">
        <v>0.016</v>
      </c>
      <c r="U1526" s="172" t="n"/>
      <c r="V1526" s="172" t="n"/>
      <c r="W1526" s="175" t="n">
        <v>0.016</v>
      </c>
      <c r="X1526" s="172" t="inlineStr">
        <is>
          <t>渝农商理财</t>
        </is>
      </c>
      <c r="Y1526" s="191" t="n">
        <v>0.8</v>
      </c>
    </row>
    <row r="1527">
      <c r="A1527" s="172" t="n">
        <v>86</v>
      </c>
      <c r="B1527" s="172" t="inlineStr">
        <is>
          <t>6月</t>
        </is>
      </c>
      <c r="C1527" s="172" t="inlineStr">
        <is>
          <t>消金</t>
        </is>
      </c>
      <c r="D1527" s="172" t="inlineStr">
        <is>
          <t>信托金条</t>
        </is>
      </c>
      <c r="E1527" s="172" t="inlineStr">
        <is>
          <t>耘睿22-5</t>
        </is>
      </c>
      <c r="F1527" s="172" t="inlineStr">
        <is>
          <t>上交所</t>
        </is>
      </c>
      <c r="G1527" s="172" t="inlineStr">
        <is>
          <t>招商证券</t>
        </is>
      </c>
      <c r="H1527" s="172" t="inlineStr">
        <is>
          <t>平安证券</t>
        </is>
      </c>
      <c r="I1527" s="172" t="inlineStr">
        <is>
          <t>北京银行西单支行</t>
        </is>
      </c>
      <c r="J1527" s="172" t="n">
        <v>10</v>
      </c>
      <c r="K1527" s="172" t="inlineStr">
        <is>
          <t>11+24</t>
        </is>
      </c>
      <c r="L1527" s="208" t="n">
        <v>46184</v>
      </c>
      <c r="M1527" s="175" t="n">
        <v>0.0145</v>
      </c>
      <c r="N1527" s="176" t="n">
        <v>0.01926</v>
      </c>
      <c r="O1527" s="172" t="n">
        <v>1.92</v>
      </c>
      <c r="P1527" s="172" t="inlineStr">
        <is>
          <t>优先A</t>
        </is>
      </c>
      <c r="Q1527" s="175" t="n">
        <v>0.9</v>
      </c>
      <c r="R1527" s="192" t="n">
        <v>9</v>
      </c>
      <c r="S1527" s="172" t="inlineStr">
        <is>
          <t>AAA</t>
        </is>
      </c>
      <c r="T1527" s="175" t="n">
        <v>0.016</v>
      </c>
      <c r="U1527" s="172" t="n"/>
      <c r="V1527" s="172" t="n"/>
      <c r="W1527" s="175" t="n">
        <v>0.0163</v>
      </c>
      <c r="X1527" s="172" t="inlineStr">
        <is>
          <t>渝农商理财</t>
        </is>
      </c>
      <c r="Y1527" s="191" t="n">
        <v>0.1</v>
      </c>
    </row>
    <row r="1528">
      <c r="A1528" s="172" t="n">
        <v>86</v>
      </c>
      <c r="B1528" s="172" t="inlineStr">
        <is>
          <t>6月</t>
        </is>
      </c>
      <c r="C1528" s="172" t="inlineStr">
        <is>
          <t>消金</t>
        </is>
      </c>
      <c r="D1528" s="172" t="inlineStr">
        <is>
          <t>信托金条</t>
        </is>
      </c>
      <c r="E1528" s="172" t="inlineStr">
        <is>
          <t>耘睿22-5</t>
        </is>
      </c>
      <c r="F1528" s="172" t="inlineStr">
        <is>
          <t>上交所</t>
        </is>
      </c>
      <c r="G1528" s="172" t="inlineStr">
        <is>
          <t>招商证券</t>
        </is>
      </c>
      <c r="H1528" s="172" t="inlineStr">
        <is>
          <t>平安证券</t>
        </is>
      </c>
      <c r="I1528" s="172" t="inlineStr">
        <is>
          <t>北京银行西单支行</t>
        </is>
      </c>
      <c r="J1528" s="172" t="n">
        <v>10</v>
      </c>
      <c r="K1528" s="172" t="inlineStr">
        <is>
          <t>11+24</t>
        </is>
      </c>
      <c r="L1528" s="208" t="n">
        <v>46184</v>
      </c>
      <c r="M1528" s="175" t="n">
        <v>0.0145</v>
      </c>
      <c r="N1528" s="176" t="n">
        <v>0.01926</v>
      </c>
      <c r="O1528" s="172" t="n">
        <v>1.92</v>
      </c>
      <c r="P1528" s="172" t="inlineStr">
        <is>
          <t>优先A</t>
        </is>
      </c>
      <c r="Q1528" s="175" t="n">
        <v>0.9</v>
      </c>
      <c r="R1528" s="192" t="n">
        <v>9</v>
      </c>
      <c r="S1528" s="172" t="inlineStr">
        <is>
          <t>AAA</t>
        </is>
      </c>
      <c r="T1528" s="175" t="n">
        <v>0.016</v>
      </c>
      <c r="U1528" s="172" t="n"/>
      <c r="V1528" s="172" t="n"/>
      <c r="W1528" s="175" t="n">
        <v>0.0165</v>
      </c>
      <c r="X1528" s="172" t="inlineStr">
        <is>
          <t>渝农商理财</t>
        </is>
      </c>
      <c r="Y1528" s="191" t="n">
        <v>0.6</v>
      </c>
    </row>
    <row r="1529">
      <c r="A1529" s="172" t="n">
        <v>86</v>
      </c>
      <c r="B1529" s="172" t="inlineStr">
        <is>
          <t>6月</t>
        </is>
      </c>
      <c r="C1529" s="172" t="inlineStr">
        <is>
          <t>消金</t>
        </is>
      </c>
      <c r="D1529" s="172" t="inlineStr">
        <is>
          <t>信托金条</t>
        </is>
      </c>
      <c r="E1529" s="172" t="inlineStr">
        <is>
          <t>耘睿22-5</t>
        </is>
      </c>
      <c r="F1529" s="172" t="inlineStr">
        <is>
          <t>上交所</t>
        </is>
      </c>
      <c r="G1529" s="172" t="inlineStr">
        <is>
          <t>招商证券</t>
        </is>
      </c>
      <c r="H1529" s="172" t="inlineStr">
        <is>
          <t>平安证券</t>
        </is>
      </c>
      <c r="I1529" s="172" t="inlineStr">
        <is>
          <t>北京银行西单支行</t>
        </is>
      </c>
      <c r="J1529" s="172" t="n">
        <v>10</v>
      </c>
      <c r="K1529" s="172" t="inlineStr">
        <is>
          <t>11+24</t>
        </is>
      </c>
      <c r="L1529" s="208" t="n">
        <v>46184</v>
      </c>
      <c r="M1529" s="175" t="n">
        <v>0.0145</v>
      </c>
      <c r="N1529" s="176" t="n">
        <v>0.01926</v>
      </c>
      <c r="O1529" s="172" t="n">
        <v>1.92</v>
      </c>
      <c r="P1529" s="172" t="inlineStr">
        <is>
          <t>优先A</t>
        </is>
      </c>
      <c r="Q1529" s="175" t="n">
        <v>0.9</v>
      </c>
      <c r="R1529" s="192" t="n">
        <v>9</v>
      </c>
      <c r="S1529" s="172" t="inlineStr">
        <is>
          <t>AAA</t>
        </is>
      </c>
      <c r="T1529" s="175" t="n">
        <v>0.016</v>
      </c>
      <c r="U1529" s="172" t="n"/>
      <c r="V1529" s="172" t="n"/>
      <c r="W1529" s="175" t="n">
        <v>0.0165</v>
      </c>
      <c r="X1529" s="172" t="inlineStr">
        <is>
          <t>杭州联合</t>
        </is>
      </c>
      <c r="Y1529" s="191" t="n">
        <v>0.2</v>
      </c>
    </row>
    <row r="1530">
      <c r="A1530" s="172" t="n">
        <v>86</v>
      </c>
      <c r="B1530" s="172" t="inlineStr">
        <is>
          <t>6月</t>
        </is>
      </c>
      <c r="C1530" s="172" t="inlineStr">
        <is>
          <t>消金</t>
        </is>
      </c>
      <c r="D1530" s="172" t="inlineStr">
        <is>
          <t>信托金条</t>
        </is>
      </c>
      <c r="E1530" s="172" t="inlineStr">
        <is>
          <t>耘睿22-5</t>
        </is>
      </c>
      <c r="F1530" s="172" t="inlineStr">
        <is>
          <t>上交所</t>
        </is>
      </c>
      <c r="G1530" s="172" t="inlineStr">
        <is>
          <t>招商证券</t>
        </is>
      </c>
      <c r="H1530" s="172" t="inlineStr">
        <is>
          <t>平安证券</t>
        </is>
      </c>
      <c r="I1530" s="172" t="inlineStr">
        <is>
          <t>北京银行西单支行</t>
        </is>
      </c>
      <c r="J1530" s="172" t="n">
        <v>10</v>
      </c>
      <c r="K1530" s="172" t="inlineStr">
        <is>
          <t>11+24</t>
        </is>
      </c>
      <c r="L1530" s="208" t="n">
        <v>46184</v>
      </c>
      <c r="M1530" s="175" t="n">
        <v>0.0145</v>
      </c>
      <c r="N1530" s="176" t="n">
        <v>0.01926</v>
      </c>
      <c r="O1530" s="172" t="n">
        <v>1.92</v>
      </c>
      <c r="P1530" s="172" t="inlineStr">
        <is>
          <t>优先A</t>
        </is>
      </c>
      <c r="Q1530" s="175" t="n">
        <v>0.9</v>
      </c>
      <c r="R1530" s="192" t="n">
        <v>9</v>
      </c>
      <c r="S1530" s="172" t="inlineStr">
        <is>
          <t>AAA</t>
        </is>
      </c>
      <c r="T1530" s="175" t="n">
        <v>0.016</v>
      </c>
      <c r="U1530" s="172" t="n"/>
      <c r="V1530" s="172" t="n"/>
      <c r="W1530" s="175" t="n">
        <v>0.0165</v>
      </c>
      <c r="X1530" s="172" t="inlineStr">
        <is>
          <t>建信理财</t>
        </is>
      </c>
      <c r="Y1530" s="191" t="n">
        <v>1.9</v>
      </c>
    </row>
    <row r="1531">
      <c r="A1531" s="172" t="n">
        <v>86</v>
      </c>
      <c r="B1531" s="172" t="inlineStr">
        <is>
          <t>6月</t>
        </is>
      </c>
      <c r="C1531" s="172" t="inlineStr">
        <is>
          <t>消金</t>
        </is>
      </c>
      <c r="D1531" s="172" t="inlineStr">
        <is>
          <t>信托金条</t>
        </is>
      </c>
      <c r="E1531" s="172" t="inlineStr">
        <is>
          <t>耘睿22-5</t>
        </is>
      </c>
      <c r="F1531" s="172" t="inlineStr">
        <is>
          <t>上交所</t>
        </is>
      </c>
      <c r="G1531" s="172" t="inlineStr">
        <is>
          <t>招商证券</t>
        </is>
      </c>
      <c r="H1531" s="172" t="inlineStr">
        <is>
          <t>平安证券</t>
        </is>
      </c>
      <c r="I1531" s="172" t="inlineStr">
        <is>
          <t>北京银行西单支行</t>
        </is>
      </c>
      <c r="J1531" s="172" t="n">
        <v>10</v>
      </c>
      <c r="K1531" s="172" t="inlineStr">
        <is>
          <t>11+24</t>
        </is>
      </c>
      <c r="L1531" s="208" t="n">
        <v>46184</v>
      </c>
      <c r="M1531" s="175" t="n">
        <v>0.0145</v>
      </c>
      <c r="N1531" s="176" t="n">
        <v>0.01926</v>
      </c>
      <c r="O1531" s="172" t="n">
        <v>1.92</v>
      </c>
      <c r="P1531" s="172" t="inlineStr">
        <is>
          <t>优先A</t>
        </is>
      </c>
      <c r="Q1531" s="175" t="n">
        <v>0.9</v>
      </c>
      <c r="R1531" s="192" t="n">
        <v>9</v>
      </c>
      <c r="S1531" s="172" t="inlineStr">
        <is>
          <t>AAA</t>
        </is>
      </c>
      <c r="T1531" s="175" t="n">
        <v>0.016</v>
      </c>
      <c r="U1531" s="172" t="n"/>
      <c r="V1531" s="172" t="n"/>
      <c r="W1531" s="175" t="n">
        <v>0.017</v>
      </c>
      <c r="X1531" s="172" t="inlineStr">
        <is>
          <t>平安证券</t>
        </is>
      </c>
      <c r="Y1531" s="191" t="n">
        <v>0.6</v>
      </c>
    </row>
    <row r="1532">
      <c r="A1532" s="172" t="n">
        <v>86</v>
      </c>
      <c r="B1532" s="172" t="inlineStr">
        <is>
          <t>6月</t>
        </is>
      </c>
      <c r="C1532" s="172" t="inlineStr">
        <is>
          <t>消金</t>
        </is>
      </c>
      <c r="D1532" s="172" t="inlineStr">
        <is>
          <t>信托金条</t>
        </is>
      </c>
      <c r="E1532" s="172" t="inlineStr">
        <is>
          <t>耘睿22-5</t>
        </is>
      </c>
      <c r="F1532" s="172" t="inlineStr">
        <is>
          <t>上交所</t>
        </is>
      </c>
      <c r="G1532" s="172" t="inlineStr">
        <is>
          <t>招商证券</t>
        </is>
      </c>
      <c r="H1532" s="172" t="inlineStr">
        <is>
          <t>平安证券</t>
        </is>
      </c>
      <c r="I1532" s="172" t="inlineStr">
        <is>
          <t>北京银行西单支行</t>
        </is>
      </c>
      <c r="J1532" s="172" t="n">
        <v>10</v>
      </c>
      <c r="K1532" s="172" t="inlineStr">
        <is>
          <t>11+24</t>
        </is>
      </c>
      <c r="L1532" s="208" t="n">
        <v>46184</v>
      </c>
      <c r="M1532" s="175" t="n">
        <v>0.0145</v>
      </c>
      <c r="N1532" s="176" t="n">
        <v>0.01926</v>
      </c>
      <c r="O1532" s="172" t="n">
        <v>1.92</v>
      </c>
      <c r="P1532" s="172" t="inlineStr">
        <is>
          <t>优先A</t>
        </is>
      </c>
      <c r="Q1532" s="175" t="n">
        <v>0.9</v>
      </c>
      <c r="R1532" s="192" t="n">
        <v>9</v>
      </c>
      <c r="S1532" s="172" t="inlineStr">
        <is>
          <t>AAA</t>
        </is>
      </c>
      <c r="T1532" s="175" t="n">
        <v>0.016</v>
      </c>
      <c r="U1532" s="172" t="n"/>
      <c r="V1532" s="172" t="n"/>
      <c r="W1532" s="175" t="n">
        <v>0.017</v>
      </c>
      <c r="X1532" s="172" t="inlineStr">
        <is>
          <t>招商证券</t>
        </is>
      </c>
      <c r="Y1532" s="191" t="n">
        <v>1</v>
      </c>
    </row>
    <row r="1533">
      <c r="A1533" s="172" t="n">
        <v>86</v>
      </c>
      <c r="B1533" s="172" t="inlineStr">
        <is>
          <t>6月</t>
        </is>
      </c>
      <c r="C1533" s="172" t="inlineStr">
        <is>
          <t>消金</t>
        </is>
      </c>
      <c r="D1533" s="172" t="inlineStr">
        <is>
          <t>信托金条</t>
        </is>
      </c>
      <c r="E1533" s="172" t="inlineStr">
        <is>
          <t>耘睿22-5</t>
        </is>
      </c>
      <c r="F1533" s="172" t="inlineStr">
        <is>
          <t>上交所</t>
        </is>
      </c>
      <c r="G1533" s="172" t="inlineStr">
        <is>
          <t>招商证券</t>
        </is>
      </c>
      <c r="H1533" s="172" t="inlineStr">
        <is>
          <t>平安证券</t>
        </is>
      </c>
      <c r="I1533" s="172" t="inlineStr">
        <is>
          <t>北京银行西单支行</t>
        </is>
      </c>
      <c r="J1533" s="172" t="n">
        <v>10</v>
      </c>
      <c r="K1533" s="172" t="inlineStr">
        <is>
          <t>11+24</t>
        </is>
      </c>
      <c r="L1533" s="208" t="n">
        <v>46184</v>
      </c>
      <c r="M1533" s="175" t="n">
        <v>0.0145</v>
      </c>
      <c r="N1533" s="176" t="n">
        <v>0.01926</v>
      </c>
      <c r="O1533" s="172" t="n">
        <v>1.92</v>
      </c>
      <c r="P1533" s="172" t="inlineStr">
        <is>
          <t>优先A</t>
        </is>
      </c>
      <c r="Q1533" s="175" t="n">
        <v>0.9</v>
      </c>
      <c r="R1533" s="192" t="n">
        <v>9</v>
      </c>
      <c r="S1533" s="172" t="inlineStr">
        <is>
          <t>AAA</t>
        </is>
      </c>
      <c r="T1533" s="175" t="n">
        <v>0.016</v>
      </c>
      <c r="U1533" s="172" t="n"/>
      <c r="V1533" s="172" t="n"/>
      <c r="W1533" s="175" t="n">
        <v>0.024</v>
      </c>
      <c r="X1533" s="172" t="inlineStr">
        <is>
          <t>上海利曦基金</t>
        </is>
      </c>
      <c r="Y1533" s="191" t="n">
        <v>2</v>
      </c>
    </row>
    <row r="1534">
      <c r="A1534" s="172" t="n">
        <v>86</v>
      </c>
      <c r="B1534" s="173" t="inlineStr">
        <is>
          <t>6月</t>
        </is>
      </c>
      <c r="C1534" s="173" t="inlineStr">
        <is>
          <t>消金</t>
        </is>
      </c>
      <c r="D1534" s="173" t="inlineStr">
        <is>
          <t>信托金条</t>
        </is>
      </c>
      <c r="E1534" s="173" t="inlineStr">
        <is>
          <t>耘睿22-5</t>
        </is>
      </c>
      <c r="F1534" s="173" t="inlineStr">
        <is>
          <t>上交所</t>
        </is>
      </c>
      <c r="G1534" s="173" t="inlineStr">
        <is>
          <t>招商证券</t>
        </is>
      </c>
      <c r="H1534" s="173" t="inlineStr">
        <is>
          <t>平安证券</t>
        </is>
      </c>
      <c r="I1534" s="173" t="inlineStr">
        <is>
          <t>北京银行西单支行</t>
        </is>
      </c>
      <c r="J1534" s="172" t="n">
        <v>10</v>
      </c>
      <c r="K1534" s="173" t="inlineStr">
        <is>
          <t>11+24</t>
        </is>
      </c>
      <c r="L1534" s="202" t="n">
        <v>46184</v>
      </c>
      <c r="M1534" s="175" t="n">
        <v>0.0145</v>
      </c>
      <c r="N1534" s="176" t="n">
        <v>0.01926</v>
      </c>
      <c r="O1534" s="172" t="n">
        <v>1.92</v>
      </c>
      <c r="P1534" s="203" t="inlineStr">
        <is>
          <t>优先B</t>
        </is>
      </c>
      <c r="Q1534" s="204" t="n">
        <v>0.03</v>
      </c>
      <c r="R1534" s="205" t="n">
        <v>0.3</v>
      </c>
      <c r="S1534" s="203" t="inlineStr">
        <is>
          <t>AA+</t>
        </is>
      </c>
      <c r="T1534" s="204" t="n">
        <v>0.0177</v>
      </c>
      <c r="U1534" s="203" t="inlineStr">
        <is>
          <t>交银理财</t>
        </is>
      </c>
      <c r="V1534" s="192" t="n">
        <v>0.09</v>
      </c>
      <c r="W1534" s="175" t="n">
        <v>0.017</v>
      </c>
      <c r="X1534" s="172" t="inlineStr">
        <is>
          <t>交银理财</t>
        </is>
      </c>
      <c r="Y1534" s="191" t="n">
        <v>0.09</v>
      </c>
    </row>
    <row r="1535">
      <c r="A1535" s="172" t="n">
        <v>86</v>
      </c>
      <c r="B1535" s="173" t="inlineStr">
        <is>
          <t>6月</t>
        </is>
      </c>
      <c r="C1535" s="173" t="inlineStr">
        <is>
          <t>消金</t>
        </is>
      </c>
      <c r="D1535" s="173" t="inlineStr">
        <is>
          <t>信托金条</t>
        </is>
      </c>
      <c r="E1535" s="173" t="inlineStr">
        <is>
          <t>耘睿22-5</t>
        </is>
      </c>
      <c r="F1535" s="173" t="inlineStr">
        <is>
          <t>上交所</t>
        </is>
      </c>
      <c r="G1535" s="173" t="inlineStr">
        <is>
          <t>招商证券</t>
        </is>
      </c>
      <c r="H1535" s="173" t="inlineStr">
        <is>
          <t>平安证券</t>
        </is>
      </c>
      <c r="I1535" s="173" t="inlineStr">
        <is>
          <t>北京银行西单支行</t>
        </is>
      </c>
      <c r="J1535" s="172" t="n">
        <v>10</v>
      </c>
      <c r="K1535" s="173" t="inlineStr">
        <is>
          <t>11+24</t>
        </is>
      </c>
      <c r="L1535" s="202" t="n">
        <v>46184</v>
      </c>
      <c r="M1535" s="175" t="n">
        <v>0.0145</v>
      </c>
      <c r="N1535" s="176" t="n">
        <v>0.01926</v>
      </c>
      <c r="O1535" s="172" t="n">
        <v>1.92</v>
      </c>
      <c r="P1535" s="172" t="inlineStr">
        <is>
          <t>优先B</t>
        </is>
      </c>
      <c r="Q1535" s="204" t="n">
        <v>0.03</v>
      </c>
      <c r="R1535" s="205" t="n">
        <v>0.3</v>
      </c>
      <c r="S1535" s="203" t="inlineStr">
        <is>
          <t>AA+</t>
        </is>
      </c>
      <c r="T1535" s="204" t="n">
        <v>0.0177</v>
      </c>
      <c r="U1535" s="203" t="inlineStr">
        <is>
          <t>中信建投投顾</t>
        </is>
      </c>
      <c r="V1535" s="192" t="n">
        <v>0.03</v>
      </c>
      <c r="W1535" s="172" t="n"/>
      <c r="X1535" s="172" t="n"/>
      <c r="Y1535" s="172" t="n"/>
    </row>
    <row r="1536">
      <c r="A1536" s="172" t="n">
        <v>86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耘睿22-5</t>
        </is>
      </c>
      <c r="F1536" s="173" t="inlineStr">
        <is>
          <t>上交所</t>
        </is>
      </c>
      <c r="G1536" s="173" t="inlineStr">
        <is>
          <t>招商证券</t>
        </is>
      </c>
      <c r="H1536" s="173" t="inlineStr">
        <is>
          <t>平安证券</t>
        </is>
      </c>
      <c r="I1536" s="173" t="inlineStr">
        <is>
          <t>北京银行西单支行</t>
        </is>
      </c>
      <c r="J1536" s="172" t="n">
        <v>10</v>
      </c>
      <c r="K1536" s="173" t="inlineStr">
        <is>
          <t>11+24</t>
        </is>
      </c>
      <c r="L1536" s="202" t="n">
        <v>46184</v>
      </c>
      <c r="M1536" s="175" t="n">
        <v>0.0145</v>
      </c>
      <c r="N1536" s="176" t="n">
        <v>0.01926</v>
      </c>
      <c r="O1536" s="172" t="n">
        <v>1.92</v>
      </c>
      <c r="P1536" s="172" t="inlineStr">
        <is>
          <t>优先B</t>
        </is>
      </c>
      <c r="Q1536" s="204" t="n">
        <v>0.03</v>
      </c>
      <c r="R1536" s="205" t="n">
        <v>0.3</v>
      </c>
      <c r="S1536" s="203" t="inlineStr">
        <is>
          <t>AA+</t>
        </is>
      </c>
      <c r="T1536" s="204" t="n">
        <v>0.0177</v>
      </c>
      <c r="U1536" s="203" t="inlineStr">
        <is>
          <t>渝农商理财</t>
        </is>
      </c>
      <c r="V1536" s="192" t="n">
        <v>0.09</v>
      </c>
      <c r="W1536" s="175" t="n">
        <v>0.017</v>
      </c>
      <c r="X1536" s="172" t="inlineStr">
        <is>
          <t>渝农商理财</t>
        </is>
      </c>
      <c r="Y1536" s="191" t="n">
        <v>0.09</v>
      </c>
    </row>
    <row r="1537">
      <c r="A1537" s="172" t="n">
        <v>86</v>
      </c>
      <c r="B1537" s="173" t="inlineStr">
        <is>
          <t>6月</t>
        </is>
      </c>
      <c r="C1537" s="173" t="inlineStr">
        <is>
          <t>消金</t>
        </is>
      </c>
      <c r="D1537" s="173" t="inlineStr">
        <is>
          <t>信托金条</t>
        </is>
      </c>
      <c r="E1537" s="173" t="inlineStr">
        <is>
          <t>耘睿22-5</t>
        </is>
      </c>
      <c r="F1537" s="173" t="inlineStr">
        <is>
          <t>上交所</t>
        </is>
      </c>
      <c r="G1537" s="173" t="inlineStr">
        <is>
          <t>招商证券</t>
        </is>
      </c>
      <c r="H1537" s="173" t="inlineStr">
        <is>
          <t>平安证券</t>
        </is>
      </c>
      <c r="I1537" s="173" t="inlineStr">
        <is>
          <t>北京银行西单支行</t>
        </is>
      </c>
      <c r="J1537" s="172" t="n">
        <v>10</v>
      </c>
      <c r="K1537" s="173" t="inlineStr">
        <is>
          <t>11+24</t>
        </is>
      </c>
      <c r="L1537" s="202" t="n">
        <v>46184</v>
      </c>
      <c r="M1537" s="175" t="n">
        <v>0.0145</v>
      </c>
      <c r="N1537" s="176" t="n">
        <v>0.01926</v>
      </c>
      <c r="O1537" s="172" t="n">
        <v>1.92</v>
      </c>
      <c r="P1537" s="172" t="inlineStr">
        <is>
          <t>优先B</t>
        </is>
      </c>
      <c r="Q1537" s="204" t="n">
        <v>0.03</v>
      </c>
      <c r="R1537" s="205" t="n">
        <v>0.3</v>
      </c>
      <c r="S1537" s="203" t="inlineStr">
        <is>
          <t>AA+</t>
        </is>
      </c>
      <c r="T1537" s="204" t="n">
        <v>0.0177</v>
      </c>
      <c r="U1537" s="203" t="inlineStr">
        <is>
          <t>杭州联合银行</t>
        </is>
      </c>
      <c r="V1537" s="192" t="n">
        <v>0.09</v>
      </c>
      <c r="W1537" s="175" t="n">
        <v>0.0177</v>
      </c>
      <c r="X1537" s="172" t="inlineStr">
        <is>
          <t>杭州联合</t>
        </is>
      </c>
      <c r="Y1537" s="191" t="n">
        <v>0.09</v>
      </c>
    </row>
    <row r="1538">
      <c r="A1538" s="172" t="n">
        <v>86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耘睿22-5</t>
        </is>
      </c>
      <c r="F1538" s="172" t="inlineStr">
        <is>
          <t>上交所</t>
        </is>
      </c>
      <c r="G1538" s="172" t="inlineStr">
        <is>
          <t>招商证券</t>
        </is>
      </c>
      <c r="H1538" s="172" t="inlineStr">
        <is>
          <t>平安证券</t>
        </is>
      </c>
      <c r="I1538" s="172" t="inlineStr">
        <is>
          <t>北京银行西单支行</t>
        </is>
      </c>
      <c r="J1538" s="172" t="n">
        <v>10</v>
      </c>
      <c r="K1538" s="172" t="inlineStr">
        <is>
          <t>11+24</t>
        </is>
      </c>
      <c r="L1538" s="208" t="n">
        <v>46184</v>
      </c>
      <c r="M1538" s="175" t="n">
        <v>0.0145</v>
      </c>
      <c r="N1538" s="176" t="n">
        <v>0.01926</v>
      </c>
      <c r="O1538" s="172" t="n">
        <v>1.92</v>
      </c>
      <c r="P1538" s="172" t="inlineStr">
        <is>
          <t>优先B</t>
        </is>
      </c>
      <c r="Q1538" s="175" t="n">
        <v>0.03</v>
      </c>
      <c r="R1538" s="192" t="n">
        <v>0.3</v>
      </c>
      <c r="S1538" s="172" t="inlineStr">
        <is>
          <t>AA+</t>
        </is>
      </c>
      <c r="T1538" s="175" t="n">
        <v>0.0177</v>
      </c>
      <c r="U1538" s="172" t="n"/>
      <c r="V1538" s="172" t="n"/>
      <c r="W1538" s="175" t="n">
        <v>0.0177</v>
      </c>
      <c r="X1538" s="172" t="inlineStr">
        <is>
          <t>建投衍生品投顾</t>
        </is>
      </c>
      <c r="Y1538" s="191" t="n">
        <v>0.03</v>
      </c>
    </row>
    <row r="1539">
      <c r="A1539" s="172" t="n">
        <v>86</v>
      </c>
      <c r="B1539" s="173" t="inlineStr">
        <is>
          <t>6月</t>
        </is>
      </c>
      <c r="C1539" s="173" t="inlineStr">
        <is>
          <t>消金</t>
        </is>
      </c>
      <c r="D1539" s="173" t="inlineStr">
        <is>
          <t>信托金条</t>
        </is>
      </c>
      <c r="E1539" s="173" t="inlineStr">
        <is>
          <t>耘睿22-5</t>
        </is>
      </c>
      <c r="F1539" s="173" t="inlineStr">
        <is>
          <t>上交所</t>
        </is>
      </c>
      <c r="G1539" s="173" t="inlineStr">
        <is>
          <t>招商证券</t>
        </is>
      </c>
      <c r="H1539" s="173" t="inlineStr">
        <is>
          <t>平安证券</t>
        </is>
      </c>
      <c r="I1539" s="173" t="inlineStr">
        <is>
          <t>北京银行西单支行</t>
        </is>
      </c>
      <c r="J1539" s="172" t="n">
        <v>10</v>
      </c>
      <c r="K1539" s="173" t="inlineStr">
        <is>
          <t>11+24</t>
        </is>
      </c>
      <c r="L1539" s="202" t="n">
        <v>46184</v>
      </c>
      <c r="M1539" s="175" t="n">
        <v>0.0145</v>
      </c>
      <c r="N1539" s="176" t="n">
        <v>0.01926</v>
      </c>
      <c r="O1539" s="172" t="n">
        <v>1.92</v>
      </c>
      <c r="P1539" s="203" t="inlineStr">
        <is>
          <t>中间级</t>
        </is>
      </c>
      <c r="Q1539" s="204" t="n">
        <v>0.02</v>
      </c>
      <c r="R1539" s="205" t="n">
        <v>0.2</v>
      </c>
      <c r="S1539" s="203" t="inlineStr">
        <is>
          <t>A+</t>
        </is>
      </c>
      <c r="T1539" s="204" t="n">
        <v>0.031</v>
      </c>
      <c r="U1539" s="203" t="inlineStr">
        <is>
          <t>国信证券自营</t>
        </is>
      </c>
      <c r="V1539" s="192" t="n">
        <v>0.1</v>
      </c>
      <c r="W1539" s="172" t="n"/>
      <c r="X1539" s="172" t="n"/>
      <c r="Y1539" s="172" t="n"/>
    </row>
    <row r="1540">
      <c r="A1540" s="172" t="n">
        <v>86</v>
      </c>
      <c r="B1540" s="173" t="inlineStr">
        <is>
          <t>6月</t>
        </is>
      </c>
      <c r="C1540" s="173" t="inlineStr">
        <is>
          <t>消金</t>
        </is>
      </c>
      <c r="D1540" s="173" t="inlineStr">
        <is>
          <t>信托金条</t>
        </is>
      </c>
      <c r="E1540" s="173" t="inlineStr">
        <is>
          <t>耘睿22-5</t>
        </is>
      </c>
      <c r="F1540" s="173" t="inlineStr">
        <is>
          <t>上交所</t>
        </is>
      </c>
      <c r="G1540" s="173" t="inlineStr">
        <is>
          <t>招商证券</t>
        </is>
      </c>
      <c r="H1540" s="173" t="inlineStr">
        <is>
          <t>平安证券</t>
        </is>
      </c>
      <c r="I1540" s="173" t="inlineStr">
        <is>
          <t>北京银行西单支行</t>
        </is>
      </c>
      <c r="J1540" s="172" t="n">
        <v>10</v>
      </c>
      <c r="K1540" s="173" t="inlineStr">
        <is>
          <t>11+24</t>
        </is>
      </c>
      <c r="L1540" s="202" t="n">
        <v>46184</v>
      </c>
      <c r="M1540" s="175" t="n">
        <v>0.0145</v>
      </c>
      <c r="N1540" s="176" t="n">
        <v>0.01926</v>
      </c>
      <c r="O1540" s="172" t="n">
        <v>1.92</v>
      </c>
      <c r="P1540" s="172" t="inlineStr">
        <is>
          <t>中间级</t>
        </is>
      </c>
      <c r="Q1540" s="204" t="n">
        <v>0.02</v>
      </c>
      <c r="R1540" s="205" t="n">
        <v>0.2</v>
      </c>
      <c r="S1540" s="203" t="inlineStr">
        <is>
          <t>A+</t>
        </is>
      </c>
      <c r="T1540" s="204" t="n">
        <v>0.031</v>
      </c>
      <c r="U1540" s="203" t="inlineStr">
        <is>
          <t>申万宏源自营</t>
        </is>
      </c>
      <c r="V1540" s="192" t="n">
        <v>0.1</v>
      </c>
      <c r="W1540" s="172" t="n"/>
      <c r="X1540" s="172" t="n"/>
      <c r="Y1540" s="172" t="n"/>
    </row>
    <row r="1541">
      <c r="A1541" s="172" t="n">
        <v>86</v>
      </c>
      <c r="B1541" s="173" t="inlineStr">
        <is>
          <t>6月</t>
        </is>
      </c>
      <c r="C1541" s="173" t="inlineStr">
        <is>
          <t>消金</t>
        </is>
      </c>
      <c r="D1541" s="173" t="inlineStr">
        <is>
          <t>信托金条</t>
        </is>
      </c>
      <c r="E1541" s="173" t="inlineStr">
        <is>
          <t>耘睿22-5</t>
        </is>
      </c>
      <c r="F1541" s="173" t="inlineStr">
        <is>
          <t>上交所</t>
        </is>
      </c>
      <c r="G1541" s="173" t="inlineStr">
        <is>
          <t>招商证券</t>
        </is>
      </c>
      <c r="H1541" s="173" t="inlineStr">
        <is>
          <t>平安证券</t>
        </is>
      </c>
      <c r="I1541" s="173" t="inlineStr">
        <is>
          <t>北京银行西单支行</t>
        </is>
      </c>
      <c r="J1541" s="172" t="n">
        <v>10</v>
      </c>
      <c r="K1541" s="173" t="inlineStr">
        <is>
          <t>11+24</t>
        </is>
      </c>
      <c r="L1541" s="202" t="n">
        <v>46184</v>
      </c>
      <c r="M1541" s="175" t="n">
        <v>0.0145</v>
      </c>
      <c r="N1541" s="176" t="n">
        <v>0.01926</v>
      </c>
      <c r="O1541" s="172" t="n">
        <v>1.92</v>
      </c>
      <c r="P1541" s="203" t="inlineStr">
        <is>
          <t>次级</t>
        </is>
      </c>
      <c r="Q1541" s="204" t="n">
        <v>0.05</v>
      </c>
      <c r="R1541" s="205" t="n">
        <v>0.5</v>
      </c>
      <c r="S1541" s="203" t="inlineStr">
        <is>
          <t>无</t>
        </is>
      </c>
      <c r="T1541" s="204" t="n">
        <v>0.0495</v>
      </c>
      <c r="U1541" s="203" t="inlineStr">
        <is>
          <t>中信证券自营</t>
        </is>
      </c>
      <c r="V1541" s="195" t="n">
        <v>0.075</v>
      </c>
      <c r="W1541" s="172" t="n"/>
      <c r="X1541" s="172" t="n"/>
      <c r="Y1541" s="172" t="n"/>
    </row>
    <row r="1542">
      <c r="A1542" s="172" t="n">
        <v>86</v>
      </c>
      <c r="B1542" s="173" t="inlineStr">
        <is>
          <t>6月</t>
        </is>
      </c>
      <c r="C1542" s="173" t="inlineStr">
        <is>
          <t>消金</t>
        </is>
      </c>
      <c r="D1542" s="173" t="inlineStr">
        <is>
          <t>信托金条</t>
        </is>
      </c>
      <c r="E1542" s="173" t="inlineStr">
        <is>
          <t>耘睿22-5</t>
        </is>
      </c>
      <c r="F1542" s="173" t="inlineStr">
        <is>
          <t>上交所</t>
        </is>
      </c>
      <c r="G1542" s="173" t="inlineStr">
        <is>
          <t>招商证券</t>
        </is>
      </c>
      <c r="H1542" s="173" t="inlineStr">
        <is>
          <t>平安证券</t>
        </is>
      </c>
      <c r="I1542" s="173" t="inlineStr">
        <is>
          <t>北京银行西单支行</t>
        </is>
      </c>
      <c r="J1542" s="172" t="n">
        <v>10</v>
      </c>
      <c r="K1542" s="173" t="inlineStr">
        <is>
          <t>11+24</t>
        </is>
      </c>
      <c r="L1542" s="202" t="n">
        <v>46184</v>
      </c>
      <c r="M1542" s="175" t="n">
        <v>0.0145</v>
      </c>
      <c r="N1542" s="176" t="n">
        <v>0.01926</v>
      </c>
      <c r="O1542" s="172" t="n">
        <v>1.92</v>
      </c>
      <c r="P1542" s="172" t="inlineStr">
        <is>
          <t>次级</t>
        </is>
      </c>
      <c r="Q1542" s="204" t="n">
        <v>0.05</v>
      </c>
      <c r="R1542" s="205" t="n">
        <v>0.5</v>
      </c>
      <c r="S1542" s="203" t="inlineStr">
        <is>
          <t>无</t>
        </is>
      </c>
      <c r="T1542" s="204" t="n">
        <v>0.0495</v>
      </c>
      <c r="U1542" s="203" t="inlineStr">
        <is>
          <t>国元证券自营</t>
        </is>
      </c>
      <c r="V1542" s="195" t="n">
        <v>0.075</v>
      </c>
      <c r="W1542" s="172" t="n"/>
      <c r="X1542" s="172" t="n"/>
      <c r="Y1542" s="172" t="n"/>
    </row>
    <row r="1543">
      <c r="A1543" s="172" t="n">
        <v>86</v>
      </c>
      <c r="B1543" s="173" t="inlineStr">
        <is>
          <t>6月</t>
        </is>
      </c>
      <c r="C1543" s="173" t="inlineStr">
        <is>
          <t>消金</t>
        </is>
      </c>
      <c r="D1543" s="173" t="inlineStr">
        <is>
          <t>信托金条</t>
        </is>
      </c>
      <c r="E1543" s="173" t="inlineStr">
        <is>
          <t>耘睿22-5</t>
        </is>
      </c>
      <c r="F1543" s="173" t="inlineStr">
        <is>
          <t>上交所</t>
        </is>
      </c>
      <c r="G1543" s="173" t="inlineStr">
        <is>
          <t>招商证券</t>
        </is>
      </c>
      <c r="H1543" s="173" t="inlineStr">
        <is>
          <t>平安证券</t>
        </is>
      </c>
      <c r="I1543" s="173" t="inlineStr">
        <is>
          <t>北京银行西单支行</t>
        </is>
      </c>
      <c r="J1543" s="172" t="n">
        <v>10</v>
      </c>
      <c r="K1543" s="173" t="inlineStr">
        <is>
          <t>11+24</t>
        </is>
      </c>
      <c r="L1543" s="202" t="n">
        <v>46184</v>
      </c>
      <c r="M1543" s="175" t="n">
        <v>0.0145</v>
      </c>
      <c r="N1543" s="176" t="n">
        <v>0.01926</v>
      </c>
      <c r="O1543" s="172" t="n">
        <v>1.92</v>
      </c>
      <c r="P1543" s="172" t="inlineStr">
        <is>
          <t>次级</t>
        </is>
      </c>
      <c r="Q1543" s="204" t="n">
        <v>0.05</v>
      </c>
      <c r="R1543" s="205" t="n">
        <v>0.5</v>
      </c>
      <c r="S1543" s="203" t="inlineStr">
        <is>
          <t>无</t>
        </is>
      </c>
      <c r="T1543" s="204" t="n">
        <v>0.0495</v>
      </c>
      <c r="U1543" s="203" t="inlineStr">
        <is>
          <t>中信建投投顾</t>
        </is>
      </c>
      <c r="V1543" s="206" t="n">
        <v>0.2125</v>
      </c>
      <c r="W1543" s="172" t="n"/>
      <c r="X1543" s="172" t="n"/>
      <c r="Y1543" s="172" t="n"/>
    </row>
    <row r="1544">
      <c r="A1544" s="172" t="n">
        <v>86</v>
      </c>
      <c r="B1544" s="173" t="inlineStr">
        <is>
          <t>6月</t>
        </is>
      </c>
      <c r="C1544" s="173" t="inlineStr">
        <is>
          <t>消金</t>
        </is>
      </c>
      <c r="D1544" s="173" t="inlineStr">
        <is>
          <t>信托金条</t>
        </is>
      </c>
      <c r="E1544" s="173" t="inlineStr">
        <is>
          <t>耘睿22-5</t>
        </is>
      </c>
      <c r="F1544" s="173" t="inlineStr">
        <is>
          <t>上交所</t>
        </is>
      </c>
      <c r="G1544" s="173" t="inlineStr">
        <is>
          <t>招商证券</t>
        </is>
      </c>
      <c r="H1544" s="173" t="inlineStr">
        <is>
          <t>平安证券</t>
        </is>
      </c>
      <c r="I1544" s="173" t="inlineStr">
        <is>
          <t>北京银行西单支行</t>
        </is>
      </c>
      <c r="J1544" s="172" t="n">
        <v>10</v>
      </c>
      <c r="K1544" s="173" t="inlineStr">
        <is>
          <t>11+24</t>
        </is>
      </c>
      <c r="L1544" s="202" t="n">
        <v>46184</v>
      </c>
      <c r="M1544" s="175" t="n">
        <v>0.0145</v>
      </c>
      <c r="N1544" s="176" t="n">
        <v>0.01926</v>
      </c>
      <c r="O1544" s="172" t="n">
        <v>1.92</v>
      </c>
      <c r="P1544" s="172" t="inlineStr">
        <is>
          <t>次级</t>
        </is>
      </c>
      <c r="Q1544" s="204" t="n">
        <v>0.05</v>
      </c>
      <c r="R1544" s="205" t="n">
        <v>0.5</v>
      </c>
      <c r="S1544" s="203" t="inlineStr">
        <is>
          <t>无</t>
        </is>
      </c>
      <c r="T1544" s="204" t="n">
        <v>0.0495</v>
      </c>
      <c r="U1544" s="203" t="inlineStr">
        <is>
          <t>西部证券自营</t>
        </is>
      </c>
      <c r="V1544" s="206" t="n">
        <v>0.1375</v>
      </c>
      <c r="W1544" s="172" t="n"/>
      <c r="X1544" s="172" t="n"/>
      <c r="Y1544" s="172" t="n"/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203" t="inlineStr">
        <is>
          <t>优先A</t>
        </is>
      </c>
      <c r="Q1545" s="204" t="n">
        <v>0.9</v>
      </c>
      <c r="R1545" s="205">
        <f>Q1061*J1061</f>
        <v/>
      </c>
      <c r="S1545" s="203" t="inlineStr">
        <is>
          <t>AAA</t>
        </is>
      </c>
      <c r="T1545" s="204" t="n">
        <v>0.0162</v>
      </c>
      <c r="U1545" s="203" t="inlineStr">
        <is>
          <t>中银理财</t>
        </is>
      </c>
      <c r="V1545" s="192" t="n">
        <v>2.4</v>
      </c>
      <c r="W1545" s="175" t="n">
        <v>0.0158</v>
      </c>
      <c r="X1545" s="172" t="inlineStr">
        <is>
          <t>中银理财</t>
        </is>
      </c>
      <c r="Y1545" s="191" t="n">
        <v>2.4</v>
      </c>
    </row>
    <row r="1546">
      <c r="A1546" s="172" t="n">
        <v>87</v>
      </c>
      <c r="B1546" s="173" t="inlineStr">
        <is>
          <t>6月</t>
        </is>
      </c>
      <c r="C1546" s="173" t="inlineStr">
        <is>
          <t>消金</t>
        </is>
      </c>
      <c r="D1546" s="173" t="inlineStr">
        <is>
          <t>信托金条</t>
        </is>
      </c>
      <c r="E1546" s="173" t="inlineStr">
        <is>
          <t>耘睿24-10</t>
        </is>
      </c>
      <c r="F1546" s="173" t="inlineStr">
        <is>
          <t>上交所</t>
        </is>
      </c>
      <c r="G1546" s="173" t="inlineStr">
        <is>
          <t>财通资管</t>
        </is>
      </c>
      <c r="H1546" s="173" t="inlineStr">
        <is>
          <t>国泰海通</t>
        </is>
      </c>
      <c r="I1546" s="173" t="inlineStr">
        <is>
          <t>广发银行</t>
        </is>
      </c>
      <c r="J1546" s="172" t="n">
        <v>9</v>
      </c>
      <c r="K1546" s="173" t="inlineStr">
        <is>
          <t>11+24</t>
        </is>
      </c>
      <c r="L1546" s="202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优先A</t>
        </is>
      </c>
      <c r="Q1546" s="204" t="n">
        <v>0.9</v>
      </c>
      <c r="R1546" s="205">
        <f>Q1061*J1061</f>
        <v/>
      </c>
      <c r="S1546" s="203" t="inlineStr">
        <is>
          <t>AAA</t>
        </is>
      </c>
      <c r="T1546" s="204" t="n">
        <v>0.0162</v>
      </c>
      <c r="U1546" s="203" t="inlineStr">
        <is>
          <t>交银理财</t>
        </is>
      </c>
      <c r="V1546" s="192" t="n">
        <v>2</v>
      </c>
      <c r="W1546" s="175" t="n">
        <v>0.016</v>
      </c>
      <c r="X1546" s="172" t="inlineStr">
        <is>
          <t>交银理财</t>
        </is>
      </c>
      <c r="Y1546" s="191" t="n">
        <v>2</v>
      </c>
    </row>
    <row r="1547">
      <c r="A1547" s="172" t="n">
        <v>87</v>
      </c>
      <c r="B1547" s="172" t="inlineStr">
        <is>
          <t>6月</t>
        </is>
      </c>
      <c r="C1547" s="172" t="inlineStr">
        <is>
          <t>消金</t>
        </is>
      </c>
      <c r="D1547" s="172" t="inlineStr">
        <is>
          <t>信托金条</t>
        </is>
      </c>
      <c r="E1547" s="172" t="inlineStr">
        <is>
          <t>耘睿24-10</t>
        </is>
      </c>
      <c r="F1547" s="172" t="inlineStr">
        <is>
          <t>上交所</t>
        </is>
      </c>
      <c r="G1547" s="172" t="inlineStr">
        <is>
          <t>财通资管</t>
        </is>
      </c>
      <c r="H1547" s="172" t="inlineStr">
        <is>
          <t>国泰海通</t>
        </is>
      </c>
      <c r="I1547" s="172" t="inlineStr">
        <is>
          <t>广发银行</t>
        </is>
      </c>
      <c r="J1547" s="172" t="n">
        <v>9</v>
      </c>
      <c r="K1547" s="172" t="inlineStr">
        <is>
          <t>11+24</t>
        </is>
      </c>
      <c r="L1547" s="200" t="n">
        <v>46185</v>
      </c>
      <c r="M1547" s="175" t="n">
        <v>0.0147</v>
      </c>
      <c r="N1547" s="176" t="n">
        <v>0.01942</v>
      </c>
      <c r="O1547" s="172" t="n">
        <v>2.2</v>
      </c>
      <c r="P1547" s="172" t="inlineStr">
        <is>
          <t>优先A</t>
        </is>
      </c>
      <c r="Q1547" s="175" t="n">
        <v>0.9</v>
      </c>
      <c r="R1547" s="172">
        <f>Q1061*J1061</f>
        <v/>
      </c>
      <c r="S1547" s="172" t="inlineStr">
        <is>
          <t>AAA</t>
        </is>
      </c>
      <c r="T1547" s="175" t="n">
        <v>0.0162</v>
      </c>
      <c r="U1547" s="172" t="n"/>
      <c r="V1547" s="172" t="n"/>
      <c r="W1547" s="175" t="n">
        <v>0.0165</v>
      </c>
      <c r="X1547" s="172" t="inlineStr">
        <is>
          <t>交银理财</t>
        </is>
      </c>
      <c r="Y1547" s="191" t="n">
        <v>0.43</v>
      </c>
    </row>
    <row r="1548">
      <c r="A1548" s="172" t="n">
        <v>87</v>
      </c>
      <c r="B1548" s="173" t="inlineStr">
        <is>
          <t>6月</t>
        </is>
      </c>
      <c r="C1548" s="173" t="inlineStr">
        <is>
          <t>消金</t>
        </is>
      </c>
      <c r="D1548" s="173" t="inlineStr">
        <is>
          <t>信托金条</t>
        </is>
      </c>
      <c r="E1548" s="173" t="inlineStr">
        <is>
          <t>耘睿24-10</t>
        </is>
      </c>
      <c r="F1548" s="173" t="inlineStr">
        <is>
          <t>上交所</t>
        </is>
      </c>
      <c r="G1548" s="173" t="inlineStr">
        <is>
          <t>财通资管</t>
        </is>
      </c>
      <c r="H1548" s="173" t="inlineStr">
        <is>
          <t>国泰海通</t>
        </is>
      </c>
      <c r="I1548" s="173" t="inlineStr">
        <is>
          <t>广发银行</t>
        </is>
      </c>
      <c r="J1548" s="172" t="n">
        <v>9</v>
      </c>
      <c r="K1548" s="173" t="inlineStr">
        <is>
          <t>11+24</t>
        </is>
      </c>
      <c r="L1548" s="202" t="n">
        <v>46185</v>
      </c>
      <c r="M1548" s="175" t="n">
        <v>0.0147</v>
      </c>
      <c r="N1548" s="176" t="n">
        <v>0.01942</v>
      </c>
      <c r="O1548" s="172" t="n">
        <v>2.2</v>
      </c>
      <c r="P1548" s="172" t="inlineStr">
        <is>
          <t>优先A</t>
        </is>
      </c>
      <c r="Q1548" s="204" t="n">
        <v>0.9</v>
      </c>
      <c r="R1548" s="205">
        <f>Q1061*J1061</f>
        <v/>
      </c>
      <c r="S1548" s="203" t="inlineStr">
        <is>
          <t>AAA</t>
        </is>
      </c>
      <c r="T1548" s="204" t="n">
        <v>0.0162</v>
      </c>
      <c r="U1548" s="203" t="inlineStr">
        <is>
          <t>渝农商理财</t>
        </is>
      </c>
      <c r="V1548" s="192" t="n">
        <v>0.8</v>
      </c>
      <c r="W1548" s="175" t="n">
        <v>0.016</v>
      </c>
      <c r="X1548" s="172" t="inlineStr">
        <is>
          <t>渝农商理财</t>
        </is>
      </c>
      <c r="Y1548" s="191" t="n">
        <v>0.8</v>
      </c>
    </row>
    <row r="1549">
      <c r="A1549" s="172" t="n">
        <v>87</v>
      </c>
      <c r="B1549" s="172" t="inlineStr">
        <is>
          <t>6月</t>
        </is>
      </c>
      <c r="C1549" s="172" t="inlineStr">
        <is>
          <t>消金</t>
        </is>
      </c>
      <c r="D1549" s="172" t="inlineStr">
        <is>
          <t>信托金条</t>
        </is>
      </c>
      <c r="E1549" s="172" t="inlineStr">
        <is>
          <t>耘睿24-10</t>
        </is>
      </c>
      <c r="F1549" s="172" t="inlineStr">
        <is>
          <t>上交所</t>
        </is>
      </c>
      <c r="G1549" s="172" t="inlineStr">
        <is>
          <t>财通资管</t>
        </is>
      </c>
      <c r="H1549" s="172" t="inlineStr">
        <is>
          <t>国泰海通</t>
        </is>
      </c>
      <c r="I1549" s="172" t="inlineStr">
        <is>
          <t>广发银行</t>
        </is>
      </c>
      <c r="J1549" s="172" t="n">
        <v>9</v>
      </c>
      <c r="K1549" s="172" t="inlineStr">
        <is>
          <t>11+24</t>
        </is>
      </c>
      <c r="L1549" s="200" t="n">
        <v>46185</v>
      </c>
      <c r="M1549" s="175" t="n">
        <v>0.0147</v>
      </c>
      <c r="N1549" s="176" t="n">
        <v>0.01942</v>
      </c>
      <c r="O1549" s="172" t="n">
        <v>2.2</v>
      </c>
      <c r="P1549" s="172" t="inlineStr">
        <is>
          <t>优先A</t>
        </is>
      </c>
      <c r="Q1549" s="175" t="n">
        <v>0.9</v>
      </c>
      <c r="R1549" s="172">
        <f>Q1061*J1061</f>
        <v/>
      </c>
      <c r="S1549" s="172" t="inlineStr">
        <is>
          <t>AAA</t>
        </is>
      </c>
      <c r="T1549" s="175" t="n">
        <v>0.0162</v>
      </c>
      <c r="U1549" s="172" t="n"/>
      <c r="V1549" s="172" t="n"/>
      <c r="W1549" s="175" t="n">
        <v>0.0163</v>
      </c>
      <c r="X1549" s="172" t="inlineStr">
        <is>
          <t>渝农商理财</t>
        </is>
      </c>
      <c r="Y1549" s="191" t="n">
        <v>0.4</v>
      </c>
    </row>
    <row r="1550">
      <c r="A1550" s="172" t="n">
        <v>87</v>
      </c>
      <c r="B1550" s="172" t="inlineStr">
        <is>
          <t>6月</t>
        </is>
      </c>
      <c r="C1550" s="172" t="inlineStr">
        <is>
          <t>消金</t>
        </is>
      </c>
      <c r="D1550" s="172" t="inlineStr">
        <is>
          <t>信托金条</t>
        </is>
      </c>
      <c r="E1550" s="172" t="inlineStr">
        <is>
          <t>耘睿24-10</t>
        </is>
      </c>
      <c r="F1550" s="172" t="inlineStr">
        <is>
          <t>上交所</t>
        </is>
      </c>
      <c r="G1550" s="172" t="inlineStr">
        <is>
          <t>财通资管</t>
        </is>
      </c>
      <c r="H1550" s="172" t="inlineStr">
        <is>
          <t>国泰海通</t>
        </is>
      </c>
      <c r="I1550" s="172" t="inlineStr">
        <is>
          <t>广发银行</t>
        </is>
      </c>
      <c r="J1550" s="172" t="n">
        <v>9</v>
      </c>
      <c r="K1550" s="172" t="inlineStr">
        <is>
          <t>11+24</t>
        </is>
      </c>
      <c r="L1550" s="200" t="n">
        <v>46185</v>
      </c>
      <c r="M1550" s="175" t="n">
        <v>0.0147</v>
      </c>
      <c r="N1550" s="176" t="n">
        <v>0.01942</v>
      </c>
      <c r="O1550" s="172" t="n">
        <v>2.2</v>
      </c>
      <c r="P1550" s="172" t="inlineStr">
        <is>
          <t>优先A</t>
        </is>
      </c>
      <c r="Q1550" s="175" t="n">
        <v>0.9</v>
      </c>
      <c r="R1550" s="172">
        <f>Q1061*J1061</f>
        <v/>
      </c>
      <c r="S1550" s="172" t="inlineStr">
        <is>
          <t>AAA</t>
        </is>
      </c>
      <c r="T1550" s="175" t="n">
        <v>0.0162</v>
      </c>
      <c r="U1550" s="172" t="n"/>
      <c r="V1550" s="172" t="n"/>
      <c r="W1550" s="175" t="n">
        <v>0.0165</v>
      </c>
      <c r="X1550" s="172" t="inlineStr">
        <is>
          <t>渝农商理财</t>
        </is>
      </c>
      <c r="Y1550" s="191" t="n">
        <v>0.2</v>
      </c>
    </row>
    <row r="1551">
      <c r="A1551" s="172" t="n">
        <v>87</v>
      </c>
      <c r="B1551" s="173" t="inlineStr">
        <is>
          <t>6月</t>
        </is>
      </c>
      <c r="C1551" s="173" t="inlineStr">
        <is>
          <t>消金</t>
        </is>
      </c>
      <c r="D1551" s="173" t="inlineStr">
        <is>
          <t>信托金条</t>
        </is>
      </c>
      <c r="E1551" s="173" t="inlineStr">
        <is>
          <t>耘睿24-10</t>
        </is>
      </c>
      <c r="F1551" s="173" t="inlineStr">
        <is>
          <t>上交所</t>
        </is>
      </c>
      <c r="G1551" s="173" t="inlineStr">
        <is>
          <t>财通资管</t>
        </is>
      </c>
      <c r="H1551" s="173" t="inlineStr">
        <is>
          <t>国泰海通</t>
        </is>
      </c>
      <c r="I1551" s="173" t="inlineStr">
        <is>
          <t>广发银行</t>
        </is>
      </c>
      <c r="J1551" s="172" t="n">
        <v>9</v>
      </c>
      <c r="K1551" s="173" t="inlineStr">
        <is>
          <t>11+24</t>
        </is>
      </c>
      <c r="L1551" s="202" t="n">
        <v>46185</v>
      </c>
      <c r="M1551" s="175" t="n">
        <v>0.0147</v>
      </c>
      <c r="N1551" s="176" t="n">
        <v>0.01942</v>
      </c>
      <c r="O1551" s="172" t="n">
        <v>2.2</v>
      </c>
      <c r="P1551" s="172" t="inlineStr">
        <is>
          <t>优先A</t>
        </is>
      </c>
      <c r="Q1551" s="204" t="n">
        <v>0.9</v>
      </c>
      <c r="R1551" s="205">
        <f>Q1061*J1061</f>
        <v/>
      </c>
      <c r="S1551" s="203" t="inlineStr">
        <is>
          <t>AAA</t>
        </is>
      </c>
      <c r="T1551" s="204" t="n">
        <v>0.0162</v>
      </c>
      <c r="U1551" s="203" t="inlineStr">
        <is>
          <t>上银理财</t>
        </is>
      </c>
      <c r="V1551" s="192" t="n">
        <v>1.18</v>
      </c>
      <c r="W1551" s="175" t="n">
        <v>0.016</v>
      </c>
      <c r="X1551" s="172" t="inlineStr">
        <is>
          <t>上银理财</t>
        </is>
      </c>
      <c r="Y1551" s="191" t="n">
        <v>1.08</v>
      </c>
    </row>
    <row r="1552">
      <c r="A1552" s="172" t="n">
        <v>87</v>
      </c>
      <c r="B1552" s="172" t="inlineStr">
        <is>
          <t>6月</t>
        </is>
      </c>
      <c r="C1552" s="172" t="inlineStr">
        <is>
          <t>消金</t>
        </is>
      </c>
      <c r="D1552" s="172" t="inlineStr">
        <is>
          <t>信托金条</t>
        </is>
      </c>
      <c r="E1552" s="172" t="inlineStr">
        <is>
          <t>耘睿24-10</t>
        </is>
      </c>
      <c r="F1552" s="172" t="inlineStr">
        <is>
          <t>上交所</t>
        </is>
      </c>
      <c r="G1552" s="172" t="inlineStr">
        <is>
          <t>财通资管</t>
        </is>
      </c>
      <c r="H1552" s="172" t="inlineStr">
        <is>
          <t>国泰海通</t>
        </is>
      </c>
      <c r="I1552" s="172" t="inlineStr">
        <is>
          <t>广发银行</t>
        </is>
      </c>
      <c r="J1552" s="172" t="n">
        <v>9</v>
      </c>
      <c r="K1552" s="172" t="inlineStr">
        <is>
          <t>11+24</t>
        </is>
      </c>
      <c r="L1552" s="200" t="n">
        <v>46185</v>
      </c>
      <c r="M1552" s="175" t="n">
        <v>0.0147</v>
      </c>
      <c r="N1552" s="176" t="n">
        <v>0.01942</v>
      </c>
      <c r="O1552" s="172" t="n">
        <v>2.2</v>
      </c>
      <c r="P1552" s="172" t="inlineStr">
        <is>
          <t>优先A</t>
        </is>
      </c>
      <c r="Q1552" s="175" t="n">
        <v>0.9</v>
      </c>
      <c r="R1552" s="172">
        <f>Q1061*J1061</f>
        <v/>
      </c>
      <c r="S1552" s="172" t="inlineStr">
        <is>
          <t>AAA</t>
        </is>
      </c>
      <c r="T1552" s="175" t="n">
        <v>0.0162</v>
      </c>
      <c r="U1552" s="172" t="n"/>
      <c r="V1552" s="172" t="n"/>
      <c r="W1552" s="175" t="n">
        <v>0.0162</v>
      </c>
      <c r="X1552" s="172" t="inlineStr">
        <is>
          <t>上银理财</t>
        </is>
      </c>
      <c r="Y1552" s="191" t="n">
        <v>0.1</v>
      </c>
    </row>
    <row r="1553">
      <c r="A1553" s="172" t="n">
        <v>87</v>
      </c>
      <c r="B1553" s="172" t="inlineStr">
        <is>
          <t>6月</t>
        </is>
      </c>
      <c r="C1553" s="172" t="inlineStr">
        <is>
          <t>消金</t>
        </is>
      </c>
      <c r="D1553" s="172" t="inlineStr">
        <is>
          <t>信托金条</t>
        </is>
      </c>
      <c r="E1553" s="172" t="inlineStr">
        <is>
          <t>耘睿24-10</t>
        </is>
      </c>
      <c r="F1553" s="172" t="inlineStr">
        <is>
          <t>上交所</t>
        </is>
      </c>
      <c r="G1553" s="172" t="inlineStr">
        <is>
          <t>财通资管</t>
        </is>
      </c>
      <c r="H1553" s="172" t="inlineStr">
        <is>
          <t>国泰海通</t>
        </is>
      </c>
      <c r="I1553" s="172" t="inlineStr">
        <is>
          <t>广发银行</t>
        </is>
      </c>
      <c r="J1553" s="172" t="n">
        <v>9</v>
      </c>
      <c r="K1553" s="172" t="inlineStr">
        <is>
          <t>11+24</t>
        </is>
      </c>
      <c r="L1553" s="200" t="n">
        <v>46185</v>
      </c>
      <c r="M1553" s="175" t="n">
        <v>0.0147</v>
      </c>
      <c r="N1553" s="176" t="n">
        <v>0.01942</v>
      </c>
      <c r="O1553" s="172" t="n">
        <v>2.2</v>
      </c>
      <c r="P1553" s="172" t="inlineStr">
        <is>
          <t>优先A</t>
        </is>
      </c>
      <c r="Q1553" s="175" t="n">
        <v>0.9</v>
      </c>
      <c r="R1553" s="172">
        <f>Q1061*J1061</f>
        <v/>
      </c>
      <c r="S1553" s="172" t="inlineStr">
        <is>
          <t>AAA</t>
        </is>
      </c>
      <c r="T1553" s="175" t="n">
        <v>0.0162</v>
      </c>
      <c r="U1553" s="172" t="n"/>
      <c r="V1553" s="172" t="n"/>
      <c r="W1553" s="175" t="n">
        <v>0.0163</v>
      </c>
      <c r="X1553" s="172" t="inlineStr">
        <is>
          <t>上银理财</t>
        </is>
      </c>
      <c r="Y1553" s="191" t="n">
        <v>0.1</v>
      </c>
    </row>
    <row r="1554">
      <c r="A1554" s="172" t="n">
        <v>87</v>
      </c>
      <c r="B1554" s="172" t="inlineStr">
        <is>
          <t>6月</t>
        </is>
      </c>
      <c r="C1554" s="172" t="inlineStr">
        <is>
          <t>消金</t>
        </is>
      </c>
      <c r="D1554" s="172" t="inlineStr">
        <is>
          <t>信托金条</t>
        </is>
      </c>
      <c r="E1554" s="172" t="inlineStr">
        <is>
          <t>耘睿24-10</t>
        </is>
      </c>
      <c r="F1554" s="172" t="inlineStr">
        <is>
          <t>上交所</t>
        </is>
      </c>
      <c r="G1554" s="172" t="inlineStr">
        <is>
          <t>财通资管</t>
        </is>
      </c>
      <c r="H1554" s="172" t="inlineStr">
        <is>
          <t>国泰海通</t>
        </is>
      </c>
      <c r="I1554" s="172" t="inlineStr">
        <is>
          <t>广发银行</t>
        </is>
      </c>
      <c r="J1554" s="172" t="n">
        <v>9</v>
      </c>
      <c r="K1554" s="172" t="inlineStr">
        <is>
          <t>11+24</t>
        </is>
      </c>
      <c r="L1554" s="200" t="n">
        <v>46185</v>
      </c>
      <c r="M1554" s="175" t="n">
        <v>0.0147</v>
      </c>
      <c r="N1554" s="176" t="n">
        <v>0.01942</v>
      </c>
      <c r="O1554" s="172" t="n">
        <v>2.2</v>
      </c>
      <c r="P1554" s="172" t="inlineStr">
        <is>
          <t>优先A</t>
        </is>
      </c>
      <c r="Q1554" s="175" t="n">
        <v>0.9</v>
      </c>
      <c r="R1554" s="172">
        <f>Q1061*J1061</f>
        <v/>
      </c>
      <c r="S1554" s="172" t="inlineStr">
        <is>
          <t>AAA</t>
        </is>
      </c>
      <c r="T1554" s="175" t="n">
        <v>0.0162</v>
      </c>
      <c r="U1554" s="172" t="n"/>
      <c r="V1554" s="172" t="n"/>
      <c r="W1554" s="175" t="n">
        <v>0.0164</v>
      </c>
      <c r="X1554" s="172" t="inlineStr">
        <is>
          <t>上银理财</t>
        </is>
      </c>
      <c r="Y1554" s="191" t="n">
        <v>0.1</v>
      </c>
    </row>
    <row r="1555">
      <c r="A1555" s="172" t="n">
        <v>87</v>
      </c>
      <c r="B1555" s="172" t="inlineStr">
        <is>
          <t>6月</t>
        </is>
      </c>
      <c r="C1555" s="172" t="inlineStr">
        <is>
          <t>消金</t>
        </is>
      </c>
      <c r="D1555" s="172" t="inlineStr">
        <is>
          <t>信托金条</t>
        </is>
      </c>
      <c r="E1555" s="172" t="inlineStr">
        <is>
          <t>耘睿24-10</t>
        </is>
      </c>
      <c r="F1555" s="172" t="inlineStr">
        <is>
          <t>上交所</t>
        </is>
      </c>
      <c r="G1555" s="172" t="inlineStr">
        <is>
          <t>财通资管</t>
        </is>
      </c>
      <c r="H1555" s="172" t="inlineStr">
        <is>
          <t>国泰海通</t>
        </is>
      </c>
      <c r="I1555" s="172" t="inlineStr">
        <is>
          <t>广发银行</t>
        </is>
      </c>
      <c r="J1555" s="172" t="n">
        <v>9</v>
      </c>
      <c r="K1555" s="172" t="inlineStr">
        <is>
          <t>11+24</t>
        </is>
      </c>
      <c r="L1555" s="200" t="n">
        <v>46185</v>
      </c>
      <c r="M1555" s="175" t="n">
        <v>0.0147</v>
      </c>
      <c r="N1555" s="176" t="n">
        <v>0.01942</v>
      </c>
      <c r="O1555" s="172" t="n">
        <v>2.2</v>
      </c>
      <c r="P1555" s="172" t="inlineStr">
        <is>
          <t>优先A</t>
        </is>
      </c>
      <c r="Q1555" s="175" t="n">
        <v>0.9</v>
      </c>
      <c r="R1555" s="172">
        <f>Q1061*J1061</f>
        <v/>
      </c>
      <c r="S1555" s="172" t="inlineStr">
        <is>
          <t>AAA</t>
        </is>
      </c>
      <c r="T1555" s="175" t="n">
        <v>0.0162</v>
      </c>
      <c r="U1555" s="172" t="n"/>
      <c r="V1555" s="172" t="n"/>
      <c r="W1555" s="175" t="n">
        <v>0.0165</v>
      </c>
      <c r="X1555" s="172" t="inlineStr">
        <is>
          <t>上银理财</t>
        </is>
      </c>
      <c r="Y1555" s="191" t="n">
        <v>0.38</v>
      </c>
    </row>
    <row r="1556">
      <c r="A1556" s="172" t="n">
        <v>87</v>
      </c>
      <c r="B1556" s="172" t="inlineStr">
        <is>
          <t>6月</t>
        </is>
      </c>
      <c r="C1556" s="172" t="inlineStr">
        <is>
          <t>消金</t>
        </is>
      </c>
      <c r="D1556" s="172" t="inlineStr">
        <is>
          <t>信托金条</t>
        </is>
      </c>
      <c r="E1556" s="172" t="inlineStr">
        <is>
          <t>耘睿24-10</t>
        </is>
      </c>
      <c r="F1556" s="172" t="inlineStr">
        <is>
          <t>上交所</t>
        </is>
      </c>
      <c r="G1556" s="172" t="inlineStr">
        <is>
          <t>财通资管</t>
        </is>
      </c>
      <c r="H1556" s="172" t="inlineStr">
        <is>
          <t>国泰海通</t>
        </is>
      </c>
      <c r="I1556" s="172" t="inlineStr">
        <is>
          <t>广发银行</t>
        </is>
      </c>
      <c r="J1556" s="172" t="n">
        <v>9</v>
      </c>
      <c r="K1556" s="172" t="inlineStr">
        <is>
          <t>11+24</t>
        </is>
      </c>
      <c r="L1556" s="200" t="n">
        <v>46185</v>
      </c>
      <c r="M1556" s="175" t="n">
        <v>0.0147</v>
      </c>
      <c r="N1556" s="176" t="n">
        <v>0.01942</v>
      </c>
      <c r="O1556" s="172" t="n">
        <v>2.2</v>
      </c>
      <c r="P1556" s="172" t="inlineStr">
        <is>
          <t>优先A</t>
        </is>
      </c>
      <c r="Q1556" s="175" t="n">
        <v>0.9</v>
      </c>
      <c r="R1556" s="172">
        <f>Q1061*J1061</f>
        <v/>
      </c>
      <c r="S1556" s="172" t="inlineStr">
        <is>
          <t>AAA</t>
        </is>
      </c>
      <c r="T1556" s="175" t="n">
        <v>0.0162</v>
      </c>
      <c r="U1556" s="172" t="n"/>
      <c r="V1556" s="172" t="n"/>
      <c r="W1556" s="175" t="n">
        <v>0.017</v>
      </c>
      <c r="X1556" s="172" t="inlineStr">
        <is>
          <t>上银理财</t>
        </is>
      </c>
      <c r="Y1556" s="191" t="n">
        <v>0.67</v>
      </c>
    </row>
    <row r="1557">
      <c r="A1557" s="172" t="n">
        <v>87</v>
      </c>
      <c r="B1557" s="173" t="inlineStr">
        <is>
          <t>6月</t>
        </is>
      </c>
      <c r="C1557" s="173" t="inlineStr">
        <is>
          <t>消金</t>
        </is>
      </c>
      <c r="D1557" s="173" t="inlineStr">
        <is>
          <t>信托金条</t>
        </is>
      </c>
      <c r="E1557" s="173" t="inlineStr">
        <is>
          <t>耘睿24-10</t>
        </is>
      </c>
      <c r="F1557" s="173" t="inlineStr">
        <is>
          <t>上交所</t>
        </is>
      </c>
      <c r="G1557" s="173" t="inlineStr">
        <is>
          <t>财通资管</t>
        </is>
      </c>
      <c r="H1557" s="173" t="inlineStr">
        <is>
          <t>国泰海通</t>
        </is>
      </c>
      <c r="I1557" s="173" t="inlineStr">
        <is>
          <t>广发银行</t>
        </is>
      </c>
      <c r="J1557" s="172" t="n">
        <v>9</v>
      </c>
      <c r="K1557" s="173" t="inlineStr">
        <is>
          <t>11+24</t>
        </is>
      </c>
      <c r="L1557" s="202" t="n">
        <v>46185</v>
      </c>
      <c r="M1557" s="175" t="n">
        <v>0.0147</v>
      </c>
      <c r="N1557" s="176" t="n">
        <v>0.01942</v>
      </c>
      <c r="O1557" s="172" t="n">
        <v>2.2</v>
      </c>
      <c r="P1557" s="172" t="inlineStr">
        <is>
          <t>优先A</t>
        </is>
      </c>
      <c r="Q1557" s="204" t="n">
        <v>0.9</v>
      </c>
      <c r="R1557" s="205">
        <f>Q1061*J1061</f>
        <v/>
      </c>
      <c r="S1557" s="203" t="inlineStr">
        <is>
          <t>AAA</t>
        </is>
      </c>
      <c r="T1557" s="204" t="n">
        <v>0.0162</v>
      </c>
      <c r="U1557" s="203" t="inlineStr">
        <is>
          <t>中邮理财</t>
        </is>
      </c>
      <c r="V1557" s="192" t="n">
        <v>1</v>
      </c>
      <c r="W1557" s="175" t="n">
        <v>0.0162</v>
      </c>
      <c r="X1557" s="172" t="inlineStr">
        <is>
          <t>中邮理财</t>
        </is>
      </c>
      <c r="Y1557" s="191" t="n">
        <v>1</v>
      </c>
    </row>
    <row r="1558">
      <c r="A1558" s="172" t="n">
        <v>87</v>
      </c>
      <c r="B1558" s="172" t="inlineStr">
        <is>
          <t>6月</t>
        </is>
      </c>
      <c r="C1558" s="172" t="inlineStr">
        <is>
          <t>消金</t>
        </is>
      </c>
      <c r="D1558" s="172" t="inlineStr">
        <is>
          <t>信托金条</t>
        </is>
      </c>
      <c r="E1558" s="172" t="inlineStr">
        <is>
          <t>耘睿24-10</t>
        </is>
      </c>
      <c r="F1558" s="172" t="inlineStr">
        <is>
          <t>上交所</t>
        </is>
      </c>
      <c r="G1558" s="172" t="inlineStr">
        <is>
          <t>财通资管</t>
        </is>
      </c>
      <c r="H1558" s="172" t="inlineStr">
        <is>
          <t>国泰海通</t>
        </is>
      </c>
      <c r="I1558" s="172" t="inlineStr">
        <is>
          <t>广发银行</t>
        </is>
      </c>
      <c r="J1558" s="172" t="n">
        <v>9</v>
      </c>
      <c r="K1558" s="172" t="inlineStr">
        <is>
          <t>11+24</t>
        </is>
      </c>
      <c r="L1558" s="200" t="n">
        <v>46185</v>
      </c>
      <c r="M1558" s="175" t="n">
        <v>0.0147</v>
      </c>
      <c r="N1558" s="176" t="n">
        <v>0.01942</v>
      </c>
      <c r="O1558" s="172" t="n">
        <v>2.2</v>
      </c>
      <c r="P1558" s="172" t="inlineStr">
        <is>
          <t>优先A</t>
        </is>
      </c>
      <c r="Q1558" s="175" t="n">
        <v>0.9</v>
      </c>
      <c r="R1558" s="172">
        <f>Q1061*J1061</f>
        <v/>
      </c>
      <c r="S1558" s="172" t="inlineStr">
        <is>
          <t>AAA</t>
        </is>
      </c>
      <c r="T1558" s="175" t="n">
        <v>0.0162</v>
      </c>
      <c r="U1558" s="172" t="n"/>
      <c r="V1558" s="172" t="n"/>
      <c r="W1558" s="175" t="n">
        <v>0.0164</v>
      </c>
      <c r="X1558" s="172" t="inlineStr">
        <is>
          <t>中邮理财</t>
        </is>
      </c>
      <c r="Y1558" s="191" t="n">
        <v>1.4</v>
      </c>
    </row>
    <row r="1559">
      <c r="A1559" s="172" t="n">
        <v>87</v>
      </c>
      <c r="B1559" s="172" t="inlineStr">
        <is>
          <t>6月</t>
        </is>
      </c>
      <c r="C1559" s="172" t="inlineStr">
        <is>
          <t>消金</t>
        </is>
      </c>
      <c r="D1559" s="172" t="inlineStr">
        <is>
          <t>信托金条</t>
        </is>
      </c>
      <c r="E1559" s="172" t="inlineStr">
        <is>
          <t>耘睿24-10</t>
        </is>
      </c>
      <c r="F1559" s="172" t="inlineStr">
        <is>
          <t>上交所</t>
        </is>
      </c>
      <c r="G1559" s="172" t="inlineStr">
        <is>
          <t>财通资管</t>
        </is>
      </c>
      <c r="H1559" s="172" t="inlineStr">
        <is>
          <t>国泰海通</t>
        </is>
      </c>
      <c r="I1559" s="172" t="inlineStr">
        <is>
          <t>广发银行</t>
        </is>
      </c>
      <c r="J1559" s="172" t="n">
        <v>9</v>
      </c>
      <c r="K1559" s="172" t="inlineStr">
        <is>
          <t>11+24</t>
        </is>
      </c>
      <c r="L1559" s="200" t="n">
        <v>46185</v>
      </c>
      <c r="M1559" s="175" t="n">
        <v>0.0147</v>
      </c>
      <c r="N1559" s="176" t="n">
        <v>0.01942</v>
      </c>
      <c r="O1559" s="172" t="n">
        <v>2.2</v>
      </c>
      <c r="P1559" s="172" t="inlineStr">
        <is>
          <t>优先A</t>
        </is>
      </c>
      <c r="Q1559" s="175" t="n">
        <v>0.9</v>
      </c>
      <c r="R1559" s="172">
        <f>Q1061*J1061</f>
        <v/>
      </c>
      <c r="S1559" s="172" t="inlineStr">
        <is>
          <t>AAA</t>
        </is>
      </c>
      <c r="T1559" s="175" t="n">
        <v>0.0162</v>
      </c>
      <c r="U1559" s="172" t="n"/>
      <c r="V1559" s="172" t="n"/>
      <c r="W1559" s="175" t="n">
        <v>0.0165</v>
      </c>
      <c r="X1559" s="172" t="inlineStr">
        <is>
          <t>中邮理财</t>
        </is>
      </c>
      <c r="Y1559" s="191" t="n">
        <v>0.03</v>
      </c>
    </row>
    <row r="1560">
      <c r="A1560" s="172" t="n">
        <v>87</v>
      </c>
      <c r="B1560" s="173" t="inlineStr">
        <is>
          <t>6月</t>
        </is>
      </c>
      <c r="C1560" s="173" t="inlineStr">
        <is>
          <t>消金</t>
        </is>
      </c>
      <c r="D1560" s="173" t="inlineStr">
        <is>
          <t>信托金条</t>
        </is>
      </c>
      <c r="E1560" s="173" t="inlineStr">
        <is>
          <t>耘睿24-10</t>
        </is>
      </c>
      <c r="F1560" s="173" t="inlineStr">
        <is>
          <t>上交所</t>
        </is>
      </c>
      <c r="G1560" s="173" t="inlineStr">
        <is>
          <t>财通资管</t>
        </is>
      </c>
      <c r="H1560" s="173" t="inlineStr">
        <is>
          <t>国泰海通</t>
        </is>
      </c>
      <c r="I1560" s="173" t="inlineStr">
        <is>
          <t>广发银行</t>
        </is>
      </c>
      <c r="J1560" s="172" t="n">
        <v>9</v>
      </c>
      <c r="K1560" s="173" t="inlineStr">
        <is>
          <t>11+24</t>
        </is>
      </c>
      <c r="L1560" s="202" t="n">
        <v>46185</v>
      </c>
      <c r="M1560" s="175" t="n">
        <v>0.0147</v>
      </c>
      <c r="N1560" s="176" t="n">
        <v>0.01942</v>
      </c>
      <c r="O1560" s="172" t="n">
        <v>2.2</v>
      </c>
      <c r="P1560" s="172" t="inlineStr">
        <is>
          <t>优先A</t>
        </is>
      </c>
      <c r="Q1560" s="204" t="n">
        <v>0.9</v>
      </c>
      <c r="R1560" s="205">
        <f>Q1061*J1061</f>
        <v/>
      </c>
      <c r="S1560" s="203" t="inlineStr">
        <is>
          <t>AAA</t>
        </is>
      </c>
      <c r="T1560" s="204" t="n">
        <v>0.0162</v>
      </c>
      <c r="U1560" s="203" t="inlineStr">
        <is>
          <t>财通资管</t>
        </is>
      </c>
      <c r="V1560" s="192" t="n">
        <v>0.32</v>
      </c>
      <c r="W1560" s="175" t="n">
        <v>0.0162</v>
      </c>
      <c r="X1560" s="172" t="inlineStr">
        <is>
          <t>财通资管</t>
        </is>
      </c>
      <c r="Y1560" s="191" t="n">
        <v>0.32</v>
      </c>
    </row>
    <row r="1561">
      <c r="A1561" s="172" t="n">
        <v>87</v>
      </c>
      <c r="B1561" s="172" t="inlineStr">
        <is>
          <t>6月</t>
        </is>
      </c>
      <c r="C1561" s="172" t="inlineStr">
        <is>
          <t>消金</t>
        </is>
      </c>
      <c r="D1561" s="172" t="inlineStr">
        <is>
          <t>信托金条</t>
        </is>
      </c>
      <c r="E1561" s="172" t="inlineStr">
        <is>
          <t>耘睿24-10</t>
        </is>
      </c>
      <c r="F1561" s="172" t="inlineStr">
        <is>
          <t>上交所</t>
        </is>
      </c>
      <c r="G1561" s="172" t="inlineStr">
        <is>
          <t>财通资管</t>
        </is>
      </c>
      <c r="H1561" s="172" t="inlineStr">
        <is>
          <t>国泰海通</t>
        </is>
      </c>
      <c r="I1561" s="172" t="inlineStr">
        <is>
          <t>广发银行</t>
        </is>
      </c>
      <c r="J1561" s="172" t="n">
        <v>9</v>
      </c>
      <c r="K1561" s="172" t="inlineStr">
        <is>
          <t>11+24</t>
        </is>
      </c>
      <c r="L1561" s="200" t="n">
        <v>46185</v>
      </c>
      <c r="M1561" s="175" t="n">
        <v>0.0147</v>
      </c>
      <c r="N1561" s="176" t="n">
        <v>0.01942</v>
      </c>
      <c r="O1561" s="172" t="n">
        <v>2.2</v>
      </c>
      <c r="P1561" s="172" t="inlineStr">
        <is>
          <t>优先A</t>
        </is>
      </c>
      <c r="Q1561" s="175" t="n">
        <v>0.9</v>
      </c>
      <c r="R1561" s="172">
        <f>Q1061*J1061</f>
        <v/>
      </c>
      <c r="S1561" s="172" t="inlineStr">
        <is>
          <t>AAA</t>
        </is>
      </c>
      <c r="T1561" s="175" t="n">
        <v>0.0162</v>
      </c>
      <c r="U1561" s="172" t="n"/>
      <c r="V1561" s="172" t="n"/>
      <c r="W1561" s="175" t="n">
        <v>0.017</v>
      </c>
      <c r="X1561" s="172" t="inlineStr">
        <is>
          <t>财通资管</t>
        </is>
      </c>
      <c r="Y1561" s="191" t="n">
        <v>1</v>
      </c>
    </row>
    <row r="1562">
      <c r="A1562" s="172" t="n">
        <v>87</v>
      </c>
      <c r="B1562" s="173" t="inlineStr">
        <is>
          <t>6月</t>
        </is>
      </c>
      <c r="C1562" s="173" t="inlineStr">
        <is>
          <t>消金</t>
        </is>
      </c>
      <c r="D1562" s="173" t="inlineStr">
        <is>
          <t>信托金条</t>
        </is>
      </c>
      <c r="E1562" s="173" t="inlineStr">
        <is>
          <t>耘睿24-10</t>
        </is>
      </c>
      <c r="F1562" s="173" t="inlineStr">
        <is>
          <t>上交所</t>
        </is>
      </c>
      <c r="G1562" s="173" t="inlineStr">
        <is>
          <t>财通资管</t>
        </is>
      </c>
      <c r="H1562" s="173" t="inlineStr">
        <is>
          <t>国泰海通</t>
        </is>
      </c>
      <c r="I1562" s="173" t="inlineStr">
        <is>
          <t>广发银行</t>
        </is>
      </c>
      <c r="J1562" s="172" t="n">
        <v>9</v>
      </c>
      <c r="K1562" s="173" t="inlineStr">
        <is>
          <t>11+24</t>
        </is>
      </c>
      <c r="L1562" s="202" t="n">
        <v>46185</v>
      </c>
      <c r="M1562" s="175" t="n">
        <v>0.0147</v>
      </c>
      <c r="N1562" s="176" t="n">
        <v>0.01942</v>
      </c>
      <c r="O1562" s="172" t="n">
        <v>2.2</v>
      </c>
      <c r="P1562" s="172" t="inlineStr">
        <is>
          <t>优先A</t>
        </is>
      </c>
      <c r="Q1562" s="204" t="n">
        <v>0.9</v>
      </c>
      <c r="R1562" s="205">
        <f>Q1061*J1061</f>
        <v/>
      </c>
      <c r="S1562" s="203" t="inlineStr">
        <is>
          <t>AAA</t>
        </is>
      </c>
      <c r="T1562" s="204" t="n">
        <v>0.0162</v>
      </c>
      <c r="U1562" s="203" t="inlineStr">
        <is>
          <t>国泰海通投行</t>
        </is>
      </c>
      <c r="V1562" s="192" t="n">
        <v>0.2</v>
      </c>
      <c r="W1562" s="175" t="n">
        <v>0.0162</v>
      </c>
      <c r="X1562" s="172" t="inlineStr">
        <is>
          <t>国泰海通</t>
        </is>
      </c>
      <c r="Y1562" s="191" t="n">
        <v>0.2</v>
      </c>
    </row>
    <row r="1563">
      <c r="A1563" s="172" t="n">
        <v>87</v>
      </c>
      <c r="B1563" s="172" t="inlineStr">
        <is>
          <t>6月</t>
        </is>
      </c>
      <c r="C1563" s="172" t="inlineStr">
        <is>
          <t>消金</t>
        </is>
      </c>
      <c r="D1563" s="172" t="inlineStr">
        <is>
          <t>信托金条</t>
        </is>
      </c>
      <c r="E1563" s="172" t="inlineStr">
        <is>
          <t>耘睿24-10</t>
        </is>
      </c>
      <c r="F1563" s="172" t="inlineStr">
        <is>
          <t>上交所</t>
        </is>
      </c>
      <c r="G1563" s="172" t="inlineStr">
        <is>
          <t>财通资管</t>
        </is>
      </c>
      <c r="H1563" s="172" t="inlineStr">
        <is>
          <t>国泰海通</t>
        </is>
      </c>
      <c r="I1563" s="172" t="inlineStr">
        <is>
          <t>广发银行</t>
        </is>
      </c>
      <c r="J1563" s="172" t="n">
        <v>9</v>
      </c>
      <c r="K1563" s="172" t="inlineStr">
        <is>
          <t>11+24</t>
        </is>
      </c>
      <c r="L1563" s="200" t="n">
        <v>46185</v>
      </c>
      <c r="M1563" s="175" t="n">
        <v>0.0147</v>
      </c>
      <c r="N1563" s="176" t="n">
        <v>0.01942</v>
      </c>
      <c r="O1563" s="172" t="n">
        <v>2.2</v>
      </c>
      <c r="P1563" s="172" t="inlineStr">
        <is>
          <t>优先A</t>
        </is>
      </c>
      <c r="Q1563" s="175" t="n">
        <v>0.9</v>
      </c>
      <c r="R1563" s="172">
        <f>Q1061*J1061</f>
        <v/>
      </c>
      <c r="S1563" s="172" t="inlineStr">
        <is>
          <t>AAA</t>
        </is>
      </c>
      <c r="T1563" s="175" t="n">
        <v>0.0162</v>
      </c>
      <c r="U1563" s="172" t="n"/>
      <c r="V1563" s="172" t="n"/>
      <c r="W1563" s="175" t="n">
        <v>0.017</v>
      </c>
      <c r="X1563" s="172" t="inlineStr">
        <is>
          <t>国泰海通</t>
        </is>
      </c>
      <c r="Y1563" s="191" t="n">
        <v>1.08</v>
      </c>
    </row>
    <row r="1564">
      <c r="A1564" s="172" t="n">
        <v>87</v>
      </c>
      <c r="B1564" s="173" t="inlineStr">
        <is>
          <t>6月</t>
        </is>
      </c>
      <c r="C1564" s="173" t="inlineStr">
        <is>
          <t>消金</t>
        </is>
      </c>
      <c r="D1564" s="173" t="inlineStr">
        <is>
          <t>信托金条</t>
        </is>
      </c>
      <c r="E1564" s="173" t="inlineStr">
        <is>
          <t>耘睿24-10</t>
        </is>
      </c>
      <c r="F1564" s="173" t="inlineStr">
        <is>
          <t>上交所</t>
        </is>
      </c>
      <c r="G1564" s="173" t="inlineStr">
        <is>
          <t>财通资管</t>
        </is>
      </c>
      <c r="H1564" s="173" t="inlineStr">
        <is>
          <t>国泰海通</t>
        </is>
      </c>
      <c r="I1564" s="173" t="inlineStr">
        <is>
          <t>广发银行</t>
        </is>
      </c>
      <c r="J1564" s="172" t="n">
        <v>9</v>
      </c>
      <c r="K1564" s="173" t="inlineStr">
        <is>
          <t>11+24</t>
        </is>
      </c>
      <c r="L1564" s="202" t="n">
        <v>46185</v>
      </c>
      <c r="M1564" s="175" t="n">
        <v>0.0147</v>
      </c>
      <c r="N1564" s="176" t="n">
        <v>0.01942</v>
      </c>
      <c r="O1564" s="172" t="n">
        <v>2.2</v>
      </c>
      <c r="P1564" s="172" t="inlineStr">
        <is>
          <t>优先A</t>
        </is>
      </c>
      <c r="Q1564" s="204" t="n">
        <v>0.9</v>
      </c>
      <c r="R1564" s="205">
        <f>Q1061*J1061</f>
        <v/>
      </c>
      <c r="S1564" s="203" t="inlineStr">
        <is>
          <t>AAA</t>
        </is>
      </c>
      <c r="T1564" s="204" t="n">
        <v>0.0162</v>
      </c>
      <c r="U1564" s="203" t="inlineStr">
        <is>
          <t>利曦基金</t>
        </is>
      </c>
      <c r="V1564" s="192" t="n">
        <v>0.2</v>
      </c>
      <c r="W1564" s="175" t="n">
        <v>0.0162</v>
      </c>
      <c r="X1564" s="172" t="inlineStr">
        <is>
          <t>利曦基金</t>
        </is>
      </c>
      <c r="Y1564" s="191" t="n">
        <v>0.2</v>
      </c>
    </row>
    <row r="1565">
      <c r="A1565" s="172" t="n">
        <v>87</v>
      </c>
      <c r="B1565" s="172" t="inlineStr">
        <is>
          <t>6月</t>
        </is>
      </c>
      <c r="C1565" s="172" t="inlineStr">
        <is>
          <t>消金</t>
        </is>
      </c>
      <c r="D1565" s="172" t="inlineStr">
        <is>
          <t>信托金条</t>
        </is>
      </c>
      <c r="E1565" s="172" t="inlineStr">
        <is>
          <t>耘睿24-10</t>
        </is>
      </c>
      <c r="F1565" s="172" t="inlineStr">
        <is>
          <t>上交所</t>
        </is>
      </c>
      <c r="G1565" s="172" t="inlineStr">
        <is>
          <t>财通资管</t>
        </is>
      </c>
      <c r="H1565" s="172" t="inlineStr">
        <is>
          <t>国泰海通</t>
        </is>
      </c>
      <c r="I1565" s="172" t="inlineStr">
        <is>
          <t>广发银行</t>
        </is>
      </c>
      <c r="J1565" s="172" t="n">
        <v>9</v>
      </c>
      <c r="K1565" s="172" t="inlineStr">
        <is>
          <t>11+24</t>
        </is>
      </c>
      <c r="L1565" s="200" t="n">
        <v>46185</v>
      </c>
      <c r="M1565" s="175" t="n">
        <v>0.0147</v>
      </c>
      <c r="N1565" s="176" t="n">
        <v>0.01942</v>
      </c>
      <c r="O1565" s="172" t="n">
        <v>2.2</v>
      </c>
      <c r="P1565" s="172" t="inlineStr">
        <is>
          <t>优先A</t>
        </is>
      </c>
      <c r="Q1565" s="175" t="n">
        <v>0.9</v>
      </c>
      <c r="R1565" s="172">
        <f>Q1061*J1061</f>
        <v/>
      </c>
      <c r="S1565" s="172" t="inlineStr">
        <is>
          <t>AAA</t>
        </is>
      </c>
      <c r="T1565" s="175" t="n">
        <v>0.0162</v>
      </c>
      <c r="U1565" s="172" t="n"/>
      <c r="V1565" s="172" t="n"/>
      <c r="W1565" s="175" t="n">
        <v>0.017</v>
      </c>
      <c r="X1565" s="172" t="inlineStr">
        <is>
          <t>利曦基金</t>
        </is>
      </c>
      <c r="Y1565" s="191" t="n">
        <v>1.8</v>
      </c>
    </row>
    <row r="1566">
      <c r="A1566" s="172" t="n">
        <v>87</v>
      </c>
      <c r="B1566" s="172" t="inlineStr">
        <is>
          <t>6月</t>
        </is>
      </c>
      <c r="C1566" s="172" t="inlineStr">
        <is>
          <t>消金</t>
        </is>
      </c>
      <c r="D1566" s="172" t="inlineStr">
        <is>
          <t>信托金条</t>
        </is>
      </c>
      <c r="E1566" s="172" t="inlineStr">
        <is>
          <t>耘睿24-10</t>
        </is>
      </c>
      <c r="F1566" s="172" t="inlineStr">
        <is>
          <t>上交所</t>
        </is>
      </c>
      <c r="G1566" s="172" t="inlineStr">
        <is>
          <t>财通资管</t>
        </is>
      </c>
      <c r="H1566" s="172" t="inlineStr">
        <is>
          <t>国泰海通</t>
        </is>
      </c>
      <c r="I1566" s="172" t="inlineStr">
        <is>
          <t>广发银行</t>
        </is>
      </c>
      <c r="J1566" s="172" t="n">
        <v>9</v>
      </c>
      <c r="K1566" s="172" t="inlineStr">
        <is>
          <t>11+24</t>
        </is>
      </c>
      <c r="L1566" s="200" t="n">
        <v>46185</v>
      </c>
      <c r="M1566" s="175" t="n">
        <v>0.0147</v>
      </c>
      <c r="N1566" s="176" t="n">
        <v>0.01942</v>
      </c>
      <c r="O1566" s="172" t="n">
        <v>2.2</v>
      </c>
      <c r="P1566" s="172" t="inlineStr">
        <is>
          <t>优先A</t>
        </is>
      </c>
      <c r="Q1566" s="175" t="n">
        <v>0.9</v>
      </c>
      <c r="R1566" s="172">
        <f>Q1061*J1061</f>
        <v/>
      </c>
      <c r="S1566" s="172" t="inlineStr">
        <is>
          <t>AAA</t>
        </is>
      </c>
      <c r="T1566" s="175" t="n">
        <v>0.0162</v>
      </c>
      <c r="U1566" s="172" t="n"/>
      <c r="V1566" s="172" t="n"/>
      <c r="W1566" s="175" t="n">
        <v>0.0165</v>
      </c>
      <c r="X1566" s="172" t="inlineStr">
        <is>
          <t>工银瑞信基金</t>
        </is>
      </c>
      <c r="Y1566" s="191" t="n">
        <v>0.15</v>
      </c>
    </row>
    <row r="1567">
      <c r="A1567" s="172" t="n">
        <v>87</v>
      </c>
      <c r="B1567" s="172" t="inlineStr">
        <is>
          <t>6月</t>
        </is>
      </c>
      <c r="C1567" s="172" t="inlineStr">
        <is>
          <t>消金</t>
        </is>
      </c>
      <c r="D1567" s="172" t="inlineStr">
        <is>
          <t>信托金条</t>
        </is>
      </c>
      <c r="E1567" s="172" t="inlineStr">
        <is>
          <t>耘睿24-10</t>
        </is>
      </c>
      <c r="F1567" s="172" t="inlineStr">
        <is>
          <t>上交所</t>
        </is>
      </c>
      <c r="G1567" s="172" t="inlineStr">
        <is>
          <t>财通资管</t>
        </is>
      </c>
      <c r="H1567" s="172" t="inlineStr">
        <is>
          <t>国泰海通</t>
        </is>
      </c>
      <c r="I1567" s="172" t="inlineStr">
        <is>
          <t>广发银行</t>
        </is>
      </c>
      <c r="J1567" s="172" t="n">
        <v>9</v>
      </c>
      <c r="K1567" s="172" t="inlineStr">
        <is>
          <t>11+24</t>
        </is>
      </c>
      <c r="L1567" s="200" t="n">
        <v>46185</v>
      </c>
      <c r="M1567" s="175" t="n">
        <v>0.0147</v>
      </c>
      <c r="N1567" s="176" t="n">
        <v>0.01942</v>
      </c>
      <c r="O1567" s="172" t="n">
        <v>2.2</v>
      </c>
      <c r="P1567" s="172" t="inlineStr">
        <is>
          <t>优先A</t>
        </is>
      </c>
      <c r="Q1567" s="175" t="n">
        <v>0.9</v>
      </c>
      <c r="R1567" s="172">
        <f>Q1061*J1061</f>
        <v/>
      </c>
      <c r="S1567" s="172" t="inlineStr">
        <is>
          <t>AAA</t>
        </is>
      </c>
      <c r="T1567" s="175" t="n">
        <v>0.0162</v>
      </c>
      <c r="U1567" s="172" t="n"/>
      <c r="V1567" s="172" t="n"/>
      <c r="W1567" s="175" t="n">
        <v>0.0168</v>
      </c>
      <c r="X1567" s="172" t="inlineStr">
        <is>
          <t>工银瑞信基金</t>
        </is>
      </c>
      <c r="Y1567" s="191" t="n">
        <v>0.6</v>
      </c>
    </row>
    <row r="1568">
      <c r="A1568" s="172" t="n">
        <v>87</v>
      </c>
      <c r="B1568" s="172" t="inlineStr">
        <is>
          <t>6月</t>
        </is>
      </c>
      <c r="C1568" s="172" t="inlineStr">
        <is>
          <t>消金</t>
        </is>
      </c>
      <c r="D1568" s="172" t="inlineStr">
        <is>
          <t>信托金条</t>
        </is>
      </c>
      <c r="E1568" s="172" t="inlineStr">
        <is>
          <t>耘睿24-10</t>
        </is>
      </c>
      <c r="F1568" s="172" t="inlineStr">
        <is>
          <t>上交所</t>
        </is>
      </c>
      <c r="G1568" s="172" t="inlineStr">
        <is>
          <t>财通资管</t>
        </is>
      </c>
      <c r="H1568" s="172" t="inlineStr">
        <is>
          <t>国泰海通</t>
        </is>
      </c>
      <c r="I1568" s="172" t="inlineStr">
        <is>
          <t>广发银行</t>
        </is>
      </c>
      <c r="J1568" s="172" t="n">
        <v>9</v>
      </c>
      <c r="K1568" s="172" t="inlineStr">
        <is>
          <t>11+24</t>
        </is>
      </c>
      <c r="L1568" s="200" t="n">
        <v>46185</v>
      </c>
      <c r="M1568" s="175" t="n">
        <v>0.0147</v>
      </c>
      <c r="N1568" s="176" t="n">
        <v>0.01942</v>
      </c>
      <c r="O1568" s="172" t="n">
        <v>2.2</v>
      </c>
      <c r="P1568" s="172" t="inlineStr">
        <is>
          <t>优先A</t>
        </is>
      </c>
      <c r="Q1568" s="175" t="n">
        <v>0.9</v>
      </c>
      <c r="R1568" s="172">
        <f>Q1061*J1061</f>
        <v/>
      </c>
      <c r="S1568" s="172" t="inlineStr">
        <is>
          <t>AAA</t>
        </is>
      </c>
      <c r="T1568" s="175" t="n">
        <v>0.0162</v>
      </c>
      <c r="U1568" s="172" t="n"/>
      <c r="V1568" s="172" t="n"/>
      <c r="W1568" s="175" t="n">
        <v>0.0165</v>
      </c>
      <c r="X1568" s="172" t="inlineStr">
        <is>
          <t>建信理财</t>
        </is>
      </c>
      <c r="Y1568" s="191" t="n">
        <v>0.8</v>
      </c>
    </row>
    <row r="1569">
      <c r="A1569" s="172" t="n">
        <v>87</v>
      </c>
      <c r="B1569" s="172" t="inlineStr">
        <is>
          <t>6月</t>
        </is>
      </c>
      <c r="C1569" s="172" t="inlineStr">
        <is>
          <t>消金</t>
        </is>
      </c>
      <c r="D1569" s="172" t="inlineStr">
        <is>
          <t>信托金条</t>
        </is>
      </c>
      <c r="E1569" s="172" t="inlineStr">
        <is>
          <t>耘睿24-10</t>
        </is>
      </c>
      <c r="F1569" s="172" t="inlineStr">
        <is>
          <t>上交所</t>
        </is>
      </c>
      <c r="G1569" s="172" t="inlineStr">
        <is>
          <t>财通资管</t>
        </is>
      </c>
      <c r="H1569" s="172" t="inlineStr">
        <is>
          <t>国泰海通</t>
        </is>
      </c>
      <c r="I1569" s="172" t="inlineStr">
        <is>
          <t>广发银行</t>
        </is>
      </c>
      <c r="J1569" s="172" t="n">
        <v>9</v>
      </c>
      <c r="K1569" s="172" t="inlineStr">
        <is>
          <t>11+24</t>
        </is>
      </c>
      <c r="L1569" s="200" t="n">
        <v>46185</v>
      </c>
      <c r="M1569" s="175" t="n">
        <v>0.0147</v>
      </c>
      <c r="N1569" s="176" t="n">
        <v>0.01942</v>
      </c>
      <c r="O1569" s="172" t="n">
        <v>2.2</v>
      </c>
      <c r="P1569" s="172" t="inlineStr">
        <is>
          <t>优先A</t>
        </is>
      </c>
      <c r="Q1569" s="175" t="n">
        <v>0.9</v>
      </c>
      <c r="R1569" s="172">
        <f>Q1061*J1061</f>
        <v/>
      </c>
      <c r="S1569" s="172" t="inlineStr">
        <is>
          <t>AAA</t>
        </is>
      </c>
      <c r="T1569" s="175" t="n">
        <v>0.0162</v>
      </c>
      <c r="U1569" s="172" t="n"/>
      <c r="V1569" s="172" t="n"/>
      <c r="W1569" s="175" t="n">
        <v>0.0168</v>
      </c>
      <c r="X1569" s="172" t="inlineStr">
        <is>
          <t>中金自营</t>
        </is>
      </c>
      <c r="Y1569" s="191" t="n">
        <v>0.5</v>
      </c>
    </row>
    <row r="1570">
      <c r="A1570" s="172" t="n">
        <v>87</v>
      </c>
      <c r="B1570" s="172" t="inlineStr">
        <is>
          <t>6月</t>
        </is>
      </c>
      <c r="C1570" s="172" t="inlineStr">
        <is>
          <t>消金</t>
        </is>
      </c>
      <c r="D1570" s="172" t="inlineStr">
        <is>
          <t>信托金条</t>
        </is>
      </c>
      <c r="E1570" s="172" t="inlineStr">
        <is>
          <t>耘睿24-10</t>
        </is>
      </c>
      <c r="F1570" s="172" t="inlineStr">
        <is>
          <t>上交所</t>
        </is>
      </c>
      <c r="G1570" s="172" t="inlineStr">
        <is>
          <t>财通资管</t>
        </is>
      </c>
      <c r="H1570" s="172" t="inlineStr">
        <is>
          <t>国泰海通</t>
        </is>
      </c>
      <c r="I1570" s="172" t="inlineStr">
        <is>
          <t>广发银行</t>
        </is>
      </c>
      <c r="J1570" s="172" t="n">
        <v>9</v>
      </c>
      <c r="K1570" s="172" t="inlineStr">
        <is>
          <t>11+24</t>
        </is>
      </c>
      <c r="L1570" s="200" t="n">
        <v>46185</v>
      </c>
      <c r="M1570" s="175" t="n">
        <v>0.0147</v>
      </c>
      <c r="N1570" s="176" t="n">
        <v>0.01942</v>
      </c>
      <c r="O1570" s="172" t="n">
        <v>2.2</v>
      </c>
      <c r="P1570" s="172" t="inlineStr">
        <is>
          <t>优先A</t>
        </is>
      </c>
      <c r="Q1570" s="175" t="n">
        <v>0.9</v>
      </c>
      <c r="R1570" s="172">
        <f>Q1061*J1061</f>
        <v/>
      </c>
      <c r="S1570" s="172" t="inlineStr">
        <is>
          <t>AAA</t>
        </is>
      </c>
      <c r="T1570" s="175" t="n">
        <v>0.0162</v>
      </c>
      <c r="U1570" s="172" t="n"/>
      <c r="V1570" s="172" t="n"/>
      <c r="W1570" s="175" t="n">
        <v>0.017</v>
      </c>
      <c r="X1570" s="172" t="inlineStr">
        <is>
          <t>杭州联合</t>
        </is>
      </c>
      <c r="Y1570" s="191" t="n">
        <v>0.1</v>
      </c>
    </row>
    <row r="1571">
      <c r="A1571" s="172" t="n">
        <v>87</v>
      </c>
      <c r="B1571" s="173" t="inlineStr">
        <is>
          <t>6月</t>
        </is>
      </c>
      <c r="C1571" s="173" t="inlineStr">
        <is>
          <t>消金</t>
        </is>
      </c>
      <c r="D1571" s="173" t="inlineStr">
        <is>
          <t>信托金条</t>
        </is>
      </c>
      <c r="E1571" s="173" t="inlineStr">
        <is>
          <t>耘睿24-10</t>
        </is>
      </c>
      <c r="F1571" s="173" t="inlineStr">
        <is>
          <t>上交所</t>
        </is>
      </c>
      <c r="G1571" s="173" t="inlineStr">
        <is>
          <t>财通资管</t>
        </is>
      </c>
      <c r="H1571" s="173" t="inlineStr">
        <is>
          <t>国泰海通</t>
        </is>
      </c>
      <c r="I1571" s="173" t="inlineStr">
        <is>
          <t>广发银行</t>
        </is>
      </c>
      <c r="J1571" s="172" t="n">
        <v>9</v>
      </c>
      <c r="K1571" s="173" t="inlineStr">
        <is>
          <t>11+24</t>
        </is>
      </c>
      <c r="L1571" s="202" t="n">
        <v>46185</v>
      </c>
      <c r="M1571" s="175" t="n">
        <v>0.0147</v>
      </c>
      <c r="N1571" s="176" t="n">
        <v>0.01942</v>
      </c>
      <c r="O1571" s="172" t="n">
        <v>2.2</v>
      </c>
      <c r="P1571" s="203" t="inlineStr">
        <is>
          <t>优先B</t>
        </is>
      </c>
      <c r="Q1571" s="204" t="n">
        <v>0.03</v>
      </c>
      <c r="R1571" s="205">
        <f>Q1069*J1061</f>
        <v/>
      </c>
      <c r="S1571" s="203" t="inlineStr">
        <is>
          <t>AA+</t>
        </is>
      </c>
      <c r="T1571" s="204" t="n">
        <v>0.017</v>
      </c>
      <c r="U1571" s="203" t="inlineStr">
        <is>
          <t>交银理财</t>
        </is>
      </c>
      <c r="V1571" s="192" t="n">
        <v>0.08</v>
      </c>
      <c r="W1571" s="175" t="n">
        <v>0.0165</v>
      </c>
      <c r="X1571" s="172" t="inlineStr">
        <is>
          <t>交银理财</t>
        </is>
      </c>
      <c r="Y1571" s="191" t="n">
        <v>0.08</v>
      </c>
    </row>
    <row r="1572">
      <c r="A1572" s="172" t="n">
        <v>87</v>
      </c>
      <c r="B1572" s="173" t="inlineStr">
        <is>
          <t>6月</t>
        </is>
      </c>
      <c r="C1572" s="173" t="inlineStr">
        <is>
          <t>消金</t>
        </is>
      </c>
      <c r="D1572" s="173" t="inlineStr">
        <is>
          <t>信托金条</t>
        </is>
      </c>
      <c r="E1572" s="173" t="inlineStr">
        <is>
          <t>耘睿24-10</t>
        </is>
      </c>
      <c r="F1572" s="173" t="inlineStr">
        <is>
          <t>上交所</t>
        </is>
      </c>
      <c r="G1572" s="173" t="inlineStr">
        <is>
          <t>财通资管</t>
        </is>
      </c>
      <c r="H1572" s="173" t="inlineStr">
        <is>
          <t>国泰海通</t>
        </is>
      </c>
      <c r="I1572" s="173" t="inlineStr">
        <is>
          <t>广发银行</t>
        </is>
      </c>
      <c r="J1572" s="172" t="n">
        <v>9</v>
      </c>
      <c r="K1572" s="173" t="inlineStr">
        <is>
          <t>11+24</t>
        </is>
      </c>
      <c r="L1572" s="202" t="n">
        <v>46185</v>
      </c>
      <c r="M1572" s="175" t="n">
        <v>0.0147</v>
      </c>
      <c r="N1572" s="176" t="n">
        <v>0.01942</v>
      </c>
      <c r="O1572" s="172" t="n">
        <v>2.2</v>
      </c>
      <c r="P1572" s="172" t="inlineStr">
        <is>
          <t>优先B</t>
        </is>
      </c>
      <c r="Q1572" s="204" t="n">
        <v>0.03</v>
      </c>
      <c r="R1572" s="205">
        <f>Q1069*J1061</f>
        <v/>
      </c>
      <c r="S1572" s="203" t="inlineStr">
        <is>
          <t>AA+</t>
        </is>
      </c>
      <c r="T1572" s="204" t="n">
        <v>0.017</v>
      </c>
      <c r="U1572" s="203" t="inlineStr">
        <is>
          <t>渝农商理财</t>
        </is>
      </c>
      <c r="V1572" s="192" t="n">
        <v>0.08</v>
      </c>
      <c r="W1572" s="175" t="n">
        <v>0.017</v>
      </c>
      <c r="X1572" s="172" t="inlineStr">
        <is>
          <t>渝农商理财</t>
        </is>
      </c>
      <c r="Y1572" s="191" t="n">
        <v>0.08</v>
      </c>
    </row>
    <row r="1573">
      <c r="A1573" s="172" t="n">
        <v>87</v>
      </c>
      <c r="B1573" s="173" t="inlineStr">
        <is>
          <t>6月</t>
        </is>
      </c>
      <c r="C1573" s="173" t="inlineStr">
        <is>
          <t>消金</t>
        </is>
      </c>
      <c r="D1573" s="173" t="inlineStr">
        <is>
          <t>信托金条</t>
        </is>
      </c>
      <c r="E1573" s="173" t="inlineStr">
        <is>
          <t>耘睿24-10</t>
        </is>
      </c>
      <c r="F1573" s="173" t="inlineStr">
        <is>
          <t>上交所</t>
        </is>
      </c>
      <c r="G1573" s="173" t="inlineStr">
        <is>
          <t>财通资管</t>
        </is>
      </c>
      <c r="H1573" s="173" t="inlineStr">
        <is>
          <t>国泰海通</t>
        </is>
      </c>
      <c r="I1573" s="173" t="inlineStr">
        <is>
          <t>广发银行</t>
        </is>
      </c>
      <c r="J1573" s="172" t="n">
        <v>9</v>
      </c>
      <c r="K1573" s="173" t="inlineStr">
        <is>
          <t>11+24</t>
        </is>
      </c>
      <c r="L1573" s="202" t="n">
        <v>46185</v>
      </c>
      <c r="M1573" s="175" t="n">
        <v>0.0147</v>
      </c>
      <c r="N1573" s="176" t="n">
        <v>0.01942</v>
      </c>
      <c r="O1573" s="172" t="n">
        <v>2.2</v>
      </c>
      <c r="P1573" s="172" t="inlineStr">
        <is>
          <t>优先B</t>
        </is>
      </c>
      <c r="Q1573" s="204" t="n">
        <v>0.03</v>
      </c>
      <c r="R1573" s="205">
        <f>Q1069*J1061</f>
        <v/>
      </c>
      <c r="S1573" s="203" t="inlineStr">
        <is>
          <t>AA+</t>
        </is>
      </c>
      <c r="T1573" s="204" t="n">
        <v>0.017</v>
      </c>
      <c r="U1573" s="203" t="inlineStr">
        <is>
          <t>中泰证券自营</t>
        </is>
      </c>
      <c r="V1573" s="192" t="n">
        <v>0.11</v>
      </c>
      <c r="W1573" s="175" t="n">
        <v>0.017</v>
      </c>
      <c r="X1573" s="172" t="inlineStr">
        <is>
          <t>中泰证券</t>
        </is>
      </c>
      <c r="Y1573" s="191" t="n">
        <v>0.11</v>
      </c>
    </row>
    <row r="1574">
      <c r="A1574" s="172" t="n">
        <v>87</v>
      </c>
      <c r="B1574" s="172" t="inlineStr">
        <is>
          <t>6月</t>
        </is>
      </c>
      <c r="C1574" s="172" t="inlineStr">
        <is>
          <t>消金</t>
        </is>
      </c>
      <c r="D1574" s="172" t="inlineStr">
        <is>
          <t>信托金条</t>
        </is>
      </c>
      <c r="E1574" s="172" t="inlineStr">
        <is>
          <t>耘睿24-10</t>
        </is>
      </c>
      <c r="F1574" s="172" t="inlineStr">
        <is>
          <t>上交所</t>
        </is>
      </c>
      <c r="G1574" s="172" t="inlineStr">
        <is>
          <t>财通资管</t>
        </is>
      </c>
      <c r="H1574" s="172" t="inlineStr">
        <is>
          <t>国泰海通</t>
        </is>
      </c>
      <c r="I1574" s="172" t="inlineStr">
        <is>
          <t>广发银行</t>
        </is>
      </c>
      <c r="J1574" s="172" t="n">
        <v>9</v>
      </c>
      <c r="K1574" s="172" t="inlineStr">
        <is>
          <t>11+24</t>
        </is>
      </c>
      <c r="L1574" s="200" t="n">
        <v>46185</v>
      </c>
      <c r="M1574" s="175" t="n">
        <v>0.0147</v>
      </c>
      <c r="N1574" s="176" t="n">
        <v>0.01942</v>
      </c>
      <c r="O1574" s="172" t="n">
        <v>2.2</v>
      </c>
      <c r="P1574" s="172" t="inlineStr">
        <is>
          <t>优先B</t>
        </is>
      </c>
      <c r="Q1574" s="175" t="n">
        <v>0.03</v>
      </c>
      <c r="R1574" s="172">
        <f>Q1069*J1061</f>
        <v/>
      </c>
      <c r="S1574" s="172" t="inlineStr">
        <is>
          <t>AA+</t>
        </is>
      </c>
      <c r="T1574" s="175" t="n">
        <v>0.017</v>
      </c>
      <c r="U1574" s="172" t="n"/>
      <c r="V1574" s="172" t="n"/>
      <c r="W1574" s="175" t="n">
        <v>0.0177</v>
      </c>
      <c r="X1574" s="172" t="inlineStr">
        <is>
          <t>杭州联合</t>
        </is>
      </c>
      <c r="Y1574" s="191" t="n">
        <v>0.08</v>
      </c>
    </row>
    <row r="1575">
      <c r="A1575" s="172" t="n">
        <v>87</v>
      </c>
      <c r="B1575" s="172" t="inlineStr">
        <is>
          <t>6月</t>
        </is>
      </c>
      <c r="C1575" s="172" t="inlineStr">
        <is>
          <t>消金</t>
        </is>
      </c>
      <c r="D1575" s="172" t="inlineStr">
        <is>
          <t>信托金条</t>
        </is>
      </c>
      <c r="E1575" s="172" t="inlineStr">
        <is>
          <t>耘睿24-10</t>
        </is>
      </c>
      <c r="F1575" s="172" t="inlineStr">
        <is>
          <t>上交所</t>
        </is>
      </c>
      <c r="G1575" s="172" t="inlineStr">
        <is>
          <t>财通资管</t>
        </is>
      </c>
      <c r="H1575" s="172" t="inlineStr">
        <is>
          <t>国泰海通</t>
        </is>
      </c>
      <c r="I1575" s="172" t="inlineStr">
        <is>
          <t>广发银行</t>
        </is>
      </c>
      <c r="J1575" s="172" t="n">
        <v>9</v>
      </c>
      <c r="K1575" s="172" t="inlineStr">
        <is>
          <t>11+24</t>
        </is>
      </c>
      <c r="L1575" s="200" t="n">
        <v>46185</v>
      </c>
      <c r="M1575" s="175" t="n">
        <v>0.0147</v>
      </c>
      <c r="N1575" s="176" t="n">
        <v>0.01942</v>
      </c>
      <c r="O1575" s="172" t="n">
        <v>2.2</v>
      </c>
      <c r="P1575" s="172" t="inlineStr">
        <is>
          <t>优先B</t>
        </is>
      </c>
      <c r="Q1575" s="175" t="n">
        <v>0.03</v>
      </c>
      <c r="R1575" s="172">
        <f>Q1069*J1061</f>
        <v/>
      </c>
      <c r="S1575" s="172" t="inlineStr">
        <is>
          <t>AA+</t>
        </is>
      </c>
      <c r="T1575" s="175" t="n">
        <v>0.017</v>
      </c>
      <c r="U1575" s="172" t="n"/>
      <c r="V1575" s="172" t="n"/>
      <c r="W1575" s="175" t="n">
        <v>0.019</v>
      </c>
      <c r="X1575" s="172" t="inlineStr">
        <is>
          <t>财通资管</t>
        </is>
      </c>
      <c r="Y1575" s="191" t="n">
        <v>0.14</v>
      </c>
    </row>
    <row r="1576">
      <c r="A1576" s="172" t="n">
        <v>87</v>
      </c>
      <c r="B1576" s="172" t="inlineStr">
        <is>
          <t>6月</t>
        </is>
      </c>
      <c r="C1576" s="172" t="inlineStr">
        <is>
          <t>消金</t>
        </is>
      </c>
      <c r="D1576" s="172" t="inlineStr">
        <is>
          <t>信托金条</t>
        </is>
      </c>
      <c r="E1576" s="172" t="inlineStr">
        <is>
          <t>耘睿24-10</t>
        </is>
      </c>
      <c r="F1576" s="172" t="inlineStr">
        <is>
          <t>上交所</t>
        </is>
      </c>
      <c r="G1576" s="172" t="inlineStr">
        <is>
          <t>财通资管</t>
        </is>
      </c>
      <c r="H1576" s="172" t="inlineStr">
        <is>
          <t>国泰海通</t>
        </is>
      </c>
      <c r="I1576" s="172" t="inlineStr">
        <is>
          <t>广发银行</t>
        </is>
      </c>
      <c r="J1576" s="172" t="n">
        <v>9</v>
      </c>
      <c r="K1576" s="172" t="inlineStr">
        <is>
          <t>11+24</t>
        </is>
      </c>
      <c r="L1576" s="200" t="n">
        <v>46185</v>
      </c>
      <c r="M1576" s="175" t="n">
        <v>0.0147</v>
      </c>
      <c r="N1576" s="176" t="n">
        <v>0.01942</v>
      </c>
      <c r="O1576" s="172" t="n">
        <v>2.2</v>
      </c>
      <c r="P1576" s="172" t="inlineStr">
        <is>
          <t>优先B</t>
        </is>
      </c>
      <c r="Q1576" s="175" t="n">
        <v>0.03</v>
      </c>
      <c r="R1576" s="172">
        <f>Q1069*J1061</f>
        <v/>
      </c>
      <c r="S1576" s="172" t="inlineStr">
        <is>
          <t>AA+</t>
        </is>
      </c>
      <c r="T1576" s="175" t="n">
        <v>0.017</v>
      </c>
      <c r="U1576" s="172" t="n"/>
      <c r="V1576" s="172" t="n"/>
      <c r="W1576" s="175" t="n">
        <v>0.019</v>
      </c>
      <c r="X1576" s="172" t="inlineStr">
        <is>
          <t>中金自营</t>
        </is>
      </c>
      <c r="Y1576" s="191" t="n">
        <v>0.2</v>
      </c>
    </row>
    <row r="1577">
      <c r="A1577" s="172" t="n">
        <v>87</v>
      </c>
      <c r="B1577" s="173" t="inlineStr">
        <is>
          <t>6月</t>
        </is>
      </c>
      <c r="C1577" s="173" t="inlineStr">
        <is>
          <t>消金</t>
        </is>
      </c>
      <c r="D1577" s="173" t="inlineStr">
        <is>
          <t>信托金条</t>
        </is>
      </c>
      <c r="E1577" s="173" t="inlineStr">
        <is>
          <t>耘睿24-10</t>
        </is>
      </c>
      <c r="F1577" s="173" t="inlineStr">
        <is>
          <t>上交所</t>
        </is>
      </c>
      <c r="G1577" s="173" t="inlineStr">
        <is>
          <t>财通资管</t>
        </is>
      </c>
      <c r="H1577" s="173" t="inlineStr">
        <is>
          <t>国泰海通</t>
        </is>
      </c>
      <c r="I1577" s="173" t="inlineStr">
        <is>
          <t>广发银行</t>
        </is>
      </c>
      <c r="J1577" s="172" t="n">
        <v>9</v>
      </c>
      <c r="K1577" s="173" t="inlineStr">
        <is>
          <t>11+24</t>
        </is>
      </c>
      <c r="L1577" s="202" t="n">
        <v>46185</v>
      </c>
      <c r="M1577" s="175" t="n">
        <v>0.0147</v>
      </c>
      <c r="N1577" s="176" t="n">
        <v>0.01942</v>
      </c>
      <c r="O1577" s="172" t="n">
        <v>2.2</v>
      </c>
      <c r="P1577" s="203" t="inlineStr">
        <is>
          <t>中间级</t>
        </is>
      </c>
      <c r="Q1577" s="204" t="n">
        <v>0.02</v>
      </c>
      <c r="R1577" s="205">
        <f>Q1072*J1061</f>
        <v/>
      </c>
      <c r="S1577" s="203" t="inlineStr">
        <is>
          <t>A+</t>
        </is>
      </c>
      <c r="T1577" s="204" t="n">
        <v>0.031</v>
      </c>
      <c r="U1577" s="203" t="inlineStr">
        <is>
          <t>中信建投衍生品</t>
        </is>
      </c>
      <c r="V1577" s="192" t="n">
        <v>0.1</v>
      </c>
      <c r="W1577" s="172" t="n"/>
      <c r="X1577" s="172" t="n"/>
      <c r="Y1577" s="172" t="n"/>
    </row>
    <row r="1578">
      <c r="A1578" s="172" t="n">
        <v>87</v>
      </c>
      <c r="B1578" s="173" t="inlineStr">
        <is>
          <t>6月</t>
        </is>
      </c>
      <c r="C1578" s="173" t="inlineStr">
        <is>
          <t>消金</t>
        </is>
      </c>
      <c r="D1578" s="173" t="inlineStr">
        <is>
          <t>信托金条</t>
        </is>
      </c>
      <c r="E1578" s="173" t="inlineStr">
        <is>
          <t>耘睿24-10</t>
        </is>
      </c>
      <c r="F1578" s="173" t="inlineStr">
        <is>
          <t>上交所</t>
        </is>
      </c>
      <c r="G1578" s="173" t="inlineStr">
        <is>
          <t>财通资管</t>
        </is>
      </c>
      <c r="H1578" s="173" t="inlineStr">
        <is>
          <t>国泰海通</t>
        </is>
      </c>
      <c r="I1578" s="173" t="inlineStr">
        <is>
          <t>广发银行</t>
        </is>
      </c>
      <c r="J1578" s="172" t="n">
        <v>9</v>
      </c>
      <c r="K1578" s="173" t="inlineStr">
        <is>
          <t>11+24</t>
        </is>
      </c>
      <c r="L1578" s="202" t="n">
        <v>46185</v>
      </c>
      <c r="M1578" s="175" t="n">
        <v>0.0147</v>
      </c>
      <c r="N1578" s="176" t="n">
        <v>0.01942</v>
      </c>
      <c r="O1578" s="172" t="n">
        <v>2.2</v>
      </c>
      <c r="P1578" s="172" t="inlineStr">
        <is>
          <t>中间级</t>
        </is>
      </c>
      <c r="Q1578" s="204" t="n">
        <v>0.02</v>
      </c>
      <c r="R1578" s="205">
        <f>Q1072*J1061</f>
        <v/>
      </c>
      <c r="S1578" s="203" t="inlineStr">
        <is>
          <t>A+</t>
        </is>
      </c>
      <c r="T1578" s="204" t="n">
        <v>0.031</v>
      </c>
      <c r="U1578" s="203" t="inlineStr">
        <is>
          <t>利曦基金</t>
        </is>
      </c>
      <c r="V1578" s="192" t="n">
        <v>0.08</v>
      </c>
      <c r="W1578" s="172" t="n"/>
      <c r="X1578" s="172" t="n"/>
      <c r="Y1578" s="172" t="n"/>
    </row>
    <row r="1579">
      <c r="A1579" s="172" t="n">
        <v>87</v>
      </c>
      <c r="B1579" s="173" t="inlineStr">
        <is>
          <t>6月</t>
        </is>
      </c>
      <c r="C1579" s="173" t="inlineStr">
        <is>
          <t>消金</t>
        </is>
      </c>
      <c r="D1579" s="173" t="inlineStr">
        <is>
          <t>信托金条</t>
        </is>
      </c>
      <c r="E1579" s="173" t="inlineStr">
        <is>
          <t>耘睿24-10</t>
        </is>
      </c>
      <c r="F1579" s="173" t="inlineStr">
        <is>
          <t>上交所</t>
        </is>
      </c>
      <c r="G1579" s="173" t="inlineStr">
        <is>
          <t>财通资管</t>
        </is>
      </c>
      <c r="H1579" s="173" t="inlineStr">
        <is>
          <t>国泰海通</t>
        </is>
      </c>
      <c r="I1579" s="173" t="inlineStr">
        <is>
          <t>广发银行</t>
        </is>
      </c>
      <c r="J1579" s="172" t="n">
        <v>9</v>
      </c>
      <c r="K1579" s="173" t="inlineStr">
        <is>
          <t>11+24</t>
        </is>
      </c>
      <c r="L1579" s="202" t="n">
        <v>46185</v>
      </c>
      <c r="M1579" s="175" t="n">
        <v>0.0147</v>
      </c>
      <c r="N1579" s="176" t="n">
        <v>0.01942</v>
      </c>
      <c r="O1579" s="172" t="n">
        <v>2.2</v>
      </c>
      <c r="P1579" s="203" t="inlineStr">
        <is>
          <t>次级</t>
        </is>
      </c>
      <c r="Q1579" s="204" t="n">
        <v>0.05</v>
      </c>
      <c r="R1579" s="205">
        <f>Q1074*J1061</f>
        <v/>
      </c>
      <c r="S1579" s="203" t="inlineStr">
        <is>
          <t>无</t>
        </is>
      </c>
      <c r="T1579" s="204" t="n">
        <v>0.0495</v>
      </c>
      <c r="U1579" s="203" t="inlineStr">
        <is>
          <t>国泰海通自营</t>
        </is>
      </c>
      <c r="V1579" s="195" t="n">
        <v>0.315</v>
      </c>
      <c r="W1579" s="172" t="n"/>
      <c r="X1579" s="172" t="n"/>
      <c r="Y1579" s="172" t="n"/>
    </row>
    <row r="1580">
      <c r="A1580" s="172" t="n">
        <v>87</v>
      </c>
      <c r="B1580" s="173" t="inlineStr">
        <is>
          <t>6月</t>
        </is>
      </c>
      <c r="C1580" s="173" t="inlineStr">
        <is>
          <t>消金</t>
        </is>
      </c>
      <c r="D1580" s="173" t="inlineStr">
        <is>
          <t>信托金条</t>
        </is>
      </c>
      <c r="E1580" s="173" t="inlineStr">
        <is>
          <t>耘睿24-10</t>
        </is>
      </c>
      <c r="F1580" s="173" t="inlineStr">
        <is>
          <t>上交所</t>
        </is>
      </c>
      <c r="G1580" s="173" t="inlineStr">
        <is>
          <t>财通资管</t>
        </is>
      </c>
      <c r="H1580" s="173" t="inlineStr">
        <is>
          <t>国泰海通</t>
        </is>
      </c>
      <c r="I1580" s="173" t="inlineStr">
        <is>
          <t>广发银行</t>
        </is>
      </c>
      <c r="J1580" s="172" t="n">
        <v>9</v>
      </c>
      <c r="K1580" s="173" t="inlineStr">
        <is>
          <t>11+24</t>
        </is>
      </c>
      <c r="L1580" s="202" t="n">
        <v>46185</v>
      </c>
      <c r="M1580" s="175" t="n">
        <v>0.0147</v>
      </c>
      <c r="N1580" s="176" t="n">
        <v>0.01942</v>
      </c>
      <c r="O1580" s="172" t="n">
        <v>2.2</v>
      </c>
      <c r="P1580" s="172" t="inlineStr">
        <is>
          <t>次级</t>
        </is>
      </c>
      <c r="Q1580" s="204" t="n">
        <v>0.05</v>
      </c>
      <c r="R1580" s="205">
        <f>Q1074*J1061</f>
        <v/>
      </c>
      <c r="S1580" s="203" t="inlineStr">
        <is>
          <t>无</t>
        </is>
      </c>
      <c r="T1580" s="204" t="n">
        <v>0.0495</v>
      </c>
      <c r="U1580" s="203" t="inlineStr">
        <is>
          <t>中金自营</t>
        </is>
      </c>
      <c r="V1580" s="206" t="n">
        <v>0.0675</v>
      </c>
      <c r="W1580" s="172" t="n"/>
      <c r="X1580" s="172" t="n"/>
      <c r="Y1580" s="172" t="n"/>
    </row>
    <row r="1581">
      <c r="A1581" s="172" t="n">
        <v>87</v>
      </c>
      <c r="B1581" s="173" t="inlineStr">
        <is>
          <t>6月</t>
        </is>
      </c>
      <c r="C1581" s="173" t="inlineStr">
        <is>
          <t>消金</t>
        </is>
      </c>
      <c r="D1581" s="173" t="inlineStr">
        <is>
          <t>信托金条</t>
        </is>
      </c>
      <c r="E1581" s="173" t="inlineStr">
        <is>
          <t>耘睿24-10</t>
        </is>
      </c>
      <c r="F1581" s="173" t="inlineStr">
        <is>
          <t>上交所</t>
        </is>
      </c>
      <c r="G1581" s="173" t="inlineStr">
        <is>
          <t>财通资管</t>
        </is>
      </c>
      <c r="H1581" s="173" t="inlineStr">
        <is>
          <t>国泰海通</t>
        </is>
      </c>
      <c r="I1581" s="173" t="inlineStr">
        <is>
          <t>广发银行</t>
        </is>
      </c>
      <c r="J1581" s="172" t="n">
        <v>9</v>
      </c>
      <c r="K1581" s="173" t="inlineStr">
        <is>
          <t>11+24</t>
        </is>
      </c>
      <c r="L1581" s="202" t="n">
        <v>46185</v>
      </c>
      <c r="M1581" s="175" t="n">
        <v>0.0147</v>
      </c>
      <c r="N1581" s="176" t="n">
        <v>0.01942</v>
      </c>
      <c r="O1581" s="172" t="n">
        <v>2.2</v>
      </c>
      <c r="P1581" s="172" t="inlineStr">
        <is>
          <t>次级</t>
        </is>
      </c>
      <c r="Q1581" s="204" t="n">
        <v>0.05</v>
      </c>
      <c r="R1581" s="205">
        <f>Q1074*J1061</f>
        <v/>
      </c>
      <c r="S1581" s="203" t="inlineStr">
        <is>
          <t>无</t>
        </is>
      </c>
      <c r="T1581" s="204" t="n">
        <v>0.0495</v>
      </c>
      <c r="U1581" s="203" t="inlineStr">
        <is>
          <t>中信证券自营</t>
        </is>
      </c>
      <c r="V1581" s="206" t="n">
        <v>0.0675</v>
      </c>
      <c r="W1581" s="172" t="n"/>
      <c r="X1581" s="172" t="n"/>
      <c r="Y1581" s="172" t="n"/>
    </row>
    <row r="1582">
      <c r="A1582" s="172" t="n">
        <v>83</v>
      </c>
      <c r="B1582" s="172" t="inlineStr">
        <is>
          <t>8月</t>
        </is>
      </c>
      <c r="C1582" s="172" t="inlineStr">
        <is>
          <t>企金</t>
        </is>
      </c>
      <c r="D1582" s="172" t="inlineStr">
        <is>
          <t>金采</t>
        </is>
      </c>
      <c r="E1582" s="172" t="inlineStr">
        <is>
          <t>金采8-2</t>
        </is>
      </c>
      <c r="F1582" s="172" t="inlineStr">
        <is>
          <t>上交所</t>
        </is>
      </c>
      <c r="G1582" s="172" t="inlineStr">
        <is>
          <t>天风资管</t>
        </is>
      </c>
      <c r="H1582" s="172" t="inlineStr">
        <is>
          <t>国信证券</t>
        </is>
      </c>
      <c r="I1582" s="172" t="inlineStr">
        <is>
          <t>中行北分</t>
        </is>
      </c>
      <c r="J1582" s="172" t="n">
        <v>10</v>
      </c>
      <c r="K1582" s="172" t="inlineStr">
        <is>
          <t>7+12</t>
        </is>
      </c>
      <c r="L1582" s="202" t="n">
        <v>46181</v>
      </c>
      <c r="M1582" s="175" t="n">
        <v>0.0144</v>
      </c>
      <c r="N1582" s="176" t="n">
        <v>0.0187</v>
      </c>
      <c r="O1582" s="191" t="n">
        <v>1.58</v>
      </c>
      <c r="P1582" s="172" t="inlineStr">
        <is>
          <t>优先级</t>
        </is>
      </c>
      <c r="Q1582" s="175" t="n">
        <v>0.9</v>
      </c>
      <c r="R1582" s="192" t="n">
        <v>9</v>
      </c>
      <c r="S1582" s="172" t="inlineStr">
        <is>
          <t>AAA</t>
        </is>
      </c>
      <c r="T1582" s="175" t="n">
        <v>0.016</v>
      </c>
      <c r="U1582" s="172" t="inlineStr">
        <is>
          <t>邦汇保理</t>
        </is>
      </c>
      <c r="V1582" s="191" t="n">
        <v>0.45</v>
      </c>
      <c r="W1582" s="175" t="n">
        <v>0.014</v>
      </c>
      <c r="X1582" s="172" t="inlineStr">
        <is>
          <t>邦汇保理</t>
        </is>
      </c>
      <c r="Y1582" s="191" t="n">
        <v>0.45</v>
      </c>
    </row>
    <row r="1583">
      <c r="A1583" s="172" t="n">
        <v>83</v>
      </c>
      <c r="B1583" s="172" t="inlineStr">
        <is>
          <t>8月</t>
        </is>
      </c>
      <c r="C1583" s="172" t="inlineStr">
        <is>
          <t>企金</t>
        </is>
      </c>
      <c r="D1583" s="172" t="inlineStr">
        <is>
          <t>金采</t>
        </is>
      </c>
      <c r="E1583" s="172" t="inlineStr">
        <is>
          <t>金采8-2</t>
        </is>
      </c>
      <c r="F1583" s="172" t="inlineStr">
        <is>
          <t>上交所</t>
        </is>
      </c>
      <c r="G1583" s="172" t="inlineStr">
        <is>
          <t>天风资管</t>
        </is>
      </c>
      <c r="H1583" s="172" t="inlineStr">
        <is>
          <t>国信证券</t>
        </is>
      </c>
      <c r="I1583" s="172" t="inlineStr">
        <is>
          <t>中行北分</t>
        </is>
      </c>
      <c r="J1583" s="172" t="n">
        <v>10</v>
      </c>
      <c r="K1583" s="172" t="inlineStr">
        <is>
          <t>7+12</t>
        </is>
      </c>
      <c r="L1583" s="202" t="n">
        <v>46181</v>
      </c>
      <c r="M1583" s="175" t="n">
        <v>0.0144</v>
      </c>
      <c r="N1583" s="176" t="n">
        <v>0.0187</v>
      </c>
      <c r="O1583" s="191" t="n">
        <v>1.58</v>
      </c>
      <c r="P1583" s="172" t="inlineStr">
        <is>
          <t>优先级</t>
        </is>
      </c>
      <c r="Q1583" s="175" t="n">
        <v>0.9</v>
      </c>
      <c r="R1583" s="192" t="n">
        <v>9</v>
      </c>
      <c r="S1583" s="172" t="inlineStr">
        <is>
          <t>AAA</t>
        </is>
      </c>
      <c r="T1583" s="175" t="n">
        <v>0.016</v>
      </c>
      <c r="U1583" s="172" t="inlineStr">
        <is>
          <t>工银理财</t>
        </is>
      </c>
      <c r="V1583" s="191" t="n">
        <v>1.5</v>
      </c>
      <c r="W1583" s="175" t="n">
        <v>0.0153</v>
      </c>
      <c r="X1583" s="172" t="inlineStr">
        <is>
          <t>工银理财</t>
        </is>
      </c>
      <c r="Y1583" s="191" t="n">
        <v>1.5</v>
      </c>
    </row>
    <row r="1584">
      <c r="A1584" s="172" t="n">
        <v>83</v>
      </c>
      <c r="B1584" s="172" t="inlineStr">
        <is>
          <t>8月</t>
        </is>
      </c>
      <c r="C1584" s="172" t="inlineStr">
        <is>
          <t>企金</t>
        </is>
      </c>
      <c r="D1584" s="172" t="inlineStr">
        <is>
          <t>金采</t>
        </is>
      </c>
      <c r="E1584" s="172" t="inlineStr">
        <is>
          <t>金采8-2</t>
        </is>
      </c>
      <c r="F1584" s="172" t="inlineStr">
        <is>
          <t>上交所</t>
        </is>
      </c>
      <c r="G1584" s="172" t="inlineStr">
        <is>
          <t>天风资管</t>
        </is>
      </c>
      <c r="H1584" s="172" t="inlineStr">
        <is>
          <t>国信证券</t>
        </is>
      </c>
      <c r="I1584" s="172" t="inlineStr">
        <is>
          <t>中行北分</t>
        </is>
      </c>
      <c r="J1584" s="172" t="n">
        <v>10</v>
      </c>
      <c r="K1584" s="172" t="inlineStr">
        <is>
          <t>7+12</t>
        </is>
      </c>
      <c r="L1584" s="202" t="n">
        <v>46181</v>
      </c>
      <c r="M1584" s="175" t="n">
        <v>0.0144</v>
      </c>
      <c r="N1584" s="176" t="n">
        <v>0.0187</v>
      </c>
      <c r="O1584" s="191" t="n">
        <v>1.58</v>
      </c>
      <c r="P1584" s="172" t="inlineStr">
        <is>
          <t>优先级</t>
        </is>
      </c>
      <c r="Q1584" s="175" t="n">
        <v>0.9</v>
      </c>
      <c r="R1584" s="192" t="n">
        <v>9</v>
      </c>
      <c r="S1584" s="172" t="inlineStr">
        <is>
          <t>AAA</t>
        </is>
      </c>
      <c r="T1584" s="175" t="n">
        <v>0.016</v>
      </c>
      <c r="U1584" s="172" t="inlineStr">
        <is>
          <t>建信理财</t>
        </is>
      </c>
      <c r="V1584" s="191" t="n">
        <v>2.7</v>
      </c>
      <c r="W1584" s="175" t="n">
        <v>0.0155</v>
      </c>
      <c r="X1584" s="172" t="inlineStr">
        <is>
          <t>建信理财</t>
        </is>
      </c>
      <c r="Y1584" s="191" t="n">
        <v>2.5</v>
      </c>
    </row>
    <row r="1585">
      <c r="A1585" s="172" t="n">
        <v>83</v>
      </c>
      <c r="B1585" s="172" t="inlineStr">
        <is>
          <t>8月</t>
        </is>
      </c>
      <c r="C1585" s="172" t="inlineStr">
        <is>
          <t>企金</t>
        </is>
      </c>
      <c r="D1585" s="172" t="inlineStr">
        <is>
          <t>金采</t>
        </is>
      </c>
      <c r="E1585" s="172" t="inlineStr">
        <is>
          <t>金采8-2</t>
        </is>
      </c>
      <c r="F1585" s="172" t="inlineStr">
        <is>
          <t>上交所</t>
        </is>
      </c>
      <c r="G1585" s="172" t="inlineStr">
        <is>
          <t>天风资管</t>
        </is>
      </c>
      <c r="H1585" s="172" t="inlineStr">
        <is>
          <t>国信证券</t>
        </is>
      </c>
      <c r="I1585" s="172" t="inlineStr">
        <is>
          <t>中行北分</t>
        </is>
      </c>
      <c r="J1585" s="172" t="n">
        <v>10</v>
      </c>
      <c r="K1585" s="172" t="inlineStr">
        <is>
          <t>7+12</t>
        </is>
      </c>
      <c r="L1585" s="202" t="n">
        <v>46181</v>
      </c>
      <c r="M1585" s="175" t="n">
        <v>0.0144</v>
      </c>
      <c r="N1585" s="176" t="n">
        <v>0.0187</v>
      </c>
      <c r="O1585" s="191" t="n">
        <v>1.58</v>
      </c>
      <c r="P1585" s="172" t="inlineStr">
        <is>
          <t>优先级</t>
        </is>
      </c>
      <c r="Q1585" s="175" t="n">
        <v>0.9</v>
      </c>
      <c r="R1585" s="192" t="n">
        <v>9</v>
      </c>
      <c r="S1585" s="172" t="inlineStr">
        <is>
          <t>AAA</t>
        </is>
      </c>
      <c r="T1585" s="175" t="n">
        <v>0.016</v>
      </c>
      <c r="U1585" s="172" t="inlineStr">
        <is>
          <t>华夏基金</t>
        </is>
      </c>
      <c r="V1585" s="191" t="n">
        <v>0.9</v>
      </c>
      <c r="W1585" s="175" t="n">
        <v>0.0158</v>
      </c>
      <c r="X1585" s="172" t="inlineStr">
        <is>
          <t>华夏基金</t>
        </is>
      </c>
      <c r="Y1585" s="191" t="n">
        <v>0.9</v>
      </c>
    </row>
    <row r="1586">
      <c r="A1586" s="172" t="n">
        <v>83</v>
      </c>
      <c r="B1586" s="172" t="inlineStr">
        <is>
          <t>8月</t>
        </is>
      </c>
      <c r="C1586" s="172" t="inlineStr">
        <is>
          <t>企金</t>
        </is>
      </c>
      <c r="D1586" s="172" t="inlineStr">
        <is>
          <t>金采</t>
        </is>
      </c>
      <c r="E1586" s="172" t="inlineStr">
        <is>
          <t>金采8-2</t>
        </is>
      </c>
      <c r="F1586" s="172" t="inlineStr">
        <is>
          <t>上交所</t>
        </is>
      </c>
      <c r="G1586" s="172" t="inlineStr">
        <is>
          <t>天风资管</t>
        </is>
      </c>
      <c r="H1586" s="172" t="inlineStr">
        <is>
          <t>国信证券</t>
        </is>
      </c>
      <c r="I1586" s="172" t="inlineStr">
        <is>
          <t>中行北分</t>
        </is>
      </c>
      <c r="J1586" s="172" t="n">
        <v>10</v>
      </c>
      <c r="K1586" s="172" t="inlineStr">
        <is>
          <t>7+12</t>
        </is>
      </c>
      <c r="L1586" s="202" t="n">
        <v>46181</v>
      </c>
      <c r="M1586" s="175" t="n">
        <v>0.0144</v>
      </c>
      <c r="N1586" s="176" t="n">
        <v>0.0187</v>
      </c>
      <c r="O1586" s="191" t="n">
        <v>1.58</v>
      </c>
      <c r="P1586" s="172" t="inlineStr">
        <is>
          <t>优先级</t>
        </is>
      </c>
      <c r="Q1586" s="175" t="n">
        <v>0.9</v>
      </c>
      <c r="R1586" s="192" t="n">
        <v>9</v>
      </c>
      <c r="S1586" s="172" t="inlineStr">
        <is>
          <t>AAA</t>
        </is>
      </c>
      <c r="T1586" s="175" t="n">
        <v>0.016</v>
      </c>
      <c r="U1586" s="172" t="inlineStr">
        <is>
          <t>华夏理财</t>
        </is>
      </c>
      <c r="V1586" s="191" t="n">
        <v>1.16</v>
      </c>
      <c r="W1586" s="175" t="n">
        <v>0.016</v>
      </c>
      <c r="X1586" s="172" t="inlineStr">
        <is>
          <t>华夏理财</t>
        </is>
      </c>
      <c r="Y1586" s="191" t="n">
        <v>2.7</v>
      </c>
    </row>
    <row r="1587">
      <c r="A1587" s="172" t="n">
        <v>83</v>
      </c>
      <c r="B1587" s="172" t="inlineStr">
        <is>
          <t>8月</t>
        </is>
      </c>
      <c r="C1587" s="172" t="inlineStr">
        <is>
          <t>企金</t>
        </is>
      </c>
      <c r="D1587" s="172" t="inlineStr">
        <is>
          <t>金采</t>
        </is>
      </c>
      <c r="E1587" s="172" t="inlineStr">
        <is>
          <t>金采8-2</t>
        </is>
      </c>
      <c r="F1587" s="172" t="inlineStr">
        <is>
          <t>上交所</t>
        </is>
      </c>
      <c r="G1587" s="172" t="inlineStr">
        <is>
          <t>天风资管</t>
        </is>
      </c>
      <c r="H1587" s="172" t="inlineStr">
        <is>
          <t>国信证券</t>
        </is>
      </c>
      <c r="I1587" s="172" t="inlineStr">
        <is>
          <t>中行北分</t>
        </is>
      </c>
      <c r="J1587" s="172" t="n">
        <v>10</v>
      </c>
      <c r="K1587" s="172" t="inlineStr">
        <is>
          <t>7+12</t>
        </is>
      </c>
      <c r="L1587" s="202" t="n">
        <v>46181</v>
      </c>
      <c r="M1587" s="175" t="n">
        <v>0.0144</v>
      </c>
      <c r="N1587" s="176" t="n">
        <v>0.0187</v>
      </c>
      <c r="O1587" s="191" t="n">
        <v>1.58</v>
      </c>
      <c r="P1587" s="172" t="inlineStr">
        <is>
          <t>优先级</t>
        </is>
      </c>
      <c r="Q1587" s="175" t="n">
        <v>0.9</v>
      </c>
      <c r="R1587" s="192" t="n">
        <v>9</v>
      </c>
      <c r="S1587" s="172" t="inlineStr">
        <is>
          <t>AAA</t>
        </is>
      </c>
      <c r="T1587" s="175" t="n">
        <v>0.016</v>
      </c>
      <c r="U1587" s="172" t="inlineStr">
        <is>
          <t>交银理财</t>
        </is>
      </c>
      <c r="V1587" s="191" t="n">
        <v>2.29</v>
      </c>
      <c r="W1587" s="175" t="n">
        <v>0.015</v>
      </c>
      <c r="X1587" s="172" t="inlineStr">
        <is>
          <t>交银理财</t>
        </is>
      </c>
      <c r="Y1587" s="191" t="n">
        <v>0.3</v>
      </c>
    </row>
    <row r="1588">
      <c r="A1588" s="172" t="n">
        <v>83</v>
      </c>
      <c r="B1588" s="172" t="inlineStr">
        <is>
          <t>8月</t>
        </is>
      </c>
      <c r="C1588" s="172" t="inlineStr">
        <is>
          <t>企金</t>
        </is>
      </c>
      <c r="D1588" s="172" t="inlineStr">
        <is>
          <t>金采</t>
        </is>
      </c>
      <c r="E1588" s="172" t="inlineStr">
        <is>
          <t>金采8-2</t>
        </is>
      </c>
      <c r="F1588" s="172" t="inlineStr">
        <is>
          <t>上交所</t>
        </is>
      </c>
      <c r="G1588" s="172" t="inlineStr">
        <is>
          <t>天风资管</t>
        </is>
      </c>
      <c r="H1588" s="172" t="inlineStr">
        <is>
          <t>国信证券</t>
        </is>
      </c>
      <c r="I1588" s="172" t="inlineStr">
        <is>
          <t>中行北分</t>
        </is>
      </c>
      <c r="J1588" s="172" t="n">
        <v>10</v>
      </c>
      <c r="K1588" s="172" t="inlineStr">
        <is>
          <t>7+12</t>
        </is>
      </c>
      <c r="L1588" s="200" t="n">
        <v>46181</v>
      </c>
      <c r="M1588" s="175" t="n">
        <v>0.0144</v>
      </c>
      <c r="N1588" s="176" t="n">
        <v>0.0187</v>
      </c>
      <c r="O1588" s="172" t="n">
        <v>1.58</v>
      </c>
      <c r="P1588" s="172" t="inlineStr">
        <is>
          <t>优先级</t>
        </is>
      </c>
      <c r="Q1588" s="175" t="n">
        <v>0.9</v>
      </c>
      <c r="R1588" s="192" t="n">
        <v>9</v>
      </c>
      <c r="S1588" s="172" t="inlineStr">
        <is>
          <t>AAA</t>
        </is>
      </c>
      <c r="T1588" s="175" t="n">
        <v>0.016</v>
      </c>
      <c r="U1588" s="172" t="n"/>
      <c r="V1588" s="172" t="n"/>
      <c r="W1588" s="175" t="n">
        <v>0.0156</v>
      </c>
      <c r="X1588" s="172" t="inlineStr">
        <is>
          <t>交银理财</t>
        </is>
      </c>
      <c r="Y1588" s="191" t="n">
        <v>0.48</v>
      </c>
    </row>
    <row r="1589">
      <c r="A1589" s="172" t="n">
        <v>83</v>
      </c>
      <c r="B1589" s="172" t="inlineStr">
        <is>
          <t>8月</t>
        </is>
      </c>
      <c r="C1589" s="172" t="inlineStr">
        <is>
          <t>企金</t>
        </is>
      </c>
      <c r="D1589" s="172" t="inlineStr">
        <is>
          <t>金采</t>
        </is>
      </c>
      <c r="E1589" s="172" t="inlineStr">
        <is>
          <t>金采8-2</t>
        </is>
      </c>
      <c r="F1589" s="172" t="inlineStr">
        <is>
          <t>上交所</t>
        </is>
      </c>
      <c r="G1589" s="172" t="inlineStr">
        <is>
          <t>天风资管</t>
        </is>
      </c>
      <c r="H1589" s="172" t="inlineStr">
        <is>
          <t>国信证券</t>
        </is>
      </c>
      <c r="I1589" s="172" t="inlineStr">
        <is>
          <t>中行北分</t>
        </is>
      </c>
      <c r="J1589" s="172" t="n">
        <v>10</v>
      </c>
      <c r="K1589" s="172" t="inlineStr">
        <is>
          <t>7+12</t>
        </is>
      </c>
      <c r="L1589" s="200" t="n">
        <v>46181</v>
      </c>
      <c r="M1589" s="175" t="n">
        <v>0.0144</v>
      </c>
      <c r="N1589" s="176" t="n">
        <v>0.0187</v>
      </c>
      <c r="O1589" s="172" t="n">
        <v>1.58</v>
      </c>
      <c r="P1589" s="172" t="inlineStr">
        <is>
          <t>优先级</t>
        </is>
      </c>
      <c r="Q1589" s="175" t="n">
        <v>0.9</v>
      </c>
      <c r="R1589" s="192" t="n">
        <v>9</v>
      </c>
      <c r="S1589" s="172" t="inlineStr">
        <is>
          <t>AAA</t>
        </is>
      </c>
      <c r="T1589" s="175" t="n">
        <v>0.016</v>
      </c>
      <c r="U1589" s="172" t="n"/>
      <c r="V1589" s="172" t="n"/>
      <c r="W1589" s="175" t="n">
        <v>0.0158</v>
      </c>
      <c r="X1589" s="172" t="inlineStr">
        <is>
          <t>建信理财</t>
        </is>
      </c>
      <c r="Y1589" s="191" t="n">
        <v>0.2</v>
      </c>
    </row>
    <row r="1590">
      <c r="A1590" s="172" t="n">
        <v>83</v>
      </c>
      <c r="B1590" s="172" t="inlineStr">
        <is>
          <t>8月</t>
        </is>
      </c>
      <c r="C1590" s="172" t="inlineStr">
        <is>
          <t>企金</t>
        </is>
      </c>
      <c r="D1590" s="172" t="inlineStr">
        <is>
          <t>金采</t>
        </is>
      </c>
      <c r="E1590" s="172" t="inlineStr">
        <is>
          <t>金采8-2</t>
        </is>
      </c>
      <c r="F1590" s="172" t="inlineStr">
        <is>
          <t>上交所</t>
        </is>
      </c>
      <c r="G1590" s="172" t="inlineStr">
        <is>
          <t>天风资管</t>
        </is>
      </c>
      <c r="H1590" s="172" t="inlineStr">
        <is>
          <t>国信证券</t>
        </is>
      </c>
      <c r="I1590" s="172" t="inlineStr">
        <is>
          <t>中行北分</t>
        </is>
      </c>
      <c r="J1590" s="172" t="n">
        <v>10</v>
      </c>
      <c r="K1590" s="172" t="inlineStr">
        <is>
          <t>7+12</t>
        </is>
      </c>
      <c r="L1590" s="200" t="n">
        <v>46181</v>
      </c>
      <c r="M1590" s="175" t="n">
        <v>0.0144</v>
      </c>
      <c r="N1590" s="176" t="n">
        <v>0.0187</v>
      </c>
      <c r="O1590" s="172" t="n">
        <v>1.58</v>
      </c>
      <c r="P1590" s="172" t="inlineStr">
        <is>
          <t>优先级</t>
        </is>
      </c>
      <c r="Q1590" s="175" t="n">
        <v>0.9</v>
      </c>
      <c r="R1590" s="192" t="n">
        <v>9</v>
      </c>
      <c r="S1590" s="172" t="inlineStr">
        <is>
          <t>AAA</t>
        </is>
      </c>
      <c r="T1590" s="175" t="n">
        <v>0.016</v>
      </c>
      <c r="U1590" s="172" t="n"/>
      <c r="V1590" s="172" t="n"/>
      <c r="W1590" s="175" t="n">
        <v>0.0159</v>
      </c>
      <c r="X1590" s="172" t="inlineStr">
        <is>
          <t>交银理财</t>
        </is>
      </c>
      <c r="Y1590" s="191" t="n">
        <v>1.2</v>
      </c>
    </row>
    <row r="1591">
      <c r="A1591" s="172" t="n">
        <v>83</v>
      </c>
      <c r="B1591" s="172" t="inlineStr">
        <is>
          <t>8月</t>
        </is>
      </c>
      <c r="C1591" s="172" t="inlineStr">
        <is>
          <t>企金</t>
        </is>
      </c>
      <c r="D1591" s="172" t="inlineStr">
        <is>
          <t>金采</t>
        </is>
      </c>
      <c r="E1591" s="172" t="inlineStr">
        <is>
          <t>金采8-2</t>
        </is>
      </c>
      <c r="F1591" s="172" t="inlineStr">
        <is>
          <t>上交所</t>
        </is>
      </c>
      <c r="G1591" s="172" t="inlineStr">
        <is>
          <t>天风资管</t>
        </is>
      </c>
      <c r="H1591" s="172" t="inlineStr">
        <is>
          <t>国信证券</t>
        </is>
      </c>
      <c r="I1591" s="172" t="inlineStr">
        <is>
          <t>中行北分</t>
        </is>
      </c>
      <c r="J1591" s="172" t="n">
        <v>10</v>
      </c>
      <c r="K1591" s="172" t="inlineStr">
        <is>
          <t>7+12</t>
        </is>
      </c>
      <c r="L1591" s="200" t="n">
        <v>46181</v>
      </c>
      <c r="M1591" s="175" t="n">
        <v>0.0144</v>
      </c>
      <c r="N1591" s="176" t="n">
        <v>0.0187</v>
      </c>
      <c r="O1591" s="172" t="n">
        <v>1.58</v>
      </c>
      <c r="P1591" s="172" t="inlineStr">
        <is>
          <t>优先级</t>
        </is>
      </c>
      <c r="Q1591" s="175" t="n">
        <v>0.9</v>
      </c>
      <c r="R1591" s="192" t="n">
        <v>9</v>
      </c>
      <c r="S1591" s="172" t="inlineStr">
        <is>
          <t>AAA</t>
        </is>
      </c>
      <c r="T1591" s="175" t="n">
        <v>0.016</v>
      </c>
      <c r="U1591" s="172" t="n"/>
      <c r="V1591" s="172" t="n"/>
      <c r="W1591" s="175" t="n">
        <v>0.016</v>
      </c>
      <c r="X1591" s="172" t="inlineStr">
        <is>
          <t>交银理财</t>
        </is>
      </c>
      <c r="Y1591" s="191" t="n">
        <v>0.72</v>
      </c>
    </row>
    <row r="1592">
      <c r="A1592" s="172" t="n">
        <v>83</v>
      </c>
      <c r="B1592" s="172" t="inlineStr">
        <is>
          <t>8月</t>
        </is>
      </c>
      <c r="C1592" s="172" t="inlineStr">
        <is>
          <t>企金</t>
        </is>
      </c>
      <c r="D1592" s="172" t="inlineStr">
        <is>
          <t>金采</t>
        </is>
      </c>
      <c r="E1592" s="172" t="inlineStr">
        <is>
          <t>金采8-2</t>
        </is>
      </c>
      <c r="F1592" s="172" t="inlineStr">
        <is>
          <t>上交所</t>
        </is>
      </c>
      <c r="G1592" s="172" t="inlineStr">
        <is>
          <t>天风资管</t>
        </is>
      </c>
      <c r="H1592" s="172" t="inlineStr">
        <is>
          <t>国信证券</t>
        </is>
      </c>
      <c r="I1592" s="172" t="inlineStr">
        <is>
          <t>中行北分</t>
        </is>
      </c>
      <c r="J1592" s="172" t="n">
        <v>10</v>
      </c>
      <c r="K1592" s="172" t="inlineStr">
        <is>
          <t>7+12</t>
        </is>
      </c>
      <c r="L1592" s="200" t="n">
        <v>46181</v>
      </c>
      <c r="M1592" s="175" t="n">
        <v>0.0144</v>
      </c>
      <c r="N1592" s="176" t="n">
        <v>0.0187</v>
      </c>
      <c r="O1592" s="172" t="n">
        <v>1.58</v>
      </c>
      <c r="P1592" s="172" t="inlineStr">
        <is>
          <t>优先级</t>
        </is>
      </c>
      <c r="Q1592" s="175" t="n">
        <v>0.9</v>
      </c>
      <c r="R1592" s="192" t="n">
        <v>9</v>
      </c>
      <c r="S1592" s="172" t="inlineStr">
        <is>
          <t>AAA</t>
        </is>
      </c>
      <c r="T1592" s="175" t="n">
        <v>0.016</v>
      </c>
      <c r="U1592" s="172" t="n"/>
      <c r="V1592" s="172" t="n"/>
      <c r="W1592" s="175" t="n">
        <v>0.017</v>
      </c>
      <c r="X1592" s="172" t="inlineStr">
        <is>
          <t>国信证券</t>
        </is>
      </c>
      <c r="Y1592" s="191" t="n">
        <v>1.3</v>
      </c>
    </row>
    <row r="1593">
      <c r="A1593" s="172" t="n">
        <v>83</v>
      </c>
      <c r="B1593" s="172" t="inlineStr">
        <is>
          <t>8月</t>
        </is>
      </c>
      <c r="C1593" s="172" t="inlineStr">
        <is>
          <t>企金</t>
        </is>
      </c>
      <c r="D1593" s="172" t="inlineStr">
        <is>
          <t>金采</t>
        </is>
      </c>
      <c r="E1593" s="172" t="inlineStr">
        <is>
          <t>金采8-2</t>
        </is>
      </c>
      <c r="F1593" s="172" t="inlineStr">
        <is>
          <t>上交所</t>
        </is>
      </c>
      <c r="G1593" s="172" t="inlineStr">
        <is>
          <t>天风资管</t>
        </is>
      </c>
      <c r="H1593" s="172" t="inlineStr">
        <is>
          <t>国信证券</t>
        </is>
      </c>
      <c r="I1593" s="172" t="inlineStr">
        <is>
          <t>中行北分</t>
        </is>
      </c>
      <c r="J1593" s="172" t="n">
        <v>10</v>
      </c>
      <c r="K1593" s="172" t="inlineStr">
        <is>
          <t>7+12</t>
        </is>
      </c>
      <c r="L1593" s="200" t="n">
        <v>46181</v>
      </c>
      <c r="M1593" s="175" t="n">
        <v>0.0144</v>
      </c>
      <c r="N1593" s="176" t="n">
        <v>0.0187</v>
      </c>
      <c r="O1593" s="172" t="n">
        <v>1.58</v>
      </c>
      <c r="P1593" s="172" t="inlineStr">
        <is>
          <t>优先级</t>
        </is>
      </c>
      <c r="Q1593" s="175" t="n">
        <v>0.9</v>
      </c>
      <c r="R1593" s="192" t="n">
        <v>9</v>
      </c>
      <c r="S1593" s="172" t="inlineStr">
        <is>
          <t>AAA</t>
        </is>
      </c>
      <c r="T1593" s="175" t="n">
        <v>0.016</v>
      </c>
      <c r="U1593" s="172" t="n"/>
      <c r="V1593" s="172" t="n"/>
      <c r="W1593" s="175" t="n">
        <v>0.024</v>
      </c>
      <c r="X1593" s="172" t="inlineStr">
        <is>
          <t>利曦基金</t>
        </is>
      </c>
      <c r="Y1593" s="191" t="n">
        <v>2</v>
      </c>
    </row>
    <row r="1594">
      <c r="A1594" s="172" t="n">
        <v>83</v>
      </c>
      <c r="B1594" s="172" t="inlineStr">
        <is>
          <t>8月</t>
        </is>
      </c>
      <c r="C1594" s="172" t="inlineStr">
        <is>
          <t>企金</t>
        </is>
      </c>
      <c r="D1594" s="172" t="inlineStr">
        <is>
          <t>金采</t>
        </is>
      </c>
      <c r="E1594" s="172" t="inlineStr">
        <is>
          <t>金采8-2</t>
        </is>
      </c>
      <c r="F1594" s="172" t="inlineStr">
        <is>
          <t>上交所</t>
        </is>
      </c>
      <c r="G1594" s="172" t="inlineStr">
        <is>
          <t>天风资管</t>
        </is>
      </c>
      <c r="H1594" s="172" t="inlineStr">
        <is>
          <t>国信证券</t>
        </is>
      </c>
      <c r="I1594" s="172" t="inlineStr">
        <is>
          <t>中行北分</t>
        </is>
      </c>
      <c r="J1594" s="172" t="n">
        <v>10</v>
      </c>
      <c r="K1594" s="172" t="inlineStr">
        <is>
          <t>7+12</t>
        </is>
      </c>
      <c r="L1594" s="202" t="n">
        <v>46181</v>
      </c>
      <c r="M1594" s="175" t="n">
        <v>0.0144</v>
      </c>
      <c r="N1594" s="176" t="n">
        <v>0.0187</v>
      </c>
      <c r="O1594" s="191" t="n">
        <v>1.58</v>
      </c>
      <c r="P1594" s="172" t="inlineStr">
        <is>
          <t>中间级</t>
        </is>
      </c>
      <c r="Q1594" s="175" t="n">
        <v>0.05</v>
      </c>
      <c r="R1594" s="192" t="n">
        <v>0.5</v>
      </c>
      <c r="S1594" s="175" t="inlineStr">
        <is>
          <t>AA</t>
        </is>
      </c>
      <c r="T1594" s="175" t="n">
        <v>0.031</v>
      </c>
      <c r="U1594" s="172" t="inlineStr">
        <is>
          <t>邦汇保理</t>
        </is>
      </c>
      <c r="V1594" s="193" t="n">
        <v>0.025</v>
      </c>
      <c r="W1594" s="172" t="n"/>
      <c r="X1594" s="172" t="n"/>
      <c r="Y1594" s="172" t="n"/>
    </row>
    <row r="1595">
      <c r="A1595" s="172" t="n">
        <v>83</v>
      </c>
      <c r="B1595" s="172" t="inlineStr">
        <is>
          <t>8月</t>
        </is>
      </c>
      <c r="C1595" s="172" t="inlineStr">
        <is>
          <t>企金</t>
        </is>
      </c>
      <c r="D1595" s="172" t="inlineStr">
        <is>
          <t>金采</t>
        </is>
      </c>
      <c r="E1595" s="172" t="inlineStr">
        <is>
          <t>金采8-2</t>
        </is>
      </c>
      <c r="F1595" s="172" t="inlineStr">
        <is>
          <t>上交所</t>
        </is>
      </c>
      <c r="G1595" s="172" t="inlineStr">
        <is>
          <t>天风资管</t>
        </is>
      </c>
      <c r="H1595" s="172" t="inlineStr">
        <is>
          <t>国信证券</t>
        </is>
      </c>
      <c r="I1595" s="172" t="inlineStr">
        <is>
          <t>中行北分</t>
        </is>
      </c>
      <c r="J1595" s="172" t="n">
        <v>10</v>
      </c>
      <c r="K1595" s="172" t="inlineStr">
        <is>
          <t>7+12</t>
        </is>
      </c>
      <c r="L1595" s="202" t="n">
        <v>46181</v>
      </c>
      <c r="M1595" s="175" t="n">
        <v>0.0144</v>
      </c>
      <c r="N1595" s="176" t="n">
        <v>0.0187</v>
      </c>
      <c r="O1595" s="191" t="n">
        <v>1.58</v>
      </c>
      <c r="P1595" s="172" t="inlineStr">
        <is>
          <t>中间级</t>
        </is>
      </c>
      <c r="Q1595" s="175" t="n">
        <v>0.05</v>
      </c>
      <c r="R1595" s="192" t="n">
        <v>0.5</v>
      </c>
      <c r="S1595" s="175" t="inlineStr">
        <is>
          <t>AA</t>
        </is>
      </c>
      <c r="T1595" s="175" t="n">
        <v>0.031</v>
      </c>
      <c r="U1595" s="172" t="inlineStr">
        <is>
          <t>华宝证券资管</t>
        </is>
      </c>
      <c r="V1595" s="193" t="n">
        <v>0.175</v>
      </c>
      <c r="W1595" s="172" t="n"/>
      <c r="X1595" s="172" t="n"/>
      <c r="Y1595" s="172" t="n"/>
    </row>
    <row r="1596">
      <c r="A1596" s="172" t="n">
        <v>83</v>
      </c>
      <c r="B1596" s="172" t="inlineStr">
        <is>
          <t>8月</t>
        </is>
      </c>
      <c r="C1596" s="172" t="inlineStr">
        <is>
          <t>企金</t>
        </is>
      </c>
      <c r="D1596" s="172" t="inlineStr">
        <is>
          <t>金采</t>
        </is>
      </c>
      <c r="E1596" s="172" t="inlineStr">
        <is>
          <t>金采8-2</t>
        </is>
      </c>
      <c r="F1596" s="172" t="inlineStr">
        <is>
          <t>上交所</t>
        </is>
      </c>
      <c r="G1596" s="172" t="inlineStr">
        <is>
          <t>天风资管</t>
        </is>
      </c>
      <c r="H1596" s="172" t="inlineStr">
        <is>
          <t>国信证券</t>
        </is>
      </c>
      <c r="I1596" s="172" t="inlineStr">
        <is>
          <t>中行北分</t>
        </is>
      </c>
      <c r="J1596" s="172" t="n">
        <v>10</v>
      </c>
      <c r="K1596" s="172" t="inlineStr">
        <is>
          <t>7+12</t>
        </is>
      </c>
      <c r="L1596" s="202" t="n">
        <v>46181</v>
      </c>
      <c r="M1596" s="175" t="n">
        <v>0.0144</v>
      </c>
      <c r="N1596" s="176" t="n">
        <v>0.0187</v>
      </c>
      <c r="O1596" s="191" t="n">
        <v>1.58</v>
      </c>
      <c r="P1596" s="172" t="inlineStr">
        <is>
          <t>中间级</t>
        </is>
      </c>
      <c r="Q1596" s="175" t="n">
        <v>0.05</v>
      </c>
      <c r="R1596" s="192" t="n">
        <v>0.5</v>
      </c>
      <c r="S1596" s="175" t="inlineStr">
        <is>
          <t>AA</t>
        </is>
      </c>
      <c r="T1596" s="175" t="n">
        <v>0.031</v>
      </c>
      <c r="U1596" s="172" t="inlineStr">
        <is>
          <t>德邦证券自营</t>
        </is>
      </c>
      <c r="V1596" s="191" t="n">
        <v>0.1</v>
      </c>
      <c r="W1596" s="172" t="n"/>
      <c r="X1596" s="172" t="n"/>
      <c r="Y1596" s="172" t="n"/>
    </row>
    <row r="1597">
      <c r="A1597" s="172" t="n">
        <v>83</v>
      </c>
      <c r="B1597" s="172" t="inlineStr">
        <is>
          <t>8月</t>
        </is>
      </c>
      <c r="C1597" s="172" t="inlineStr">
        <is>
          <t>企金</t>
        </is>
      </c>
      <c r="D1597" s="172" t="inlineStr">
        <is>
          <t>金采</t>
        </is>
      </c>
      <c r="E1597" s="172" t="inlineStr">
        <is>
          <t>金采8-2</t>
        </is>
      </c>
      <c r="F1597" s="172" t="inlineStr">
        <is>
          <t>上交所</t>
        </is>
      </c>
      <c r="G1597" s="172" t="inlineStr">
        <is>
          <t>天风资管</t>
        </is>
      </c>
      <c r="H1597" s="172" t="inlineStr">
        <is>
          <t>国信证券</t>
        </is>
      </c>
      <c r="I1597" s="172" t="inlineStr">
        <is>
          <t>中行北分</t>
        </is>
      </c>
      <c r="J1597" s="172" t="n">
        <v>10</v>
      </c>
      <c r="K1597" s="172" t="inlineStr">
        <is>
          <t>7+12</t>
        </is>
      </c>
      <c r="L1597" s="202" t="n">
        <v>46181</v>
      </c>
      <c r="M1597" s="175" t="n">
        <v>0.0144</v>
      </c>
      <c r="N1597" s="176" t="n">
        <v>0.0187</v>
      </c>
      <c r="O1597" s="191" t="n">
        <v>1.58</v>
      </c>
      <c r="P1597" s="172" t="inlineStr">
        <is>
          <t>中间级</t>
        </is>
      </c>
      <c r="Q1597" s="175" t="n">
        <v>0.05</v>
      </c>
      <c r="R1597" s="192" t="n">
        <v>0.5</v>
      </c>
      <c r="S1597" s="175" t="inlineStr">
        <is>
          <t>AA</t>
        </is>
      </c>
      <c r="T1597" s="175" t="n">
        <v>0.031</v>
      </c>
      <c r="U1597" s="172" t="inlineStr">
        <is>
          <t>沛轩投资</t>
        </is>
      </c>
      <c r="V1597" s="191" t="n">
        <v>0.2</v>
      </c>
      <c r="W1597" s="172" t="n"/>
      <c r="X1597" s="172" t="n"/>
      <c r="Y1597" s="172" t="n"/>
    </row>
    <row r="1598">
      <c r="A1598" s="172" t="n">
        <v>83</v>
      </c>
      <c r="B1598" s="172" t="inlineStr">
        <is>
          <t>8月</t>
        </is>
      </c>
      <c r="C1598" s="172" t="inlineStr">
        <is>
          <t>企金</t>
        </is>
      </c>
      <c r="D1598" s="172" t="inlineStr">
        <is>
          <t>金采</t>
        </is>
      </c>
      <c r="E1598" s="172" t="inlineStr">
        <is>
          <t>金采8-2</t>
        </is>
      </c>
      <c r="F1598" s="172" t="inlineStr">
        <is>
          <t>上交所</t>
        </is>
      </c>
      <c r="G1598" s="172" t="inlineStr">
        <is>
          <t>天风资管</t>
        </is>
      </c>
      <c r="H1598" s="172" t="inlineStr">
        <is>
          <t>国信证券</t>
        </is>
      </c>
      <c r="I1598" s="172" t="inlineStr">
        <is>
          <t>中行北分</t>
        </is>
      </c>
      <c r="J1598" s="172" t="n">
        <v>10</v>
      </c>
      <c r="K1598" s="172" t="inlineStr">
        <is>
          <t>7+12</t>
        </is>
      </c>
      <c r="L1598" s="202" t="n">
        <v>46181</v>
      </c>
      <c r="M1598" s="175" t="n">
        <v>0.0144</v>
      </c>
      <c r="N1598" s="176" t="n">
        <v>0.0187</v>
      </c>
      <c r="O1598" s="191" t="n">
        <v>1.58</v>
      </c>
      <c r="P1598" s="172" t="inlineStr">
        <is>
          <t>次级</t>
        </is>
      </c>
      <c r="Q1598" s="175" t="n">
        <v>0.05</v>
      </c>
      <c r="R1598" s="192" t="n">
        <v>0.5</v>
      </c>
      <c r="S1598" s="175" t="inlineStr">
        <is>
          <t>无</t>
        </is>
      </c>
      <c r="T1598" s="175" t="n">
        <v>0.0455</v>
      </c>
      <c r="U1598" s="172" t="inlineStr">
        <is>
          <t>华宝证券资管</t>
        </is>
      </c>
      <c r="V1598" s="191" t="n">
        <v>0.13</v>
      </c>
      <c r="W1598" s="172" t="n"/>
      <c r="X1598" s="172" t="n"/>
      <c r="Y1598" s="172" t="n"/>
    </row>
    <row r="1599">
      <c r="A1599" s="172" t="n">
        <v>83</v>
      </c>
      <c r="B1599" s="172" t="inlineStr">
        <is>
          <t>8月</t>
        </is>
      </c>
      <c r="C1599" s="172" t="inlineStr">
        <is>
          <t>企金</t>
        </is>
      </c>
      <c r="D1599" s="172" t="inlineStr">
        <is>
          <t>金采</t>
        </is>
      </c>
      <c r="E1599" s="172" t="inlineStr">
        <is>
          <t>金采8-2</t>
        </is>
      </c>
      <c r="F1599" s="172" t="inlineStr">
        <is>
          <t>上交所</t>
        </is>
      </c>
      <c r="G1599" s="172" t="inlineStr">
        <is>
          <t>天风资管</t>
        </is>
      </c>
      <c r="H1599" s="172" t="inlineStr">
        <is>
          <t>国信证券</t>
        </is>
      </c>
      <c r="I1599" s="172" t="inlineStr">
        <is>
          <t>中行北分</t>
        </is>
      </c>
      <c r="J1599" s="172" t="n">
        <v>10</v>
      </c>
      <c r="K1599" s="172" t="inlineStr">
        <is>
          <t>7+12</t>
        </is>
      </c>
      <c r="L1599" s="202" t="n">
        <v>46181</v>
      </c>
      <c r="M1599" s="175" t="n">
        <v>0.0144</v>
      </c>
      <c r="N1599" s="176" t="n">
        <v>0.0187</v>
      </c>
      <c r="O1599" s="191" t="n">
        <v>1.58</v>
      </c>
      <c r="P1599" s="172" t="inlineStr">
        <is>
          <t>次级</t>
        </is>
      </c>
      <c r="Q1599" s="175" t="n">
        <v>0.05</v>
      </c>
      <c r="R1599" s="192" t="n">
        <v>0.5</v>
      </c>
      <c r="S1599" s="175" t="inlineStr">
        <is>
          <t>无</t>
        </is>
      </c>
      <c r="T1599" s="175" t="n">
        <v>0.0455</v>
      </c>
      <c r="U1599" s="172" t="inlineStr">
        <is>
          <t>申万宏源自营</t>
        </is>
      </c>
      <c r="V1599" s="191" t="n">
        <v>0.07000000000000001</v>
      </c>
      <c r="W1599" s="172" t="n"/>
      <c r="X1599" s="172" t="n"/>
      <c r="Y1599" s="172" t="n"/>
    </row>
    <row r="1600">
      <c r="A1600" s="172" t="n">
        <v>83</v>
      </c>
      <c r="B1600" s="172" t="inlineStr">
        <is>
          <t>8月</t>
        </is>
      </c>
      <c r="C1600" s="172" t="inlineStr">
        <is>
          <t>企金</t>
        </is>
      </c>
      <c r="D1600" s="172" t="inlineStr">
        <is>
          <t>金采</t>
        </is>
      </c>
      <c r="E1600" s="172" t="inlineStr">
        <is>
          <t>金采8-2</t>
        </is>
      </c>
      <c r="F1600" s="172" t="inlineStr">
        <is>
          <t>上交所</t>
        </is>
      </c>
      <c r="G1600" s="172" t="inlineStr">
        <is>
          <t>天风资管</t>
        </is>
      </c>
      <c r="H1600" s="172" t="inlineStr">
        <is>
          <t>国信证券</t>
        </is>
      </c>
      <c r="I1600" s="172" t="inlineStr">
        <is>
          <t>中行北分</t>
        </is>
      </c>
      <c r="J1600" s="172" t="n">
        <v>10</v>
      </c>
      <c r="K1600" s="172" t="inlineStr">
        <is>
          <t>7+12</t>
        </is>
      </c>
      <c r="L1600" s="202" t="n">
        <v>46181</v>
      </c>
      <c r="M1600" s="175" t="n">
        <v>0.0144</v>
      </c>
      <c r="N1600" s="176" t="n">
        <v>0.0187</v>
      </c>
      <c r="O1600" s="191" t="n">
        <v>1.58</v>
      </c>
      <c r="P1600" s="172" t="inlineStr">
        <is>
          <t>次级</t>
        </is>
      </c>
      <c r="Q1600" s="175" t="n">
        <v>0.05</v>
      </c>
      <c r="R1600" s="192" t="n">
        <v>0.5</v>
      </c>
      <c r="S1600" s="175" t="inlineStr">
        <is>
          <t>无</t>
        </is>
      </c>
      <c r="T1600" s="175" t="n">
        <v>0.0455</v>
      </c>
      <c r="U1600" s="172" t="inlineStr">
        <is>
          <t>东家铂睿</t>
        </is>
      </c>
      <c r="V1600" s="193" t="n">
        <v>0.075</v>
      </c>
      <c r="W1600" s="172" t="n"/>
      <c r="X1600" s="172" t="n"/>
      <c r="Y1600" s="172" t="n"/>
    </row>
    <row r="1601">
      <c r="A1601" s="172" t="n">
        <v>83</v>
      </c>
      <c r="B1601" s="172" t="inlineStr">
        <is>
          <t>8月</t>
        </is>
      </c>
      <c r="C1601" s="172" t="inlineStr">
        <is>
          <t>企金</t>
        </is>
      </c>
      <c r="D1601" s="172" t="inlineStr">
        <is>
          <t>金采</t>
        </is>
      </c>
      <c r="E1601" s="172" t="inlineStr">
        <is>
          <t>金采8-2</t>
        </is>
      </c>
      <c r="F1601" s="172" t="inlineStr">
        <is>
          <t>上交所</t>
        </is>
      </c>
      <c r="G1601" s="172" t="inlineStr">
        <is>
          <t>天风资管</t>
        </is>
      </c>
      <c r="H1601" s="172" t="inlineStr">
        <is>
          <t>国信证券</t>
        </is>
      </c>
      <c r="I1601" s="172" t="inlineStr">
        <is>
          <t>中行北分</t>
        </is>
      </c>
      <c r="J1601" s="172" t="n">
        <v>10</v>
      </c>
      <c r="K1601" s="172" t="inlineStr">
        <is>
          <t>7+12</t>
        </is>
      </c>
      <c r="L1601" s="202" t="n">
        <v>46181</v>
      </c>
      <c r="M1601" s="175" t="n">
        <v>0.0144</v>
      </c>
      <c r="N1601" s="176" t="n">
        <v>0.0187</v>
      </c>
      <c r="O1601" s="191" t="n">
        <v>1.58</v>
      </c>
      <c r="P1601" s="172" t="inlineStr">
        <is>
          <t>次级</t>
        </is>
      </c>
      <c r="Q1601" s="175" t="n">
        <v>0.05</v>
      </c>
      <c r="R1601" s="192" t="n">
        <v>0.5</v>
      </c>
      <c r="S1601" s="175" t="inlineStr">
        <is>
          <t>无</t>
        </is>
      </c>
      <c r="T1601" s="175" t="n">
        <v>0.0455</v>
      </c>
      <c r="U1601" s="172" t="inlineStr">
        <is>
          <t>德邦证券自营</t>
        </is>
      </c>
      <c r="V1601" s="191" t="n">
        <v>0.2</v>
      </c>
      <c r="W1601" s="172" t="n"/>
      <c r="X1601" s="172" t="n"/>
      <c r="Y1601" s="172" t="n"/>
    </row>
    <row r="1602">
      <c r="A1602" s="172" t="n">
        <v>83</v>
      </c>
      <c r="B1602" s="172" t="inlineStr">
        <is>
          <t>8月</t>
        </is>
      </c>
      <c r="C1602" s="172" t="inlineStr">
        <is>
          <t>企金</t>
        </is>
      </c>
      <c r="D1602" s="172" t="inlineStr">
        <is>
          <t>金采</t>
        </is>
      </c>
      <c r="E1602" s="172" t="inlineStr">
        <is>
          <t>金采8-2</t>
        </is>
      </c>
      <c r="F1602" s="172" t="inlineStr">
        <is>
          <t>上交所</t>
        </is>
      </c>
      <c r="G1602" s="172" t="inlineStr">
        <is>
          <t>天风资管</t>
        </is>
      </c>
      <c r="H1602" s="172" t="inlineStr">
        <is>
          <t>国信证券</t>
        </is>
      </c>
      <c r="I1602" s="172" t="inlineStr">
        <is>
          <t>中行北分</t>
        </is>
      </c>
      <c r="J1602" s="172" t="n">
        <v>10</v>
      </c>
      <c r="K1602" s="172" t="inlineStr">
        <is>
          <t>7+12</t>
        </is>
      </c>
      <c r="L1602" s="202" t="n">
        <v>46181</v>
      </c>
      <c r="M1602" s="175" t="n">
        <v>0.0144</v>
      </c>
      <c r="N1602" s="176" t="n">
        <v>0.0187</v>
      </c>
      <c r="O1602" s="191" t="n">
        <v>1.58</v>
      </c>
      <c r="P1602" s="172" t="inlineStr">
        <is>
          <t>次级</t>
        </is>
      </c>
      <c r="Q1602" s="175" t="n">
        <v>0.05</v>
      </c>
      <c r="R1602" s="192" t="n">
        <v>0.5</v>
      </c>
      <c r="S1602" s="175" t="inlineStr">
        <is>
          <t>无</t>
        </is>
      </c>
      <c r="T1602" s="175" t="n">
        <v>0.0455</v>
      </c>
      <c r="U1602" s="172" t="inlineStr">
        <is>
          <t>邦汇保理</t>
        </is>
      </c>
      <c r="V1602" s="193" t="n">
        <v>0.025</v>
      </c>
      <c r="W1602" s="172" t="n"/>
      <c r="X1602" s="172" t="n"/>
      <c r="Y1602" s="172" t="n"/>
    </row>
    <row r="1603">
      <c r="A1603" s="172" t="n">
        <v>88</v>
      </c>
      <c r="B1603" s="173" t="inlineStr">
        <is>
          <t>6月</t>
        </is>
      </c>
      <c r="C1603" s="173" t="inlineStr">
        <is>
          <t>消金</t>
        </is>
      </c>
      <c r="D1603" s="173" t="inlineStr">
        <is>
          <t>信托白条</t>
        </is>
      </c>
      <c r="E1603" s="173" t="inlineStr">
        <is>
          <t>钰泽3号1期</t>
        </is>
      </c>
      <c r="F1603" s="173" t="inlineStr">
        <is>
          <t>非标</t>
        </is>
      </c>
      <c r="G1603" s="173" t="inlineStr">
        <is>
          <t>西藏信托</t>
        </is>
      </c>
      <c r="H1603" s="173" t="inlineStr">
        <is>
          <t>-</t>
        </is>
      </c>
      <c r="I1603" s="173" t="inlineStr">
        <is>
          <t>中行北分</t>
        </is>
      </c>
      <c r="J1603" s="172" t="n">
        <v>5</v>
      </c>
      <c r="K1603" s="173" t="inlineStr">
        <is>
          <t>3+21</t>
        </is>
      </c>
      <c r="L1603" s="202" t="n">
        <v>46185</v>
      </c>
      <c r="M1603" s="175" t="n">
        <v>0.0147</v>
      </c>
      <c r="N1603" s="176" t="n">
        <v>0.02555</v>
      </c>
      <c r="O1603" s="172" t="inlineStr">
        <is>
          <t>-</t>
        </is>
      </c>
      <c r="P1603" s="177" t="inlineStr">
        <is>
          <t>平层</t>
        </is>
      </c>
      <c r="Q1603" s="178" t="inlineStr">
        <is>
          <t>-</t>
        </is>
      </c>
      <c r="R1603" s="192" t="n">
        <v>5</v>
      </c>
      <c r="S1603" s="177" t="inlineStr">
        <is>
          <t>无</t>
        </is>
      </c>
      <c r="T1603" s="178" t="n">
        <v>0.0225</v>
      </c>
      <c r="U1603" s="177" t="inlineStr">
        <is>
          <t>中邮理财</t>
        </is>
      </c>
      <c r="V1603" s="191" t="n">
        <v>5</v>
      </c>
      <c r="W1603" s="172" t="n"/>
      <c r="X1603" s="172" t="n"/>
      <c r="Y1603" s="172" t="n"/>
    </row>
    <row r="1604">
      <c r="A1604" s="172" t="n">
        <v>89</v>
      </c>
      <c r="B1604" s="173" t="inlineStr">
        <is>
          <t>6月</t>
        </is>
      </c>
      <c r="C1604" s="173" t="inlineStr">
        <is>
          <t>消金</t>
        </is>
      </c>
      <c r="D1604" s="173" t="inlineStr">
        <is>
          <t>信托白条</t>
        </is>
      </c>
      <c r="E1604" s="173" t="inlineStr">
        <is>
          <t>钰泽3号2期</t>
        </is>
      </c>
      <c r="F1604" s="173" t="inlineStr">
        <is>
          <t>非标</t>
        </is>
      </c>
      <c r="G1604" s="173" t="inlineStr">
        <is>
          <t>西藏信托</t>
        </is>
      </c>
      <c r="H1604" s="173" t="inlineStr">
        <is>
          <t>-</t>
        </is>
      </c>
      <c r="I1604" s="173" t="inlineStr">
        <is>
          <t>中行北分</t>
        </is>
      </c>
      <c r="J1604" s="172" t="n">
        <v>5</v>
      </c>
      <c r="K1604" s="173" t="inlineStr">
        <is>
          <t>3+21</t>
        </is>
      </c>
      <c r="L1604" s="202" t="n">
        <v>46185</v>
      </c>
      <c r="M1604" s="175" t="n">
        <v>0.0147</v>
      </c>
      <c r="N1604" s="176" t="n">
        <v>0.02555</v>
      </c>
      <c r="O1604" s="172" t="inlineStr">
        <is>
          <t>-</t>
        </is>
      </c>
      <c r="P1604" s="177" t="inlineStr">
        <is>
          <t>平层</t>
        </is>
      </c>
      <c r="Q1604" s="178" t="inlineStr">
        <is>
          <t>-</t>
        </is>
      </c>
      <c r="R1604" s="192" t="n">
        <v>5</v>
      </c>
      <c r="S1604" s="177" t="inlineStr">
        <is>
          <t>无</t>
        </is>
      </c>
      <c r="T1604" s="178" t="n">
        <v>0.0225</v>
      </c>
      <c r="U1604" s="177" t="inlineStr">
        <is>
          <t>中邮理财</t>
        </is>
      </c>
      <c r="V1604" s="191" t="n">
        <v>5</v>
      </c>
      <c r="W1604" s="172" t="n"/>
      <c r="X1604" s="172" t="n"/>
      <c r="Y1604" s="172" t="n"/>
    </row>
    <row r="1605">
      <c r="A1605" s="172" t="n">
        <v>90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保理</t>
        </is>
      </c>
      <c r="E1605" s="172" t="inlineStr">
        <is>
          <t>京诚14-11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申万宏源资管</t>
        </is>
      </c>
      <c r="I1605" s="172" t="inlineStr">
        <is>
          <t>建行北分</t>
        </is>
      </c>
      <c r="J1605" s="172" t="n">
        <v>10</v>
      </c>
      <c r="K1605" s="172" t="inlineStr">
        <is>
          <t>2+4</t>
        </is>
      </c>
      <c r="L1605" s="202" t="n">
        <v>46188</v>
      </c>
      <c r="M1605" s="175" t="n">
        <v>0.0149</v>
      </c>
      <c r="N1605" s="176" t="n">
        <v>0.0163</v>
      </c>
      <c r="O1605" s="191" t="n">
        <v>2.84</v>
      </c>
      <c r="P1605" s="172" t="inlineStr">
        <is>
          <t>优先级</t>
        </is>
      </c>
      <c r="Q1605" s="175" t="n">
        <v>0.99</v>
      </c>
      <c r="R1605" s="192" t="n">
        <v>9.9</v>
      </c>
      <c r="S1605" s="172" t="inlineStr">
        <is>
          <t>AAA</t>
        </is>
      </c>
      <c r="T1605" s="175" t="n">
        <v>0.0156</v>
      </c>
      <c r="U1605" s="172" t="inlineStr">
        <is>
          <t>信银理财</t>
        </is>
      </c>
      <c r="V1605" s="191" t="n">
        <v>2.97</v>
      </c>
      <c r="W1605" s="175" t="n">
        <v>0.0155</v>
      </c>
      <c r="X1605" s="172" t="inlineStr">
        <is>
          <t>信银理财</t>
        </is>
      </c>
      <c r="Y1605" s="191" t="n">
        <v>2.97</v>
      </c>
    </row>
    <row r="1606">
      <c r="A1606" s="172" t="n">
        <v>90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保理</t>
        </is>
      </c>
      <c r="E1606" s="172" t="inlineStr">
        <is>
          <t>京诚14-11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申万宏源资管</t>
        </is>
      </c>
      <c r="I1606" s="172" t="inlineStr">
        <is>
          <t>建行北分</t>
        </is>
      </c>
      <c r="J1606" s="172" t="n">
        <v>10</v>
      </c>
      <c r="K1606" s="172" t="inlineStr">
        <is>
          <t>2+4</t>
        </is>
      </c>
      <c r="L1606" s="202" t="n">
        <v>46188</v>
      </c>
      <c r="M1606" s="175" t="n">
        <v>0.0149</v>
      </c>
      <c r="N1606" s="176" t="n">
        <v>0.0163</v>
      </c>
      <c r="O1606" s="191" t="n">
        <v>2.84</v>
      </c>
      <c r="P1606" s="172" t="inlineStr">
        <is>
          <t>优先级</t>
        </is>
      </c>
      <c r="Q1606" s="175" t="n">
        <v>0.99</v>
      </c>
      <c r="R1606" s="192" t="n">
        <v>9.9</v>
      </c>
      <c r="S1606" s="172" t="inlineStr">
        <is>
          <t>AAA</t>
        </is>
      </c>
      <c r="T1606" s="175" t="n">
        <v>0.0156</v>
      </c>
      <c r="U1606" s="172" t="inlineStr">
        <is>
          <t>平安理财</t>
        </is>
      </c>
      <c r="V1606" s="191" t="n">
        <v>2.47</v>
      </c>
      <c r="W1606" s="175" t="n">
        <v>0.0154</v>
      </c>
      <c r="X1606" s="172" t="inlineStr">
        <is>
          <t>平安理财</t>
        </is>
      </c>
      <c r="Y1606" s="191" t="n">
        <v>2.47</v>
      </c>
    </row>
    <row r="1607">
      <c r="A1607" s="172" t="n">
        <v>90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保理</t>
        </is>
      </c>
      <c r="E1607" s="172" t="inlineStr">
        <is>
          <t>京诚14-11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申万宏源资管</t>
        </is>
      </c>
      <c r="I1607" s="172" t="inlineStr">
        <is>
          <t>建行北分</t>
        </is>
      </c>
      <c r="J1607" s="172" t="n">
        <v>10</v>
      </c>
      <c r="K1607" s="172" t="inlineStr">
        <is>
          <t>2+4</t>
        </is>
      </c>
      <c r="L1607" s="202" t="n">
        <v>46188</v>
      </c>
      <c r="M1607" s="175" t="n">
        <v>0.0149</v>
      </c>
      <c r="N1607" s="176" t="n">
        <v>0.0163</v>
      </c>
      <c r="O1607" s="191" t="n">
        <v>2.84</v>
      </c>
      <c r="P1607" s="172" t="inlineStr">
        <is>
          <t>优先级</t>
        </is>
      </c>
      <c r="Q1607" s="175" t="n">
        <v>0.99</v>
      </c>
      <c r="R1607" s="192" t="n">
        <v>9.9</v>
      </c>
      <c r="S1607" s="172" t="inlineStr">
        <is>
          <t>AAA</t>
        </is>
      </c>
      <c r="T1607" s="175" t="n">
        <v>0.0156</v>
      </c>
      <c r="U1607" s="172" t="inlineStr">
        <is>
          <t>光大理财</t>
        </is>
      </c>
      <c r="V1607" s="191" t="n">
        <v>2.15</v>
      </c>
      <c r="W1607" s="175" t="n">
        <v>0.0154</v>
      </c>
      <c r="X1607" s="172" t="inlineStr">
        <is>
          <t>光大理财</t>
        </is>
      </c>
      <c r="Y1607" s="191" t="n">
        <v>0.9</v>
      </c>
    </row>
    <row r="1608">
      <c r="A1608" s="172" t="n">
        <v>90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保理</t>
        </is>
      </c>
      <c r="E1608" s="172" t="inlineStr">
        <is>
          <t>京诚14-11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申万宏源资管</t>
        </is>
      </c>
      <c r="I1608" s="172" t="inlineStr">
        <is>
          <t>建行北分</t>
        </is>
      </c>
      <c r="J1608" s="172" t="n">
        <v>10</v>
      </c>
      <c r="K1608" s="172" t="inlineStr">
        <is>
          <t>2+4</t>
        </is>
      </c>
      <c r="L1608" s="200" t="n">
        <v>46188</v>
      </c>
      <c r="M1608" s="175" t="n">
        <v>0.0149</v>
      </c>
      <c r="N1608" s="176" t="n">
        <v>0.0163</v>
      </c>
      <c r="O1608" s="172" t="n">
        <v>2.84</v>
      </c>
      <c r="P1608" s="172" t="inlineStr">
        <is>
          <t>优先级</t>
        </is>
      </c>
      <c r="Q1608" s="175" t="n">
        <v>0.99</v>
      </c>
      <c r="R1608" s="192" t="n">
        <v>9.9</v>
      </c>
      <c r="S1608" s="172" t="inlineStr">
        <is>
          <t>AAA</t>
        </is>
      </c>
      <c r="T1608" s="175" t="n">
        <v>0.0156</v>
      </c>
      <c r="U1608" s="172" t="n"/>
      <c r="V1608" s="172" t="n"/>
      <c r="W1608" s="175" t="n">
        <v>0.0155</v>
      </c>
      <c r="X1608" s="172" t="inlineStr">
        <is>
          <t>光大理财</t>
        </is>
      </c>
      <c r="Y1608" s="191" t="n">
        <v>1.25</v>
      </c>
    </row>
    <row r="1609">
      <c r="A1609" s="172" t="n">
        <v>90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保理</t>
        </is>
      </c>
      <c r="E1609" s="172" t="inlineStr">
        <is>
          <t>京诚14-11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申万宏源资管</t>
        </is>
      </c>
      <c r="I1609" s="172" t="inlineStr">
        <is>
          <t>建行北分</t>
        </is>
      </c>
      <c r="J1609" s="172" t="n">
        <v>10</v>
      </c>
      <c r="K1609" s="172" t="inlineStr">
        <is>
          <t>2+4</t>
        </is>
      </c>
      <c r="L1609" s="200" t="n">
        <v>46188</v>
      </c>
      <c r="M1609" s="175" t="n">
        <v>0.0149</v>
      </c>
      <c r="N1609" s="176" t="n">
        <v>0.0163</v>
      </c>
      <c r="O1609" s="172" t="n">
        <v>2.84</v>
      </c>
      <c r="P1609" s="172" t="inlineStr">
        <is>
          <t>优先级</t>
        </is>
      </c>
      <c r="Q1609" s="175" t="n">
        <v>0.99</v>
      </c>
      <c r="R1609" s="192" t="n">
        <v>9.9</v>
      </c>
      <c r="S1609" s="172" t="inlineStr">
        <is>
          <t>AAA</t>
        </is>
      </c>
      <c r="T1609" s="175" t="n">
        <v>0.0156</v>
      </c>
      <c r="U1609" s="172" t="n"/>
      <c r="V1609" s="172" t="n"/>
      <c r="W1609" s="175" t="n">
        <v>0.016</v>
      </c>
      <c r="X1609" s="172" t="inlineStr">
        <is>
          <t>光大理财</t>
        </is>
      </c>
      <c r="Y1609" s="191" t="n">
        <v>0.8</v>
      </c>
    </row>
    <row r="1610">
      <c r="A1610" s="172" t="n">
        <v>90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保理</t>
        </is>
      </c>
      <c r="E1610" s="172" t="inlineStr">
        <is>
          <t>京诚14-11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申万宏源资管</t>
        </is>
      </c>
      <c r="I1610" s="172" t="inlineStr">
        <is>
          <t>建行北分</t>
        </is>
      </c>
      <c r="J1610" s="172" t="n">
        <v>10</v>
      </c>
      <c r="K1610" s="172" t="inlineStr">
        <is>
          <t>2+4</t>
        </is>
      </c>
      <c r="L1610" s="202" t="n">
        <v>46188</v>
      </c>
      <c r="M1610" s="175" t="n">
        <v>0.0149</v>
      </c>
      <c r="N1610" s="176" t="n">
        <v>0.0163</v>
      </c>
      <c r="O1610" s="191" t="n">
        <v>2.84</v>
      </c>
      <c r="P1610" s="172" t="inlineStr">
        <is>
          <t>优先级</t>
        </is>
      </c>
      <c r="Q1610" s="175" t="n">
        <v>0.99</v>
      </c>
      <c r="R1610" s="192" t="n">
        <v>9.9</v>
      </c>
      <c r="S1610" s="172" t="inlineStr">
        <is>
          <t>AAA</t>
        </is>
      </c>
      <c r="T1610" s="175" t="n">
        <v>0.0156</v>
      </c>
      <c r="U1610" s="172" t="inlineStr">
        <is>
          <t>工银理财</t>
        </is>
      </c>
      <c r="V1610" s="191" t="n">
        <v>1.81</v>
      </c>
      <c r="W1610" s="175" t="n">
        <v>0.0155</v>
      </c>
      <c r="X1610" s="172" t="inlineStr">
        <is>
          <t>工银理财</t>
        </is>
      </c>
      <c r="Y1610" s="191" t="n">
        <v>1</v>
      </c>
    </row>
    <row r="1611">
      <c r="A1611" s="172" t="n">
        <v>90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保理</t>
        </is>
      </c>
      <c r="E1611" s="172" t="inlineStr">
        <is>
          <t>京诚14-11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申万宏源资管</t>
        </is>
      </c>
      <c r="I1611" s="172" t="inlineStr">
        <is>
          <t>建行北分</t>
        </is>
      </c>
      <c r="J1611" s="172" t="n">
        <v>10</v>
      </c>
      <c r="K1611" s="172" t="inlineStr">
        <is>
          <t>2+4</t>
        </is>
      </c>
      <c r="L1611" s="200" t="n">
        <v>46188</v>
      </c>
      <c r="M1611" s="175" t="n">
        <v>0.0149</v>
      </c>
      <c r="N1611" s="176" t="n">
        <v>0.0163</v>
      </c>
      <c r="O1611" s="172" t="n">
        <v>2.84</v>
      </c>
      <c r="P1611" s="172" t="inlineStr">
        <is>
          <t>优先级</t>
        </is>
      </c>
      <c r="Q1611" s="175" t="n">
        <v>0.99</v>
      </c>
      <c r="R1611" s="192" t="n">
        <v>9.9</v>
      </c>
      <c r="S1611" s="172" t="inlineStr">
        <is>
          <t>AAA</t>
        </is>
      </c>
      <c r="T1611" s="175" t="n">
        <v>0.0156</v>
      </c>
      <c r="U1611" s="172" t="n"/>
      <c r="V1611" s="172" t="n"/>
      <c r="W1611" s="175" t="n">
        <v>0.0156</v>
      </c>
      <c r="X1611" s="172" t="inlineStr">
        <is>
          <t>工银理财</t>
        </is>
      </c>
      <c r="Y1611" s="191" t="n">
        <v>1.5</v>
      </c>
    </row>
    <row r="1612">
      <c r="A1612" s="172" t="n">
        <v>90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保理</t>
        </is>
      </c>
      <c r="E1612" s="172" t="inlineStr">
        <is>
          <t>京诚14-11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申万宏源资管</t>
        </is>
      </c>
      <c r="I1612" s="172" t="inlineStr">
        <is>
          <t>建行北分</t>
        </is>
      </c>
      <c r="J1612" s="172" t="n">
        <v>10</v>
      </c>
      <c r="K1612" s="172" t="inlineStr">
        <is>
          <t>2+4</t>
        </is>
      </c>
      <c r="L1612" s="202" t="n">
        <v>46188</v>
      </c>
      <c r="M1612" s="175" t="n">
        <v>0.0149</v>
      </c>
      <c r="N1612" s="176" t="n">
        <v>0.0163</v>
      </c>
      <c r="O1612" s="191" t="n">
        <v>2.84</v>
      </c>
      <c r="P1612" s="172" t="inlineStr">
        <is>
          <t>优先级</t>
        </is>
      </c>
      <c r="Q1612" s="175" t="n">
        <v>0.99</v>
      </c>
      <c r="R1612" s="192" t="n">
        <v>9.9</v>
      </c>
      <c r="S1612" s="172" t="inlineStr">
        <is>
          <t>AAA</t>
        </is>
      </c>
      <c r="T1612" s="175" t="n">
        <v>0.0156</v>
      </c>
      <c r="U1612" s="172" t="inlineStr">
        <is>
          <t>兴银理财</t>
        </is>
      </c>
      <c r="V1612" s="191" t="n">
        <v>0.5</v>
      </c>
      <c r="W1612" s="175" t="n">
        <v>0.0154</v>
      </c>
      <c r="X1612" s="172" t="inlineStr">
        <is>
          <t>兴银理财</t>
        </is>
      </c>
      <c r="Y1612" s="191" t="n">
        <v>0.5</v>
      </c>
    </row>
    <row r="1613">
      <c r="A1613" s="172" t="n">
        <v>90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保理</t>
        </is>
      </c>
      <c r="E1613" s="172" t="inlineStr">
        <is>
          <t>京诚14-11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申万宏源资管</t>
        </is>
      </c>
      <c r="I1613" s="172" t="inlineStr">
        <is>
          <t>建行北分</t>
        </is>
      </c>
      <c r="J1613" s="172" t="n">
        <v>10</v>
      </c>
      <c r="K1613" s="172" t="inlineStr">
        <is>
          <t>2+4</t>
        </is>
      </c>
      <c r="L1613" s="200" t="n">
        <v>46188</v>
      </c>
      <c r="M1613" s="175" t="n">
        <v>0.0149</v>
      </c>
      <c r="N1613" s="176" t="n">
        <v>0.0163</v>
      </c>
      <c r="O1613" s="172" t="n">
        <v>2.84</v>
      </c>
      <c r="P1613" s="172" t="inlineStr">
        <is>
          <t>优先级</t>
        </is>
      </c>
      <c r="Q1613" s="175" t="n">
        <v>0.99</v>
      </c>
      <c r="R1613" s="192" t="n">
        <v>9.9</v>
      </c>
      <c r="S1613" s="172" t="inlineStr">
        <is>
          <t>AAA</t>
        </is>
      </c>
      <c r="T1613" s="175" t="n">
        <v>0.0156</v>
      </c>
      <c r="U1613" s="172" t="n"/>
      <c r="V1613" s="172" t="n"/>
      <c r="W1613" s="175" t="n">
        <v>0.016</v>
      </c>
      <c r="X1613" s="172" t="inlineStr">
        <is>
          <t>兴银理财</t>
        </is>
      </c>
      <c r="Y1613" s="191" t="n">
        <v>1.8</v>
      </c>
    </row>
    <row r="1614">
      <c r="A1614" s="172" t="n">
        <v>90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保理</t>
        </is>
      </c>
      <c r="E1614" s="172" t="inlineStr">
        <is>
          <t>京诚14-11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申万宏源资管</t>
        </is>
      </c>
      <c r="I1614" s="172" t="inlineStr">
        <is>
          <t>建行北分</t>
        </is>
      </c>
      <c r="J1614" s="172" t="n">
        <v>10</v>
      </c>
      <c r="K1614" s="172" t="inlineStr">
        <is>
          <t>2+4</t>
        </is>
      </c>
      <c r="L1614" s="200" t="n">
        <v>46188</v>
      </c>
      <c r="M1614" s="175" t="n">
        <v>0.0149</v>
      </c>
      <c r="N1614" s="176" t="n">
        <v>0.0163</v>
      </c>
      <c r="O1614" s="172" t="n">
        <v>2.84</v>
      </c>
      <c r="P1614" s="172" t="inlineStr">
        <is>
          <t>优先级</t>
        </is>
      </c>
      <c r="Q1614" s="175" t="n">
        <v>0.99</v>
      </c>
      <c r="R1614" s="192" t="n">
        <v>9.9</v>
      </c>
      <c r="S1614" s="172" t="inlineStr">
        <is>
          <t>AAA</t>
        </is>
      </c>
      <c r="T1614" s="175" t="n">
        <v>0.0156</v>
      </c>
      <c r="U1614" s="172" t="n"/>
      <c r="V1614" s="172" t="n"/>
      <c r="W1614" s="175" t="n">
        <v>0.0157</v>
      </c>
      <c r="X1614" s="172" t="inlineStr">
        <is>
          <t>浦银理财</t>
        </is>
      </c>
      <c r="Y1614" s="191" t="n">
        <v>0.64</v>
      </c>
    </row>
    <row r="1615">
      <c r="A1615" s="172" t="n">
        <v>90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保理</t>
        </is>
      </c>
      <c r="E1615" s="172" t="inlineStr">
        <is>
          <t>京诚14-11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申万宏源资管</t>
        </is>
      </c>
      <c r="I1615" s="172" t="inlineStr">
        <is>
          <t>建行北分</t>
        </is>
      </c>
      <c r="J1615" s="172" t="n">
        <v>10</v>
      </c>
      <c r="K1615" s="172" t="inlineStr">
        <is>
          <t>2+4</t>
        </is>
      </c>
      <c r="L1615" s="200" t="n">
        <v>46188</v>
      </c>
      <c r="M1615" s="175" t="n">
        <v>0.0149</v>
      </c>
      <c r="N1615" s="176" t="n">
        <v>0.0163</v>
      </c>
      <c r="O1615" s="172" t="n">
        <v>2.84</v>
      </c>
      <c r="P1615" s="172" t="inlineStr">
        <is>
          <t>优先级</t>
        </is>
      </c>
      <c r="Q1615" s="175" t="n">
        <v>0.99</v>
      </c>
      <c r="R1615" s="192" t="n">
        <v>9.9</v>
      </c>
      <c r="S1615" s="172" t="inlineStr">
        <is>
          <t>AAA</t>
        </is>
      </c>
      <c r="T1615" s="175" t="n">
        <v>0.0156</v>
      </c>
      <c r="U1615" s="172" t="n"/>
      <c r="V1615" s="172" t="n"/>
      <c r="W1615" s="175" t="n">
        <v>0.0158</v>
      </c>
      <c r="X1615" s="172" t="inlineStr">
        <is>
          <t>浦银理财</t>
        </is>
      </c>
      <c r="Y1615" s="191" t="n">
        <v>1.24</v>
      </c>
    </row>
    <row r="1616">
      <c r="A1616" s="172" t="n">
        <v>90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保理</t>
        </is>
      </c>
      <c r="E1616" s="172" t="inlineStr">
        <is>
          <t>京诚14-11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申万宏源资管</t>
        </is>
      </c>
      <c r="I1616" s="172" t="inlineStr">
        <is>
          <t>建行北分</t>
        </is>
      </c>
      <c r="J1616" s="172" t="n">
        <v>10</v>
      </c>
      <c r="K1616" s="172" t="inlineStr">
        <is>
          <t>2+4</t>
        </is>
      </c>
      <c r="L1616" s="200" t="n">
        <v>46188</v>
      </c>
      <c r="M1616" s="175" t="n">
        <v>0.0149</v>
      </c>
      <c r="N1616" s="176" t="n">
        <v>0.0163</v>
      </c>
      <c r="O1616" s="172" t="n">
        <v>2.84</v>
      </c>
      <c r="P1616" s="172" t="inlineStr">
        <is>
          <t>优先级</t>
        </is>
      </c>
      <c r="Q1616" s="175" t="n">
        <v>0.99</v>
      </c>
      <c r="R1616" s="192" t="n">
        <v>9.9</v>
      </c>
      <c r="S1616" s="172" t="inlineStr">
        <is>
          <t>AAA</t>
        </is>
      </c>
      <c r="T1616" s="175" t="n">
        <v>0.0156</v>
      </c>
      <c r="U1616" s="172" t="n"/>
      <c r="V1616" s="172" t="n"/>
      <c r="W1616" s="175" t="n">
        <v>0.016</v>
      </c>
      <c r="X1616" s="172" t="inlineStr">
        <is>
          <t>浦银理财</t>
        </is>
      </c>
      <c r="Y1616" s="191" t="n">
        <v>0.88</v>
      </c>
    </row>
    <row r="1617">
      <c r="A1617" s="172" t="n">
        <v>90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保理</t>
        </is>
      </c>
      <c r="E1617" s="172" t="inlineStr">
        <is>
          <t>京诚14-11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申万宏源资管</t>
        </is>
      </c>
      <c r="I1617" s="172" t="inlineStr">
        <is>
          <t>建行北分</t>
        </is>
      </c>
      <c r="J1617" s="172" t="n">
        <v>10</v>
      </c>
      <c r="K1617" s="172" t="inlineStr">
        <is>
          <t>2+4</t>
        </is>
      </c>
      <c r="L1617" s="200" t="n">
        <v>46188</v>
      </c>
      <c r="M1617" s="175" t="n">
        <v>0.0149</v>
      </c>
      <c r="N1617" s="176" t="n">
        <v>0.0163</v>
      </c>
      <c r="O1617" s="172" t="n">
        <v>2.84</v>
      </c>
      <c r="P1617" s="172" t="inlineStr">
        <is>
          <t>优先级</t>
        </is>
      </c>
      <c r="Q1617" s="175" t="n">
        <v>0.99</v>
      </c>
      <c r="R1617" s="192" t="n">
        <v>9.9</v>
      </c>
      <c r="S1617" s="172" t="inlineStr">
        <is>
          <t>AAA</t>
        </is>
      </c>
      <c r="T1617" s="175" t="n">
        <v>0.0156</v>
      </c>
      <c r="U1617" s="172" t="n"/>
      <c r="V1617" s="172" t="n"/>
      <c r="W1617" s="175" t="n">
        <v>0.0159</v>
      </c>
      <c r="X1617" s="172" t="inlineStr">
        <is>
          <t>中银理财</t>
        </is>
      </c>
      <c r="Y1617" s="191" t="n">
        <v>1</v>
      </c>
    </row>
    <row r="1618">
      <c r="A1618" s="172" t="n">
        <v>90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保理</t>
        </is>
      </c>
      <c r="E1618" s="172" t="inlineStr">
        <is>
          <t>京诚14-11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申万宏源资管</t>
        </is>
      </c>
      <c r="I1618" s="172" t="inlineStr">
        <is>
          <t>建行北分</t>
        </is>
      </c>
      <c r="J1618" s="172" t="n">
        <v>10</v>
      </c>
      <c r="K1618" s="172" t="inlineStr">
        <is>
          <t>2+4</t>
        </is>
      </c>
      <c r="L1618" s="200" t="n">
        <v>46188</v>
      </c>
      <c r="M1618" s="175" t="n">
        <v>0.0149</v>
      </c>
      <c r="N1618" s="176" t="n">
        <v>0.0163</v>
      </c>
      <c r="O1618" s="172" t="n">
        <v>2.84</v>
      </c>
      <c r="P1618" s="172" t="inlineStr">
        <is>
          <t>优先级</t>
        </is>
      </c>
      <c r="Q1618" s="175" t="n">
        <v>0.99</v>
      </c>
      <c r="R1618" s="192" t="n">
        <v>9.9</v>
      </c>
      <c r="S1618" s="172" t="inlineStr">
        <is>
          <t>AAA</t>
        </is>
      </c>
      <c r="T1618" s="175" t="n">
        <v>0.0156</v>
      </c>
      <c r="U1618" s="172" t="n"/>
      <c r="V1618" s="172" t="n"/>
      <c r="W1618" s="175" t="n">
        <v>0.016</v>
      </c>
      <c r="X1618" s="172" t="inlineStr">
        <is>
          <t>中银理财</t>
        </is>
      </c>
      <c r="Y1618" s="191" t="n">
        <v>1.9</v>
      </c>
    </row>
    <row r="1619">
      <c r="A1619" s="172" t="n">
        <v>90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保理</t>
        </is>
      </c>
      <c r="E1619" s="172" t="inlineStr">
        <is>
          <t>京诚14-11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申万宏源资管</t>
        </is>
      </c>
      <c r="I1619" s="172" t="inlineStr">
        <is>
          <t>建行北分</t>
        </is>
      </c>
      <c r="J1619" s="172" t="n">
        <v>10</v>
      </c>
      <c r="K1619" s="172" t="inlineStr">
        <is>
          <t>2+4</t>
        </is>
      </c>
      <c r="L1619" s="200" t="n">
        <v>46188</v>
      </c>
      <c r="M1619" s="175" t="n">
        <v>0.0149</v>
      </c>
      <c r="N1619" s="176" t="n">
        <v>0.0163</v>
      </c>
      <c r="O1619" s="172" t="n">
        <v>2.84</v>
      </c>
      <c r="P1619" s="172" t="inlineStr">
        <is>
          <t>优先级</t>
        </is>
      </c>
      <c r="Q1619" s="175" t="n">
        <v>0.99</v>
      </c>
      <c r="R1619" s="192" t="n">
        <v>9.9</v>
      </c>
      <c r="S1619" s="172" t="inlineStr">
        <is>
          <t>AAA</t>
        </is>
      </c>
      <c r="T1619" s="175" t="n">
        <v>0.0156</v>
      </c>
      <c r="U1619" s="172" t="n"/>
      <c r="V1619" s="172" t="n"/>
      <c r="W1619" s="175" t="n">
        <v>0.016</v>
      </c>
      <c r="X1619" s="172" t="inlineStr">
        <is>
          <t>交银理财</t>
        </is>
      </c>
      <c r="Y1619" s="191" t="n">
        <v>0.5</v>
      </c>
    </row>
    <row r="1620">
      <c r="A1620" s="172" t="n">
        <v>90</v>
      </c>
      <c r="B1620" s="172" t="inlineStr">
        <is>
          <t>6月</t>
        </is>
      </c>
      <c r="C1620" s="172" t="inlineStr">
        <is>
          <t>企金</t>
        </is>
      </c>
      <c r="D1620" s="172" t="inlineStr">
        <is>
          <t>保理</t>
        </is>
      </c>
      <c r="E1620" s="172" t="inlineStr">
        <is>
          <t>京诚14-11</t>
        </is>
      </c>
      <c r="F1620" s="172" t="inlineStr">
        <is>
          <t>上交所</t>
        </is>
      </c>
      <c r="G1620" s="172" t="inlineStr">
        <is>
          <t>中信证券</t>
        </is>
      </c>
      <c r="H1620" s="172" t="inlineStr">
        <is>
          <t>申万宏源资管</t>
        </is>
      </c>
      <c r="I1620" s="172" t="inlineStr">
        <is>
          <t>建行北分</t>
        </is>
      </c>
      <c r="J1620" s="172" t="n">
        <v>10</v>
      </c>
      <c r="K1620" s="172" t="inlineStr">
        <is>
          <t>2+4</t>
        </is>
      </c>
      <c r="L1620" s="200" t="n">
        <v>46188</v>
      </c>
      <c r="M1620" s="175" t="n">
        <v>0.0149</v>
      </c>
      <c r="N1620" s="176" t="n">
        <v>0.0163</v>
      </c>
      <c r="O1620" s="172" t="n">
        <v>2.84</v>
      </c>
      <c r="P1620" s="172" t="inlineStr">
        <is>
          <t>优先级</t>
        </is>
      </c>
      <c r="Q1620" s="175" t="n">
        <v>0.99</v>
      </c>
      <c r="R1620" s="192" t="n">
        <v>9.9</v>
      </c>
      <c r="S1620" s="172" t="inlineStr">
        <is>
          <t>AAA</t>
        </is>
      </c>
      <c r="T1620" s="175" t="n">
        <v>0.0156</v>
      </c>
      <c r="U1620" s="172" t="n"/>
      <c r="V1620" s="172" t="n"/>
      <c r="W1620" s="175" t="n">
        <v>0.016</v>
      </c>
      <c r="X1620" s="172" t="inlineStr">
        <is>
          <t>平安银行（金融同业部）</t>
        </is>
      </c>
      <c r="Y1620" s="191" t="n">
        <v>3.9</v>
      </c>
    </row>
    <row r="1621">
      <c r="A1621" s="172" t="n">
        <v>90</v>
      </c>
      <c r="B1621" s="172" t="inlineStr">
        <is>
          <t>6月</t>
        </is>
      </c>
      <c r="C1621" s="172" t="inlineStr">
        <is>
          <t>企金</t>
        </is>
      </c>
      <c r="D1621" s="172" t="inlineStr">
        <is>
          <t>保理</t>
        </is>
      </c>
      <c r="E1621" s="172" t="inlineStr">
        <is>
          <t>京诚14-11</t>
        </is>
      </c>
      <c r="F1621" s="172" t="inlineStr">
        <is>
          <t>上交所</t>
        </is>
      </c>
      <c r="G1621" s="172" t="inlineStr">
        <is>
          <t>中信证券</t>
        </is>
      </c>
      <c r="H1621" s="172" t="inlineStr">
        <is>
          <t>申万宏源资管</t>
        </is>
      </c>
      <c r="I1621" s="172" t="inlineStr">
        <is>
          <t>建行北分</t>
        </is>
      </c>
      <c r="J1621" s="172" t="n">
        <v>10</v>
      </c>
      <c r="K1621" s="172" t="inlineStr">
        <is>
          <t>2+4</t>
        </is>
      </c>
      <c r="L1621" s="200" t="n">
        <v>46188</v>
      </c>
      <c r="M1621" s="175" t="n">
        <v>0.0149</v>
      </c>
      <c r="N1621" s="176" t="n">
        <v>0.0163</v>
      </c>
      <c r="O1621" s="172" t="n">
        <v>2.84</v>
      </c>
      <c r="P1621" s="172" t="inlineStr">
        <is>
          <t>优先级</t>
        </is>
      </c>
      <c r="Q1621" s="175" t="n">
        <v>0.99</v>
      </c>
      <c r="R1621" s="192" t="n">
        <v>9.9</v>
      </c>
      <c r="S1621" s="172" t="inlineStr">
        <is>
          <t>AAA</t>
        </is>
      </c>
      <c r="T1621" s="175" t="n">
        <v>0.0156</v>
      </c>
      <c r="U1621" s="172" t="n"/>
      <c r="V1621" s="172" t="n"/>
      <c r="W1621" s="175" t="n">
        <v>0.016</v>
      </c>
      <c r="X1621" s="172" t="inlineStr">
        <is>
          <t>申万宏源</t>
        </is>
      </c>
      <c r="Y1621" s="191" t="n">
        <v>1</v>
      </c>
    </row>
    <row r="1622">
      <c r="A1622" s="172" t="n">
        <v>90</v>
      </c>
      <c r="B1622" s="172" t="inlineStr">
        <is>
          <t>6月</t>
        </is>
      </c>
      <c r="C1622" s="172" t="inlineStr">
        <is>
          <t>企金</t>
        </is>
      </c>
      <c r="D1622" s="172" t="inlineStr">
        <is>
          <t>保理</t>
        </is>
      </c>
      <c r="E1622" s="172" t="inlineStr">
        <is>
          <t>京诚14-11</t>
        </is>
      </c>
      <c r="F1622" s="172" t="inlineStr">
        <is>
          <t>上交所</t>
        </is>
      </c>
      <c r="G1622" s="172" t="inlineStr">
        <is>
          <t>中信证券</t>
        </is>
      </c>
      <c r="H1622" s="172" t="inlineStr">
        <is>
          <t>申万宏源资管</t>
        </is>
      </c>
      <c r="I1622" s="172" t="inlineStr">
        <is>
          <t>建行北分</t>
        </is>
      </c>
      <c r="J1622" s="172" t="n">
        <v>10</v>
      </c>
      <c r="K1622" s="172" t="inlineStr">
        <is>
          <t>2+4</t>
        </is>
      </c>
      <c r="L1622" s="200" t="n">
        <v>46188</v>
      </c>
      <c r="M1622" s="175" t="n">
        <v>0.0149</v>
      </c>
      <c r="N1622" s="176" t="n">
        <v>0.0163</v>
      </c>
      <c r="O1622" s="172" t="n">
        <v>2.84</v>
      </c>
      <c r="P1622" s="172" t="inlineStr">
        <is>
          <t>优先级</t>
        </is>
      </c>
      <c r="Q1622" s="175" t="n">
        <v>0.99</v>
      </c>
      <c r="R1622" s="192" t="n">
        <v>9.9</v>
      </c>
      <c r="S1622" s="172" t="inlineStr">
        <is>
          <t>AAA</t>
        </is>
      </c>
      <c r="T1622" s="175" t="n">
        <v>0.0156</v>
      </c>
      <c r="U1622" s="172" t="n"/>
      <c r="V1622" s="172" t="n"/>
      <c r="W1622" s="175" t="n">
        <v>0.0175</v>
      </c>
      <c r="X1622" s="172" t="inlineStr">
        <is>
          <t>中金资管</t>
        </is>
      </c>
      <c r="Y1622" s="191" t="n">
        <v>0.5</v>
      </c>
    </row>
    <row r="1623">
      <c r="A1623" s="172" t="n">
        <v>90</v>
      </c>
      <c r="B1623" s="172" t="inlineStr">
        <is>
          <t>6月</t>
        </is>
      </c>
      <c r="C1623" s="172" t="inlineStr">
        <is>
          <t>企金</t>
        </is>
      </c>
      <c r="D1623" s="172" t="inlineStr">
        <is>
          <t>保理</t>
        </is>
      </c>
      <c r="E1623" s="172" t="inlineStr">
        <is>
          <t>京诚14-11</t>
        </is>
      </c>
      <c r="F1623" s="172" t="inlineStr">
        <is>
          <t>上交所</t>
        </is>
      </c>
      <c r="G1623" s="172" t="inlineStr">
        <is>
          <t>中信证券</t>
        </is>
      </c>
      <c r="H1623" s="172" t="inlineStr">
        <is>
          <t>申万宏源资管</t>
        </is>
      </c>
      <c r="I1623" s="172" t="inlineStr">
        <is>
          <t>建行北分</t>
        </is>
      </c>
      <c r="J1623" s="172" t="n">
        <v>10</v>
      </c>
      <c r="K1623" s="172" t="inlineStr">
        <is>
          <t>2+4</t>
        </is>
      </c>
      <c r="L1623" s="200" t="n">
        <v>46188</v>
      </c>
      <c r="M1623" s="175" t="n">
        <v>0.0149</v>
      </c>
      <c r="N1623" s="176" t="n">
        <v>0.0163</v>
      </c>
      <c r="O1623" s="172" t="n">
        <v>2.84</v>
      </c>
      <c r="P1623" s="172" t="inlineStr">
        <is>
          <t>优先级</t>
        </is>
      </c>
      <c r="Q1623" s="175" t="n">
        <v>0.99</v>
      </c>
      <c r="R1623" s="192" t="n">
        <v>9.9</v>
      </c>
      <c r="S1623" s="172" t="inlineStr">
        <is>
          <t>AAA</t>
        </is>
      </c>
      <c r="T1623" s="175" t="n">
        <v>0.0156</v>
      </c>
      <c r="U1623" s="172" t="n"/>
      <c r="V1623" s="172" t="n"/>
      <c r="W1623" s="175" t="n">
        <v>0.018</v>
      </c>
      <c r="X1623" s="172" t="inlineStr">
        <is>
          <t>中信证券（投行上报）</t>
        </is>
      </c>
      <c r="Y1623" s="191" t="n">
        <v>1.4</v>
      </c>
    </row>
    <row r="1624">
      <c r="A1624" s="172" t="n">
        <v>90</v>
      </c>
      <c r="B1624" s="172" t="inlineStr">
        <is>
          <t>6月</t>
        </is>
      </c>
      <c r="C1624" s="172" t="inlineStr">
        <is>
          <t>企金</t>
        </is>
      </c>
      <c r="D1624" s="172" t="inlineStr">
        <is>
          <t>保理</t>
        </is>
      </c>
      <c r="E1624" s="172" t="inlineStr">
        <is>
          <t>京诚14-11</t>
        </is>
      </c>
      <c r="F1624" s="172" t="inlineStr">
        <is>
          <t>上交所</t>
        </is>
      </c>
      <c r="G1624" s="172" t="inlineStr">
        <is>
          <t>中信证券</t>
        </is>
      </c>
      <c r="H1624" s="172" t="inlineStr">
        <is>
          <t>申万宏源资管</t>
        </is>
      </c>
      <c r="I1624" s="172" t="inlineStr">
        <is>
          <t>建行北分</t>
        </is>
      </c>
      <c r="J1624" s="172" t="n">
        <v>10</v>
      </c>
      <c r="K1624" s="172" t="inlineStr">
        <is>
          <t>2+4</t>
        </is>
      </c>
      <c r="L1624" s="200" t="n">
        <v>46188</v>
      </c>
      <c r="M1624" s="175" t="n">
        <v>0.0149</v>
      </c>
      <c r="N1624" s="176" t="n">
        <v>0.0163</v>
      </c>
      <c r="O1624" s="172" t="n">
        <v>2.84</v>
      </c>
      <c r="P1624" s="172" t="inlineStr">
        <is>
          <t>优先级</t>
        </is>
      </c>
      <c r="Q1624" s="175" t="n">
        <v>0.99</v>
      </c>
      <c r="R1624" s="192" t="n">
        <v>9.9</v>
      </c>
      <c r="S1624" s="172" t="inlineStr">
        <is>
          <t>AAA</t>
        </is>
      </c>
      <c r="T1624" s="175" t="n">
        <v>0.0156</v>
      </c>
      <c r="U1624" s="172" t="n"/>
      <c r="V1624" s="172" t="n"/>
      <c r="W1624" s="175" t="n">
        <v>0.024</v>
      </c>
      <c r="X1624" s="172" t="inlineStr">
        <is>
          <t>上海利曦私募</t>
        </is>
      </c>
      <c r="Y1624" s="191" t="n">
        <v>2</v>
      </c>
    </row>
    <row r="1625">
      <c r="A1625" s="172" t="n">
        <v>90</v>
      </c>
      <c r="B1625" s="172" t="inlineStr">
        <is>
          <t>6月</t>
        </is>
      </c>
      <c r="C1625" s="172" t="inlineStr">
        <is>
          <t>企金</t>
        </is>
      </c>
      <c r="D1625" s="172" t="inlineStr">
        <is>
          <t>保理</t>
        </is>
      </c>
      <c r="E1625" s="172" t="inlineStr">
        <is>
          <t>京诚14-11</t>
        </is>
      </c>
      <c r="F1625" s="172" t="inlineStr">
        <is>
          <t>上交所</t>
        </is>
      </c>
      <c r="G1625" s="172" t="inlineStr">
        <is>
          <t>中信证券</t>
        </is>
      </c>
      <c r="H1625" s="172" t="inlineStr">
        <is>
          <t>申万宏源资管</t>
        </is>
      </c>
      <c r="I1625" s="172" t="inlineStr">
        <is>
          <t>建行北分</t>
        </is>
      </c>
      <c r="J1625" s="172" t="n">
        <v>10</v>
      </c>
      <c r="K1625" s="172" t="inlineStr">
        <is>
          <t>2+4</t>
        </is>
      </c>
      <c r="L1625" s="202" t="n">
        <v>46188</v>
      </c>
      <c r="M1625" s="175" t="n">
        <v>0.0149</v>
      </c>
      <c r="N1625" s="176" t="n">
        <v>0.0163</v>
      </c>
      <c r="O1625" s="191" t="n">
        <v>2.84</v>
      </c>
      <c r="P1625" s="172" t="inlineStr">
        <is>
          <t>次级</t>
        </is>
      </c>
      <c r="Q1625" s="175" t="n">
        <v>0.01</v>
      </c>
      <c r="R1625" s="192" t="n">
        <v>0.1</v>
      </c>
      <c r="S1625" s="175" t="inlineStr">
        <is>
          <t>无</t>
        </is>
      </c>
      <c r="T1625" s="175" t="n">
        <v>0.043</v>
      </c>
      <c r="U1625" s="172" t="inlineStr">
        <is>
          <t>利曦基金</t>
        </is>
      </c>
      <c r="V1625" s="191" t="n">
        <v>0.1</v>
      </c>
      <c r="W1625" s="172" t="n"/>
      <c r="X1625" s="172" t="n"/>
      <c r="Y1625" s="172" t="n"/>
    </row>
    <row r="1626">
      <c r="A1626" s="172" t="n">
        <v>91</v>
      </c>
      <c r="B1626" s="172" t="inlineStr">
        <is>
          <t>6月</t>
        </is>
      </c>
      <c r="C1626" s="172" t="inlineStr">
        <is>
          <t>企金</t>
        </is>
      </c>
      <c r="D1626" s="172" t="inlineStr">
        <is>
          <t>小贷企业主贷</t>
        </is>
      </c>
      <c r="E1626" s="172" t="inlineStr">
        <is>
          <t>盛赢3-8</t>
        </is>
      </c>
      <c r="F1626" s="172" t="inlineStr">
        <is>
          <t>上交所</t>
        </is>
      </c>
      <c r="G1626" s="172" t="inlineStr">
        <is>
          <t>中信证券</t>
        </is>
      </c>
      <c r="H1626" s="172" t="inlineStr">
        <is>
          <t>国联证券</t>
        </is>
      </c>
      <c r="I1626" s="172" t="inlineStr">
        <is>
          <t>工银天津</t>
        </is>
      </c>
      <c r="J1626" s="172" t="n">
        <v>10</v>
      </c>
      <c r="K1626" s="172" t="inlineStr">
        <is>
          <t>9+12</t>
        </is>
      </c>
      <c r="L1626" s="202" t="n">
        <v>46188</v>
      </c>
      <c r="M1626" s="175" t="n">
        <v>0.0149</v>
      </c>
      <c r="N1626" s="176" t="n">
        <v>0.0195</v>
      </c>
      <c r="O1626" s="191" t="n">
        <v>2.11</v>
      </c>
      <c r="P1626" s="172" t="inlineStr">
        <is>
          <t>优先A</t>
        </is>
      </c>
      <c r="Q1626" s="175" t="n">
        <v>0.83</v>
      </c>
      <c r="R1626" s="192" t="n">
        <v>8.300000000000001</v>
      </c>
      <c r="S1626" s="172" t="inlineStr">
        <is>
          <t>AAA</t>
        </is>
      </c>
      <c r="T1626" s="175" t="n">
        <v>0.0165</v>
      </c>
      <c r="U1626" s="172" t="inlineStr">
        <is>
          <t>东莞农村商业银行</t>
        </is>
      </c>
      <c r="V1626" s="191" t="n">
        <v>1</v>
      </c>
      <c r="W1626" s="172" t="n"/>
      <c r="X1626" s="172" t="n"/>
      <c r="Y1626" s="172" t="n"/>
    </row>
    <row r="1627">
      <c r="A1627" s="172" t="n">
        <v>91</v>
      </c>
      <c r="B1627" s="172" t="inlineStr">
        <is>
          <t>6月</t>
        </is>
      </c>
      <c r="C1627" s="172" t="inlineStr">
        <is>
          <t>企金</t>
        </is>
      </c>
      <c r="D1627" s="172" t="inlineStr">
        <is>
          <t>小贷企业主贷</t>
        </is>
      </c>
      <c r="E1627" s="172" t="inlineStr">
        <is>
          <t>盛赢3-8</t>
        </is>
      </c>
      <c r="F1627" s="172" t="inlineStr">
        <is>
          <t>上交所</t>
        </is>
      </c>
      <c r="G1627" s="172" t="inlineStr">
        <is>
          <t>中信证券</t>
        </is>
      </c>
      <c r="H1627" s="172" t="inlineStr">
        <is>
          <t>国联证券</t>
        </is>
      </c>
      <c r="I1627" s="172" t="inlineStr">
        <is>
          <t>工银天津</t>
        </is>
      </c>
      <c r="J1627" s="172" t="n">
        <v>10</v>
      </c>
      <c r="K1627" s="172" t="inlineStr">
        <is>
          <t>9+12</t>
        </is>
      </c>
      <c r="L1627" s="202" t="n">
        <v>46188</v>
      </c>
      <c r="M1627" s="175" t="n">
        <v>0.0149</v>
      </c>
      <c r="N1627" s="176" t="n">
        <v>0.0195</v>
      </c>
      <c r="O1627" s="191" t="n">
        <v>2.11</v>
      </c>
      <c r="P1627" s="172" t="inlineStr">
        <is>
          <t>优先A</t>
        </is>
      </c>
      <c r="Q1627" s="175" t="n">
        <v>0.83</v>
      </c>
      <c r="R1627" s="192" t="n">
        <v>8.300000000000001</v>
      </c>
      <c r="S1627" s="172" t="inlineStr">
        <is>
          <t>AAA</t>
        </is>
      </c>
      <c r="T1627" s="175" t="n">
        <v>0.0165</v>
      </c>
      <c r="U1627" s="172" t="inlineStr">
        <is>
          <t>工银理财</t>
        </is>
      </c>
      <c r="V1627" s="191" t="n">
        <v>1.3</v>
      </c>
      <c r="W1627" s="175" t="n">
        <v>0.0165</v>
      </c>
      <c r="X1627" s="172" t="inlineStr">
        <is>
          <t>工银理财</t>
        </is>
      </c>
      <c r="Y1627" s="191" t="n">
        <v>1.5</v>
      </c>
    </row>
    <row r="1628">
      <c r="A1628" s="172" t="n">
        <v>91</v>
      </c>
      <c r="B1628" s="172" t="inlineStr">
        <is>
          <t>6月</t>
        </is>
      </c>
      <c r="C1628" s="172" t="inlineStr">
        <is>
          <t>企金</t>
        </is>
      </c>
      <c r="D1628" s="172" t="inlineStr">
        <is>
          <t>小贷企业主贷</t>
        </is>
      </c>
      <c r="E1628" s="172" t="inlineStr">
        <is>
          <t>盛赢3-8</t>
        </is>
      </c>
      <c r="F1628" s="172" t="inlineStr">
        <is>
          <t>上交所</t>
        </is>
      </c>
      <c r="G1628" s="172" t="inlineStr">
        <is>
          <t>中信证券</t>
        </is>
      </c>
      <c r="H1628" s="172" t="inlineStr">
        <is>
          <t>国联证券</t>
        </is>
      </c>
      <c r="I1628" s="172" t="inlineStr">
        <is>
          <t>工银天津</t>
        </is>
      </c>
      <c r="J1628" s="172" t="n">
        <v>10</v>
      </c>
      <c r="K1628" s="172" t="inlineStr">
        <is>
          <t>9+12</t>
        </is>
      </c>
      <c r="L1628" s="202" t="n">
        <v>46188</v>
      </c>
      <c r="M1628" s="175" t="n">
        <v>0.0149</v>
      </c>
      <c r="N1628" s="176" t="n">
        <v>0.0195</v>
      </c>
      <c r="O1628" s="191" t="n">
        <v>2.11</v>
      </c>
      <c r="P1628" s="172" t="inlineStr">
        <is>
          <t>优先A</t>
        </is>
      </c>
      <c r="Q1628" s="175" t="n">
        <v>0.83</v>
      </c>
      <c r="R1628" s="192" t="n">
        <v>8.300000000000001</v>
      </c>
      <c r="S1628" s="172" t="inlineStr">
        <is>
          <t>AAA</t>
        </is>
      </c>
      <c r="T1628" s="175" t="n">
        <v>0.0165</v>
      </c>
      <c r="U1628" s="172" t="inlineStr">
        <is>
          <t>中邮理财</t>
        </is>
      </c>
      <c r="V1628" s="191" t="n">
        <v>2.49</v>
      </c>
      <c r="W1628" s="175" t="n">
        <v>0.0162</v>
      </c>
      <c r="X1628" s="172" t="inlineStr">
        <is>
          <t>中邮理财</t>
        </is>
      </c>
      <c r="Y1628" s="191" t="n">
        <v>1.4</v>
      </c>
    </row>
    <row r="1629">
      <c r="A1629" s="172" t="n">
        <v>91</v>
      </c>
      <c r="B1629" s="172" t="inlineStr">
        <is>
          <t>6月</t>
        </is>
      </c>
      <c r="C1629" s="172" t="inlineStr">
        <is>
          <t>企金</t>
        </is>
      </c>
      <c r="D1629" s="172" t="inlineStr">
        <is>
          <t>小贷企业主贷</t>
        </is>
      </c>
      <c r="E1629" s="172" t="inlineStr">
        <is>
          <t>盛赢3-8</t>
        </is>
      </c>
      <c r="F1629" s="172" t="inlineStr">
        <is>
          <t>上交所</t>
        </is>
      </c>
      <c r="G1629" s="172" t="inlineStr">
        <is>
          <t>中信证券</t>
        </is>
      </c>
      <c r="H1629" s="172" t="inlineStr">
        <is>
          <t>国联证券</t>
        </is>
      </c>
      <c r="I1629" s="172" t="inlineStr">
        <is>
          <t>工银天津</t>
        </is>
      </c>
      <c r="J1629" s="172" t="n">
        <v>10</v>
      </c>
      <c r="K1629" s="172" t="inlineStr">
        <is>
          <t>9+12</t>
        </is>
      </c>
      <c r="L1629" s="200" t="n">
        <v>46188</v>
      </c>
      <c r="M1629" s="175" t="n">
        <v>0.0149</v>
      </c>
      <c r="N1629" s="176" t="n">
        <v>0.0195</v>
      </c>
      <c r="O1629" s="172" t="n">
        <v>2.11</v>
      </c>
      <c r="P1629" s="172" t="inlineStr">
        <is>
          <t>优先A</t>
        </is>
      </c>
      <c r="Q1629" s="175" t="n">
        <v>0.83</v>
      </c>
      <c r="R1629" s="192" t="n">
        <v>8.300000000000001</v>
      </c>
      <c r="S1629" s="172" t="inlineStr">
        <is>
          <t>AAA</t>
        </is>
      </c>
      <c r="T1629" s="175" t="n">
        <v>0.0165</v>
      </c>
      <c r="U1629" s="172" t="n"/>
      <c r="V1629" s="172" t="n"/>
      <c r="W1629" s="175" t="n">
        <v>0.0164</v>
      </c>
      <c r="X1629" s="172" t="inlineStr">
        <is>
          <t>中邮理财</t>
        </is>
      </c>
      <c r="Y1629" s="191" t="n">
        <v>1.09</v>
      </c>
    </row>
    <row r="1630">
      <c r="A1630" s="172" t="n">
        <v>91</v>
      </c>
      <c r="B1630" s="172" t="inlineStr">
        <is>
          <t>6月</t>
        </is>
      </c>
      <c r="C1630" s="172" t="inlineStr">
        <is>
          <t>企金</t>
        </is>
      </c>
      <c r="D1630" s="172" t="inlineStr">
        <is>
          <t>小贷企业主贷</t>
        </is>
      </c>
      <c r="E1630" s="172" t="inlineStr">
        <is>
          <t>盛赢3-8</t>
        </is>
      </c>
      <c r="F1630" s="172" t="inlineStr">
        <is>
          <t>上交所</t>
        </is>
      </c>
      <c r="G1630" s="172" t="inlineStr">
        <is>
          <t>中信证券</t>
        </is>
      </c>
      <c r="H1630" s="172" t="inlineStr">
        <is>
          <t>国联证券</t>
        </is>
      </c>
      <c r="I1630" s="172" t="inlineStr">
        <is>
          <t>工银天津</t>
        </is>
      </c>
      <c r="J1630" s="172" t="n">
        <v>10</v>
      </c>
      <c r="K1630" s="172" t="inlineStr">
        <is>
          <t>9+12</t>
        </is>
      </c>
      <c r="L1630" s="202" t="n">
        <v>46188</v>
      </c>
      <c r="M1630" s="175" t="n">
        <v>0.0149</v>
      </c>
      <c r="N1630" s="176" t="n">
        <v>0.0195</v>
      </c>
      <c r="O1630" s="191" t="n">
        <v>2.11</v>
      </c>
      <c r="P1630" s="172" t="inlineStr">
        <is>
          <t>优先A</t>
        </is>
      </c>
      <c r="Q1630" s="175" t="n">
        <v>0.83</v>
      </c>
      <c r="R1630" s="192" t="n">
        <v>8.300000000000001</v>
      </c>
      <c r="S1630" s="172" t="inlineStr">
        <is>
          <t>AAA</t>
        </is>
      </c>
      <c r="T1630" s="175" t="n">
        <v>0.0165</v>
      </c>
      <c r="U1630" s="172" t="inlineStr">
        <is>
          <t>交银理财</t>
        </is>
      </c>
      <c r="V1630" s="191" t="n">
        <v>2.23</v>
      </c>
      <c r="W1630" s="175" t="n">
        <v>0.016</v>
      </c>
      <c r="X1630" s="172" t="inlineStr">
        <is>
          <t>交银理财</t>
        </is>
      </c>
      <c r="Y1630" s="191" t="n">
        <v>0.5</v>
      </c>
    </row>
    <row r="1631">
      <c r="A1631" s="172" t="n">
        <v>91</v>
      </c>
      <c r="B1631" s="172" t="inlineStr">
        <is>
          <t>6月</t>
        </is>
      </c>
      <c r="C1631" s="172" t="inlineStr">
        <is>
          <t>企金</t>
        </is>
      </c>
      <c r="D1631" s="172" t="inlineStr">
        <is>
          <t>小贷企业主贷</t>
        </is>
      </c>
      <c r="E1631" s="172" t="inlineStr">
        <is>
          <t>盛赢3-8</t>
        </is>
      </c>
      <c r="F1631" s="172" t="inlineStr">
        <is>
          <t>上交所</t>
        </is>
      </c>
      <c r="G1631" s="172" t="inlineStr">
        <is>
          <t>中信证券</t>
        </is>
      </c>
      <c r="H1631" s="172" t="inlineStr">
        <is>
          <t>国联证券</t>
        </is>
      </c>
      <c r="I1631" s="172" t="inlineStr">
        <is>
          <t>工银天津</t>
        </is>
      </c>
      <c r="J1631" s="172" t="n">
        <v>10</v>
      </c>
      <c r="K1631" s="172" t="inlineStr">
        <is>
          <t>9+12</t>
        </is>
      </c>
      <c r="L1631" s="200" t="n">
        <v>46188</v>
      </c>
      <c r="M1631" s="175" t="n">
        <v>0.0149</v>
      </c>
      <c r="N1631" s="176" t="n">
        <v>0.0195</v>
      </c>
      <c r="O1631" s="172" t="n">
        <v>2.11</v>
      </c>
      <c r="P1631" s="172" t="inlineStr">
        <is>
          <t>优先A</t>
        </is>
      </c>
      <c r="Q1631" s="175" t="n">
        <v>0.83</v>
      </c>
      <c r="R1631" s="192" t="n">
        <v>8.300000000000001</v>
      </c>
      <c r="S1631" s="172" t="inlineStr">
        <is>
          <t>AAA</t>
        </is>
      </c>
      <c r="T1631" s="175" t="n">
        <v>0.0165</v>
      </c>
      <c r="U1631" s="172" t="n"/>
      <c r="V1631" s="172" t="n"/>
      <c r="W1631" s="175" t="n">
        <v>0.0165</v>
      </c>
      <c r="X1631" s="172" t="inlineStr">
        <is>
          <t>交银理财</t>
        </is>
      </c>
      <c r="Y1631" s="191" t="n">
        <v>1.99</v>
      </c>
    </row>
    <row r="1632">
      <c r="A1632" s="172" t="n">
        <v>91</v>
      </c>
      <c r="B1632" s="172" t="inlineStr">
        <is>
          <t>6月</t>
        </is>
      </c>
      <c r="C1632" s="172" t="inlineStr">
        <is>
          <t>企金</t>
        </is>
      </c>
      <c r="D1632" s="172" t="inlineStr">
        <is>
          <t>小贷企业主贷</t>
        </is>
      </c>
      <c r="E1632" s="172" t="inlineStr">
        <is>
          <t>盛赢3-8</t>
        </is>
      </c>
      <c r="F1632" s="172" t="inlineStr">
        <is>
          <t>上交所</t>
        </is>
      </c>
      <c r="G1632" s="172" t="inlineStr">
        <is>
          <t>中信证券</t>
        </is>
      </c>
      <c r="H1632" s="172" t="inlineStr">
        <is>
          <t>国联证券</t>
        </is>
      </c>
      <c r="I1632" s="172" t="inlineStr">
        <is>
          <t>工银天津</t>
        </is>
      </c>
      <c r="J1632" s="172" t="n">
        <v>10</v>
      </c>
      <c r="K1632" s="172" t="inlineStr">
        <is>
          <t>9+12</t>
        </is>
      </c>
      <c r="L1632" s="202" t="n">
        <v>46188</v>
      </c>
      <c r="M1632" s="175" t="n">
        <v>0.0149</v>
      </c>
      <c r="N1632" s="176" t="n">
        <v>0.0195</v>
      </c>
      <c r="O1632" s="191" t="n">
        <v>2.11</v>
      </c>
      <c r="P1632" s="172" t="inlineStr">
        <is>
          <t>优先A</t>
        </is>
      </c>
      <c r="Q1632" s="175" t="n">
        <v>0.83</v>
      </c>
      <c r="R1632" s="192" t="n">
        <v>8.300000000000001</v>
      </c>
      <c r="S1632" s="172" t="inlineStr">
        <is>
          <t>AAA</t>
        </is>
      </c>
      <c r="T1632" s="175" t="n">
        <v>0.0165</v>
      </c>
      <c r="U1632" s="172" t="inlineStr">
        <is>
          <t>建信信托</t>
        </is>
      </c>
      <c r="V1632" s="193" t="n">
        <v>0.865</v>
      </c>
      <c r="W1632" s="175" t="n">
        <v>0.0165</v>
      </c>
      <c r="X1632" s="172" t="inlineStr">
        <is>
          <t>建信信托</t>
        </is>
      </c>
      <c r="Y1632" s="191" t="n">
        <v>1</v>
      </c>
    </row>
    <row r="1633">
      <c r="A1633" s="172" t="n">
        <v>91</v>
      </c>
      <c r="B1633" s="172" t="inlineStr">
        <is>
          <t>6月</t>
        </is>
      </c>
      <c r="C1633" s="172" t="inlineStr">
        <is>
          <t>企金</t>
        </is>
      </c>
      <c r="D1633" s="172" t="inlineStr">
        <is>
          <t>小贷企业主贷</t>
        </is>
      </c>
      <c r="E1633" s="172" t="inlineStr">
        <is>
          <t>盛赢3-8</t>
        </is>
      </c>
      <c r="F1633" s="172" t="inlineStr">
        <is>
          <t>上交所</t>
        </is>
      </c>
      <c r="G1633" s="172" t="inlineStr">
        <is>
          <t>中信证券</t>
        </is>
      </c>
      <c r="H1633" s="172" t="inlineStr">
        <is>
          <t>国联证券</t>
        </is>
      </c>
      <c r="I1633" s="172" t="inlineStr">
        <is>
          <t>工银天津</t>
        </is>
      </c>
      <c r="J1633" s="172" t="n">
        <v>10</v>
      </c>
      <c r="K1633" s="172" t="inlineStr">
        <is>
          <t>9+12</t>
        </is>
      </c>
      <c r="L1633" s="202" t="n">
        <v>46188</v>
      </c>
      <c r="M1633" s="175" t="n">
        <v>0.0149</v>
      </c>
      <c r="N1633" s="176" t="n">
        <v>0.0195</v>
      </c>
      <c r="O1633" s="191" t="n">
        <v>2.11</v>
      </c>
      <c r="P1633" s="172" t="inlineStr">
        <is>
          <t>优先A</t>
        </is>
      </c>
      <c r="Q1633" s="175" t="n">
        <v>0.83</v>
      </c>
      <c r="R1633" s="192" t="n">
        <v>8.300000000000001</v>
      </c>
      <c r="S1633" s="172" t="inlineStr">
        <is>
          <t>AAA</t>
        </is>
      </c>
      <c r="T1633" s="175" t="n">
        <v>0.0165</v>
      </c>
      <c r="U1633" s="172" t="inlineStr">
        <is>
          <t>盛际小贷</t>
        </is>
      </c>
      <c r="V1633" s="193" t="n">
        <v>0.415</v>
      </c>
      <c r="W1633" s="172" t="inlineStr">
        <is>
          <t>自持</t>
        </is>
      </c>
      <c r="X1633" s="172" t="inlineStr">
        <is>
          <t>盛际小贷</t>
        </is>
      </c>
      <c r="Y1633" s="191" t="n">
        <v>0.415</v>
      </c>
    </row>
    <row r="1634">
      <c r="A1634" s="172" t="n">
        <v>91</v>
      </c>
      <c r="B1634" s="172" t="inlineStr">
        <is>
          <t>6月</t>
        </is>
      </c>
      <c r="C1634" s="172" t="inlineStr">
        <is>
          <t>企金</t>
        </is>
      </c>
      <c r="D1634" s="172" t="inlineStr">
        <is>
          <t>小贷企业主贷</t>
        </is>
      </c>
      <c r="E1634" s="172" t="inlineStr">
        <is>
          <t>盛赢3-8</t>
        </is>
      </c>
      <c r="F1634" s="172" t="inlineStr">
        <is>
          <t>上交所</t>
        </is>
      </c>
      <c r="G1634" s="172" t="inlineStr">
        <is>
          <t>中信证券</t>
        </is>
      </c>
      <c r="H1634" s="172" t="inlineStr">
        <is>
          <t>国联证券</t>
        </is>
      </c>
      <c r="I1634" s="172" t="inlineStr">
        <is>
          <t>工银天津</t>
        </is>
      </c>
      <c r="J1634" s="172" t="n">
        <v>10</v>
      </c>
      <c r="K1634" s="172" t="inlineStr">
        <is>
          <t>9+12</t>
        </is>
      </c>
      <c r="L1634" s="200" t="n">
        <v>46188</v>
      </c>
      <c r="M1634" s="175" t="n">
        <v>0.0149</v>
      </c>
      <c r="N1634" s="176" t="n">
        <v>0.0195</v>
      </c>
      <c r="O1634" s="172" t="n">
        <v>2.11</v>
      </c>
      <c r="P1634" s="172" t="inlineStr">
        <is>
          <t>优先A</t>
        </is>
      </c>
      <c r="Q1634" s="175" t="n">
        <v>0.83</v>
      </c>
      <c r="R1634" s="192" t="n">
        <v>8.300000000000001</v>
      </c>
      <c r="S1634" s="172" t="inlineStr">
        <is>
          <t>AAA</t>
        </is>
      </c>
      <c r="T1634" s="175" t="n">
        <v>0.0165</v>
      </c>
      <c r="U1634" s="172" t="n"/>
      <c r="V1634" s="172" t="n"/>
      <c r="W1634" s="175" t="n">
        <v>0.0164</v>
      </c>
      <c r="X1634" s="172" t="inlineStr">
        <is>
          <t>东莞农商行</t>
        </is>
      </c>
      <c r="Y1634" s="191" t="n">
        <v>1</v>
      </c>
    </row>
    <row r="1635">
      <c r="A1635" s="172" t="n">
        <v>91</v>
      </c>
      <c r="B1635" s="172" t="inlineStr">
        <is>
          <t>6月</t>
        </is>
      </c>
      <c r="C1635" s="172" t="inlineStr">
        <is>
          <t>企金</t>
        </is>
      </c>
      <c r="D1635" s="172" t="inlineStr">
        <is>
          <t>小贷企业主贷</t>
        </is>
      </c>
      <c r="E1635" s="172" t="inlineStr">
        <is>
          <t>盛赢3-8</t>
        </is>
      </c>
      <c r="F1635" s="172" t="inlineStr">
        <is>
          <t>上交所</t>
        </is>
      </c>
      <c r="G1635" s="172" t="inlineStr">
        <is>
          <t>中信证券</t>
        </is>
      </c>
      <c r="H1635" s="172" t="inlineStr">
        <is>
          <t>国联证券</t>
        </is>
      </c>
      <c r="I1635" s="172" t="inlineStr">
        <is>
          <t>工银天津</t>
        </is>
      </c>
      <c r="J1635" s="172" t="n">
        <v>10</v>
      </c>
      <c r="K1635" s="172" t="inlineStr">
        <is>
          <t>9+12</t>
        </is>
      </c>
      <c r="L1635" s="200" t="n">
        <v>46188</v>
      </c>
      <c r="M1635" s="175" t="n">
        <v>0.0149</v>
      </c>
      <c r="N1635" s="176" t="n">
        <v>0.0195</v>
      </c>
      <c r="O1635" s="172" t="n">
        <v>2.11</v>
      </c>
      <c r="P1635" s="172" t="inlineStr">
        <is>
          <t>优先A</t>
        </is>
      </c>
      <c r="Q1635" s="175" t="n">
        <v>0.83</v>
      </c>
      <c r="R1635" s="192" t="n">
        <v>8.300000000000001</v>
      </c>
      <c r="S1635" s="172" t="inlineStr">
        <is>
          <t>AAA</t>
        </is>
      </c>
      <c r="T1635" s="175" t="n">
        <v>0.0165</v>
      </c>
      <c r="U1635" s="172" t="n"/>
      <c r="V1635" s="172" t="n"/>
      <c r="W1635" s="175" t="n">
        <v>0.0168</v>
      </c>
      <c r="X1635" s="172" t="inlineStr">
        <is>
          <t>易方达基金</t>
        </is>
      </c>
      <c r="Y1635" s="191" t="n">
        <v>0.8</v>
      </c>
    </row>
    <row r="1636">
      <c r="A1636" s="172" t="n">
        <v>91</v>
      </c>
      <c r="B1636" s="172" t="inlineStr">
        <is>
          <t>6月</t>
        </is>
      </c>
      <c r="C1636" s="172" t="inlineStr">
        <is>
          <t>企金</t>
        </is>
      </c>
      <c r="D1636" s="172" t="inlineStr">
        <is>
          <t>小贷企业主贷</t>
        </is>
      </c>
      <c r="E1636" s="172" t="inlineStr">
        <is>
          <t>盛赢3-8</t>
        </is>
      </c>
      <c r="F1636" s="172" t="inlineStr">
        <is>
          <t>上交所</t>
        </is>
      </c>
      <c r="G1636" s="172" t="inlineStr">
        <is>
          <t>中信证券</t>
        </is>
      </c>
      <c r="H1636" s="172" t="inlineStr">
        <is>
          <t>国联证券</t>
        </is>
      </c>
      <c r="I1636" s="172" t="inlineStr">
        <is>
          <t>工银天津</t>
        </is>
      </c>
      <c r="J1636" s="172" t="n">
        <v>10</v>
      </c>
      <c r="K1636" s="172" t="inlineStr">
        <is>
          <t>9+12</t>
        </is>
      </c>
      <c r="L1636" s="200" t="n">
        <v>46188</v>
      </c>
      <c r="M1636" s="175" t="n">
        <v>0.0149</v>
      </c>
      <c r="N1636" s="176" t="n">
        <v>0.0195</v>
      </c>
      <c r="O1636" s="172" t="n">
        <v>2.11</v>
      </c>
      <c r="P1636" s="172" t="inlineStr">
        <is>
          <t>优先A</t>
        </is>
      </c>
      <c r="Q1636" s="175" t="n">
        <v>0.83</v>
      </c>
      <c r="R1636" s="192" t="n">
        <v>8.300000000000001</v>
      </c>
      <c r="S1636" s="172" t="inlineStr">
        <is>
          <t>AAA</t>
        </is>
      </c>
      <c r="T1636" s="175" t="n">
        <v>0.0165</v>
      </c>
      <c r="U1636" s="172" t="n"/>
      <c r="V1636" s="172" t="n"/>
      <c r="W1636" s="175" t="n">
        <v>0.017</v>
      </c>
      <c r="X1636" s="172" t="inlineStr">
        <is>
          <t>易方达基金</t>
        </is>
      </c>
      <c r="Y1636" s="191" t="n">
        <v>0.83</v>
      </c>
    </row>
    <row r="1637">
      <c r="A1637" s="172" t="n">
        <v>91</v>
      </c>
      <c r="B1637" s="172" t="inlineStr">
        <is>
          <t>6月</t>
        </is>
      </c>
      <c r="C1637" s="172" t="inlineStr">
        <is>
          <t>企金</t>
        </is>
      </c>
      <c r="D1637" s="172" t="inlineStr">
        <is>
          <t>小贷企业主贷</t>
        </is>
      </c>
      <c r="E1637" s="172" t="inlineStr">
        <is>
          <t>盛赢3-8</t>
        </is>
      </c>
      <c r="F1637" s="172" t="inlineStr">
        <is>
          <t>上交所</t>
        </is>
      </c>
      <c r="G1637" s="172" t="inlineStr">
        <is>
          <t>中信证券</t>
        </is>
      </c>
      <c r="H1637" s="172" t="inlineStr">
        <is>
          <t>国联证券</t>
        </is>
      </c>
      <c r="I1637" s="172" t="inlineStr">
        <is>
          <t>工银天津</t>
        </is>
      </c>
      <c r="J1637" s="172" t="n">
        <v>10</v>
      </c>
      <c r="K1637" s="172" t="inlineStr">
        <is>
          <t>9+12</t>
        </is>
      </c>
      <c r="L1637" s="200" t="n">
        <v>46188</v>
      </c>
      <c r="M1637" s="175" t="n">
        <v>0.0149</v>
      </c>
      <c r="N1637" s="176" t="n">
        <v>0.0195</v>
      </c>
      <c r="O1637" s="172" t="n">
        <v>2.11</v>
      </c>
      <c r="P1637" s="172" t="inlineStr">
        <is>
          <t>优先A</t>
        </is>
      </c>
      <c r="Q1637" s="175" t="n">
        <v>0.83</v>
      </c>
      <c r="R1637" s="192" t="n">
        <v>8.300000000000001</v>
      </c>
      <c r="S1637" s="172" t="inlineStr">
        <is>
          <t>AAA</t>
        </is>
      </c>
      <c r="T1637" s="175" t="n">
        <v>0.0165</v>
      </c>
      <c r="U1637" s="172" t="n"/>
      <c r="V1637" s="172" t="n"/>
      <c r="W1637" s="175" t="n">
        <v>0.0169</v>
      </c>
      <c r="X1637" s="172" t="inlineStr">
        <is>
          <t>中金公司</t>
        </is>
      </c>
      <c r="Y1637" s="191" t="n">
        <v>0.3</v>
      </c>
    </row>
    <row r="1638">
      <c r="A1638" s="172" t="n">
        <v>91</v>
      </c>
      <c r="B1638" s="172" t="inlineStr">
        <is>
          <t>6月</t>
        </is>
      </c>
      <c r="C1638" s="172" t="inlineStr">
        <is>
          <t>企金</t>
        </is>
      </c>
      <c r="D1638" s="172" t="inlineStr">
        <is>
          <t>小贷企业主贷</t>
        </is>
      </c>
      <c r="E1638" s="172" t="inlineStr">
        <is>
          <t>盛赢3-8</t>
        </is>
      </c>
      <c r="F1638" s="172" t="inlineStr">
        <is>
          <t>上交所</t>
        </is>
      </c>
      <c r="G1638" s="172" t="inlineStr">
        <is>
          <t>中信证券</t>
        </is>
      </c>
      <c r="H1638" s="172" t="inlineStr">
        <is>
          <t>国联证券</t>
        </is>
      </c>
      <c r="I1638" s="172" t="inlineStr">
        <is>
          <t>工银天津</t>
        </is>
      </c>
      <c r="J1638" s="172" t="n">
        <v>10</v>
      </c>
      <c r="K1638" s="172" t="inlineStr">
        <is>
          <t>9+12</t>
        </is>
      </c>
      <c r="L1638" s="200" t="n">
        <v>46188</v>
      </c>
      <c r="M1638" s="175" t="n">
        <v>0.0149</v>
      </c>
      <c r="N1638" s="176" t="n">
        <v>0.0195</v>
      </c>
      <c r="O1638" s="172" t="n">
        <v>2.11</v>
      </c>
      <c r="P1638" s="172" t="inlineStr">
        <is>
          <t>优先A</t>
        </is>
      </c>
      <c r="Q1638" s="175" t="n">
        <v>0.83</v>
      </c>
      <c r="R1638" s="192" t="n">
        <v>8.300000000000001</v>
      </c>
      <c r="S1638" s="172" t="inlineStr">
        <is>
          <t>AAA</t>
        </is>
      </c>
      <c r="T1638" s="175" t="n">
        <v>0.0165</v>
      </c>
      <c r="U1638" s="172" t="n"/>
      <c r="V1638" s="172" t="n"/>
      <c r="W1638" s="175" t="n">
        <v>0.017</v>
      </c>
      <c r="X1638" s="172" t="inlineStr">
        <is>
          <t>中金公司</t>
        </is>
      </c>
      <c r="Y1638" s="191" t="n">
        <v>0.5</v>
      </c>
    </row>
    <row r="1639">
      <c r="A1639" s="172" t="n">
        <v>91</v>
      </c>
      <c r="B1639" s="172" t="inlineStr">
        <is>
          <t>6月</t>
        </is>
      </c>
      <c r="C1639" s="172" t="inlineStr">
        <is>
          <t>企金</t>
        </is>
      </c>
      <c r="D1639" s="172" t="inlineStr">
        <is>
          <t>小贷企业主贷</t>
        </is>
      </c>
      <c r="E1639" s="172" t="inlineStr">
        <is>
          <t>盛赢3-8</t>
        </is>
      </c>
      <c r="F1639" s="172" t="inlineStr">
        <is>
          <t>上交所</t>
        </is>
      </c>
      <c r="G1639" s="172" t="inlineStr">
        <is>
          <t>中信证券</t>
        </is>
      </c>
      <c r="H1639" s="172" t="inlineStr">
        <is>
          <t>国联证券</t>
        </is>
      </c>
      <c r="I1639" s="172" t="inlineStr">
        <is>
          <t>工银天津</t>
        </is>
      </c>
      <c r="J1639" s="172" t="n">
        <v>10</v>
      </c>
      <c r="K1639" s="172" t="inlineStr">
        <is>
          <t>9+12</t>
        </is>
      </c>
      <c r="L1639" s="200" t="n">
        <v>46188</v>
      </c>
      <c r="M1639" s="175" t="n">
        <v>0.0149</v>
      </c>
      <c r="N1639" s="176" t="n">
        <v>0.0195</v>
      </c>
      <c r="O1639" s="172" t="n">
        <v>2.11</v>
      </c>
      <c r="P1639" s="172" t="inlineStr">
        <is>
          <t>优先A</t>
        </is>
      </c>
      <c r="Q1639" s="175" t="n">
        <v>0.83</v>
      </c>
      <c r="R1639" s="192" t="n">
        <v>8.300000000000001</v>
      </c>
      <c r="S1639" s="172" t="inlineStr">
        <is>
          <t>AAA</t>
        </is>
      </c>
      <c r="T1639" s="175" t="n">
        <v>0.0165</v>
      </c>
      <c r="U1639" s="172" t="n"/>
      <c r="V1639" s="172" t="n"/>
      <c r="W1639" s="175" t="n">
        <v>0.017</v>
      </c>
      <c r="X1639" s="172" t="inlineStr">
        <is>
          <t>华夏理财</t>
        </is>
      </c>
      <c r="Y1639" s="191" t="n">
        <v>2.49</v>
      </c>
    </row>
    <row r="1640">
      <c r="A1640" s="172" t="n">
        <v>91</v>
      </c>
      <c r="B1640" s="172" t="inlineStr">
        <is>
          <t>6月</t>
        </is>
      </c>
      <c r="C1640" s="172" t="inlineStr">
        <is>
          <t>企金</t>
        </is>
      </c>
      <c r="D1640" s="172" t="inlineStr">
        <is>
          <t>小贷企业主贷</t>
        </is>
      </c>
      <c r="E1640" s="172" t="inlineStr">
        <is>
          <t>盛赢3-8</t>
        </is>
      </c>
      <c r="F1640" s="172" t="inlineStr">
        <is>
          <t>上交所</t>
        </is>
      </c>
      <c r="G1640" s="172" t="inlineStr">
        <is>
          <t>中信证券</t>
        </is>
      </c>
      <c r="H1640" s="172" t="inlineStr">
        <is>
          <t>国联证券</t>
        </is>
      </c>
      <c r="I1640" s="172" t="inlineStr">
        <is>
          <t>工银天津</t>
        </is>
      </c>
      <c r="J1640" s="172" t="n">
        <v>10</v>
      </c>
      <c r="K1640" s="172" t="inlineStr">
        <is>
          <t>9+12</t>
        </is>
      </c>
      <c r="L1640" s="200" t="n">
        <v>46188</v>
      </c>
      <c r="M1640" s="175" t="n">
        <v>0.0149</v>
      </c>
      <c r="N1640" s="176" t="n">
        <v>0.0195</v>
      </c>
      <c r="O1640" s="172" t="n">
        <v>2.11</v>
      </c>
      <c r="P1640" s="172" t="inlineStr">
        <is>
          <t>优先A</t>
        </is>
      </c>
      <c r="Q1640" s="175" t="n">
        <v>0.83</v>
      </c>
      <c r="R1640" s="192" t="n">
        <v>8.300000000000001</v>
      </c>
      <c r="S1640" s="172" t="inlineStr">
        <is>
          <t>AAA</t>
        </is>
      </c>
      <c r="T1640" s="175" t="n">
        <v>0.0165</v>
      </c>
      <c r="U1640" s="172" t="n"/>
      <c r="V1640" s="172" t="n"/>
      <c r="W1640" s="175" t="n">
        <v>0.0175</v>
      </c>
      <c r="X1640" s="172" t="inlineStr">
        <is>
          <t>中金资管</t>
        </is>
      </c>
      <c r="Y1640" s="191" t="n">
        <v>0.5</v>
      </c>
    </row>
    <row r="1641">
      <c r="A1641" s="172" t="n">
        <v>91</v>
      </c>
      <c r="B1641" s="172" t="inlineStr">
        <is>
          <t>6月</t>
        </is>
      </c>
      <c r="C1641" s="172" t="inlineStr">
        <is>
          <t>企金</t>
        </is>
      </c>
      <c r="D1641" s="172" t="inlineStr">
        <is>
          <t>小贷企业主贷</t>
        </is>
      </c>
      <c r="E1641" s="172" t="inlineStr">
        <is>
          <t>盛赢3-8</t>
        </is>
      </c>
      <c r="F1641" s="172" t="inlineStr">
        <is>
          <t>上交所</t>
        </is>
      </c>
      <c r="G1641" s="172" t="inlineStr">
        <is>
          <t>中信证券</t>
        </is>
      </c>
      <c r="H1641" s="172" t="inlineStr">
        <is>
          <t>国联证券</t>
        </is>
      </c>
      <c r="I1641" s="172" t="inlineStr">
        <is>
          <t>工银天津</t>
        </is>
      </c>
      <c r="J1641" s="172" t="n">
        <v>10</v>
      </c>
      <c r="K1641" s="172" t="inlineStr">
        <is>
          <t>9+12</t>
        </is>
      </c>
      <c r="L1641" s="200" t="n">
        <v>46188</v>
      </c>
      <c r="M1641" s="175" t="n">
        <v>0.0149</v>
      </c>
      <c r="N1641" s="176" t="n">
        <v>0.0195</v>
      </c>
      <c r="O1641" s="172" t="n">
        <v>2.11</v>
      </c>
      <c r="P1641" s="172" t="inlineStr">
        <is>
          <t>优先A</t>
        </is>
      </c>
      <c r="Q1641" s="175" t="n">
        <v>0.83</v>
      </c>
      <c r="R1641" s="192" t="n">
        <v>8.300000000000001</v>
      </c>
      <c r="S1641" s="172" t="inlineStr">
        <is>
          <t>AAA</t>
        </is>
      </c>
      <c r="T1641" s="175" t="n">
        <v>0.0165</v>
      </c>
      <c r="U1641" s="172" t="n"/>
      <c r="V1641" s="172" t="n"/>
      <c r="W1641" s="175" t="n">
        <v>0.018</v>
      </c>
      <c r="X1641" s="172" t="inlineStr">
        <is>
          <t>中信证券（投行上报）</t>
        </is>
      </c>
      <c r="Y1641" s="191" t="n">
        <v>1.2</v>
      </c>
    </row>
    <row r="1642">
      <c r="A1642" s="172" t="n">
        <v>91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小贷企业主贷</t>
        </is>
      </c>
      <c r="E1642" s="172" t="inlineStr">
        <is>
          <t>盛赢3-8</t>
        </is>
      </c>
      <c r="F1642" s="172" t="inlineStr">
        <is>
          <t>上交所</t>
        </is>
      </c>
      <c r="G1642" s="172" t="inlineStr">
        <is>
          <t>中信证券</t>
        </is>
      </c>
      <c r="H1642" s="172" t="inlineStr">
        <is>
          <t>国联证券</t>
        </is>
      </c>
      <c r="I1642" s="172" t="inlineStr">
        <is>
          <t>工银天津</t>
        </is>
      </c>
      <c r="J1642" s="172" t="n">
        <v>10</v>
      </c>
      <c r="K1642" s="172" t="inlineStr">
        <is>
          <t>9+12</t>
        </is>
      </c>
      <c r="L1642" s="200" t="n">
        <v>46188</v>
      </c>
      <c r="M1642" s="175" t="n">
        <v>0.0149</v>
      </c>
      <c r="N1642" s="176" t="n">
        <v>0.0195</v>
      </c>
      <c r="O1642" s="172" t="n">
        <v>2.11</v>
      </c>
      <c r="P1642" s="172" t="inlineStr">
        <is>
          <t>优先A</t>
        </is>
      </c>
      <c r="Q1642" s="175" t="n">
        <v>0.83</v>
      </c>
      <c r="R1642" s="192" t="n">
        <v>8.300000000000001</v>
      </c>
      <c r="S1642" s="172" t="inlineStr">
        <is>
          <t>AAA</t>
        </is>
      </c>
      <c r="T1642" s="175" t="n">
        <v>0.0165</v>
      </c>
      <c r="U1642" s="172" t="n"/>
      <c r="V1642" s="172" t="n"/>
      <c r="W1642" s="175" t="n">
        <v>0.024</v>
      </c>
      <c r="X1642" s="172" t="inlineStr">
        <is>
          <t>上海利曦私募</t>
        </is>
      </c>
      <c r="Y1642" s="191" t="n">
        <v>2</v>
      </c>
    </row>
    <row r="1643">
      <c r="A1643" s="172" t="n">
        <v>91</v>
      </c>
      <c r="B1643" s="172" t="inlineStr">
        <is>
          <t>6月</t>
        </is>
      </c>
      <c r="C1643" s="172" t="inlineStr">
        <is>
          <t>企金</t>
        </is>
      </c>
      <c r="D1643" s="172" t="inlineStr">
        <is>
          <t>小贷企业主贷</t>
        </is>
      </c>
      <c r="E1643" s="172" t="inlineStr">
        <is>
          <t>盛赢3-8</t>
        </is>
      </c>
      <c r="F1643" s="172" t="inlineStr">
        <is>
          <t>上交所</t>
        </is>
      </c>
      <c r="G1643" s="172" t="inlineStr">
        <is>
          <t>中信证券</t>
        </is>
      </c>
      <c r="H1643" s="172" t="inlineStr">
        <is>
          <t>国联证券</t>
        </is>
      </c>
      <c r="I1643" s="172" t="inlineStr">
        <is>
          <t>工银天津</t>
        </is>
      </c>
      <c r="J1643" s="172" t="n">
        <v>10</v>
      </c>
      <c r="K1643" s="172" t="inlineStr">
        <is>
          <t>9+12</t>
        </is>
      </c>
      <c r="L1643" s="202" t="n">
        <v>46188</v>
      </c>
      <c r="M1643" s="175" t="n">
        <v>0.0149</v>
      </c>
      <c r="N1643" s="176" t="n">
        <v>0.0195</v>
      </c>
      <c r="O1643" s="191" t="n">
        <v>2.11</v>
      </c>
      <c r="P1643" s="172" t="inlineStr">
        <is>
          <t>优先B</t>
        </is>
      </c>
      <c r="Q1643" s="175" t="n">
        <v>0.05</v>
      </c>
      <c r="R1643" s="192" t="n">
        <v>0.5</v>
      </c>
      <c r="S1643" s="175" t="inlineStr">
        <is>
          <t>AA+</t>
        </is>
      </c>
      <c r="T1643" s="175" t="n">
        <v>0.0185</v>
      </c>
      <c r="U1643" s="172" t="inlineStr">
        <is>
          <t>交银理财</t>
        </is>
      </c>
      <c r="V1643" s="191" t="n">
        <v>0.15</v>
      </c>
      <c r="W1643" s="175" t="n">
        <v>0.017</v>
      </c>
      <c r="X1643" s="172" t="inlineStr">
        <is>
          <t>交银理财</t>
        </is>
      </c>
      <c r="Y1643" s="191" t="n">
        <v>0.15</v>
      </c>
    </row>
    <row r="1644">
      <c r="A1644" s="172" t="n">
        <v>91</v>
      </c>
      <c r="B1644" s="172" t="inlineStr">
        <is>
          <t>6月</t>
        </is>
      </c>
      <c r="C1644" s="172" t="inlineStr">
        <is>
          <t>企金</t>
        </is>
      </c>
      <c r="D1644" s="172" t="inlineStr">
        <is>
          <t>小贷企业主贷</t>
        </is>
      </c>
      <c r="E1644" s="172" t="inlineStr">
        <is>
          <t>盛赢3-8</t>
        </is>
      </c>
      <c r="F1644" s="172" t="inlineStr">
        <is>
          <t>上交所</t>
        </is>
      </c>
      <c r="G1644" s="172" t="inlineStr">
        <is>
          <t>中信证券</t>
        </is>
      </c>
      <c r="H1644" s="172" t="inlineStr">
        <is>
          <t>国联证券</t>
        </is>
      </c>
      <c r="I1644" s="172" t="inlineStr">
        <is>
          <t>工银天津</t>
        </is>
      </c>
      <c r="J1644" s="172" t="n">
        <v>10</v>
      </c>
      <c r="K1644" s="172" t="inlineStr">
        <is>
          <t>9+12</t>
        </is>
      </c>
      <c r="L1644" s="202" t="n">
        <v>46188</v>
      </c>
      <c r="M1644" s="175" t="n">
        <v>0.0149</v>
      </c>
      <c r="N1644" s="176" t="n">
        <v>0.0195</v>
      </c>
      <c r="O1644" s="191" t="n">
        <v>2.11</v>
      </c>
      <c r="P1644" s="172" t="inlineStr">
        <is>
          <t>优先B</t>
        </is>
      </c>
      <c r="Q1644" s="175" t="n">
        <v>0.05</v>
      </c>
      <c r="R1644" s="192" t="n">
        <v>0.5</v>
      </c>
      <c r="S1644" s="175" t="inlineStr">
        <is>
          <t>AA+</t>
        </is>
      </c>
      <c r="T1644" s="175" t="n">
        <v>0.0185</v>
      </c>
      <c r="U1644" s="172" t="inlineStr">
        <is>
          <t>中金自营</t>
        </is>
      </c>
      <c r="V1644" s="193" t="n">
        <v>0.125</v>
      </c>
      <c r="W1644" s="172" t="n"/>
      <c r="X1644" s="172" t="n"/>
      <c r="Y1644" s="172" t="n"/>
    </row>
    <row r="1645">
      <c r="A1645" s="172" t="n">
        <v>91</v>
      </c>
      <c r="B1645" s="172" t="inlineStr">
        <is>
          <t>6月</t>
        </is>
      </c>
      <c r="C1645" s="172" t="inlineStr">
        <is>
          <t>企金</t>
        </is>
      </c>
      <c r="D1645" s="172" t="inlineStr">
        <is>
          <t>小贷企业主贷</t>
        </is>
      </c>
      <c r="E1645" s="172" t="inlineStr">
        <is>
          <t>盛赢3-8</t>
        </is>
      </c>
      <c r="F1645" s="172" t="inlineStr">
        <is>
          <t>上交所</t>
        </is>
      </c>
      <c r="G1645" s="172" t="inlineStr">
        <is>
          <t>中信证券</t>
        </is>
      </c>
      <c r="H1645" s="172" t="inlineStr">
        <is>
          <t>国联证券</t>
        </is>
      </c>
      <c r="I1645" s="172" t="inlineStr">
        <is>
          <t>工银天津</t>
        </is>
      </c>
      <c r="J1645" s="172" t="n">
        <v>10</v>
      </c>
      <c r="K1645" s="172" t="inlineStr">
        <is>
          <t>9+12</t>
        </is>
      </c>
      <c r="L1645" s="202" t="n">
        <v>46188</v>
      </c>
      <c r="M1645" s="175" t="n">
        <v>0.0149</v>
      </c>
      <c r="N1645" s="176" t="n">
        <v>0.0195</v>
      </c>
      <c r="O1645" s="191" t="n">
        <v>2.11</v>
      </c>
      <c r="P1645" s="172" t="inlineStr">
        <is>
          <t>优先B</t>
        </is>
      </c>
      <c r="Q1645" s="175" t="n">
        <v>0.05</v>
      </c>
      <c r="R1645" s="192" t="n">
        <v>0.5</v>
      </c>
      <c r="S1645" s="175" t="inlineStr">
        <is>
          <t>AA+</t>
        </is>
      </c>
      <c r="T1645" s="175" t="n">
        <v>0.0185</v>
      </c>
      <c r="U1645" s="172" t="inlineStr">
        <is>
          <t>中金资管</t>
        </is>
      </c>
      <c r="V1645" s="191" t="n">
        <v>0.1</v>
      </c>
      <c r="W1645" s="175" t="n">
        <v>0.018</v>
      </c>
      <c r="X1645" s="172" t="inlineStr">
        <is>
          <t>中金资管</t>
        </is>
      </c>
      <c r="Y1645" s="191" t="n">
        <v>0.1</v>
      </c>
    </row>
    <row r="1646">
      <c r="A1646" s="172" t="n">
        <v>91</v>
      </c>
      <c r="B1646" s="172" t="inlineStr">
        <is>
          <t>6月</t>
        </is>
      </c>
      <c r="C1646" s="172" t="inlineStr">
        <is>
          <t>企金</t>
        </is>
      </c>
      <c r="D1646" s="172" t="inlineStr">
        <is>
          <t>小贷企业主贷</t>
        </is>
      </c>
      <c r="E1646" s="172" t="inlineStr">
        <is>
          <t>盛赢3-8</t>
        </is>
      </c>
      <c r="F1646" s="172" t="inlineStr">
        <is>
          <t>上交所</t>
        </is>
      </c>
      <c r="G1646" s="172" t="inlineStr">
        <is>
          <t>中信证券</t>
        </is>
      </c>
      <c r="H1646" s="172" t="inlineStr">
        <is>
          <t>国联证券</t>
        </is>
      </c>
      <c r="I1646" s="172" t="inlineStr">
        <is>
          <t>工银天津</t>
        </is>
      </c>
      <c r="J1646" s="172" t="n">
        <v>10</v>
      </c>
      <c r="K1646" s="172" t="inlineStr">
        <is>
          <t>9+12</t>
        </is>
      </c>
      <c r="L1646" s="202" t="n">
        <v>46188</v>
      </c>
      <c r="M1646" s="175" t="n">
        <v>0.0149</v>
      </c>
      <c r="N1646" s="176" t="n">
        <v>0.0195</v>
      </c>
      <c r="O1646" s="191" t="n">
        <v>2.11</v>
      </c>
      <c r="P1646" s="172" t="inlineStr">
        <is>
          <t>优先B</t>
        </is>
      </c>
      <c r="Q1646" s="175" t="n">
        <v>0.05</v>
      </c>
      <c r="R1646" s="192" t="n">
        <v>0.5</v>
      </c>
      <c r="S1646" s="175" t="inlineStr">
        <is>
          <t>AA+</t>
        </is>
      </c>
      <c r="T1646" s="175" t="n">
        <v>0.0185</v>
      </c>
      <c r="U1646" s="172" t="inlineStr">
        <is>
          <t>建信信托</t>
        </is>
      </c>
      <c r="V1646" s="191" t="n">
        <v>0.1</v>
      </c>
      <c r="W1646" s="175" t="n">
        <v>0.0185</v>
      </c>
      <c r="X1646" s="172" t="inlineStr">
        <is>
          <t>建信信托</t>
        </is>
      </c>
      <c r="Y1646" s="191" t="n">
        <v>0.15</v>
      </c>
    </row>
    <row r="1647">
      <c r="A1647" s="172" t="n">
        <v>91</v>
      </c>
      <c r="B1647" s="172" t="inlineStr">
        <is>
          <t>6月</t>
        </is>
      </c>
      <c r="C1647" s="172" t="inlineStr">
        <is>
          <t>企金</t>
        </is>
      </c>
      <c r="D1647" s="172" t="inlineStr">
        <is>
          <t>小贷企业主贷</t>
        </is>
      </c>
      <c r="E1647" s="172" t="inlineStr">
        <is>
          <t>盛赢3-8</t>
        </is>
      </c>
      <c r="F1647" s="172" t="inlineStr">
        <is>
          <t>上交所</t>
        </is>
      </c>
      <c r="G1647" s="172" t="inlineStr">
        <is>
          <t>中信证券</t>
        </is>
      </c>
      <c r="H1647" s="172" t="inlineStr">
        <is>
          <t>国联证券</t>
        </is>
      </c>
      <c r="I1647" s="172" t="inlineStr">
        <is>
          <t>工银天津</t>
        </is>
      </c>
      <c r="J1647" s="172" t="n">
        <v>10</v>
      </c>
      <c r="K1647" s="172" t="inlineStr">
        <is>
          <t>9+12</t>
        </is>
      </c>
      <c r="L1647" s="202" t="n">
        <v>46188</v>
      </c>
      <c r="M1647" s="175" t="n">
        <v>0.0149</v>
      </c>
      <c r="N1647" s="176" t="n">
        <v>0.0195</v>
      </c>
      <c r="O1647" s="191" t="n">
        <v>2.11</v>
      </c>
      <c r="P1647" s="172" t="inlineStr">
        <is>
          <t>优先B</t>
        </is>
      </c>
      <c r="Q1647" s="175" t="n">
        <v>0.05</v>
      </c>
      <c r="R1647" s="192" t="n">
        <v>0.5</v>
      </c>
      <c r="S1647" s="175" t="inlineStr">
        <is>
          <t>AA+</t>
        </is>
      </c>
      <c r="T1647" s="175" t="n">
        <v>0.0185</v>
      </c>
      <c r="U1647" s="172" t="inlineStr">
        <is>
          <t>盛际小贷</t>
        </is>
      </c>
      <c r="V1647" s="193" t="n">
        <v>0.025</v>
      </c>
      <c r="W1647" s="172" t="inlineStr">
        <is>
          <t>自持</t>
        </is>
      </c>
      <c r="X1647" s="172" t="inlineStr">
        <is>
          <t>盛际小贷</t>
        </is>
      </c>
      <c r="Y1647" s="191" t="n">
        <v>0.025</v>
      </c>
    </row>
    <row r="1648">
      <c r="A1648" s="172" t="n">
        <v>91</v>
      </c>
      <c r="B1648" s="172" t="inlineStr">
        <is>
          <t>6月</t>
        </is>
      </c>
      <c r="C1648" s="172" t="inlineStr">
        <is>
          <t>企金</t>
        </is>
      </c>
      <c r="D1648" s="172" t="inlineStr">
        <is>
          <t>小贷企业主贷</t>
        </is>
      </c>
      <c r="E1648" s="172" t="inlineStr">
        <is>
          <t>盛赢3-8</t>
        </is>
      </c>
      <c r="F1648" s="172" t="inlineStr">
        <is>
          <t>上交所</t>
        </is>
      </c>
      <c r="G1648" s="172" t="inlineStr">
        <is>
          <t>中信证券</t>
        </is>
      </c>
      <c r="H1648" s="172" t="inlineStr">
        <is>
          <t>国联证券</t>
        </is>
      </c>
      <c r="I1648" s="172" t="inlineStr">
        <is>
          <t>工银天津</t>
        </is>
      </c>
      <c r="J1648" s="172" t="n">
        <v>10</v>
      </c>
      <c r="K1648" s="172" t="inlineStr">
        <is>
          <t>9+12</t>
        </is>
      </c>
      <c r="L1648" s="200" t="n">
        <v>46188</v>
      </c>
      <c r="M1648" s="175" t="n">
        <v>0.0149</v>
      </c>
      <c r="N1648" s="176" t="n">
        <v>0.0195</v>
      </c>
      <c r="O1648" s="172" t="n">
        <v>2.11</v>
      </c>
      <c r="P1648" s="172" t="inlineStr">
        <is>
          <t>优先B</t>
        </is>
      </c>
      <c r="Q1648" s="175" t="n">
        <v>0.05</v>
      </c>
      <c r="R1648" s="192" t="n">
        <v>0.5</v>
      </c>
      <c r="S1648" s="172" t="inlineStr">
        <is>
          <t>AA+</t>
        </is>
      </c>
      <c r="T1648" s="175" t="n">
        <v>0.0185</v>
      </c>
      <c r="U1648" s="172" t="n"/>
      <c r="V1648" s="172" t="n"/>
      <c r="W1648" s="175" t="n">
        <v>0.0185</v>
      </c>
      <c r="X1648" s="172" t="inlineStr">
        <is>
          <t>中金公司</t>
        </is>
      </c>
      <c r="Y1648" s="191" t="n">
        <v>0.2</v>
      </c>
    </row>
    <row r="1649">
      <c r="A1649" s="172" t="n">
        <v>91</v>
      </c>
      <c r="B1649" s="172" t="inlineStr">
        <is>
          <t>6月</t>
        </is>
      </c>
      <c r="C1649" s="172" t="inlineStr">
        <is>
          <t>企金</t>
        </is>
      </c>
      <c r="D1649" s="172" t="inlineStr">
        <is>
          <t>小贷企业主贷</t>
        </is>
      </c>
      <c r="E1649" s="172" t="inlineStr">
        <is>
          <t>盛赢3-8</t>
        </is>
      </c>
      <c r="F1649" s="172" t="inlineStr">
        <is>
          <t>上交所</t>
        </is>
      </c>
      <c r="G1649" s="172" t="inlineStr">
        <is>
          <t>中信证券</t>
        </is>
      </c>
      <c r="H1649" s="172" t="inlineStr">
        <is>
          <t>国联证券</t>
        </is>
      </c>
      <c r="I1649" s="172" t="inlineStr">
        <is>
          <t>工银天津</t>
        </is>
      </c>
      <c r="J1649" s="172" t="n">
        <v>10</v>
      </c>
      <c r="K1649" s="172" t="inlineStr">
        <is>
          <t>9+12</t>
        </is>
      </c>
      <c r="L1649" s="202" t="n">
        <v>46188</v>
      </c>
      <c r="M1649" s="175" t="n">
        <v>0.0149</v>
      </c>
      <c r="N1649" s="176" t="n">
        <v>0.0195</v>
      </c>
      <c r="O1649" s="191" t="n">
        <v>2.11</v>
      </c>
      <c r="P1649" s="172" t="inlineStr">
        <is>
          <t>中间级</t>
        </is>
      </c>
      <c r="Q1649" s="175" t="n">
        <v>0.07000000000000001</v>
      </c>
      <c r="R1649" s="192" t="n">
        <v>0.7</v>
      </c>
      <c r="S1649" s="175" t="inlineStr">
        <is>
          <t>AA-</t>
        </is>
      </c>
      <c r="T1649" s="175" t="n">
        <v>0.031</v>
      </c>
      <c r="U1649" s="172" t="inlineStr">
        <is>
          <t>申万宏源自营</t>
        </is>
      </c>
      <c r="V1649" s="193" t="n">
        <v>0.115</v>
      </c>
      <c r="W1649" s="172" t="n"/>
      <c r="X1649" s="172" t="n"/>
      <c r="Y1649" s="172" t="n"/>
    </row>
    <row r="1650">
      <c r="A1650" s="172" t="n">
        <v>91</v>
      </c>
      <c r="B1650" s="172" t="inlineStr">
        <is>
          <t>6月</t>
        </is>
      </c>
      <c r="C1650" s="172" t="inlineStr">
        <is>
          <t>企金</t>
        </is>
      </c>
      <c r="D1650" s="172" t="inlineStr">
        <is>
          <t>小贷企业主贷</t>
        </is>
      </c>
      <c r="E1650" s="172" t="inlineStr">
        <is>
          <t>盛赢3-8</t>
        </is>
      </c>
      <c r="F1650" s="172" t="inlineStr">
        <is>
          <t>上交所</t>
        </is>
      </c>
      <c r="G1650" s="172" t="inlineStr">
        <is>
          <t>中信证券</t>
        </is>
      </c>
      <c r="H1650" s="172" t="inlineStr">
        <is>
          <t>国联证券</t>
        </is>
      </c>
      <c r="I1650" s="172" t="inlineStr">
        <is>
          <t>工银天津</t>
        </is>
      </c>
      <c r="J1650" s="172" t="n">
        <v>10</v>
      </c>
      <c r="K1650" s="172" t="inlineStr">
        <is>
          <t>9+12</t>
        </is>
      </c>
      <c r="L1650" s="202" t="n">
        <v>46188</v>
      </c>
      <c r="M1650" s="175" t="n">
        <v>0.0149</v>
      </c>
      <c r="N1650" s="176" t="n">
        <v>0.0195</v>
      </c>
      <c r="O1650" s="191" t="n">
        <v>2.11</v>
      </c>
      <c r="P1650" s="172" t="inlineStr">
        <is>
          <t>中间级</t>
        </is>
      </c>
      <c r="Q1650" s="175" t="n">
        <v>0.07000000000000001</v>
      </c>
      <c r="R1650" s="192" t="n">
        <v>0.7</v>
      </c>
      <c r="S1650" s="175" t="inlineStr">
        <is>
          <t>AA-</t>
        </is>
      </c>
      <c r="T1650" s="175" t="n">
        <v>0.031</v>
      </c>
      <c r="U1650" s="172" t="inlineStr">
        <is>
          <t>中金投顾</t>
        </is>
      </c>
      <c r="V1650" s="191" t="n">
        <v>0.15</v>
      </c>
      <c r="W1650" s="172" t="n"/>
      <c r="X1650" s="172" t="n"/>
      <c r="Y1650" s="172" t="n"/>
    </row>
    <row r="1651">
      <c r="A1651" s="172" t="n">
        <v>91</v>
      </c>
      <c r="B1651" s="172" t="inlineStr">
        <is>
          <t>6月</t>
        </is>
      </c>
      <c r="C1651" s="172" t="inlineStr">
        <is>
          <t>企金</t>
        </is>
      </c>
      <c r="D1651" s="172" t="inlineStr">
        <is>
          <t>小贷企业主贷</t>
        </is>
      </c>
      <c r="E1651" s="172" t="inlineStr">
        <is>
          <t>盛赢3-8</t>
        </is>
      </c>
      <c r="F1651" s="172" t="inlineStr">
        <is>
          <t>上交所</t>
        </is>
      </c>
      <c r="G1651" s="172" t="inlineStr">
        <is>
          <t>中信证券</t>
        </is>
      </c>
      <c r="H1651" s="172" t="inlineStr">
        <is>
          <t>国联证券</t>
        </is>
      </c>
      <c r="I1651" s="172" t="inlineStr">
        <is>
          <t>工银天津</t>
        </is>
      </c>
      <c r="J1651" s="172" t="n">
        <v>10</v>
      </c>
      <c r="K1651" s="172" t="inlineStr">
        <is>
          <t>9+12</t>
        </is>
      </c>
      <c r="L1651" s="202" t="n">
        <v>46188</v>
      </c>
      <c r="M1651" s="175" t="n">
        <v>0.0149</v>
      </c>
      <c r="N1651" s="176" t="n">
        <v>0.0195</v>
      </c>
      <c r="O1651" s="191" t="n">
        <v>2.11</v>
      </c>
      <c r="P1651" s="172" t="inlineStr">
        <is>
          <t>中间级</t>
        </is>
      </c>
      <c r="Q1651" s="175" t="n">
        <v>0.07000000000000001</v>
      </c>
      <c r="R1651" s="192" t="n">
        <v>0.7</v>
      </c>
      <c r="S1651" s="175" t="inlineStr">
        <is>
          <t>AA-</t>
        </is>
      </c>
      <c r="T1651" s="175" t="n">
        <v>0.031</v>
      </c>
      <c r="U1651" s="172" t="inlineStr">
        <is>
          <t>中金自营</t>
        </is>
      </c>
      <c r="V1651" s="191" t="n">
        <v>0.2</v>
      </c>
      <c r="W1651" s="172" t="n"/>
      <c r="X1651" s="172" t="n"/>
      <c r="Y1651" s="172" t="n"/>
    </row>
    <row r="1652">
      <c r="A1652" s="172" t="n">
        <v>91</v>
      </c>
      <c r="B1652" s="172" t="inlineStr">
        <is>
          <t>6月</t>
        </is>
      </c>
      <c r="C1652" s="172" t="inlineStr">
        <is>
          <t>企金</t>
        </is>
      </c>
      <c r="D1652" s="172" t="inlineStr">
        <is>
          <t>小贷企业主贷</t>
        </is>
      </c>
      <c r="E1652" s="172" t="inlineStr">
        <is>
          <t>盛赢3-8</t>
        </is>
      </c>
      <c r="F1652" s="172" t="inlineStr">
        <is>
          <t>上交所</t>
        </is>
      </c>
      <c r="G1652" s="172" t="inlineStr">
        <is>
          <t>中信证券</t>
        </is>
      </c>
      <c r="H1652" s="172" t="inlineStr">
        <is>
          <t>国联证券</t>
        </is>
      </c>
      <c r="I1652" s="172" t="inlineStr">
        <is>
          <t>工银天津</t>
        </is>
      </c>
      <c r="J1652" s="172" t="n">
        <v>10</v>
      </c>
      <c r="K1652" s="172" t="inlineStr">
        <is>
          <t>9+12</t>
        </is>
      </c>
      <c r="L1652" s="202" t="n">
        <v>46188</v>
      </c>
      <c r="M1652" s="175" t="n">
        <v>0.0149</v>
      </c>
      <c r="N1652" s="176" t="n">
        <v>0.0195</v>
      </c>
      <c r="O1652" s="191" t="n">
        <v>2.11</v>
      </c>
      <c r="P1652" s="172" t="inlineStr">
        <is>
          <t>中间级</t>
        </is>
      </c>
      <c r="Q1652" s="175" t="n">
        <v>0.07000000000000001</v>
      </c>
      <c r="R1652" s="192" t="n">
        <v>0.7</v>
      </c>
      <c r="S1652" s="175" t="inlineStr">
        <is>
          <t>AA-</t>
        </is>
      </c>
      <c r="T1652" s="175" t="n">
        <v>0.031</v>
      </c>
      <c r="U1652" s="172" t="inlineStr">
        <is>
          <t>盛际小贷</t>
        </is>
      </c>
      <c r="V1652" s="193" t="n">
        <v>0.035</v>
      </c>
      <c r="W1652" s="172" t="n"/>
      <c r="X1652" s="172" t="n"/>
      <c r="Y1652" s="172" t="n"/>
    </row>
    <row r="1653">
      <c r="A1653" s="172" t="n">
        <v>91</v>
      </c>
      <c r="B1653" s="172" t="inlineStr">
        <is>
          <t>6月</t>
        </is>
      </c>
      <c r="C1653" s="172" t="inlineStr">
        <is>
          <t>企金</t>
        </is>
      </c>
      <c r="D1653" s="172" t="inlineStr">
        <is>
          <t>小贷企业主贷</t>
        </is>
      </c>
      <c r="E1653" s="172" t="inlineStr">
        <is>
          <t>盛赢3-8</t>
        </is>
      </c>
      <c r="F1653" s="172" t="inlineStr">
        <is>
          <t>上交所</t>
        </is>
      </c>
      <c r="G1653" s="172" t="inlineStr">
        <is>
          <t>中信证券</t>
        </is>
      </c>
      <c r="H1653" s="172" t="inlineStr">
        <is>
          <t>国联证券</t>
        </is>
      </c>
      <c r="I1653" s="172" t="inlineStr">
        <is>
          <t>工银天津</t>
        </is>
      </c>
      <c r="J1653" s="172" t="n">
        <v>10</v>
      </c>
      <c r="K1653" s="172" t="inlineStr">
        <is>
          <t>9+12</t>
        </is>
      </c>
      <c r="L1653" s="202" t="n">
        <v>46188</v>
      </c>
      <c r="M1653" s="175" t="n">
        <v>0.0149</v>
      </c>
      <c r="N1653" s="176" t="n">
        <v>0.0195</v>
      </c>
      <c r="O1653" s="191" t="n">
        <v>2.11</v>
      </c>
      <c r="P1653" s="172" t="inlineStr">
        <is>
          <t>中间级</t>
        </is>
      </c>
      <c r="Q1653" s="175" t="n">
        <v>0.07000000000000001</v>
      </c>
      <c r="R1653" s="192" t="n">
        <v>0.7</v>
      </c>
      <c r="S1653" s="175" t="inlineStr">
        <is>
          <t>AA-</t>
        </is>
      </c>
      <c r="T1653" s="175" t="n">
        <v>0.031</v>
      </c>
      <c r="U1653" s="172" t="inlineStr">
        <is>
          <t>中金财富</t>
        </is>
      </c>
      <c r="V1653" s="191" t="n">
        <v>0.2</v>
      </c>
      <c r="W1653" s="172" t="n"/>
      <c r="X1653" s="172" t="n"/>
      <c r="Y1653" s="172" t="n"/>
    </row>
    <row r="1654">
      <c r="A1654" s="172" t="n">
        <v>91</v>
      </c>
      <c r="B1654" s="172" t="inlineStr">
        <is>
          <t>6月</t>
        </is>
      </c>
      <c r="C1654" s="172" t="inlineStr">
        <is>
          <t>企金</t>
        </is>
      </c>
      <c r="D1654" s="172" t="inlineStr">
        <is>
          <t>小贷企业主贷</t>
        </is>
      </c>
      <c r="E1654" s="172" t="inlineStr">
        <is>
          <t>盛赢3-8</t>
        </is>
      </c>
      <c r="F1654" s="172" t="inlineStr">
        <is>
          <t>上交所</t>
        </is>
      </c>
      <c r="G1654" s="172" t="inlineStr">
        <is>
          <t>中信证券</t>
        </is>
      </c>
      <c r="H1654" s="172" t="inlineStr">
        <is>
          <t>国联证券</t>
        </is>
      </c>
      <c r="I1654" s="172" t="inlineStr">
        <is>
          <t>工银天津</t>
        </is>
      </c>
      <c r="J1654" s="172" t="n">
        <v>10</v>
      </c>
      <c r="K1654" s="172" t="inlineStr">
        <is>
          <t>9+12</t>
        </is>
      </c>
      <c r="L1654" s="202" t="n">
        <v>46188</v>
      </c>
      <c r="M1654" s="175" t="n">
        <v>0.0149</v>
      </c>
      <c r="N1654" s="176" t="n">
        <v>0.0195</v>
      </c>
      <c r="O1654" s="191" t="n">
        <v>2.11</v>
      </c>
      <c r="P1654" s="172" t="inlineStr">
        <is>
          <t>次级</t>
        </is>
      </c>
      <c r="Q1654" s="175" t="n">
        <v>0.05</v>
      </c>
      <c r="R1654" s="192" t="n">
        <v>0.5</v>
      </c>
      <c r="S1654" s="175" t="inlineStr">
        <is>
          <t>无</t>
        </is>
      </c>
      <c r="T1654" s="175" t="inlineStr">
        <is>
          <t>-</t>
        </is>
      </c>
      <c r="U1654" s="172" t="inlineStr">
        <is>
          <t>员工理财</t>
        </is>
      </c>
      <c r="V1654" s="191" t="n">
        <v>0.5</v>
      </c>
      <c r="W1654" s="172" t="n"/>
      <c r="X1654" s="172" t="n"/>
      <c r="Y1654" s="172" t="n"/>
    </row>
    <row r="1655">
      <c r="A1655" s="172" t="n">
        <v>92</v>
      </c>
      <c r="B1655" s="173" t="inlineStr">
        <is>
          <t>6月</t>
        </is>
      </c>
      <c r="C1655" s="173" t="inlineStr">
        <is>
          <t>消金</t>
        </is>
      </c>
      <c r="D1655" s="173" t="inlineStr">
        <is>
          <t>赊销白条</t>
        </is>
      </c>
      <c r="E1655" s="173" t="inlineStr">
        <is>
          <t>东裕9号春裕</t>
        </is>
      </c>
      <c r="F1655" s="173" t="inlineStr">
        <is>
          <t>银行间</t>
        </is>
      </c>
      <c r="G1655" s="173" t="inlineStr">
        <is>
          <t>兴业证券</t>
        </is>
      </c>
      <c r="H1655" s="173" t="inlineStr">
        <is>
          <t>杭州银行/南京银行/江苏银行/中信证券</t>
        </is>
      </c>
      <c r="I1655" s="173" t="inlineStr">
        <is>
          <t>平安北分</t>
        </is>
      </c>
      <c r="J1655" s="172" t="n">
        <v>10</v>
      </c>
      <c r="K1655" s="173" t="inlineStr">
        <is>
          <t>10+10+9+3</t>
        </is>
      </c>
      <c r="L1655" s="202" t="n">
        <v>46188</v>
      </c>
      <c r="M1655" s="175" t="n">
        <v>0.0149</v>
      </c>
      <c r="N1655" s="176" t="n">
        <v>0.0182</v>
      </c>
      <c r="O1655" s="191" t="n">
        <v>1.86</v>
      </c>
      <c r="P1655" s="177" t="inlineStr">
        <is>
          <t>优先A</t>
        </is>
      </c>
      <c r="Q1655" s="178" t="n">
        <v>0.9</v>
      </c>
      <c r="R1655" s="179" t="n">
        <v>9</v>
      </c>
      <c r="S1655" s="177" t="inlineStr">
        <is>
          <t>AAA</t>
        </is>
      </c>
      <c r="T1655" s="178" t="n">
        <v>0.016</v>
      </c>
      <c r="U1655" s="177" t="inlineStr">
        <is>
          <t>中邮理财</t>
        </is>
      </c>
      <c r="V1655" s="192" t="n">
        <v>2.7</v>
      </c>
      <c r="W1655" s="175" t="n">
        <v>0.016</v>
      </c>
      <c r="X1655" s="172" t="inlineStr">
        <is>
          <t>中邮理财有限责任公司</t>
        </is>
      </c>
      <c r="Y1655" s="191" t="n">
        <v>2.7</v>
      </c>
    </row>
    <row r="1656">
      <c r="A1656" s="172" t="n">
        <v>92</v>
      </c>
      <c r="B1656" s="173" t="inlineStr">
        <is>
          <t>6月</t>
        </is>
      </c>
      <c r="C1656" s="173" t="inlineStr">
        <is>
          <t>消金</t>
        </is>
      </c>
      <c r="D1656" s="173" t="inlineStr">
        <is>
          <t>赊销白条</t>
        </is>
      </c>
      <c r="E1656" s="173" t="inlineStr">
        <is>
          <t>东裕9号春裕</t>
        </is>
      </c>
      <c r="F1656" s="173" t="inlineStr">
        <is>
          <t>银行间</t>
        </is>
      </c>
      <c r="G1656" s="173" t="inlineStr">
        <is>
          <t>兴业证券</t>
        </is>
      </c>
      <c r="H1656" s="173" t="inlineStr">
        <is>
          <t>杭州银行/南京银行/江苏银行/中信证券</t>
        </is>
      </c>
      <c r="I1656" s="173" t="inlineStr">
        <is>
          <t>平安北分</t>
        </is>
      </c>
      <c r="J1656" s="172" t="n">
        <v>10</v>
      </c>
      <c r="K1656" s="173" t="inlineStr">
        <is>
          <t>10+10+9+3</t>
        </is>
      </c>
      <c r="L1656" s="202" t="n">
        <v>46188</v>
      </c>
      <c r="M1656" s="175" t="n">
        <v>0.0149</v>
      </c>
      <c r="N1656" s="176" t="n">
        <v>0.0182</v>
      </c>
      <c r="O1656" s="191" t="n">
        <v>1.86</v>
      </c>
      <c r="P1656" s="172" t="inlineStr">
        <is>
          <t>优先A</t>
        </is>
      </c>
      <c r="Q1656" s="178" t="n">
        <v>0.9</v>
      </c>
      <c r="R1656" s="179" t="n">
        <v>9</v>
      </c>
      <c r="S1656" s="177" t="inlineStr">
        <is>
          <t>AAA</t>
        </is>
      </c>
      <c r="T1656" s="178" t="n">
        <v>0.016</v>
      </c>
      <c r="U1656" s="177" t="inlineStr">
        <is>
          <t>中银理财</t>
        </is>
      </c>
      <c r="V1656" s="192" t="n">
        <v>1.8</v>
      </c>
      <c r="W1656" s="175" t="n">
        <v>0.0155</v>
      </c>
      <c r="X1656" s="172" t="inlineStr">
        <is>
          <t>中银理财有限责任公司</t>
        </is>
      </c>
      <c r="Y1656" s="191" t="n">
        <v>0.3</v>
      </c>
    </row>
    <row r="1657">
      <c r="A1657" s="172" t="n">
        <v>92</v>
      </c>
      <c r="B1657" s="172" t="inlineStr">
        <is>
          <t>6月</t>
        </is>
      </c>
      <c r="C1657" s="172" t="inlineStr">
        <is>
          <t>消金</t>
        </is>
      </c>
      <c r="D1657" s="172" t="inlineStr">
        <is>
          <t>赊销白条</t>
        </is>
      </c>
      <c r="E1657" s="172" t="inlineStr">
        <is>
          <t>东裕9号春裕</t>
        </is>
      </c>
      <c r="F1657" s="172" t="inlineStr">
        <is>
          <t>银行间</t>
        </is>
      </c>
      <c r="G1657" s="172" t="inlineStr">
        <is>
          <t>兴业证券</t>
        </is>
      </c>
      <c r="H1657" s="172" t="inlineStr">
        <is>
          <t>杭州银行/南京银行/江苏银行/中信证券</t>
        </is>
      </c>
      <c r="I1657" s="172" t="inlineStr">
        <is>
          <t>平安北分</t>
        </is>
      </c>
      <c r="J1657" s="172" t="n">
        <v>10</v>
      </c>
      <c r="K1657" s="172" t="inlineStr">
        <is>
          <t>10+10+9+3</t>
        </is>
      </c>
      <c r="L1657" s="208" t="n">
        <v>46188</v>
      </c>
      <c r="M1657" s="175" t="n">
        <v>0.0149</v>
      </c>
      <c r="N1657" s="176" t="n">
        <v>0.0182</v>
      </c>
      <c r="O1657" s="172" t="n">
        <v>1.86</v>
      </c>
      <c r="P1657" s="172" t="inlineStr">
        <is>
          <t>优先A</t>
        </is>
      </c>
      <c r="Q1657" s="175" t="n">
        <v>0.9</v>
      </c>
      <c r="R1657" s="192" t="n">
        <v>9</v>
      </c>
      <c r="S1657" s="172" t="inlineStr">
        <is>
          <t>AAA</t>
        </is>
      </c>
      <c r="T1657" s="175" t="n">
        <v>0.016</v>
      </c>
      <c r="U1657" s="172" t="n"/>
      <c r="V1657" s="172" t="n"/>
      <c r="W1657" s="175" t="n">
        <v>0.016</v>
      </c>
      <c r="X1657" s="172" t="inlineStr">
        <is>
          <t>中银理财有限责任公司</t>
        </is>
      </c>
      <c r="Y1657" s="191" t="n">
        <v>1.5</v>
      </c>
    </row>
    <row r="1658">
      <c r="A1658" s="172" t="n">
        <v>92</v>
      </c>
      <c r="B1658" s="172" t="inlineStr">
        <is>
          <t>6月</t>
        </is>
      </c>
      <c r="C1658" s="172" t="inlineStr">
        <is>
          <t>消金</t>
        </is>
      </c>
      <c r="D1658" s="172" t="inlineStr">
        <is>
          <t>赊销白条</t>
        </is>
      </c>
      <c r="E1658" s="172" t="inlineStr">
        <is>
          <t>东裕9号春裕</t>
        </is>
      </c>
      <c r="F1658" s="172" t="inlineStr">
        <is>
          <t>银行间</t>
        </is>
      </c>
      <c r="G1658" s="172" t="inlineStr">
        <is>
          <t>兴业证券</t>
        </is>
      </c>
      <c r="H1658" s="172" t="inlineStr">
        <is>
          <t>杭州银行/南京银行/江苏银行/中信证券</t>
        </is>
      </c>
      <c r="I1658" s="172" t="inlineStr">
        <is>
          <t>平安北分</t>
        </is>
      </c>
      <c r="J1658" s="172" t="n">
        <v>10</v>
      </c>
      <c r="K1658" s="172" t="inlineStr">
        <is>
          <t>10+10+9+3</t>
        </is>
      </c>
      <c r="L1658" s="208" t="n">
        <v>46188</v>
      </c>
      <c r="M1658" s="175" t="n">
        <v>0.0149</v>
      </c>
      <c r="N1658" s="176" t="n">
        <v>0.0182</v>
      </c>
      <c r="O1658" s="172" t="n">
        <v>1.86</v>
      </c>
      <c r="P1658" s="172" t="inlineStr">
        <is>
          <t>优先A</t>
        </is>
      </c>
      <c r="Q1658" s="175" t="n">
        <v>0.9</v>
      </c>
      <c r="R1658" s="192" t="n">
        <v>9</v>
      </c>
      <c r="S1658" s="172" t="inlineStr">
        <is>
          <t>AAA</t>
        </is>
      </c>
      <c r="T1658" s="175" t="n">
        <v>0.016</v>
      </c>
      <c r="U1658" s="172" t="n"/>
      <c r="V1658" s="172" t="n"/>
      <c r="W1658" s="175" t="n">
        <v>0.0164</v>
      </c>
      <c r="X1658" s="172" t="inlineStr">
        <is>
          <t>中银理财有限责任公司</t>
        </is>
      </c>
      <c r="Y1658" s="191" t="n">
        <v>0.9</v>
      </c>
    </row>
    <row r="1659">
      <c r="A1659" s="172" t="n">
        <v>92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东裕9号春裕</t>
        </is>
      </c>
      <c r="F1659" s="173" t="inlineStr">
        <is>
          <t>银行间</t>
        </is>
      </c>
      <c r="G1659" s="173" t="inlineStr">
        <is>
          <t>兴业证券</t>
        </is>
      </c>
      <c r="H1659" s="173" t="inlineStr">
        <is>
          <t>杭州银行/南京银行/江苏银行/中信证券</t>
        </is>
      </c>
      <c r="I1659" s="173" t="inlineStr">
        <is>
          <t>平安北分</t>
        </is>
      </c>
      <c r="J1659" s="172" t="n">
        <v>10</v>
      </c>
      <c r="K1659" s="173" t="inlineStr">
        <is>
          <t>10+10+9+3</t>
        </is>
      </c>
      <c r="L1659" s="202" t="n">
        <v>46188</v>
      </c>
      <c r="M1659" s="175" t="n">
        <v>0.0149</v>
      </c>
      <c r="N1659" s="176" t="n">
        <v>0.0182</v>
      </c>
      <c r="O1659" s="191" t="n">
        <v>1.86</v>
      </c>
      <c r="P1659" s="172" t="inlineStr">
        <is>
          <t>优先A</t>
        </is>
      </c>
      <c r="Q1659" s="178" t="n">
        <v>0.9</v>
      </c>
      <c r="R1659" s="179" t="n">
        <v>9</v>
      </c>
      <c r="S1659" s="177" t="inlineStr">
        <is>
          <t>AAA</t>
        </is>
      </c>
      <c r="T1659" s="178" t="n">
        <v>0.016</v>
      </c>
      <c r="U1659" s="177" t="inlineStr">
        <is>
          <t>交银理财</t>
        </is>
      </c>
      <c r="V1659" s="192" t="n">
        <v>1</v>
      </c>
      <c r="W1659" s="175" t="n">
        <v>0.016</v>
      </c>
      <c r="X1659" s="172" t="inlineStr">
        <is>
          <t>交银理财有限责任公司</t>
        </is>
      </c>
      <c r="Y1659" s="191" t="n">
        <v>1</v>
      </c>
    </row>
    <row r="1660">
      <c r="A1660" s="172" t="n">
        <v>92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东裕9号春裕</t>
        </is>
      </c>
      <c r="F1660" s="173" t="inlineStr">
        <is>
          <t>银行间</t>
        </is>
      </c>
      <c r="G1660" s="173" t="inlineStr">
        <is>
          <t>兴业证券</t>
        </is>
      </c>
      <c r="H1660" s="173" t="inlineStr">
        <is>
          <t>杭州银行/南京银行/江苏银行/中信证券</t>
        </is>
      </c>
      <c r="I1660" s="173" t="inlineStr">
        <is>
          <t>平安北分</t>
        </is>
      </c>
      <c r="J1660" s="172" t="n">
        <v>10</v>
      </c>
      <c r="K1660" s="173" t="inlineStr">
        <is>
          <t>10+10+9+3</t>
        </is>
      </c>
      <c r="L1660" s="202" t="n">
        <v>46188</v>
      </c>
      <c r="M1660" s="175" t="n">
        <v>0.0149</v>
      </c>
      <c r="N1660" s="176" t="n">
        <v>0.0182</v>
      </c>
      <c r="O1660" s="191" t="n">
        <v>1.86</v>
      </c>
      <c r="P1660" s="172" t="inlineStr">
        <is>
          <t>优先A</t>
        </is>
      </c>
      <c r="Q1660" s="178" t="n">
        <v>0.9</v>
      </c>
      <c r="R1660" s="179" t="n">
        <v>9</v>
      </c>
      <c r="S1660" s="177" t="inlineStr">
        <is>
          <t>AAA</t>
        </is>
      </c>
      <c r="T1660" s="178" t="n">
        <v>0.016</v>
      </c>
      <c r="U1660" s="177" t="inlineStr">
        <is>
          <t>平安养老</t>
        </is>
      </c>
      <c r="V1660" s="192" t="n">
        <v>0.9</v>
      </c>
      <c r="W1660" s="175" t="n">
        <v>0.0158</v>
      </c>
      <c r="X1660" s="172" t="inlineStr">
        <is>
          <t>平安养老保险股份有限公司</t>
        </is>
      </c>
      <c r="Y1660" s="191" t="n">
        <v>0.9</v>
      </c>
    </row>
    <row r="1661">
      <c r="A1661" s="172" t="n">
        <v>92</v>
      </c>
      <c r="B1661" s="173" t="inlineStr">
        <is>
          <t>6月</t>
        </is>
      </c>
      <c r="C1661" s="173" t="inlineStr">
        <is>
          <t>消金</t>
        </is>
      </c>
      <c r="D1661" s="173" t="inlineStr">
        <is>
          <t>赊销白条</t>
        </is>
      </c>
      <c r="E1661" s="173" t="inlineStr">
        <is>
          <t>东裕9号春裕</t>
        </is>
      </c>
      <c r="F1661" s="173" t="inlineStr">
        <is>
          <t>银行间</t>
        </is>
      </c>
      <c r="G1661" s="173" t="inlineStr">
        <is>
          <t>兴业证券</t>
        </is>
      </c>
      <c r="H1661" s="173" t="inlineStr">
        <is>
          <t>杭州银行/南京银行/江苏银行/中信证券</t>
        </is>
      </c>
      <c r="I1661" s="173" t="inlineStr">
        <is>
          <t>平安北分</t>
        </is>
      </c>
      <c r="J1661" s="172" t="n">
        <v>10</v>
      </c>
      <c r="K1661" s="173" t="inlineStr">
        <is>
          <t>10+10+9+3</t>
        </is>
      </c>
      <c r="L1661" s="202" t="n">
        <v>46188</v>
      </c>
      <c r="M1661" s="175" t="n">
        <v>0.0149</v>
      </c>
      <c r="N1661" s="176" t="n">
        <v>0.0182</v>
      </c>
      <c r="O1661" s="191" t="n">
        <v>1.86</v>
      </c>
      <c r="P1661" s="172" t="inlineStr">
        <is>
          <t>优先A</t>
        </is>
      </c>
      <c r="Q1661" s="178" t="n">
        <v>0.9</v>
      </c>
      <c r="R1661" s="179" t="n">
        <v>9</v>
      </c>
      <c r="S1661" s="177" t="inlineStr">
        <is>
          <t>AAA</t>
        </is>
      </c>
      <c r="T1661" s="178" t="n">
        <v>0.016</v>
      </c>
      <c r="U1661" s="177" t="inlineStr">
        <is>
          <t>平安理财</t>
        </is>
      </c>
      <c r="V1661" s="192" t="n">
        <v>0.37</v>
      </c>
      <c r="W1661" s="175" t="n">
        <v>0.016</v>
      </c>
      <c r="X1661" s="172" t="inlineStr">
        <is>
          <t>平安理财有限责任公司</t>
        </is>
      </c>
      <c r="Y1661" s="191" t="n">
        <v>0.37</v>
      </c>
    </row>
    <row r="1662">
      <c r="A1662" s="172" t="n">
        <v>92</v>
      </c>
      <c r="B1662" s="173" t="inlineStr">
        <is>
          <t>6月</t>
        </is>
      </c>
      <c r="C1662" s="173" t="inlineStr">
        <is>
          <t>消金</t>
        </is>
      </c>
      <c r="D1662" s="173" t="inlineStr">
        <is>
          <t>赊销白条</t>
        </is>
      </c>
      <c r="E1662" s="173" t="inlineStr">
        <is>
          <t>东裕9号春裕</t>
        </is>
      </c>
      <c r="F1662" s="173" t="inlineStr">
        <is>
          <t>银行间</t>
        </is>
      </c>
      <c r="G1662" s="173" t="inlineStr">
        <is>
          <t>兴业证券</t>
        </is>
      </c>
      <c r="H1662" s="173" t="inlineStr">
        <is>
          <t>杭州银行/南京银行/江苏银行/中信证券</t>
        </is>
      </c>
      <c r="I1662" s="173" t="inlineStr">
        <is>
          <t>平安北分</t>
        </is>
      </c>
      <c r="J1662" s="172" t="n">
        <v>10</v>
      </c>
      <c r="K1662" s="173" t="inlineStr">
        <is>
          <t>10+10+9+3</t>
        </is>
      </c>
      <c r="L1662" s="202" t="n">
        <v>46188</v>
      </c>
      <c r="M1662" s="175" t="n">
        <v>0.0149</v>
      </c>
      <c r="N1662" s="176" t="n">
        <v>0.0182</v>
      </c>
      <c r="O1662" s="191" t="n">
        <v>1.86</v>
      </c>
      <c r="P1662" s="172" t="inlineStr">
        <is>
          <t>优先A</t>
        </is>
      </c>
      <c r="Q1662" s="178" t="n">
        <v>0.9</v>
      </c>
      <c r="R1662" s="179" t="n">
        <v>9</v>
      </c>
      <c r="S1662" s="177" t="inlineStr">
        <is>
          <t>AAA</t>
        </is>
      </c>
      <c r="T1662" s="178" t="n">
        <v>0.016</v>
      </c>
      <c r="U1662" s="177" t="inlineStr">
        <is>
          <t>杭银理财</t>
        </is>
      </c>
      <c r="V1662" s="192" t="n">
        <v>0.45</v>
      </c>
      <c r="W1662" s="175" t="n">
        <v>0.016</v>
      </c>
      <c r="X1662" s="172" t="inlineStr">
        <is>
          <t>杭银理财有限责任公司</t>
        </is>
      </c>
      <c r="Y1662" s="191" t="n">
        <v>0.45</v>
      </c>
    </row>
    <row r="1663">
      <c r="A1663" s="172" t="n">
        <v>92</v>
      </c>
      <c r="B1663" s="173" t="inlineStr">
        <is>
          <t>6月</t>
        </is>
      </c>
      <c r="C1663" s="173" t="inlineStr">
        <is>
          <t>消金</t>
        </is>
      </c>
      <c r="D1663" s="173" t="inlineStr">
        <is>
          <t>赊销白条</t>
        </is>
      </c>
      <c r="E1663" s="173" t="inlineStr">
        <is>
          <t>东裕9号春裕</t>
        </is>
      </c>
      <c r="F1663" s="173" t="inlineStr">
        <is>
          <t>银行间</t>
        </is>
      </c>
      <c r="G1663" s="173" t="inlineStr">
        <is>
          <t>兴业证券</t>
        </is>
      </c>
      <c r="H1663" s="173" t="inlineStr">
        <is>
          <t>杭州银行/南京银行/江苏银行/中信证券</t>
        </is>
      </c>
      <c r="I1663" s="173" t="inlineStr">
        <is>
          <t>平安北分</t>
        </is>
      </c>
      <c r="J1663" s="172" t="n">
        <v>10</v>
      </c>
      <c r="K1663" s="173" t="inlineStr">
        <is>
          <t>10+10+9+3</t>
        </is>
      </c>
      <c r="L1663" s="202" t="n">
        <v>46188</v>
      </c>
      <c r="M1663" s="175" t="n">
        <v>0.0149</v>
      </c>
      <c r="N1663" s="176" t="n">
        <v>0.0182</v>
      </c>
      <c r="O1663" s="191" t="n">
        <v>1.86</v>
      </c>
      <c r="P1663" s="172" t="inlineStr">
        <is>
          <t>优先A</t>
        </is>
      </c>
      <c r="Q1663" s="178" t="n">
        <v>0.9</v>
      </c>
      <c r="R1663" s="179" t="n">
        <v>9</v>
      </c>
      <c r="S1663" s="177" t="inlineStr">
        <is>
          <t>AAA</t>
        </is>
      </c>
      <c r="T1663" s="178" t="n">
        <v>0.016</v>
      </c>
      <c r="U1663" s="177" t="inlineStr">
        <is>
          <t>江苏银行</t>
        </is>
      </c>
      <c r="V1663" s="192" t="n">
        <v>1.28</v>
      </c>
      <c r="W1663" s="175" t="n">
        <v>0.0155</v>
      </c>
      <c r="X1663" s="172" t="inlineStr">
        <is>
          <t>江苏银行股份有限公司</t>
        </is>
      </c>
      <c r="Y1663" s="191" t="n">
        <v>1.8</v>
      </c>
    </row>
    <row r="1664">
      <c r="A1664" s="172" t="n">
        <v>92</v>
      </c>
      <c r="B1664" s="173" t="inlineStr">
        <is>
          <t>6月</t>
        </is>
      </c>
      <c r="C1664" s="173" t="inlineStr">
        <is>
          <t>消金</t>
        </is>
      </c>
      <c r="D1664" s="173" t="inlineStr">
        <is>
          <t>赊销白条</t>
        </is>
      </c>
      <c r="E1664" s="173" t="inlineStr">
        <is>
          <t>东裕9号春裕</t>
        </is>
      </c>
      <c r="F1664" s="173" t="inlineStr">
        <is>
          <t>银行间</t>
        </is>
      </c>
      <c r="G1664" s="173" t="inlineStr">
        <is>
          <t>兴业证券</t>
        </is>
      </c>
      <c r="H1664" s="173" t="inlineStr">
        <is>
          <t>杭州银行/南京银行/江苏银行/中信证券</t>
        </is>
      </c>
      <c r="I1664" s="173" t="inlineStr">
        <is>
          <t>平安北分</t>
        </is>
      </c>
      <c r="J1664" s="172" t="n">
        <v>10</v>
      </c>
      <c r="K1664" s="173" t="inlineStr">
        <is>
          <t>10+10+9+3</t>
        </is>
      </c>
      <c r="L1664" s="202" t="n">
        <v>46188</v>
      </c>
      <c r="M1664" s="175" t="n">
        <v>0.0149</v>
      </c>
      <c r="N1664" s="176" t="n">
        <v>0.0182</v>
      </c>
      <c r="O1664" s="191" t="n">
        <v>1.86</v>
      </c>
      <c r="P1664" s="172" t="inlineStr">
        <is>
          <t>优先A</t>
        </is>
      </c>
      <c r="Q1664" s="178" t="n">
        <v>0.9</v>
      </c>
      <c r="R1664" s="179" t="n">
        <v>9</v>
      </c>
      <c r="S1664" s="177" t="inlineStr">
        <is>
          <t>AAA</t>
        </is>
      </c>
      <c r="T1664" s="178" t="n">
        <v>0.016</v>
      </c>
      <c r="U1664" s="177" t="inlineStr">
        <is>
          <t>杭州银行</t>
        </is>
      </c>
      <c r="V1664" s="192" t="n">
        <v>0.5</v>
      </c>
      <c r="W1664" s="175" t="n">
        <v>0.0155</v>
      </c>
      <c r="X1664" s="172" t="inlineStr">
        <is>
          <t>杭州银行股份有限公司</t>
        </is>
      </c>
      <c r="Y1664" s="191" t="n">
        <v>0.5</v>
      </c>
    </row>
    <row r="1665">
      <c r="A1665" s="172" t="n">
        <v>92</v>
      </c>
      <c r="B1665" s="172" t="inlineStr">
        <is>
          <t>6月</t>
        </is>
      </c>
      <c r="C1665" s="172" t="inlineStr">
        <is>
          <t>消金</t>
        </is>
      </c>
      <c r="D1665" s="172" t="inlineStr">
        <is>
          <t>赊销白条</t>
        </is>
      </c>
      <c r="E1665" s="172" t="inlineStr">
        <is>
          <t>东裕9号春裕</t>
        </is>
      </c>
      <c r="F1665" s="172" t="inlineStr">
        <is>
          <t>银行间</t>
        </is>
      </c>
      <c r="G1665" s="172" t="inlineStr">
        <is>
          <t>兴业证券</t>
        </is>
      </c>
      <c r="H1665" s="172" t="inlineStr">
        <is>
          <t>杭州银行/南京银行/江苏银行/中信证券</t>
        </is>
      </c>
      <c r="I1665" s="172" t="inlineStr">
        <is>
          <t>平安北分</t>
        </is>
      </c>
      <c r="J1665" s="172" t="n">
        <v>10</v>
      </c>
      <c r="K1665" s="172" t="inlineStr">
        <is>
          <t>10+10+9+3</t>
        </is>
      </c>
      <c r="L1665" s="208" t="n">
        <v>46188</v>
      </c>
      <c r="M1665" s="175" t="n">
        <v>0.0149</v>
      </c>
      <c r="N1665" s="176" t="n">
        <v>0.0182</v>
      </c>
      <c r="O1665" s="172" t="n">
        <v>1.86</v>
      </c>
      <c r="P1665" s="172" t="inlineStr">
        <is>
          <t>优先A</t>
        </is>
      </c>
      <c r="Q1665" s="175" t="n">
        <v>0.9</v>
      </c>
      <c r="R1665" s="192" t="n">
        <v>9</v>
      </c>
      <c r="S1665" s="172" t="inlineStr">
        <is>
          <t>AAA</t>
        </is>
      </c>
      <c r="T1665" s="175" t="n">
        <v>0.016</v>
      </c>
      <c r="U1665" s="172" t="n"/>
      <c r="V1665" s="172" t="n"/>
      <c r="W1665" s="175" t="n">
        <v>0.016</v>
      </c>
      <c r="X1665" s="172" t="inlineStr">
        <is>
          <t>杭州银行股份有限公司</t>
        </is>
      </c>
      <c r="Y1665" s="191" t="n">
        <v>0.85</v>
      </c>
    </row>
    <row r="1666">
      <c r="A1666" s="172" t="n">
        <v>92</v>
      </c>
      <c r="B1666" s="172" t="inlineStr">
        <is>
          <t>6月</t>
        </is>
      </c>
      <c r="C1666" s="172" t="inlineStr">
        <is>
          <t>消金</t>
        </is>
      </c>
      <c r="D1666" s="172" t="inlineStr">
        <is>
          <t>赊销白条</t>
        </is>
      </c>
      <c r="E1666" s="172" t="inlineStr">
        <is>
          <t>东裕9号春裕</t>
        </is>
      </c>
      <c r="F1666" s="172" t="inlineStr">
        <is>
          <t>银行间</t>
        </is>
      </c>
      <c r="G1666" s="172" t="inlineStr">
        <is>
          <t>兴业证券</t>
        </is>
      </c>
      <c r="H1666" s="172" t="inlineStr">
        <is>
          <t>杭州银行/南京银行/江苏银行/中信证券</t>
        </is>
      </c>
      <c r="I1666" s="172" t="inlineStr">
        <is>
          <t>平安北分</t>
        </is>
      </c>
      <c r="J1666" s="172" t="n">
        <v>10</v>
      </c>
      <c r="K1666" s="172" t="inlineStr">
        <is>
          <t>10+10+9+3</t>
        </is>
      </c>
      <c r="L1666" s="208" t="n">
        <v>46188</v>
      </c>
      <c r="M1666" s="175" t="n">
        <v>0.0149</v>
      </c>
      <c r="N1666" s="176" t="n">
        <v>0.0182</v>
      </c>
      <c r="O1666" s="172" t="n">
        <v>1.86</v>
      </c>
      <c r="P1666" s="172" t="inlineStr">
        <is>
          <t>优先A</t>
        </is>
      </c>
      <c r="Q1666" s="175" t="n">
        <v>0.9</v>
      </c>
      <c r="R1666" s="192" t="n">
        <v>9</v>
      </c>
      <c r="S1666" s="172" t="inlineStr">
        <is>
          <t>AAA</t>
        </is>
      </c>
      <c r="T1666" s="175" t="n">
        <v>0.016</v>
      </c>
      <c r="U1666" s="172" t="n"/>
      <c r="V1666" s="172" t="n"/>
      <c r="W1666" s="175" t="n">
        <v>0.0165</v>
      </c>
      <c r="X1666" s="172" t="inlineStr">
        <is>
          <t>工银理财有限责任公司</t>
        </is>
      </c>
      <c r="Y1666" s="191" t="n">
        <v>2.5</v>
      </c>
    </row>
    <row r="1667">
      <c r="A1667" s="172" t="n">
        <v>92</v>
      </c>
      <c r="B1667" s="172" t="inlineStr">
        <is>
          <t>6月</t>
        </is>
      </c>
      <c r="C1667" s="172" t="inlineStr">
        <is>
          <t>消金</t>
        </is>
      </c>
      <c r="D1667" s="172" t="inlineStr">
        <is>
          <t>赊销白条</t>
        </is>
      </c>
      <c r="E1667" s="172" t="inlineStr">
        <is>
          <t>东裕9号春裕</t>
        </is>
      </c>
      <c r="F1667" s="172" t="inlineStr">
        <is>
          <t>银行间</t>
        </is>
      </c>
      <c r="G1667" s="172" t="inlineStr">
        <is>
          <t>兴业证券</t>
        </is>
      </c>
      <c r="H1667" s="172" t="inlineStr">
        <is>
          <t>杭州银行/南京银行/江苏银行/中信证券</t>
        </is>
      </c>
      <c r="I1667" s="172" t="inlineStr">
        <is>
          <t>平安北分</t>
        </is>
      </c>
      <c r="J1667" s="172" t="n">
        <v>10</v>
      </c>
      <c r="K1667" s="172" t="inlineStr">
        <is>
          <t>10+10+9+3</t>
        </is>
      </c>
      <c r="L1667" s="208" t="n">
        <v>46188</v>
      </c>
      <c r="M1667" s="175" t="n">
        <v>0.0149</v>
      </c>
      <c r="N1667" s="176" t="n">
        <v>0.0182</v>
      </c>
      <c r="O1667" s="172" t="n">
        <v>1.86</v>
      </c>
      <c r="P1667" s="172" t="inlineStr">
        <is>
          <t>优先A</t>
        </is>
      </c>
      <c r="Q1667" s="175" t="n">
        <v>0.9</v>
      </c>
      <c r="R1667" s="192" t="n">
        <v>9</v>
      </c>
      <c r="S1667" s="172" t="inlineStr">
        <is>
          <t>AAA</t>
        </is>
      </c>
      <c r="T1667" s="175" t="n">
        <v>0.016</v>
      </c>
      <c r="U1667" s="172" t="n"/>
      <c r="V1667" s="172" t="n"/>
      <c r="W1667" s="175" t="n">
        <v>0.0165</v>
      </c>
      <c r="X1667" s="172" t="inlineStr">
        <is>
          <t>建信信托有限责任公司</t>
        </is>
      </c>
      <c r="Y1667" s="191" t="n">
        <v>1</v>
      </c>
    </row>
    <row r="1668">
      <c r="A1668" s="172" t="n">
        <v>92</v>
      </c>
      <c r="B1668" s="172" t="inlineStr">
        <is>
          <t>6月</t>
        </is>
      </c>
      <c r="C1668" s="172" t="inlineStr">
        <is>
          <t>消金</t>
        </is>
      </c>
      <c r="D1668" s="172" t="inlineStr">
        <is>
          <t>赊销白条</t>
        </is>
      </c>
      <c r="E1668" s="172" t="inlineStr">
        <is>
          <t>东裕9号春裕</t>
        </is>
      </c>
      <c r="F1668" s="172" t="inlineStr">
        <is>
          <t>银行间</t>
        </is>
      </c>
      <c r="G1668" s="172" t="inlineStr">
        <is>
          <t>兴业证券</t>
        </is>
      </c>
      <c r="H1668" s="172" t="inlineStr">
        <is>
          <t>杭州银行/南京银行/江苏银行/中信证券</t>
        </is>
      </c>
      <c r="I1668" s="172" t="inlineStr">
        <is>
          <t>平安北分</t>
        </is>
      </c>
      <c r="J1668" s="172" t="n">
        <v>10</v>
      </c>
      <c r="K1668" s="172" t="inlineStr">
        <is>
          <t>10+10+9+3</t>
        </is>
      </c>
      <c r="L1668" s="208" t="n">
        <v>46188</v>
      </c>
      <c r="M1668" s="175" t="n">
        <v>0.0149</v>
      </c>
      <c r="N1668" s="176" t="n">
        <v>0.0182</v>
      </c>
      <c r="O1668" s="172" t="n">
        <v>1.86</v>
      </c>
      <c r="P1668" s="172" t="inlineStr">
        <is>
          <t>优先A</t>
        </is>
      </c>
      <c r="Q1668" s="175" t="n">
        <v>0.9</v>
      </c>
      <c r="R1668" s="192" t="n">
        <v>9</v>
      </c>
      <c r="S1668" s="172" t="inlineStr">
        <is>
          <t>AAA</t>
        </is>
      </c>
      <c r="T1668" s="175" t="n">
        <v>0.016</v>
      </c>
      <c r="U1668" s="172" t="n"/>
      <c r="V1668" s="172" t="n"/>
      <c r="W1668" s="175" t="n">
        <v>0.024</v>
      </c>
      <c r="X1668" s="172" t="inlineStr">
        <is>
          <t>上海利曦私募基金管理合伙企业</t>
        </is>
      </c>
      <c r="Y1668" s="191" t="n">
        <v>2</v>
      </c>
    </row>
    <row r="1669">
      <c r="A1669" s="172" t="n">
        <v>92</v>
      </c>
      <c r="B1669" s="173" t="inlineStr">
        <is>
          <t>6月</t>
        </is>
      </c>
      <c r="C1669" s="173" t="inlineStr">
        <is>
          <t>消金</t>
        </is>
      </c>
      <c r="D1669" s="173" t="inlineStr">
        <is>
          <t>赊销白条</t>
        </is>
      </c>
      <c r="E1669" s="173" t="inlineStr">
        <is>
          <t>东裕9号春裕</t>
        </is>
      </c>
      <c r="F1669" s="173" t="inlineStr">
        <is>
          <t>银行间</t>
        </is>
      </c>
      <c r="G1669" s="173" t="inlineStr">
        <is>
          <t>兴业证券</t>
        </is>
      </c>
      <c r="H1669" s="173" t="inlineStr">
        <is>
          <t>杭州银行/南京银行/江苏银行/中信证券</t>
        </is>
      </c>
      <c r="I1669" s="173" t="inlineStr">
        <is>
          <t>平安北分</t>
        </is>
      </c>
      <c r="J1669" s="172" t="n">
        <v>10</v>
      </c>
      <c r="K1669" s="173" t="inlineStr">
        <is>
          <t>10+10+9+3</t>
        </is>
      </c>
      <c r="L1669" s="202" t="n">
        <v>46188</v>
      </c>
      <c r="M1669" s="175" t="n">
        <v>0.0149</v>
      </c>
      <c r="N1669" s="176" t="n">
        <v>0.0182</v>
      </c>
      <c r="O1669" s="191" t="n">
        <v>1.86</v>
      </c>
      <c r="P1669" s="177" t="inlineStr">
        <is>
          <t>优先B</t>
        </is>
      </c>
      <c r="Q1669" s="178" t="n">
        <v>0.03</v>
      </c>
      <c r="R1669" s="179" t="n">
        <v>0.3</v>
      </c>
      <c r="S1669" s="177" t="inlineStr">
        <is>
          <t>AA+</t>
        </is>
      </c>
      <c r="T1669" s="178" t="n">
        <v>0.0172</v>
      </c>
      <c r="U1669" s="177" t="inlineStr">
        <is>
          <t>交银理财</t>
        </is>
      </c>
      <c r="V1669" s="192" t="n">
        <v>0.09</v>
      </c>
      <c r="W1669" s="175" t="n">
        <v>0.017</v>
      </c>
      <c r="X1669" s="172" t="inlineStr">
        <is>
          <t>交银理财有限责任公司</t>
        </is>
      </c>
      <c r="Y1669" s="191" t="n">
        <v>0.09</v>
      </c>
    </row>
    <row r="1670">
      <c r="A1670" s="172" t="n">
        <v>92</v>
      </c>
      <c r="B1670" s="173" t="inlineStr">
        <is>
          <t>6月</t>
        </is>
      </c>
      <c r="C1670" s="173" t="inlineStr">
        <is>
          <t>消金</t>
        </is>
      </c>
      <c r="D1670" s="173" t="inlineStr">
        <is>
          <t>赊销白条</t>
        </is>
      </c>
      <c r="E1670" s="173" t="inlineStr">
        <is>
          <t>东裕9号春裕</t>
        </is>
      </c>
      <c r="F1670" s="173" t="inlineStr">
        <is>
          <t>银行间</t>
        </is>
      </c>
      <c r="G1670" s="173" t="inlineStr">
        <is>
          <t>兴业证券</t>
        </is>
      </c>
      <c r="H1670" s="173" t="inlineStr">
        <is>
          <t>杭州银行/南京银行/江苏银行/中信证券</t>
        </is>
      </c>
      <c r="I1670" s="173" t="inlineStr">
        <is>
          <t>平安北分</t>
        </is>
      </c>
      <c r="J1670" s="172" t="n">
        <v>10</v>
      </c>
      <c r="K1670" s="173" t="inlineStr">
        <is>
          <t>10+10+9+3</t>
        </is>
      </c>
      <c r="L1670" s="202" t="n">
        <v>46188</v>
      </c>
      <c r="M1670" s="175" t="n">
        <v>0.0149</v>
      </c>
      <c r="N1670" s="176" t="n">
        <v>0.0182</v>
      </c>
      <c r="O1670" s="191" t="n">
        <v>1.86</v>
      </c>
      <c r="P1670" s="172" t="inlineStr">
        <is>
          <t>优先B</t>
        </is>
      </c>
      <c r="Q1670" s="178" t="n">
        <v>0.03</v>
      </c>
      <c r="R1670" s="179" t="n">
        <v>0.3</v>
      </c>
      <c r="S1670" s="177" t="inlineStr">
        <is>
          <t>AA+</t>
        </is>
      </c>
      <c r="T1670" s="178" t="n">
        <v>0.0172</v>
      </c>
      <c r="U1670" s="177" t="inlineStr">
        <is>
          <t>建信信托</t>
        </is>
      </c>
      <c r="V1670" s="192" t="n">
        <v>0.12</v>
      </c>
      <c r="W1670" s="175" t="n">
        <v>0.0172</v>
      </c>
      <c r="X1670" s="172" t="inlineStr">
        <is>
          <t>建信信托有限责任公司</t>
        </is>
      </c>
      <c r="Y1670" s="191" t="n">
        <v>0.15</v>
      </c>
    </row>
    <row r="1671">
      <c r="A1671" s="172" t="n">
        <v>92</v>
      </c>
      <c r="B1671" s="173" t="inlineStr">
        <is>
          <t>6月</t>
        </is>
      </c>
      <c r="C1671" s="173" t="inlineStr">
        <is>
          <t>消金</t>
        </is>
      </c>
      <c r="D1671" s="173" t="inlineStr">
        <is>
          <t>赊销白条</t>
        </is>
      </c>
      <c r="E1671" s="173" t="inlineStr">
        <is>
          <t>东裕9号春裕</t>
        </is>
      </c>
      <c r="F1671" s="173" t="inlineStr">
        <is>
          <t>银行间</t>
        </is>
      </c>
      <c r="G1671" s="173" t="inlineStr">
        <is>
          <t>兴业证券</t>
        </is>
      </c>
      <c r="H1671" s="173" t="inlineStr">
        <is>
          <t>杭州银行/南京银行/江苏银行/中信证券</t>
        </is>
      </c>
      <c r="I1671" s="173" t="inlineStr">
        <is>
          <t>平安北分</t>
        </is>
      </c>
      <c r="J1671" s="172" t="n">
        <v>10</v>
      </c>
      <c r="K1671" s="173" t="inlineStr">
        <is>
          <t>10+10+9+3</t>
        </is>
      </c>
      <c r="L1671" s="202" t="n">
        <v>46188</v>
      </c>
      <c r="M1671" s="175" t="n">
        <v>0.0149</v>
      </c>
      <c r="N1671" s="176" t="n">
        <v>0.0182</v>
      </c>
      <c r="O1671" s="191" t="n">
        <v>1.86</v>
      </c>
      <c r="P1671" s="172" t="inlineStr">
        <is>
          <t>优先B</t>
        </is>
      </c>
      <c r="Q1671" s="178" t="n">
        <v>0.03</v>
      </c>
      <c r="R1671" s="179" t="n">
        <v>0.3</v>
      </c>
      <c r="S1671" s="177" t="inlineStr">
        <is>
          <t>AA+</t>
        </is>
      </c>
      <c r="T1671" s="178" t="n">
        <v>0.0172</v>
      </c>
      <c r="U1671" s="177" t="inlineStr">
        <is>
          <t>杭州联合银行</t>
        </is>
      </c>
      <c r="V1671" s="192" t="n">
        <v>0.09</v>
      </c>
      <c r="W1671" s="172" t="n"/>
      <c r="X1671" s="172" t="n"/>
      <c r="Y1671" s="172" t="n"/>
    </row>
    <row r="1672">
      <c r="A1672" s="172" t="n">
        <v>92</v>
      </c>
      <c r="B1672" s="172" t="inlineStr">
        <is>
          <t>6月</t>
        </is>
      </c>
      <c r="C1672" s="172" t="inlineStr">
        <is>
          <t>消金</t>
        </is>
      </c>
      <c r="D1672" s="172" t="inlineStr">
        <is>
          <t>赊销白条</t>
        </is>
      </c>
      <c r="E1672" s="172" t="inlineStr">
        <is>
          <t>东裕9号春裕</t>
        </is>
      </c>
      <c r="F1672" s="172" t="inlineStr">
        <is>
          <t>银行间</t>
        </is>
      </c>
      <c r="G1672" s="172" t="inlineStr">
        <is>
          <t>兴业证券</t>
        </is>
      </c>
      <c r="H1672" s="172" t="inlineStr">
        <is>
          <t>杭州银行/南京银行/江苏银行/中信证券</t>
        </is>
      </c>
      <c r="I1672" s="172" t="inlineStr">
        <is>
          <t>平安北分</t>
        </is>
      </c>
      <c r="J1672" s="172" t="n">
        <v>10</v>
      </c>
      <c r="K1672" s="172" t="inlineStr">
        <is>
          <t>10+10+9+3</t>
        </is>
      </c>
      <c r="L1672" s="208" t="n">
        <v>46188</v>
      </c>
      <c r="M1672" s="175" t="n">
        <v>0.0149</v>
      </c>
      <c r="N1672" s="176" t="n">
        <v>0.0182</v>
      </c>
      <c r="O1672" s="172" t="n">
        <v>1.86</v>
      </c>
      <c r="P1672" s="172" t="inlineStr">
        <is>
          <t>优先B</t>
        </is>
      </c>
      <c r="Q1672" s="175" t="n">
        <v>0.03</v>
      </c>
      <c r="R1672" s="192" t="n">
        <v>0.3</v>
      </c>
      <c r="S1672" s="172" t="inlineStr">
        <is>
          <t>AA+</t>
        </is>
      </c>
      <c r="T1672" s="175" t="n">
        <v>0.0172</v>
      </c>
      <c r="U1672" s="172" t="n"/>
      <c r="V1672" s="172" t="n"/>
      <c r="W1672" s="175" t="n">
        <v>0.0172</v>
      </c>
      <c r="X1672" s="172" t="inlineStr">
        <is>
          <t>杭州联合农村商业银行股份有限公司</t>
        </is>
      </c>
      <c r="Y1672" s="191" t="n">
        <v>0.09</v>
      </c>
    </row>
    <row r="1673">
      <c r="A1673" s="172" t="n">
        <v>92</v>
      </c>
      <c r="B1673" s="172" t="inlineStr">
        <is>
          <t>6月</t>
        </is>
      </c>
      <c r="C1673" s="172" t="inlineStr">
        <is>
          <t>消金</t>
        </is>
      </c>
      <c r="D1673" s="172" t="inlineStr">
        <is>
          <t>赊销白条</t>
        </is>
      </c>
      <c r="E1673" s="172" t="inlineStr">
        <is>
          <t>东裕9号春裕</t>
        </is>
      </c>
      <c r="F1673" s="172" t="inlineStr">
        <is>
          <t>银行间</t>
        </is>
      </c>
      <c r="G1673" s="172" t="inlineStr">
        <is>
          <t>兴业证券</t>
        </is>
      </c>
      <c r="H1673" s="172" t="inlineStr">
        <is>
          <t>杭州银行/南京银行/江苏银行/中信证券</t>
        </is>
      </c>
      <c r="I1673" s="172" t="inlineStr">
        <is>
          <t>平安北分</t>
        </is>
      </c>
      <c r="J1673" s="172" t="n">
        <v>10</v>
      </c>
      <c r="K1673" s="172" t="inlineStr">
        <is>
          <t>10+10+9+3</t>
        </is>
      </c>
      <c r="L1673" s="208" t="n">
        <v>46188</v>
      </c>
      <c r="M1673" s="175" t="n">
        <v>0.0149</v>
      </c>
      <c r="N1673" s="176" t="n">
        <v>0.0182</v>
      </c>
      <c r="O1673" s="172" t="n">
        <v>1.86</v>
      </c>
      <c r="P1673" s="172" t="inlineStr">
        <is>
          <t>优先B</t>
        </is>
      </c>
      <c r="Q1673" s="175" t="n">
        <v>0.03</v>
      </c>
      <c r="R1673" s="192" t="n">
        <v>0.3</v>
      </c>
      <c r="S1673" s="172" t="inlineStr">
        <is>
          <t>AA+</t>
        </is>
      </c>
      <c r="T1673" s="175" t="n">
        <v>0.0172</v>
      </c>
      <c r="U1673" s="172" t="n"/>
      <c r="V1673" s="172" t="n"/>
      <c r="W1673" s="175" t="n">
        <v>0.0187</v>
      </c>
      <c r="X1673" s="172" t="inlineStr">
        <is>
          <t>平安理财有限责任公司</t>
        </is>
      </c>
      <c r="Y1673" s="191" t="n">
        <v>0.07000000000000001</v>
      </c>
    </row>
    <row r="1674">
      <c r="A1674" s="172" t="n">
        <v>92</v>
      </c>
      <c r="B1674" s="173" t="inlineStr">
        <is>
          <t>6月</t>
        </is>
      </c>
      <c r="C1674" s="173" t="inlineStr">
        <is>
          <t>消金</t>
        </is>
      </c>
      <c r="D1674" s="173" t="inlineStr">
        <is>
          <t>赊销白条</t>
        </is>
      </c>
      <c r="E1674" s="173" t="inlineStr">
        <is>
          <t>东裕9号春裕</t>
        </is>
      </c>
      <c r="F1674" s="173" t="inlineStr">
        <is>
          <t>银行间</t>
        </is>
      </c>
      <c r="G1674" s="173" t="inlineStr">
        <is>
          <t>兴业证券</t>
        </is>
      </c>
      <c r="H1674" s="173" t="inlineStr">
        <is>
          <t>杭州银行/南京银行/江苏银行/中信证券</t>
        </is>
      </c>
      <c r="I1674" s="173" t="inlineStr">
        <is>
          <t>平安北分</t>
        </is>
      </c>
      <c r="J1674" s="172" t="n">
        <v>10</v>
      </c>
      <c r="K1674" s="173" t="inlineStr">
        <is>
          <t>10+10+9+3</t>
        </is>
      </c>
      <c r="L1674" s="202" t="n">
        <v>46188</v>
      </c>
      <c r="M1674" s="175" t="n">
        <v>0.0149</v>
      </c>
      <c r="N1674" s="176" t="n">
        <v>0.0182</v>
      </c>
      <c r="O1674" s="191" t="n">
        <v>1.86</v>
      </c>
      <c r="P1674" s="177" t="inlineStr">
        <is>
          <t>中间级</t>
        </is>
      </c>
      <c r="Q1674" s="178" t="n">
        <v>0.02</v>
      </c>
      <c r="R1674" s="179" t="n">
        <v>0.2</v>
      </c>
      <c r="S1674" s="177" t="inlineStr">
        <is>
          <t>A+</t>
        </is>
      </c>
      <c r="T1674" s="178" t="n">
        <v>0.031</v>
      </c>
      <c r="U1674" s="172" t="inlineStr">
        <is>
          <t>平安理财</t>
        </is>
      </c>
      <c r="V1674" s="192" t="n">
        <v>0.06</v>
      </c>
      <c r="W1674" s="172" t="n"/>
      <c r="X1674" s="172" t="n"/>
      <c r="Y1674" s="172" t="n"/>
    </row>
    <row r="1675">
      <c r="A1675" s="172" t="n">
        <v>92</v>
      </c>
      <c r="B1675" s="173" t="inlineStr">
        <is>
          <t>6月</t>
        </is>
      </c>
      <c r="C1675" s="173" t="inlineStr">
        <is>
          <t>消金</t>
        </is>
      </c>
      <c r="D1675" s="173" t="inlineStr">
        <is>
          <t>赊销白条</t>
        </is>
      </c>
      <c r="E1675" s="173" t="inlineStr">
        <is>
          <t>东裕9号春裕</t>
        </is>
      </c>
      <c r="F1675" s="173" t="inlineStr">
        <is>
          <t>银行间</t>
        </is>
      </c>
      <c r="G1675" s="173" t="inlineStr">
        <is>
          <t>兴业证券</t>
        </is>
      </c>
      <c r="H1675" s="173" t="inlineStr">
        <is>
          <t>杭州银行/南京银行/江苏银行/中信证券</t>
        </is>
      </c>
      <c r="I1675" s="173" t="inlineStr">
        <is>
          <t>平安北分</t>
        </is>
      </c>
      <c r="J1675" s="172" t="n">
        <v>10</v>
      </c>
      <c r="K1675" s="173" t="inlineStr">
        <is>
          <t>10+10+9+3</t>
        </is>
      </c>
      <c r="L1675" s="202" t="n">
        <v>46188</v>
      </c>
      <c r="M1675" s="175" t="n">
        <v>0.0149</v>
      </c>
      <c r="N1675" s="176" t="n">
        <v>0.0182</v>
      </c>
      <c r="O1675" s="191" t="n">
        <v>1.86</v>
      </c>
      <c r="P1675" s="172" t="inlineStr">
        <is>
          <t>中间级</t>
        </is>
      </c>
      <c r="Q1675" s="178" t="n">
        <v>0.02</v>
      </c>
      <c r="R1675" s="179" t="n">
        <v>0.2</v>
      </c>
      <c r="S1675" s="177" t="inlineStr">
        <is>
          <t>A+</t>
        </is>
      </c>
      <c r="T1675" s="178" t="n">
        <v>0.031</v>
      </c>
      <c r="U1675" s="172" t="inlineStr">
        <is>
          <t>建信信托</t>
        </is>
      </c>
      <c r="V1675" s="192" t="n">
        <v>0.08</v>
      </c>
      <c r="W1675" s="172" t="n"/>
      <c r="X1675" s="172" t="n"/>
      <c r="Y1675" s="172" t="n"/>
    </row>
    <row r="1676">
      <c r="A1676" s="172" t="n">
        <v>92</v>
      </c>
      <c r="B1676" s="173" t="inlineStr">
        <is>
          <t>6月</t>
        </is>
      </c>
      <c r="C1676" s="173" t="inlineStr">
        <is>
          <t>消金</t>
        </is>
      </c>
      <c r="D1676" s="173" t="inlineStr">
        <is>
          <t>赊销白条</t>
        </is>
      </c>
      <c r="E1676" s="173" t="inlineStr">
        <is>
          <t>东裕9号春裕</t>
        </is>
      </c>
      <c r="F1676" s="173" t="inlineStr">
        <is>
          <t>银行间</t>
        </is>
      </c>
      <c r="G1676" s="173" t="inlineStr">
        <is>
          <t>兴业证券</t>
        </is>
      </c>
      <c r="H1676" s="173" t="inlineStr">
        <is>
          <t>杭州银行/南京银行/江苏银行/中信证券</t>
        </is>
      </c>
      <c r="I1676" s="173" t="inlineStr">
        <is>
          <t>平安北分</t>
        </is>
      </c>
      <c r="J1676" s="172" t="n">
        <v>10</v>
      </c>
      <c r="K1676" s="173" t="inlineStr">
        <is>
          <t>10+10+9+3</t>
        </is>
      </c>
      <c r="L1676" s="202" t="n">
        <v>46188</v>
      </c>
      <c r="M1676" s="175" t="n">
        <v>0.0149</v>
      </c>
      <c r="N1676" s="176" t="n">
        <v>0.0182</v>
      </c>
      <c r="O1676" s="191" t="n">
        <v>1.86</v>
      </c>
      <c r="P1676" s="172" t="inlineStr">
        <is>
          <t>中间级</t>
        </is>
      </c>
      <c r="Q1676" s="178" t="n">
        <v>0.02</v>
      </c>
      <c r="R1676" s="179" t="n">
        <v>0.2</v>
      </c>
      <c r="S1676" s="177" t="inlineStr">
        <is>
          <t>A+</t>
        </is>
      </c>
      <c r="T1676" s="178" t="n">
        <v>0.031</v>
      </c>
      <c r="U1676" s="172" t="inlineStr">
        <is>
          <t>杭州联合银行</t>
        </is>
      </c>
      <c r="V1676" s="192" t="n">
        <v>0.06</v>
      </c>
      <c r="W1676" s="172" t="n"/>
      <c r="X1676" s="172" t="n"/>
      <c r="Y1676" s="172" t="n"/>
    </row>
    <row r="1677">
      <c r="A1677" s="172" t="n">
        <v>92</v>
      </c>
      <c r="B1677" s="173" t="inlineStr">
        <is>
          <t>6月</t>
        </is>
      </c>
      <c r="C1677" s="173" t="inlineStr">
        <is>
          <t>消金</t>
        </is>
      </c>
      <c r="D1677" s="173" t="inlineStr">
        <is>
          <t>赊销白条</t>
        </is>
      </c>
      <c r="E1677" s="173" t="inlineStr">
        <is>
          <t>东裕9号春裕</t>
        </is>
      </c>
      <c r="F1677" s="173" t="inlineStr">
        <is>
          <t>银行间</t>
        </is>
      </c>
      <c r="G1677" s="173" t="inlineStr">
        <is>
          <t>兴业证券</t>
        </is>
      </c>
      <c r="H1677" s="173" t="inlineStr">
        <is>
          <t>杭州银行/南京银行/江苏银行/中信证券</t>
        </is>
      </c>
      <c r="I1677" s="173" t="inlineStr">
        <is>
          <t>平安北分</t>
        </is>
      </c>
      <c r="J1677" s="172" t="n">
        <v>10</v>
      </c>
      <c r="K1677" s="173" t="inlineStr">
        <is>
          <t>10+10+9+3</t>
        </is>
      </c>
      <c r="L1677" s="202" t="n">
        <v>46188</v>
      </c>
      <c r="M1677" s="175" t="n">
        <v>0.0149</v>
      </c>
      <c r="N1677" s="176" t="n">
        <v>0.0182</v>
      </c>
      <c r="O1677" s="191" t="n">
        <v>1.86</v>
      </c>
      <c r="P1677" s="177" t="inlineStr">
        <is>
          <t>次级</t>
        </is>
      </c>
      <c r="Q1677" s="178" t="n">
        <v>0.05</v>
      </c>
      <c r="R1677" s="179" t="n">
        <v>0.5</v>
      </c>
      <c r="S1677" s="177" t="inlineStr">
        <is>
          <t>无</t>
        </is>
      </c>
      <c r="T1677" s="178" t="n">
        <v>0.045</v>
      </c>
      <c r="U1677" s="172" t="inlineStr">
        <is>
          <t>中金自营</t>
        </is>
      </c>
      <c r="V1677" s="195" t="n">
        <v>0.075</v>
      </c>
      <c r="W1677" s="172" t="n"/>
      <c r="X1677" s="172" t="n"/>
      <c r="Y1677" s="172" t="n"/>
    </row>
    <row r="1678">
      <c r="A1678" s="172" t="n">
        <v>92</v>
      </c>
      <c r="B1678" s="173" t="inlineStr">
        <is>
          <t>6月</t>
        </is>
      </c>
      <c r="C1678" s="173" t="inlineStr">
        <is>
          <t>消金</t>
        </is>
      </c>
      <c r="D1678" s="173" t="inlineStr">
        <is>
          <t>赊销白条</t>
        </is>
      </c>
      <c r="E1678" s="173" t="inlineStr">
        <is>
          <t>东裕9号春裕</t>
        </is>
      </c>
      <c r="F1678" s="173" t="inlineStr">
        <is>
          <t>银行间</t>
        </is>
      </c>
      <c r="G1678" s="173" t="inlineStr">
        <is>
          <t>兴业证券</t>
        </is>
      </c>
      <c r="H1678" s="173" t="inlineStr">
        <is>
          <t>杭州银行/南京银行/江苏银行/中信证券</t>
        </is>
      </c>
      <c r="I1678" s="173" t="inlineStr">
        <is>
          <t>平安北分</t>
        </is>
      </c>
      <c r="J1678" s="172" t="n">
        <v>10</v>
      </c>
      <c r="K1678" s="173" t="inlineStr">
        <is>
          <t>10+10+9+3</t>
        </is>
      </c>
      <c r="L1678" s="202" t="n">
        <v>46188</v>
      </c>
      <c r="M1678" s="175" t="n">
        <v>0.0149</v>
      </c>
      <c r="N1678" s="176" t="n">
        <v>0.0182</v>
      </c>
      <c r="O1678" s="191" t="n">
        <v>1.86</v>
      </c>
      <c r="P1678" s="172" t="inlineStr">
        <is>
          <t>次级</t>
        </is>
      </c>
      <c r="Q1678" s="178" t="n">
        <v>0.05</v>
      </c>
      <c r="R1678" s="179" t="n">
        <v>0.5</v>
      </c>
      <c r="S1678" s="177" t="inlineStr">
        <is>
          <t>无</t>
        </is>
      </c>
      <c r="T1678" s="178" t="n">
        <v>0.045</v>
      </c>
      <c r="U1678" s="172" t="inlineStr">
        <is>
          <t>申万宏源自营</t>
        </is>
      </c>
      <c r="V1678" s="192" t="n">
        <v>0.15</v>
      </c>
      <c r="W1678" s="172" t="n"/>
      <c r="X1678" s="172" t="n"/>
      <c r="Y1678" s="172" t="n"/>
    </row>
    <row r="1679">
      <c r="A1679" s="172" t="n">
        <v>92</v>
      </c>
      <c r="B1679" s="173" t="inlineStr">
        <is>
          <t>6月</t>
        </is>
      </c>
      <c r="C1679" s="173" t="inlineStr">
        <is>
          <t>消金</t>
        </is>
      </c>
      <c r="D1679" s="173" t="inlineStr">
        <is>
          <t>赊销白条</t>
        </is>
      </c>
      <c r="E1679" s="173" t="inlineStr">
        <is>
          <t>东裕9号春裕</t>
        </is>
      </c>
      <c r="F1679" s="173" t="inlineStr">
        <is>
          <t>银行间</t>
        </is>
      </c>
      <c r="G1679" s="173" t="inlineStr">
        <is>
          <t>兴业证券</t>
        </is>
      </c>
      <c r="H1679" s="173" t="inlineStr">
        <is>
          <t>杭州银行/南京银行/江苏银行/中信证券</t>
        </is>
      </c>
      <c r="I1679" s="173" t="inlineStr">
        <is>
          <t>平安北分</t>
        </is>
      </c>
      <c r="J1679" s="172" t="n">
        <v>10</v>
      </c>
      <c r="K1679" s="173" t="inlineStr">
        <is>
          <t>10+10+9+3</t>
        </is>
      </c>
      <c r="L1679" s="202" t="n">
        <v>46188</v>
      </c>
      <c r="M1679" s="175" t="n">
        <v>0.0149</v>
      </c>
      <c r="N1679" s="176" t="n">
        <v>0.0182</v>
      </c>
      <c r="O1679" s="191" t="n">
        <v>1.86</v>
      </c>
      <c r="P1679" s="172" t="inlineStr">
        <is>
          <t>次级</t>
        </is>
      </c>
      <c r="Q1679" s="178" t="n">
        <v>0.05</v>
      </c>
      <c r="R1679" s="179" t="n">
        <v>0.5</v>
      </c>
      <c r="S1679" s="177" t="inlineStr">
        <is>
          <t>无</t>
        </is>
      </c>
      <c r="T1679" s="178" t="n">
        <v>0.045</v>
      </c>
      <c r="U1679" s="172" t="inlineStr">
        <is>
          <t>东家铂睿</t>
        </is>
      </c>
      <c r="V1679" s="192" t="n">
        <v>0.2</v>
      </c>
      <c r="W1679" s="172" t="n"/>
      <c r="X1679" s="172" t="n"/>
      <c r="Y1679" s="172" t="n"/>
    </row>
    <row r="1680">
      <c r="A1680" s="172" t="n">
        <v>92</v>
      </c>
      <c r="B1680" s="173" t="inlineStr">
        <is>
          <t>6月</t>
        </is>
      </c>
      <c r="C1680" s="173" t="inlineStr">
        <is>
          <t>消金</t>
        </is>
      </c>
      <c r="D1680" s="173" t="inlineStr">
        <is>
          <t>赊销白条</t>
        </is>
      </c>
      <c r="E1680" s="173" t="inlineStr">
        <is>
          <t>东裕9号春裕</t>
        </is>
      </c>
      <c r="F1680" s="173" t="inlineStr">
        <is>
          <t>银行间</t>
        </is>
      </c>
      <c r="G1680" s="173" t="inlineStr">
        <is>
          <t>兴业证券</t>
        </is>
      </c>
      <c r="H1680" s="173" t="inlineStr">
        <is>
          <t>杭州银行/南京银行/江苏银行/中信证券</t>
        </is>
      </c>
      <c r="I1680" s="173" t="inlineStr">
        <is>
          <t>平安北分</t>
        </is>
      </c>
      <c r="J1680" s="172" t="n">
        <v>10</v>
      </c>
      <c r="K1680" s="173" t="inlineStr">
        <is>
          <t>10+10+9+3</t>
        </is>
      </c>
      <c r="L1680" s="202" t="n">
        <v>46188</v>
      </c>
      <c r="M1680" s="175" t="n">
        <v>0.0149</v>
      </c>
      <c r="N1680" s="176" t="n">
        <v>0.0182</v>
      </c>
      <c r="O1680" s="191" t="n">
        <v>1.86</v>
      </c>
      <c r="P1680" s="172" t="inlineStr">
        <is>
          <t>次级</t>
        </is>
      </c>
      <c r="Q1680" s="178" t="n">
        <v>0.05</v>
      </c>
      <c r="R1680" s="179" t="n">
        <v>0.5</v>
      </c>
      <c r="S1680" s="177" t="inlineStr">
        <is>
          <t>无</t>
        </is>
      </c>
      <c r="T1680" s="178" t="n">
        <v>0.045</v>
      </c>
      <c r="U1680" s="172" t="inlineStr">
        <is>
          <t>中信建投机构部</t>
        </is>
      </c>
      <c r="V1680" s="195" t="n">
        <v>0.075</v>
      </c>
      <c r="W1680" s="172" t="n"/>
      <c r="X1680" s="172" t="n"/>
      <c r="Y1680" s="172" t="n"/>
    </row>
    <row r="1681">
      <c r="A1681" s="172" t="n">
        <v>93</v>
      </c>
      <c r="B1681" s="172" t="inlineStr">
        <is>
          <t>6月</t>
        </is>
      </c>
      <c r="C1681" s="172" t="inlineStr">
        <is>
          <t>消金</t>
        </is>
      </c>
      <c r="D1681" s="172" t="inlineStr">
        <is>
          <t>金条&amp;白取&amp;白条混发</t>
        </is>
      </c>
      <c r="E1681" s="172" t="inlineStr">
        <is>
          <t>钰泽4号</t>
        </is>
      </c>
      <c r="F1681" s="172" t="inlineStr">
        <is>
          <t>结构化非标</t>
        </is>
      </c>
      <c r="G1681" s="172" t="inlineStr">
        <is>
          <t>西藏信托</t>
        </is>
      </c>
      <c r="H1681" s="172" t="inlineStr">
        <is>
          <t>-</t>
        </is>
      </c>
      <c r="I1681" s="172" t="inlineStr">
        <is>
          <t>建行北分</t>
        </is>
      </c>
      <c r="J1681" s="172" t="n">
        <v>15</v>
      </c>
      <c r="K1681" s="172" t="inlineStr">
        <is>
          <t>11+13</t>
        </is>
      </c>
      <c r="L1681" s="202" t="n">
        <v>46189</v>
      </c>
      <c r="M1681" s="175" t="n">
        <v>0.0149</v>
      </c>
      <c r="N1681" s="176" t="n">
        <v>0.03098</v>
      </c>
      <c r="O1681" s="191" t="inlineStr">
        <is>
          <t>-</t>
        </is>
      </c>
      <c r="P1681" s="172" t="inlineStr">
        <is>
          <t>结构化平层</t>
        </is>
      </c>
      <c r="Q1681" s="175" t="n">
        <v>0.75</v>
      </c>
      <c r="R1681" s="192" t="n">
        <v>11.25</v>
      </c>
      <c r="S1681" s="172" t="inlineStr">
        <is>
          <t>无</t>
        </is>
      </c>
      <c r="T1681" s="175" t="n">
        <v>0.0249</v>
      </c>
      <c r="U1681" s="172" t="inlineStr">
        <is>
          <t>摩根大通</t>
        </is>
      </c>
      <c r="V1681" s="172" t="n">
        <v>11.25</v>
      </c>
      <c r="W1681" s="172" t="n"/>
      <c r="X1681" s="172" t="n"/>
      <c r="Y1681" s="172" t="n"/>
    </row>
    <row r="1682">
      <c r="A1682" s="172" t="n">
        <v>93</v>
      </c>
      <c r="B1682" s="172" t="inlineStr">
        <is>
          <t>6月</t>
        </is>
      </c>
      <c r="C1682" s="172" t="inlineStr">
        <is>
          <t>消金</t>
        </is>
      </c>
      <c r="D1682" s="172" t="inlineStr">
        <is>
          <t>金条&amp;白取&amp;白条混发</t>
        </is>
      </c>
      <c r="E1682" s="172" t="inlineStr">
        <is>
          <t>钰泽4号</t>
        </is>
      </c>
      <c r="F1682" s="172" t="inlineStr">
        <is>
          <t>结构化非标</t>
        </is>
      </c>
      <c r="G1682" s="172" t="inlineStr">
        <is>
          <t>西藏信托</t>
        </is>
      </c>
      <c r="H1682" s="172" t="inlineStr">
        <is>
          <t>-</t>
        </is>
      </c>
      <c r="I1682" s="172" t="inlineStr">
        <is>
          <t>建行北分</t>
        </is>
      </c>
      <c r="J1682" s="172" t="n">
        <v>15</v>
      </c>
      <c r="K1682" s="172" t="inlineStr">
        <is>
          <t>11+13</t>
        </is>
      </c>
      <c r="L1682" s="202" t="n">
        <v>46189</v>
      </c>
      <c r="M1682" s="175" t="n">
        <v>0.0149</v>
      </c>
      <c r="N1682" s="176" t="n">
        <v>0.03098</v>
      </c>
      <c r="O1682" s="191" t="inlineStr">
        <is>
          <t>-</t>
        </is>
      </c>
      <c r="P1682" s="172" t="inlineStr">
        <is>
          <t>结构化平层</t>
        </is>
      </c>
      <c r="Q1682" s="175" t="n">
        <v>0.25</v>
      </c>
      <c r="R1682" s="192" t="n">
        <v>3.75</v>
      </c>
      <c r="S1682" s="172" t="inlineStr">
        <is>
          <t>无</t>
        </is>
      </c>
      <c r="T1682" s="175" t="n">
        <v>0.037</v>
      </c>
      <c r="U1682" s="172" t="inlineStr">
        <is>
          <t>中金自营</t>
        </is>
      </c>
      <c r="V1682" s="191" t="n">
        <v>0.8</v>
      </c>
      <c r="W1682" s="172" t="n"/>
      <c r="X1682" s="172" t="n"/>
      <c r="Y1682" s="172" t="n"/>
    </row>
    <row r="1683">
      <c r="A1683" s="172" t="n">
        <v>93</v>
      </c>
      <c r="B1683" s="172" t="inlineStr">
        <is>
          <t>6月</t>
        </is>
      </c>
      <c r="C1683" s="172" t="inlineStr">
        <is>
          <t>消金</t>
        </is>
      </c>
      <c r="D1683" s="172" t="inlineStr">
        <is>
          <t>金条&amp;白取&amp;白条混发</t>
        </is>
      </c>
      <c r="E1683" s="172" t="inlineStr">
        <is>
          <t>钰泽4号</t>
        </is>
      </c>
      <c r="F1683" s="172" t="inlineStr">
        <is>
          <t>结构化非标</t>
        </is>
      </c>
      <c r="G1683" s="172" t="inlineStr">
        <is>
          <t>西藏信托</t>
        </is>
      </c>
      <c r="H1683" s="172" t="inlineStr">
        <is>
          <t>-</t>
        </is>
      </c>
      <c r="I1683" s="172" t="inlineStr">
        <is>
          <t>建行北分</t>
        </is>
      </c>
      <c r="J1683" s="172" t="n">
        <v>15</v>
      </c>
      <c r="K1683" s="172" t="inlineStr">
        <is>
          <t>11+13</t>
        </is>
      </c>
      <c r="L1683" s="202" t="n">
        <v>46189</v>
      </c>
      <c r="M1683" s="175" t="n">
        <v>0.0149</v>
      </c>
      <c r="N1683" s="176" t="n">
        <v>0.03098</v>
      </c>
      <c r="O1683" s="191" t="inlineStr">
        <is>
          <t>-</t>
        </is>
      </c>
      <c r="P1683" s="172" t="inlineStr">
        <is>
          <t>结构化平层</t>
        </is>
      </c>
      <c r="Q1683" s="175" t="n">
        <v>0.25</v>
      </c>
      <c r="R1683" s="192" t="n">
        <v>3.75</v>
      </c>
      <c r="S1683" s="172" t="inlineStr">
        <is>
          <t>无</t>
        </is>
      </c>
      <c r="T1683" s="175" t="n">
        <v>0.037</v>
      </c>
      <c r="U1683" s="172" t="inlineStr">
        <is>
          <t>中信建投衍生品</t>
        </is>
      </c>
      <c r="V1683" s="191" t="n">
        <v>1.1</v>
      </c>
      <c r="W1683" s="172" t="n"/>
      <c r="X1683" s="172" t="n"/>
      <c r="Y1683" s="172" t="n"/>
    </row>
    <row r="1684">
      <c r="A1684" s="172" t="n">
        <v>93</v>
      </c>
      <c r="B1684" s="172" t="inlineStr">
        <is>
          <t>6月</t>
        </is>
      </c>
      <c r="C1684" s="172" t="inlineStr">
        <is>
          <t>消金</t>
        </is>
      </c>
      <c r="D1684" s="172" t="inlineStr">
        <is>
          <t>金条&amp;白取&amp;白条混发</t>
        </is>
      </c>
      <c r="E1684" s="172" t="inlineStr">
        <is>
          <t>钰泽4号</t>
        </is>
      </c>
      <c r="F1684" s="172" t="inlineStr">
        <is>
          <t>结构化非标</t>
        </is>
      </c>
      <c r="G1684" s="172" t="inlineStr">
        <is>
          <t>西藏信托</t>
        </is>
      </c>
      <c r="H1684" s="172" t="inlineStr">
        <is>
          <t>-</t>
        </is>
      </c>
      <c r="I1684" s="172" t="inlineStr">
        <is>
          <t>建行北分</t>
        </is>
      </c>
      <c r="J1684" s="172" t="n">
        <v>15</v>
      </c>
      <c r="K1684" s="172" t="inlineStr">
        <is>
          <t>11+13</t>
        </is>
      </c>
      <c r="L1684" s="202" t="n">
        <v>46189</v>
      </c>
      <c r="M1684" s="175" t="n">
        <v>0.0149</v>
      </c>
      <c r="N1684" s="176" t="n">
        <v>0.03098</v>
      </c>
      <c r="O1684" s="191" t="inlineStr">
        <is>
          <t>-</t>
        </is>
      </c>
      <c r="P1684" s="172" t="inlineStr">
        <is>
          <t>结构化平层</t>
        </is>
      </c>
      <c r="Q1684" s="175" t="n">
        <v>0.25</v>
      </c>
      <c r="R1684" s="192" t="n">
        <v>3.75</v>
      </c>
      <c r="S1684" s="172" t="inlineStr">
        <is>
          <t>无</t>
        </is>
      </c>
      <c r="T1684" s="175" t="n">
        <v>0.037</v>
      </c>
      <c r="U1684" s="172" t="inlineStr">
        <is>
          <t>中信证券自营</t>
        </is>
      </c>
      <c r="V1684" s="172" t="n">
        <v>1.85</v>
      </c>
      <c r="W1684" s="172" t="n"/>
      <c r="X1684" s="172" t="n"/>
      <c r="Y1684" s="172" t="n"/>
    </row>
    <row r="1685">
      <c r="A1685" s="172" t="n">
        <v>94</v>
      </c>
      <c r="B1685" s="172" t="inlineStr">
        <is>
          <t>6月</t>
        </is>
      </c>
      <c r="C1685" s="172" t="inlineStr">
        <is>
          <t>企金</t>
        </is>
      </c>
      <c r="D1685" s="172" t="inlineStr">
        <is>
          <t>金采</t>
        </is>
      </c>
      <c r="E1685" s="172" t="inlineStr">
        <is>
          <t>金采8-3</t>
        </is>
      </c>
      <c r="F1685" s="172" t="inlineStr">
        <is>
          <t>上交所</t>
        </is>
      </c>
      <c r="G1685" s="172" t="inlineStr">
        <is>
          <t>国泰海通</t>
        </is>
      </c>
      <c r="H1685" s="172" t="inlineStr">
        <is>
          <t>长城证券</t>
        </is>
      </c>
      <c r="I1685" s="172" t="inlineStr">
        <is>
          <t>光大北分</t>
        </is>
      </c>
      <c r="J1685" s="172" t="n">
        <v>10</v>
      </c>
      <c r="K1685" s="172" t="inlineStr">
        <is>
          <t>7+12</t>
        </is>
      </c>
      <c r="L1685" s="202" t="n">
        <v>46191</v>
      </c>
      <c r="M1685" s="175" t="n">
        <v>0.0148</v>
      </c>
      <c r="N1685" s="176" t="n">
        <v>0.0187</v>
      </c>
      <c r="O1685" s="191" t="n">
        <v>1.96</v>
      </c>
      <c r="P1685" s="172" t="inlineStr">
        <is>
          <t>优先级</t>
        </is>
      </c>
      <c r="Q1685" s="175" t="n">
        <v>0.9</v>
      </c>
      <c r="R1685" s="192" t="n">
        <v>9</v>
      </c>
      <c r="S1685" s="172" t="inlineStr">
        <is>
          <t>AAA</t>
        </is>
      </c>
      <c r="T1685" s="175" t="n">
        <v>0.016</v>
      </c>
      <c r="U1685" s="172" t="inlineStr">
        <is>
          <t>邦汇保理</t>
        </is>
      </c>
      <c r="V1685" s="191" t="n">
        <v>0.45</v>
      </c>
      <c r="W1685" s="172" t="n"/>
      <c r="X1685" s="172" t="n"/>
      <c r="Y1685" s="172" t="n"/>
    </row>
    <row r="1686">
      <c r="A1686" s="172" t="n">
        <v>94</v>
      </c>
      <c r="B1686" s="172" t="inlineStr">
        <is>
          <t>6月</t>
        </is>
      </c>
      <c r="C1686" s="172" t="inlineStr">
        <is>
          <t>企金</t>
        </is>
      </c>
      <c r="D1686" s="172" t="inlineStr">
        <is>
          <t>金采</t>
        </is>
      </c>
      <c r="E1686" s="172" t="inlineStr">
        <is>
          <t>金采8-3</t>
        </is>
      </c>
      <c r="F1686" s="172" t="inlineStr">
        <is>
          <t>上交所</t>
        </is>
      </c>
      <c r="G1686" s="172" t="inlineStr">
        <is>
          <t>国泰海通</t>
        </is>
      </c>
      <c r="H1686" s="172" t="inlineStr">
        <is>
          <t>长城证券</t>
        </is>
      </c>
      <c r="I1686" s="172" t="inlineStr">
        <is>
          <t>光大北分</t>
        </is>
      </c>
      <c r="J1686" s="172" t="n">
        <v>10</v>
      </c>
      <c r="K1686" s="172" t="inlineStr">
        <is>
          <t>7+12</t>
        </is>
      </c>
      <c r="L1686" s="202" t="n">
        <v>46191</v>
      </c>
      <c r="M1686" s="175" t="n">
        <v>0.0148</v>
      </c>
      <c r="N1686" s="176" t="n">
        <v>0.0187</v>
      </c>
      <c r="O1686" s="191" t="n">
        <v>1.96</v>
      </c>
      <c r="P1686" s="172" t="inlineStr">
        <is>
          <t>优先级</t>
        </is>
      </c>
      <c r="Q1686" s="175" t="n">
        <v>0.9</v>
      </c>
      <c r="R1686" s="192" t="n">
        <v>9</v>
      </c>
      <c r="S1686" s="172" t="inlineStr">
        <is>
          <t>AAA</t>
        </is>
      </c>
      <c r="T1686" s="175" t="n">
        <v>0.016</v>
      </c>
      <c r="U1686" s="172" t="inlineStr">
        <is>
          <t>宝武财务</t>
        </is>
      </c>
      <c r="V1686" s="191" t="n">
        <v>0.3</v>
      </c>
      <c r="W1686" s="175" t="n">
        <v>0.016</v>
      </c>
      <c r="X1686" s="172" t="inlineStr">
        <is>
          <t>宝武财务</t>
        </is>
      </c>
      <c r="Y1686" s="191" t="n">
        <v>0.5</v>
      </c>
    </row>
    <row r="1687">
      <c r="A1687" s="172" t="n">
        <v>94</v>
      </c>
      <c r="B1687" s="172" t="inlineStr">
        <is>
          <t>6月</t>
        </is>
      </c>
      <c r="C1687" s="172" t="inlineStr">
        <is>
          <t>企金</t>
        </is>
      </c>
      <c r="D1687" s="172" t="inlineStr">
        <is>
          <t>金采</t>
        </is>
      </c>
      <c r="E1687" s="172" t="inlineStr">
        <is>
          <t>金采8-3</t>
        </is>
      </c>
      <c r="F1687" s="172" t="inlineStr">
        <is>
          <t>上交所</t>
        </is>
      </c>
      <c r="G1687" s="172" t="inlineStr">
        <is>
          <t>国泰海通</t>
        </is>
      </c>
      <c r="H1687" s="172" t="inlineStr">
        <is>
          <t>长城证券</t>
        </is>
      </c>
      <c r="I1687" s="172" t="inlineStr">
        <is>
          <t>光大北分</t>
        </is>
      </c>
      <c r="J1687" s="172" t="n">
        <v>10</v>
      </c>
      <c r="K1687" s="172" t="inlineStr">
        <is>
          <t>7+12</t>
        </is>
      </c>
      <c r="L1687" s="208" t="n">
        <v>46191</v>
      </c>
      <c r="M1687" s="175" t="n">
        <v>0.0148</v>
      </c>
      <c r="N1687" s="176" t="n">
        <v>0.0187</v>
      </c>
      <c r="O1687" s="172" t="n">
        <v>1.96</v>
      </c>
      <c r="P1687" s="172" t="inlineStr">
        <is>
          <t>优先级</t>
        </is>
      </c>
      <c r="Q1687" s="175" t="n">
        <v>0.9</v>
      </c>
      <c r="R1687" s="192" t="n">
        <v>9</v>
      </c>
      <c r="S1687" s="172" t="inlineStr">
        <is>
          <t>AAA</t>
        </is>
      </c>
      <c r="T1687" s="175" t="n">
        <v>0.016</v>
      </c>
      <c r="U1687" s="172" t="n"/>
      <c r="V1687" s="172" t="n"/>
      <c r="W1687" s="175" t="n">
        <v>0.0164</v>
      </c>
      <c r="X1687" s="172" t="inlineStr">
        <is>
          <t>宝武财务</t>
        </is>
      </c>
      <c r="Y1687" s="191" t="n">
        <v>0.7</v>
      </c>
    </row>
    <row r="1688">
      <c r="A1688" s="172" t="n">
        <v>94</v>
      </c>
      <c r="B1688" s="172" t="inlineStr">
        <is>
          <t>6月</t>
        </is>
      </c>
      <c r="C1688" s="172" t="inlineStr">
        <is>
          <t>企金</t>
        </is>
      </c>
      <c r="D1688" s="172" t="inlineStr">
        <is>
          <t>金采</t>
        </is>
      </c>
      <c r="E1688" s="172" t="inlineStr">
        <is>
          <t>金采8-3</t>
        </is>
      </c>
      <c r="F1688" s="172" t="inlineStr">
        <is>
          <t>上交所</t>
        </is>
      </c>
      <c r="G1688" s="172" t="inlineStr">
        <is>
          <t>国泰海通</t>
        </is>
      </c>
      <c r="H1688" s="172" t="inlineStr">
        <is>
          <t>长城证券</t>
        </is>
      </c>
      <c r="I1688" s="172" t="inlineStr">
        <is>
          <t>光大北分</t>
        </is>
      </c>
      <c r="J1688" s="172" t="n">
        <v>10</v>
      </c>
      <c r="K1688" s="172" t="inlineStr">
        <is>
          <t>7+12</t>
        </is>
      </c>
      <c r="L1688" s="202" t="n">
        <v>46191</v>
      </c>
      <c r="M1688" s="175" t="n">
        <v>0.0148</v>
      </c>
      <c r="N1688" s="176" t="n">
        <v>0.0187</v>
      </c>
      <c r="O1688" s="191" t="n">
        <v>1.96</v>
      </c>
      <c r="P1688" s="172" t="inlineStr">
        <is>
          <t>优先级</t>
        </is>
      </c>
      <c r="Q1688" s="175" t="n">
        <v>0.9</v>
      </c>
      <c r="R1688" s="192" t="n">
        <v>9</v>
      </c>
      <c r="S1688" s="172" t="inlineStr">
        <is>
          <t>AAA</t>
        </is>
      </c>
      <c r="T1688" s="175" t="n">
        <v>0.016</v>
      </c>
      <c r="U1688" s="172" t="inlineStr">
        <is>
          <t>建信信托</t>
        </is>
      </c>
      <c r="V1688" s="191" t="n">
        <v>0.9</v>
      </c>
      <c r="W1688" s="175" t="n">
        <v>0.0158</v>
      </c>
      <c r="X1688" s="172" t="inlineStr">
        <is>
          <t>建信信托</t>
        </is>
      </c>
      <c r="Y1688" s="191" t="n">
        <v>0.9</v>
      </c>
    </row>
    <row r="1689">
      <c r="A1689" s="172" t="n">
        <v>94</v>
      </c>
      <c r="B1689" s="172" t="inlineStr">
        <is>
          <t>6月</t>
        </is>
      </c>
      <c r="C1689" s="172" t="inlineStr">
        <is>
          <t>企金</t>
        </is>
      </c>
      <c r="D1689" s="172" t="inlineStr">
        <is>
          <t>金采</t>
        </is>
      </c>
      <c r="E1689" s="172" t="inlineStr">
        <is>
          <t>金采8-3</t>
        </is>
      </c>
      <c r="F1689" s="172" t="inlineStr">
        <is>
          <t>上交所</t>
        </is>
      </c>
      <c r="G1689" s="172" t="inlineStr">
        <is>
          <t>国泰海通</t>
        </is>
      </c>
      <c r="H1689" s="172" t="inlineStr">
        <is>
          <t>长城证券</t>
        </is>
      </c>
      <c r="I1689" s="172" t="inlineStr">
        <is>
          <t>光大北分</t>
        </is>
      </c>
      <c r="J1689" s="172" t="n">
        <v>10</v>
      </c>
      <c r="K1689" s="172" t="inlineStr">
        <is>
          <t>7+12</t>
        </is>
      </c>
      <c r="L1689" s="202" t="n">
        <v>46191</v>
      </c>
      <c r="M1689" s="175" t="n">
        <v>0.0148</v>
      </c>
      <c r="N1689" s="176" t="n">
        <v>0.0187</v>
      </c>
      <c r="O1689" s="191" t="n">
        <v>1.96</v>
      </c>
      <c r="P1689" s="172" t="inlineStr">
        <is>
          <t>优先级</t>
        </is>
      </c>
      <c r="Q1689" s="175" t="n">
        <v>0.9</v>
      </c>
      <c r="R1689" s="192" t="n">
        <v>9</v>
      </c>
      <c r="S1689" s="172" t="inlineStr">
        <is>
          <t>AAA</t>
        </is>
      </c>
      <c r="T1689" s="175" t="n">
        <v>0.016</v>
      </c>
      <c r="U1689" s="172" t="inlineStr">
        <is>
          <t>民生理财</t>
        </is>
      </c>
      <c r="V1689" s="191" t="n">
        <v>2.7</v>
      </c>
      <c r="W1689" s="175" t="n">
        <v>0.015</v>
      </c>
      <c r="X1689" s="172" t="inlineStr">
        <is>
          <t>民生理财</t>
        </is>
      </c>
      <c r="Y1689" s="191" t="n">
        <v>2.7</v>
      </c>
    </row>
    <row r="1690">
      <c r="A1690" s="172" t="n">
        <v>94</v>
      </c>
      <c r="B1690" s="172" t="inlineStr">
        <is>
          <t>6月</t>
        </is>
      </c>
      <c r="C1690" s="172" t="inlineStr">
        <is>
          <t>企金</t>
        </is>
      </c>
      <c r="D1690" s="172" t="inlineStr">
        <is>
          <t>金采</t>
        </is>
      </c>
      <c r="E1690" s="172" t="inlineStr">
        <is>
          <t>金采8-3</t>
        </is>
      </c>
      <c r="F1690" s="172" t="inlineStr">
        <is>
          <t>上交所</t>
        </is>
      </c>
      <c r="G1690" s="172" t="inlineStr">
        <is>
          <t>国泰海通</t>
        </is>
      </c>
      <c r="H1690" s="172" t="inlineStr">
        <is>
          <t>长城证券</t>
        </is>
      </c>
      <c r="I1690" s="172" t="inlineStr">
        <is>
          <t>光大北分</t>
        </is>
      </c>
      <c r="J1690" s="172" t="n">
        <v>10</v>
      </c>
      <c r="K1690" s="172" t="inlineStr">
        <is>
          <t>7+12</t>
        </is>
      </c>
      <c r="L1690" s="202" t="n">
        <v>46191</v>
      </c>
      <c r="M1690" s="175" t="n">
        <v>0.0148</v>
      </c>
      <c r="N1690" s="176" t="n">
        <v>0.0187</v>
      </c>
      <c r="O1690" s="191" t="n">
        <v>1.96</v>
      </c>
      <c r="P1690" s="172" t="inlineStr">
        <is>
          <t>优先级</t>
        </is>
      </c>
      <c r="Q1690" s="175" t="n">
        <v>0.9</v>
      </c>
      <c r="R1690" s="192" t="n">
        <v>9</v>
      </c>
      <c r="S1690" s="172" t="inlineStr">
        <is>
          <t>AAA</t>
        </is>
      </c>
      <c r="T1690" s="175" t="n">
        <v>0.016</v>
      </c>
      <c r="U1690" s="172" t="inlineStr">
        <is>
          <t>招银理财</t>
        </is>
      </c>
      <c r="V1690" s="191" t="n">
        <v>2.7</v>
      </c>
      <c r="W1690" s="175" t="n">
        <v>0.0157</v>
      </c>
      <c r="X1690" s="172" t="inlineStr">
        <is>
          <t>招银理财</t>
        </is>
      </c>
      <c r="Y1690" s="191" t="n">
        <v>2.7</v>
      </c>
    </row>
    <row r="1691">
      <c r="A1691" s="172" t="n">
        <v>94</v>
      </c>
      <c r="B1691" s="172" t="inlineStr">
        <is>
          <t>6月</t>
        </is>
      </c>
      <c r="C1691" s="172" t="inlineStr">
        <is>
          <t>企金</t>
        </is>
      </c>
      <c r="D1691" s="172" t="inlineStr">
        <is>
          <t>金采</t>
        </is>
      </c>
      <c r="E1691" s="172" t="inlineStr">
        <is>
          <t>金采8-3</t>
        </is>
      </c>
      <c r="F1691" s="172" t="inlineStr">
        <is>
          <t>上交所</t>
        </is>
      </c>
      <c r="G1691" s="172" t="inlineStr">
        <is>
          <t>国泰海通</t>
        </is>
      </c>
      <c r="H1691" s="172" t="inlineStr">
        <is>
          <t>长城证券</t>
        </is>
      </c>
      <c r="I1691" s="172" t="inlineStr">
        <is>
          <t>光大北分</t>
        </is>
      </c>
      <c r="J1691" s="172" t="n">
        <v>10</v>
      </c>
      <c r="K1691" s="172" t="inlineStr">
        <is>
          <t>7+12</t>
        </is>
      </c>
      <c r="L1691" s="202" t="n">
        <v>46191</v>
      </c>
      <c r="M1691" s="175" t="n">
        <v>0.0148</v>
      </c>
      <c r="N1691" s="176" t="n">
        <v>0.0187</v>
      </c>
      <c r="O1691" s="191" t="n">
        <v>1.96</v>
      </c>
      <c r="P1691" s="172" t="inlineStr">
        <is>
          <t>优先级</t>
        </is>
      </c>
      <c r="Q1691" s="175" t="n">
        <v>0.9</v>
      </c>
      <c r="R1691" s="192" t="n">
        <v>9</v>
      </c>
      <c r="S1691" s="172" t="inlineStr">
        <is>
          <t>AAA</t>
        </is>
      </c>
      <c r="T1691" s="175" t="n">
        <v>0.016</v>
      </c>
      <c r="U1691" s="172" t="inlineStr">
        <is>
          <t>中邮理财</t>
        </is>
      </c>
      <c r="V1691" s="191" t="n">
        <v>1.65</v>
      </c>
      <c r="W1691" s="175" t="n">
        <v>0.016</v>
      </c>
      <c r="X1691" s="172" t="inlineStr">
        <is>
          <t>中邮理财</t>
        </is>
      </c>
      <c r="Y1691" s="191" t="n">
        <v>2.7</v>
      </c>
    </row>
    <row r="1692">
      <c r="A1692" s="172" t="n">
        <v>94</v>
      </c>
      <c r="B1692" s="172" t="inlineStr">
        <is>
          <t>6月</t>
        </is>
      </c>
      <c r="C1692" s="172" t="inlineStr">
        <is>
          <t>企金</t>
        </is>
      </c>
      <c r="D1692" s="172" t="inlineStr">
        <is>
          <t>金采</t>
        </is>
      </c>
      <c r="E1692" s="172" t="inlineStr">
        <is>
          <t>金采8-3</t>
        </is>
      </c>
      <c r="F1692" s="172" t="inlineStr">
        <is>
          <t>上交所</t>
        </is>
      </c>
      <c r="G1692" s="172" t="inlineStr">
        <is>
          <t>国泰海通</t>
        </is>
      </c>
      <c r="H1692" s="172" t="inlineStr">
        <is>
          <t>长城证券</t>
        </is>
      </c>
      <c r="I1692" s="172" t="inlineStr">
        <is>
          <t>光大北分</t>
        </is>
      </c>
      <c r="J1692" s="172" t="n">
        <v>10</v>
      </c>
      <c r="K1692" s="172" t="inlineStr">
        <is>
          <t>7+12</t>
        </is>
      </c>
      <c r="L1692" s="202" t="n">
        <v>46191</v>
      </c>
      <c r="M1692" s="175" t="n">
        <v>0.0148</v>
      </c>
      <c r="N1692" s="176" t="n">
        <v>0.0187</v>
      </c>
      <c r="O1692" s="191" t="n">
        <v>1.96</v>
      </c>
      <c r="P1692" s="172" t="inlineStr">
        <is>
          <t>优先级</t>
        </is>
      </c>
      <c r="Q1692" s="175" t="n">
        <v>0.9</v>
      </c>
      <c r="R1692" s="192" t="n">
        <v>9</v>
      </c>
      <c r="S1692" s="172" t="inlineStr">
        <is>
          <t>AAA</t>
        </is>
      </c>
      <c r="T1692" s="175" t="n">
        <v>0.016</v>
      </c>
      <c r="U1692" s="172" t="inlineStr">
        <is>
          <t>中金自营</t>
        </is>
      </c>
      <c r="V1692" s="191" t="n">
        <v>0.3</v>
      </c>
      <c r="W1692" s="172" t="n"/>
      <c r="X1692" s="172" t="n"/>
      <c r="Y1692" s="172" t="n"/>
    </row>
    <row r="1693">
      <c r="A1693" s="172" t="n">
        <v>94</v>
      </c>
      <c r="B1693" s="172" t="inlineStr">
        <is>
          <t>6月</t>
        </is>
      </c>
      <c r="C1693" s="172" t="inlineStr">
        <is>
          <t>企金</t>
        </is>
      </c>
      <c r="D1693" s="172" t="inlineStr">
        <is>
          <t>金采</t>
        </is>
      </c>
      <c r="E1693" s="172" t="inlineStr">
        <is>
          <t>金采8-3</t>
        </is>
      </c>
      <c r="F1693" s="172" t="inlineStr">
        <is>
          <t>上交所</t>
        </is>
      </c>
      <c r="G1693" s="172" t="inlineStr">
        <is>
          <t>国泰海通</t>
        </is>
      </c>
      <c r="H1693" s="172" t="inlineStr">
        <is>
          <t>长城证券</t>
        </is>
      </c>
      <c r="I1693" s="172" t="inlineStr">
        <is>
          <t>光大北分</t>
        </is>
      </c>
      <c r="J1693" s="172" t="n">
        <v>10</v>
      </c>
      <c r="K1693" s="172" t="inlineStr">
        <is>
          <t>7+12</t>
        </is>
      </c>
      <c r="L1693" s="208" t="n">
        <v>46191</v>
      </c>
      <c r="M1693" s="175" t="n">
        <v>0.0148</v>
      </c>
      <c r="N1693" s="176" t="n">
        <v>0.0187</v>
      </c>
      <c r="O1693" s="172" t="n">
        <v>1.96</v>
      </c>
      <c r="P1693" s="172" t="inlineStr">
        <is>
          <t>优先级</t>
        </is>
      </c>
      <c r="Q1693" s="175" t="n">
        <v>0.9</v>
      </c>
      <c r="R1693" s="192" t="n">
        <v>9</v>
      </c>
      <c r="S1693" s="172" t="inlineStr">
        <is>
          <t>AAA</t>
        </is>
      </c>
      <c r="T1693" s="175" t="n">
        <v>0.016</v>
      </c>
      <c r="U1693" s="172" t="n"/>
      <c r="V1693" s="172" t="n"/>
      <c r="W1693" s="175" t="n">
        <v>0.014</v>
      </c>
      <c r="X1693" s="172" t="inlineStr">
        <is>
          <t>厦门汇正</t>
        </is>
      </c>
      <c r="Y1693" s="191" t="n">
        <v>0.45</v>
      </c>
    </row>
    <row r="1694">
      <c r="A1694" s="172" t="n">
        <v>94</v>
      </c>
      <c r="B1694" s="172" t="inlineStr">
        <is>
          <t>6月</t>
        </is>
      </c>
      <c r="C1694" s="172" t="inlineStr">
        <is>
          <t>企金</t>
        </is>
      </c>
      <c r="D1694" s="172" t="inlineStr">
        <is>
          <t>金采</t>
        </is>
      </c>
      <c r="E1694" s="172" t="inlineStr">
        <is>
          <t>金采8-3</t>
        </is>
      </c>
      <c r="F1694" s="172" t="inlineStr">
        <is>
          <t>上交所</t>
        </is>
      </c>
      <c r="G1694" s="172" t="inlineStr">
        <is>
          <t>国泰海通</t>
        </is>
      </c>
      <c r="H1694" s="172" t="inlineStr">
        <is>
          <t>长城证券</t>
        </is>
      </c>
      <c r="I1694" s="172" t="inlineStr">
        <is>
          <t>光大北分</t>
        </is>
      </c>
      <c r="J1694" s="172" t="n">
        <v>10</v>
      </c>
      <c r="K1694" s="172" t="inlineStr">
        <is>
          <t>7+12</t>
        </is>
      </c>
      <c r="L1694" s="208" t="n">
        <v>46191</v>
      </c>
      <c r="M1694" s="175" t="n">
        <v>0.0148</v>
      </c>
      <c r="N1694" s="176" t="n">
        <v>0.0187</v>
      </c>
      <c r="O1694" s="172" t="n">
        <v>1.96</v>
      </c>
      <c r="P1694" s="172" t="inlineStr">
        <is>
          <t>优先级</t>
        </is>
      </c>
      <c r="Q1694" s="175" t="n">
        <v>0.9</v>
      </c>
      <c r="R1694" s="192" t="n">
        <v>9</v>
      </c>
      <c r="S1694" s="172" t="inlineStr">
        <is>
          <t>AAA</t>
        </is>
      </c>
      <c r="T1694" s="175" t="n">
        <v>0.016</v>
      </c>
      <c r="U1694" s="172" t="n"/>
      <c r="V1694" s="172" t="n"/>
      <c r="W1694" s="175" t="n">
        <v>0.016</v>
      </c>
      <c r="X1694" s="172" t="inlineStr">
        <is>
          <t>中金公司</t>
        </is>
      </c>
      <c r="Y1694" s="191" t="n">
        <v>0.5</v>
      </c>
    </row>
    <row r="1695">
      <c r="A1695" s="172" t="n">
        <v>94</v>
      </c>
      <c r="B1695" s="172" t="inlineStr">
        <is>
          <t>6月</t>
        </is>
      </c>
      <c r="C1695" s="172" t="inlineStr">
        <is>
          <t>企金</t>
        </is>
      </c>
      <c r="D1695" s="172" t="inlineStr">
        <is>
          <t>金采</t>
        </is>
      </c>
      <c r="E1695" s="172" t="inlineStr">
        <is>
          <t>金采8-3</t>
        </is>
      </c>
      <c r="F1695" s="172" t="inlineStr">
        <is>
          <t>上交所</t>
        </is>
      </c>
      <c r="G1695" s="172" t="inlineStr">
        <is>
          <t>国泰海通</t>
        </is>
      </c>
      <c r="H1695" s="172" t="inlineStr">
        <is>
          <t>长城证券</t>
        </is>
      </c>
      <c r="I1695" s="172" t="inlineStr">
        <is>
          <t>光大北分</t>
        </is>
      </c>
      <c r="J1695" s="172" t="n">
        <v>10</v>
      </c>
      <c r="K1695" s="172" t="inlineStr">
        <is>
          <t>7+12</t>
        </is>
      </c>
      <c r="L1695" s="208" t="n">
        <v>46191</v>
      </c>
      <c r="M1695" s="175" t="n">
        <v>0.0148</v>
      </c>
      <c r="N1695" s="176" t="n">
        <v>0.0187</v>
      </c>
      <c r="O1695" s="172" t="n">
        <v>1.96</v>
      </c>
      <c r="P1695" s="172" t="inlineStr">
        <is>
          <t>优先级</t>
        </is>
      </c>
      <c r="Q1695" s="175" t="n">
        <v>0.9</v>
      </c>
      <c r="R1695" s="192" t="n">
        <v>9</v>
      </c>
      <c r="S1695" s="172" t="inlineStr">
        <is>
          <t>AAA</t>
        </is>
      </c>
      <c r="T1695" s="175" t="n">
        <v>0.016</v>
      </c>
      <c r="U1695" s="172" t="n"/>
      <c r="V1695" s="172" t="n"/>
      <c r="W1695" s="175" t="n">
        <v>0.0165</v>
      </c>
      <c r="X1695" s="172" t="inlineStr">
        <is>
          <t>中金公司</t>
        </is>
      </c>
      <c r="Y1695" s="191" t="n">
        <v>0.5</v>
      </c>
    </row>
    <row r="1696">
      <c r="A1696" s="172" t="n">
        <v>94</v>
      </c>
      <c r="B1696" s="172" t="inlineStr">
        <is>
          <t>6月</t>
        </is>
      </c>
      <c r="C1696" s="172" t="inlineStr">
        <is>
          <t>企金</t>
        </is>
      </c>
      <c r="D1696" s="172" t="inlineStr">
        <is>
          <t>金采</t>
        </is>
      </c>
      <c r="E1696" s="172" t="inlineStr">
        <is>
          <t>金采8-3</t>
        </is>
      </c>
      <c r="F1696" s="172" t="inlineStr">
        <is>
          <t>上交所</t>
        </is>
      </c>
      <c r="G1696" s="172" t="inlineStr">
        <is>
          <t>国泰海通</t>
        </is>
      </c>
      <c r="H1696" s="172" t="inlineStr">
        <is>
          <t>长城证券</t>
        </is>
      </c>
      <c r="I1696" s="172" t="inlineStr">
        <is>
          <t>光大北分</t>
        </is>
      </c>
      <c r="J1696" s="172" t="n">
        <v>10</v>
      </c>
      <c r="K1696" s="172" t="inlineStr">
        <is>
          <t>7+12</t>
        </is>
      </c>
      <c r="L1696" s="208" t="n">
        <v>46191</v>
      </c>
      <c r="M1696" s="175" t="n">
        <v>0.0148</v>
      </c>
      <c r="N1696" s="176" t="n">
        <v>0.0187</v>
      </c>
      <c r="O1696" s="172" t="n">
        <v>1.96</v>
      </c>
      <c r="P1696" s="172" t="inlineStr">
        <is>
          <t>优先级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0.016</v>
      </c>
      <c r="U1696" s="172" t="n"/>
      <c r="V1696" s="172" t="n"/>
      <c r="W1696" s="175" t="n">
        <v>0.0165</v>
      </c>
      <c r="X1696" s="172" t="inlineStr">
        <is>
          <t>长城证券</t>
        </is>
      </c>
      <c r="Y1696" s="191" t="n">
        <v>0.4</v>
      </c>
    </row>
    <row r="1697">
      <c r="A1697" s="172" t="n">
        <v>94</v>
      </c>
      <c r="B1697" s="172" t="inlineStr">
        <is>
          <t>6月</t>
        </is>
      </c>
      <c r="C1697" s="172" t="inlineStr">
        <is>
          <t>企金</t>
        </is>
      </c>
      <c r="D1697" s="172" t="inlineStr">
        <is>
          <t>金采</t>
        </is>
      </c>
      <c r="E1697" s="172" t="inlineStr">
        <is>
          <t>金采8-3</t>
        </is>
      </c>
      <c r="F1697" s="172" t="inlineStr">
        <is>
          <t>上交所</t>
        </is>
      </c>
      <c r="G1697" s="172" t="inlineStr">
        <is>
          <t>国泰海通</t>
        </is>
      </c>
      <c r="H1697" s="172" t="inlineStr">
        <is>
          <t>长城证券</t>
        </is>
      </c>
      <c r="I1697" s="172" t="inlineStr">
        <is>
          <t>光大北分</t>
        </is>
      </c>
      <c r="J1697" s="172" t="n">
        <v>10</v>
      </c>
      <c r="K1697" s="172" t="inlineStr">
        <is>
          <t>7+12</t>
        </is>
      </c>
      <c r="L1697" s="208" t="n">
        <v>46191</v>
      </c>
      <c r="M1697" s="175" t="n">
        <v>0.0148</v>
      </c>
      <c r="N1697" s="176" t="n">
        <v>0.0187</v>
      </c>
      <c r="O1697" s="172" t="n">
        <v>1.96</v>
      </c>
      <c r="P1697" s="172" t="inlineStr">
        <is>
          <t>优先级</t>
        </is>
      </c>
      <c r="Q1697" s="175" t="n">
        <v>0.9</v>
      </c>
      <c r="R1697" s="192" t="n">
        <v>9</v>
      </c>
      <c r="S1697" s="172" t="inlineStr">
        <is>
          <t>AAA</t>
        </is>
      </c>
      <c r="T1697" s="175" t="n">
        <v>0.016</v>
      </c>
      <c r="U1697" s="172" t="n"/>
      <c r="V1697" s="172" t="n"/>
      <c r="W1697" s="175" t="n">
        <v>0.02</v>
      </c>
      <c r="X1697" s="172" t="inlineStr">
        <is>
          <t>长城证券</t>
        </is>
      </c>
      <c r="Y1697" s="191" t="n">
        <v>0.1</v>
      </c>
    </row>
    <row r="1698">
      <c r="A1698" s="172" t="n">
        <v>94</v>
      </c>
      <c r="B1698" s="172" t="inlineStr">
        <is>
          <t>6月</t>
        </is>
      </c>
      <c r="C1698" s="172" t="inlineStr">
        <is>
          <t>企金</t>
        </is>
      </c>
      <c r="D1698" s="172" t="inlineStr">
        <is>
          <t>金采</t>
        </is>
      </c>
      <c r="E1698" s="172" t="inlineStr">
        <is>
          <t>金采8-3</t>
        </is>
      </c>
      <c r="F1698" s="172" t="inlineStr">
        <is>
          <t>上交所</t>
        </is>
      </c>
      <c r="G1698" s="172" t="inlineStr">
        <is>
          <t>国泰海通</t>
        </is>
      </c>
      <c r="H1698" s="172" t="inlineStr">
        <is>
          <t>长城证券</t>
        </is>
      </c>
      <c r="I1698" s="172" t="inlineStr">
        <is>
          <t>光大北分</t>
        </is>
      </c>
      <c r="J1698" s="172" t="n">
        <v>10</v>
      </c>
      <c r="K1698" s="172" t="inlineStr">
        <is>
          <t>7+12</t>
        </is>
      </c>
      <c r="L1698" s="208" t="n">
        <v>46191</v>
      </c>
      <c r="M1698" s="175" t="n">
        <v>0.0148</v>
      </c>
      <c r="N1698" s="176" t="n">
        <v>0.0187</v>
      </c>
      <c r="O1698" s="172" t="n">
        <v>1.96</v>
      </c>
      <c r="P1698" s="172" t="inlineStr">
        <is>
          <t>优先级</t>
        </is>
      </c>
      <c r="Q1698" s="175" t="n">
        <v>0.9</v>
      </c>
      <c r="R1698" s="192" t="n">
        <v>9</v>
      </c>
      <c r="S1698" s="172" t="inlineStr">
        <is>
          <t>AAA</t>
        </is>
      </c>
      <c r="T1698" s="175" t="n">
        <v>0.016</v>
      </c>
      <c r="U1698" s="172" t="n"/>
      <c r="V1698" s="172" t="n"/>
      <c r="W1698" s="175" t="n">
        <v>0.0165</v>
      </c>
      <c r="X1698" s="172" t="inlineStr">
        <is>
          <t>国泰海通</t>
        </is>
      </c>
      <c r="Y1698" s="191" t="n">
        <v>0.85</v>
      </c>
    </row>
    <row r="1699">
      <c r="A1699" s="172" t="n">
        <v>94</v>
      </c>
      <c r="B1699" s="172" t="inlineStr">
        <is>
          <t>6月</t>
        </is>
      </c>
      <c r="C1699" s="172" t="inlineStr">
        <is>
          <t>企金</t>
        </is>
      </c>
      <c r="D1699" s="172" t="inlineStr">
        <is>
          <t>金采</t>
        </is>
      </c>
      <c r="E1699" s="172" t="inlineStr">
        <is>
          <t>金采8-3</t>
        </is>
      </c>
      <c r="F1699" s="172" t="inlineStr">
        <is>
          <t>上交所</t>
        </is>
      </c>
      <c r="G1699" s="172" t="inlineStr">
        <is>
          <t>国泰海通</t>
        </is>
      </c>
      <c r="H1699" s="172" t="inlineStr">
        <is>
          <t>长城证券</t>
        </is>
      </c>
      <c r="I1699" s="172" t="inlineStr">
        <is>
          <t>光大北分</t>
        </is>
      </c>
      <c r="J1699" s="172" t="n">
        <v>10</v>
      </c>
      <c r="K1699" s="172" t="inlineStr">
        <is>
          <t>7+12</t>
        </is>
      </c>
      <c r="L1699" s="208" t="n">
        <v>46191</v>
      </c>
      <c r="M1699" s="175" t="n">
        <v>0.0148</v>
      </c>
      <c r="N1699" s="176" t="n">
        <v>0.0187</v>
      </c>
      <c r="O1699" s="172" t="n">
        <v>1.96</v>
      </c>
      <c r="P1699" s="172" t="inlineStr">
        <is>
          <t>优先级</t>
        </is>
      </c>
      <c r="Q1699" s="175" t="n">
        <v>0.9</v>
      </c>
      <c r="R1699" s="192" t="n">
        <v>9</v>
      </c>
      <c r="S1699" s="172" t="inlineStr">
        <is>
          <t>AAA</t>
        </is>
      </c>
      <c r="T1699" s="175" t="n">
        <v>0.016</v>
      </c>
      <c r="U1699" s="172" t="n"/>
      <c r="V1699" s="172" t="n"/>
      <c r="W1699" s="175" t="n">
        <v>0.0165</v>
      </c>
      <c r="X1699" s="172" t="inlineStr">
        <is>
          <t>华夏理财</t>
        </is>
      </c>
      <c r="Y1699" s="191" t="n">
        <v>1.5</v>
      </c>
    </row>
    <row r="1700">
      <c r="A1700" s="172" t="n">
        <v>94</v>
      </c>
      <c r="B1700" s="172" t="inlineStr">
        <is>
          <t>6月</t>
        </is>
      </c>
      <c r="C1700" s="172" t="inlineStr">
        <is>
          <t>企金</t>
        </is>
      </c>
      <c r="D1700" s="172" t="inlineStr">
        <is>
          <t>金采</t>
        </is>
      </c>
      <c r="E1700" s="172" t="inlineStr">
        <is>
          <t>金采8-3</t>
        </is>
      </c>
      <c r="F1700" s="172" t="inlineStr">
        <is>
          <t>上交所</t>
        </is>
      </c>
      <c r="G1700" s="172" t="inlineStr">
        <is>
          <t>国泰海通</t>
        </is>
      </c>
      <c r="H1700" s="172" t="inlineStr">
        <is>
          <t>长城证券</t>
        </is>
      </c>
      <c r="I1700" s="172" t="inlineStr">
        <is>
          <t>光大北分</t>
        </is>
      </c>
      <c r="J1700" s="172" t="n">
        <v>10</v>
      </c>
      <c r="K1700" s="172" t="inlineStr">
        <is>
          <t>7+12</t>
        </is>
      </c>
      <c r="L1700" s="208" t="n">
        <v>46191</v>
      </c>
      <c r="M1700" s="175" t="n">
        <v>0.0148</v>
      </c>
      <c r="N1700" s="176" t="n">
        <v>0.0187</v>
      </c>
      <c r="O1700" s="172" t="n">
        <v>1.96</v>
      </c>
      <c r="P1700" s="172" t="inlineStr">
        <is>
          <t>优先级</t>
        </is>
      </c>
      <c r="Q1700" s="175" t="n">
        <v>0.9</v>
      </c>
      <c r="R1700" s="192" t="n">
        <v>9</v>
      </c>
      <c r="S1700" s="172" t="inlineStr">
        <is>
          <t>AAA</t>
        </is>
      </c>
      <c r="T1700" s="175" t="n">
        <v>0.016</v>
      </c>
      <c r="U1700" s="172" t="n"/>
      <c r="V1700" s="172" t="n"/>
      <c r="W1700" s="175" t="n">
        <v>0.024</v>
      </c>
      <c r="X1700" s="172" t="inlineStr">
        <is>
          <t>华夏理财</t>
        </is>
      </c>
      <c r="Y1700" s="191" t="n">
        <v>1.2</v>
      </c>
    </row>
    <row r="1701">
      <c r="A1701" s="172" t="n">
        <v>94</v>
      </c>
      <c r="B1701" s="172" t="inlineStr">
        <is>
          <t>6月</t>
        </is>
      </c>
      <c r="C1701" s="172" t="inlineStr">
        <is>
          <t>企金</t>
        </is>
      </c>
      <c r="D1701" s="172" t="inlineStr">
        <is>
          <t>金采</t>
        </is>
      </c>
      <c r="E1701" s="172" t="inlineStr">
        <is>
          <t>金采8-3</t>
        </is>
      </c>
      <c r="F1701" s="172" t="inlineStr">
        <is>
          <t>上交所</t>
        </is>
      </c>
      <c r="G1701" s="172" t="inlineStr">
        <is>
          <t>国泰海通</t>
        </is>
      </c>
      <c r="H1701" s="172" t="inlineStr">
        <is>
          <t>长城证券</t>
        </is>
      </c>
      <c r="I1701" s="172" t="inlineStr">
        <is>
          <t>光大北分</t>
        </is>
      </c>
      <c r="J1701" s="172" t="n">
        <v>10</v>
      </c>
      <c r="K1701" s="172" t="inlineStr">
        <is>
          <t>7+12</t>
        </is>
      </c>
      <c r="L1701" s="208" t="n">
        <v>46191</v>
      </c>
      <c r="M1701" s="175" t="n">
        <v>0.0148</v>
      </c>
      <c r="N1701" s="176" t="n">
        <v>0.0187</v>
      </c>
      <c r="O1701" s="172" t="n">
        <v>1.96</v>
      </c>
      <c r="P1701" s="172" t="inlineStr">
        <is>
          <t>优先级</t>
        </is>
      </c>
      <c r="Q1701" s="175" t="n">
        <v>0.9</v>
      </c>
      <c r="R1701" s="192" t="n">
        <v>9</v>
      </c>
      <c r="S1701" s="172" t="inlineStr">
        <is>
          <t>AAA</t>
        </is>
      </c>
      <c r="T1701" s="175" t="n">
        <v>0.016</v>
      </c>
      <c r="U1701" s="172" t="n"/>
      <c r="V1701" s="172" t="n"/>
      <c r="W1701" s="175" t="n">
        <v>0.024</v>
      </c>
      <c r="X1701" s="172" t="inlineStr">
        <is>
          <t>利曦基金</t>
        </is>
      </c>
      <c r="Y1701" s="191" t="n">
        <v>2</v>
      </c>
    </row>
    <row r="1702">
      <c r="A1702" s="172" t="n">
        <v>94</v>
      </c>
      <c r="B1702" s="172" t="inlineStr">
        <is>
          <t>6月</t>
        </is>
      </c>
      <c r="C1702" s="172" t="inlineStr">
        <is>
          <t>企金</t>
        </is>
      </c>
      <c r="D1702" s="172" t="inlineStr">
        <is>
          <t>金采</t>
        </is>
      </c>
      <c r="E1702" s="172" t="inlineStr">
        <is>
          <t>金采8-3</t>
        </is>
      </c>
      <c r="F1702" s="172" t="inlineStr">
        <is>
          <t>上交所</t>
        </is>
      </c>
      <c r="G1702" s="172" t="inlineStr">
        <is>
          <t>国泰海通</t>
        </is>
      </c>
      <c r="H1702" s="172" t="inlineStr">
        <is>
          <t>长城证券</t>
        </is>
      </c>
      <c r="I1702" s="172" t="inlineStr">
        <is>
          <t>光大北分</t>
        </is>
      </c>
      <c r="J1702" s="172" t="n">
        <v>10</v>
      </c>
      <c r="K1702" s="172" t="inlineStr">
        <is>
          <t>7+12</t>
        </is>
      </c>
      <c r="L1702" s="202" t="n">
        <v>46191</v>
      </c>
      <c r="M1702" s="175" t="n">
        <v>0.0148</v>
      </c>
      <c r="N1702" s="176" t="n">
        <v>0.0187</v>
      </c>
      <c r="O1702" s="191" t="n">
        <v>1.96</v>
      </c>
      <c r="P1702" s="172" t="inlineStr">
        <is>
          <t>中间级</t>
        </is>
      </c>
      <c r="Q1702" s="175" t="n">
        <v>0.05</v>
      </c>
      <c r="R1702" s="192" t="n">
        <v>0.5</v>
      </c>
      <c r="S1702" s="175" t="inlineStr">
        <is>
          <t>AA</t>
        </is>
      </c>
      <c r="T1702" s="175" t="n">
        <v>0.031</v>
      </c>
      <c r="U1702" s="172" t="inlineStr">
        <is>
          <t>邦汇保理</t>
        </is>
      </c>
      <c r="V1702" s="193" t="n">
        <v>0.025</v>
      </c>
      <c r="W1702" s="172" t="n"/>
      <c r="X1702" s="172" t="n"/>
      <c r="Y1702" s="172" t="n"/>
    </row>
    <row r="1703">
      <c r="A1703" s="172" t="n">
        <v>94</v>
      </c>
      <c r="B1703" s="172" t="inlineStr">
        <is>
          <t>6月</t>
        </is>
      </c>
      <c r="C1703" s="172" t="inlineStr">
        <is>
          <t>企金</t>
        </is>
      </c>
      <c r="D1703" s="172" t="inlineStr">
        <is>
          <t>金采</t>
        </is>
      </c>
      <c r="E1703" s="172" t="inlineStr">
        <is>
          <t>金采8-3</t>
        </is>
      </c>
      <c r="F1703" s="172" t="inlineStr">
        <is>
          <t>上交所</t>
        </is>
      </c>
      <c r="G1703" s="172" t="inlineStr">
        <is>
          <t>国泰海通</t>
        </is>
      </c>
      <c r="H1703" s="172" t="inlineStr">
        <is>
          <t>长城证券</t>
        </is>
      </c>
      <c r="I1703" s="172" t="inlineStr">
        <is>
          <t>光大北分</t>
        </is>
      </c>
      <c r="J1703" s="172" t="n">
        <v>10</v>
      </c>
      <c r="K1703" s="172" t="inlineStr">
        <is>
          <t>7+12</t>
        </is>
      </c>
      <c r="L1703" s="202" t="n">
        <v>46191</v>
      </c>
      <c r="M1703" s="175" t="n">
        <v>0.0148</v>
      </c>
      <c r="N1703" s="176" t="n">
        <v>0.0187</v>
      </c>
      <c r="O1703" s="191" t="n">
        <v>1.96</v>
      </c>
      <c r="P1703" s="172" t="inlineStr">
        <is>
          <t>中间级</t>
        </is>
      </c>
      <c r="Q1703" s="175" t="n">
        <v>0.05</v>
      </c>
      <c r="R1703" s="192" t="n">
        <v>0.5</v>
      </c>
      <c r="S1703" s="175" t="inlineStr">
        <is>
          <t>AA</t>
        </is>
      </c>
      <c r="T1703" s="175" t="n">
        <v>0.031</v>
      </c>
      <c r="U1703" s="172" t="inlineStr">
        <is>
          <t>申万宏源自营</t>
        </is>
      </c>
      <c r="V1703" s="191" t="n">
        <v>0.08</v>
      </c>
      <c r="W1703" s="172" t="n"/>
      <c r="X1703" s="172" t="n"/>
      <c r="Y1703" s="172" t="n"/>
    </row>
    <row r="1704">
      <c r="A1704" s="172" t="n">
        <v>94</v>
      </c>
      <c r="B1704" s="172" t="inlineStr">
        <is>
          <t>6月</t>
        </is>
      </c>
      <c r="C1704" s="172" t="inlineStr">
        <is>
          <t>企金</t>
        </is>
      </c>
      <c r="D1704" s="172" t="inlineStr">
        <is>
          <t>金采</t>
        </is>
      </c>
      <c r="E1704" s="172" t="inlineStr">
        <is>
          <t>金采8-3</t>
        </is>
      </c>
      <c r="F1704" s="172" t="inlineStr">
        <is>
          <t>上交所</t>
        </is>
      </c>
      <c r="G1704" s="172" t="inlineStr">
        <is>
          <t>国泰海通</t>
        </is>
      </c>
      <c r="H1704" s="172" t="inlineStr">
        <is>
          <t>长城证券</t>
        </is>
      </c>
      <c r="I1704" s="172" t="inlineStr">
        <is>
          <t>光大北分</t>
        </is>
      </c>
      <c r="J1704" s="172" t="n">
        <v>10</v>
      </c>
      <c r="K1704" s="172" t="inlineStr">
        <is>
          <t>7+12</t>
        </is>
      </c>
      <c r="L1704" s="202" t="n">
        <v>46191</v>
      </c>
      <c r="M1704" s="175" t="n">
        <v>0.0148</v>
      </c>
      <c r="N1704" s="176" t="n">
        <v>0.0187</v>
      </c>
      <c r="O1704" s="191" t="n">
        <v>1.96</v>
      </c>
      <c r="P1704" s="172" t="inlineStr">
        <is>
          <t>中间级</t>
        </is>
      </c>
      <c r="Q1704" s="175" t="n">
        <v>0.05</v>
      </c>
      <c r="R1704" s="192" t="n">
        <v>0.5</v>
      </c>
      <c r="S1704" s="175" t="inlineStr">
        <is>
          <t>AA</t>
        </is>
      </c>
      <c r="T1704" s="175" t="n">
        <v>0.031</v>
      </c>
      <c r="U1704" s="172" t="inlineStr">
        <is>
          <t>华宝资管</t>
        </is>
      </c>
      <c r="V1704" s="193" t="n">
        <v>0.195</v>
      </c>
      <c r="W1704" s="172" t="n"/>
      <c r="X1704" s="172" t="n"/>
      <c r="Y1704" s="172" t="n"/>
    </row>
    <row r="1705">
      <c r="A1705" s="172" t="n">
        <v>94</v>
      </c>
      <c r="B1705" s="172" t="inlineStr">
        <is>
          <t>6月</t>
        </is>
      </c>
      <c r="C1705" s="172" t="inlineStr">
        <is>
          <t>企金</t>
        </is>
      </c>
      <c r="D1705" s="172" t="inlineStr">
        <is>
          <t>金采</t>
        </is>
      </c>
      <c r="E1705" s="172" t="inlineStr">
        <is>
          <t>金采8-3</t>
        </is>
      </c>
      <c r="F1705" s="172" t="inlineStr">
        <is>
          <t>上交所</t>
        </is>
      </c>
      <c r="G1705" s="172" t="inlineStr">
        <is>
          <t>国泰海通</t>
        </is>
      </c>
      <c r="H1705" s="172" t="inlineStr">
        <is>
          <t>长城证券</t>
        </is>
      </c>
      <c r="I1705" s="172" t="inlineStr">
        <is>
          <t>光大北分</t>
        </is>
      </c>
      <c r="J1705" s="172" t="n">
        <v>10</v>
      </c>
      <c r="K1705" s="172" t="inlineStr">
        <is>
          <t>7+12</t>
        </is>
      </c>
      <c r="L1705" s="202" t="n">
        <v>46191</v>
      </c>
      <c r="M1705" s="175" t="n">
        <v>0.0148</v>
      </c>
      <c r="N1705" s="176" t="n">
        <v>0.0187</v>
      </c>
      <c r="O1705" s="191" t="n">
        <v>1.96</v>
      </c>
      <c r="P1705" s="172" t="inlineStr">
        <is>
          <t>中间级</t>
        </is>
      </c>
      <c r="Q1705" s="175" t="n">
        <v>0.05</v>
      </c>
      <c r="R1705" s="192" t="n">
        <v>0.5</v>
      </c>
      <c r="S1705" s="175" t="inlineStr">
        <is>
          <t>AA</t>
        </is>
      </c>
      <c r="T1705" s="175" t="n">
        <v>0.031</v>
      </c>
      <c r="U1705" s="172" t="inlineStr">
        <is>
          <t>国泰海通自营</t>
        </is>
      </c>
      <c r="V1705" s="191" t="n">
        <v>0.2</v>
      </c>
      <c r="W1705" s="172" t="n"/>
      <c r="X1705" s="172" t="n"/>
      <c r="Y1705" s="172" t="n"/>
    </row>
    <row r="1706">
      <c r="A1706" s="172" t="n">
        <v>94</v>
      </c>
      <c r="B1706" s="172" t="inlineStr">
        <is>
          <t>6月</t>
        </is>
      </c>
      <c r="C1706" s="172" t="inlineStr">
        <is>
          <t>企金</t>
        </is>
      </c>
      <c r="D1706" s="172" t="inlineStr">
        <is>
          <t>金采</t>
        </is>
      </c>
      <c r="E1706" s="172" t="inlineStr">
        <is>
          <t>金采8-3</t>
        </is>
      </c>
      <c r="F1706" s="172" t="inlineStr">
        <is>
          <t>上交所</t>
        </is>
      </c>
      <c r="G1706" s="172" t="inlineStr">
        <is>
          <t>国泰海通</t>
        </is>
      </c>
      <c r="H1706" s="172" t="inlineStr">
        <is>
          <t>长城证券</t>
        </is>
      </c>
      <c r="I1706" s="172" t="inlineStr">
        <is>
          <t>光大北分</t>
        </is>
      </c>
      <c r="J1706" s="172" t="n">
        <v>10</v>
      </c>
      <c r="K1706" s="172" t="inlineStr">
        <is>
          <t>7+12</t>
        </is>
      </c>
      <c r="L1706" s="202" t="n">
        <v>46191</v>
      </c>
      <c r="M1706" s="175" t="n">
        <v>0.0148</v>
      </c>
      <c r="N1706" s="176" t="n">
        <v>0.0187</v>
      </c>
      <c r="O1706" s="191" t="n">
        <v>1.96</v>
      </c>
      <c r="P1706" s="172" t="inlineStr">
        <is>
          <t>次级</t>
        </is>
      </c>
      <c r="Q1706" s="175" t="n">
        <v>0.05</v>
      </c>
      <c r="R1706" s="192" t="n">
        <v>0.5</v>
      </c>
      <c r="S1706" s="175" t="inlineStr">
        <is>
          <t>无</t>
        </is>
      </c>
      <c r="T1706" s="175" t="n">
        <v>0.0455</v>
      </c>
      <c r="U1706" s="172" t="inlineStr">
        <is>
          <t>申万宏源自营</t>
        </is>
      </c>
      <c r="V1706" s="193" t="n">
        <v>0.075</v>
      </c>
      <c r="W1706" s="172" t="n"/>
      <c r="X1706" s="172" t="n"/>
      <c r="Y1706" s="172" t="n"/>
    </row>
    <row r="1707">
      <c r="A1707" s="172" t="n">
        <v>94</v>
      </c>
      <c r="B1707" s="172" t="inlineStr">
        <is>
          <t>6月</t>
        </is>
      </c>
      <c r="C1707" s="172" t="inlineStr">
        <is>
          <t>企金</t>
        </is>
      </c>
      <c r="D1707" s="172" t="inlineStr">
        <is>
          <t>金采</t>
        </is>
      </c>
      <c r="E1707" s="172" t="inlineStr">
        <is>
          <t>金采8-3</t>
        </is>
      </c>
      <c r="F1707" s="172" t="inlineStr">
        <is>
          <t>上交所</t>
        </is>
      </c>
      <c r="G1707" s="172" t="inlineStr">
        <is>
          <t>国泰海通</t>
        </is>
      </c>
      <c r="H1707" s="172" t="inlineStr">
        <is>
          <t>长城证券</t>
        </is>
      </c>
      <c r="I1707" s="172" t="inlineStr">
        <is>
          <t>光大北分</t>
        </is>
      </c>
      <c r="J1707" s="172" t="n">
        <v>10</v>
      </c>
      <c r="K1707" s="172" t="inlineStr">
        <is>
          <t>7+12</t>
        </is>
      </c>
      <c r="L1707" s="202" t="n">
        <v>46191</v>
      </c>
      <c r="M1707" s="175" t="n">
        <v>0.0148</v>
      </c>
      <c r="N1707" s="176" t="n">
        <v>0.0187</v>
      </c>
      <c r="O1707" s="191" t="n">
        <v>1.96</v>
      </c>
      <c r="P1707" s="172" t="inlineStr">
        <is>
          <t>次级</t>
        </is>
      </c>
      <c r="Q1707" s="175" t="n">
        <v>0.05</v>
      </c>
      <c r="R1707" s="192" t="n">
        <v>0.5</v>
      </c>
      <c r="S1707" s="175" t="inlineStr">
        <is>
          <t>无</t>
        </is>
      </c>
      <c r="T1707" s="175" t="n">
        <v>0.0455</v>
      </c>
      <c r="U1707" s="172" t="inlineStr">
        <is>
          <t>利曦基金</t>
        </is>
      </c>
      <c r="V1707" s="191" t="n">
        <v>0.2</v>
      </c>
      <c r="W1707" s="172" t="n"/>
      <c r="X1707" s="172" t="n"/>
      <c r="Y1707" s="172" t="n"/>
    </row>
    <row r="1708">
      <c r="A1708" s="172" t="n">
        <v>94</v>
      </c>
      <c r="B1708" s="172" t="inlineStr">
        <is>
          <t>6月</t>
        </is>
      </c>
      <c r="C1708" s="172" t="inlineStr">
        <is>
          <t>企金</t>
        </is>
      </c>
      <c r="D1708" s="172" t="inlineStr">
        <is>
          <t>金采</t>
        </is>
      </c>
      <c r="E1708" s="172" t="inlineStr">
        <is>
          <t>金采8-3</t>
        </is>
      </c>
      <c r="F1708" s="172" t="inlineStr">
        <is>
          <t>上交所</t>
        </is>
      </c>
      <c r="G1708" s="172" t="inlineStr">
        <is>
          <t>国泰海通</t>
        </is>
      </c>
      <c r="H1708" s="172" t="inlineStr">
        <is>
          <t>长城证券</t>
        </is>
      </c>
      <c r="I1708" s="172" t="inlineStr">
        <is>
          <t>光大北分</t>
        </is>
      </c>
      <c r="J1708" s="172" t="n">
        <v>10</v>
      </c>
      <c r="K1708" s="172" t="inlineStr">
        <is>
          <t>7+12</t>
        </is>
      </c>
      <c r="L1708" s="202" t="n">
        <v>46191</v>
      </c>
      <c r="M1708" s="175" t="n">
        <v>0.0148</v>
      </c>
      <c r="N1708" s="176" t="n">
        <v>0.0187</v>
      </c>
      <c r="O1708" s="191" t="n">
        <v>1.96</v>
      </c>
      <c r="P1708" s="172" t="inlineStr">
        <is>
          <t>次级</t>
        </is>
      </c>
      <c r="Q1708" s="175" t="n">
        <v>0.05</v>
      </c>
      <c r="R1708" s="192" t="n">
        <v>0.5</v>
      </c>
      <c r="S1708" s="175" t="inlineStr">
        <is>
          <t>无</t>
        </is>
      </c>
      <c r="T1708" s="175" t="n">
        <v>0.0455</v>
      </c>
      <c r="U1708" s="172" t="inlineStr">
        <is>
          <t>德邦证券自营</t>
        </is>
      </c>
      <c r="V1708" s="191" t="n">
        <v>0.2</v>
      </c>
      <c r="W1708" s="172" t="n"/>
      <c r="X1708" s="172" t="n"/>
      <c r="Y1708" s="172" t="n"/>
    </row>
    <row r="1709">
      <c r="A1709" s="172" t="n">
        <v>94</v>
      </c>
      <c r="B1709" s="172" t="inlineStr">
        <is>
          <t>6月</t>
        </is>
      </c>
      <c r="C1709" s="172" t="inlineStr">
        <is>
          <t>企金</t>
        </is>
      </c>
      <c r="D1709" s="172" t="inlineStr">
        <is>
          <t>金采</t>
        </is>
      </c>
      <c r="E1709" s="172" t="inlineStr">
        <is>
          <t>金采8-3</t>
        </is>
      </c>
      <c r="F1709" s="172" t="inlineStr">
        <is>
          <t>上交所</t>
        </is>
      </c>
      <c r="G1709" s="172" t="inlineStr">
        <is>
          <t>国泰海通</t>
        </is>
      </c>
      <c r="H1709" s="172" t="inlineStr">
        <is>
          <t>长城证券</t>
        </is>
      </c>
      <c r="I1709" s="172" t="inlineStr">
        <is>
          <t>光大北分</t>
        </is>
      </c>
      <c r="J1709" s="172" t="n">
        <v>10</v>
      </c>
      <c r="K1709" s="172" t="inlineStr">
        <is>
          <t>7+12</t>
        </is>
      </c>
      <c r="L1709" s="202" t="n">
        <v>46191</v>
      </c>
      <c r="M1709" s="175" t="n">
        <v>0.0148</v>
      </c>
      <c r="N1709" s="176" t="n">
        <v>0.0187</v>
      </c>
      <c r="O1709" s="191" t="n">
        <v>1.96</v>
      </c>
      <c r="P1709" s="172" t="inlineStr">
        <is>
          <t>次级</t>
        </is>
      </c>
      <c r="Q1709" s="175" t="n">
        <v>0.05</v>
      </c>
      <c r="R1709" s="192" t="n">
        <v>0.5</v>
      </c>
      <c r="S1709" s="175" t="inlineStr">
        <is>
          <t>无</t>
        </is>
      </c>
      <c r="T1709" s="175" t="n">
        <v>0.0455</v>
      </c>
      <c r="U1709" s="172" t="inlineStr">
        <is>
          <t>邦汇保理</t>
        </is>
      </c>
      <c r="V1709" s="193" t="n">
        <v>0.025</v>
      </c>
      <c r="W1709" s="172" t="n"/>
      <c r="X1709" s="172" t="n"/>
      <c r="Y1709" s="172" t="n"/>
    </row>
    <row r="1710">
      <c r="A1710" s="172" t="n">
        <v>95</v>
      </c>
      <c r="B1710" s="173" t="inlineStr">
        <is>
          <t>6月</t>
        </is>
      </c>
      <c r="C1710" s="173" t="inlineStr">
        <is>
          <t>消金</t>
        </is>
      </c>
      <c r="D1710" s="173" t="inlineStr">
        <is>
          <t>赊销白条</t>
        </is>
      </c>
      <c r="E1710" s="173" t="inlineStr">
        <is>
          <t>东裕11号叔裕</t>
        </is>
      </c>
      <c r="F1710" s="173" t="inlineStr">
        <is>
          <t>银行间</t>
        </is>
      </c>
      <c r="G1710" s="173" t="inlineStr">
        <is>
          <t>招商证券</t>
        </is>
      </c>
      <c r="H1710" s="173" t="inlineStr">
        <is>
          <t>江苏银行/杭州银行/建设银行/东方证券</t>
        </is>
      </c>
      <c r="I1710" s="173" t="inlineStr">
        <is>
          <t>青岛银行</t>
        </is>
      </c>
      <c r="J1710" s="172" t="n">
        <v>10</v>
      </c>
      <c r="K1710" s="173" t="inlineStr">
        <is>
          <t>10+10+9+3</t>
        </is>
      </c>
      <c r="L1710" s="202" t="n">
        <v>46195</v>
      </c>
      <c r="M1710" s="175" t="n">
        <v>0.0148</v>
      </c>
      <c r="N1710" s="176" t="n">
        <v>0.0181</v>
      </c>
      <c r="O1710" s="191" t="n">
        <v>2.1</v>
      </c>
      <c r="P1710" s="177" t="inlineStr">
        <is>
          <t>优先A</t>
        </is>
      </c>
      <c r="Q1710" s="178" t="n">
        <v>0.9</v>
      </c>
      <c r="R1710" s="179" t="n">
        <v>9</v>
      </c>
      <c r="S1710" s="177" t="inlineStr">
        <is>
          <t>AAA</t>
        </is>
      </c>
      <c r="T1710" s="178" t="n">
        <v>0.0159</v>
      </c>
      <c r="U1710" s="177" t="inlineStr">
        <is>
          <t>工银理财</t>
        </is>
      </c>
      <c r="V1710" s="192" t="n">
        <v>0.95</v>
      </c>
      <c r="W1710" s="175" t="n">
        <v>0.0159</v>
      </c>
      <c r="X1710" s="172" t="inlineStr">
        <is>
          <t>工银理财</t>
        </is>
      </c>
      <c r="Y1710" s="191" t="n">
        <v>1</v>
      </c>
    </row>
    <row r="1711">
      <c r="A1711" s="172" t="n">
        <v>95</v>
      </c>
      <c r="B1711" s="172" t="inlineStr">
        <is>
          <t>6月</t>
        </is>
      </c>
      <c r="C1711" s="172" t="inlineStr">
        <is>
          <t>消金</t>
        </is>
      </c>
      <c r="D1711" s="172" t="inlineStr">
        <is>
          <t>赊销白条</t>
        </is>
      </c>
      <c r="E1711" s="172" t="inlineStr">
        <is>
          <t>东裕11号叔裕</t>
        </is>
      </c>
      <c r="F1711" s="172" t="inlineStr">
        <is>
          <t>银行间</t>
        </is>
      </c>
      <c r="G1711" s="172" t="inlineStr">
        <is>
          <t>招商证券</t>
        </is>
      </c>
      <c r="H1711" s="172" t="inlineStr">
        <is>
          <t>江苏银行/杭州银行/建设银行/东方证券</t>
        </is>
      </c>
      <c r="I1711" s="172" t="inlineStr">
        <is>
          <t>青岛银行</t>
        </is>
      </c>
      <c r="J1711" s="172" t="n">
        <v>10</v>
      </c>
      <c r="K1711" s="172" t="inlineStr">
        <is>
          <t>10+10+9+3</t>
        </is>
      </c>
      <c r="L1711" s="208" t="n">
        <v>46195</v>
      </c>
      <c r="M1711" s="175" t="n">
        <v>0.0148</v>
      </c>
      <c r="N1711" s="176" t="n">
        <v>0.0181</v>
      </c>
      <c r="O1711" s="172" t="n">
        <v>2.1</v>
      </c>
      <c r="P1711" s="172" t="inlineStr">
        <is>
          <t>优先A</t>
        </is>
      </c>
      <c r="Q1711" s="175" t="n">
        <v>0.9</v>
      </c>
      <c r="R1711" s="192" t="n">
        <v>9</v>
      </c>
      <c r="S1711" s="172" t="inlineStr">
        <is>
          <t>AAA</t>
        </is>
      </c>
      <c r="T1711" s="175" t="n">
        <v>0.0159</v>
      </c>
      <c r="U1711" s="172" t="n"/>
      <c r="V1711" s="172" t="n"/>
      <c r="W1711" s="175" t="n">
        <v>0.0163</v>
      </c>
      <c r="X1711" s="172" t="inlineStr">
        <is>
          <t>工银理财</t>
        </is>
      </c>
      <c r="Y1711" s="191" t="n">
        <v>1.5</v>
      </c>
    </row>
    <row r="1712">
      <c r="A1712" s="172" t="n">
        <v>95</v>
      </c>
      <c r="B1712" s="173" t="inlineStr">
        <is>
          <t>6月</t>
        </is>
      </c>
      <c r="C1712" s="173" t="inlineStr">
        <is>
          <t>消金</t>
        </is>
      </c>
      <c r="D1712" s="173" t="inlineStr">
        <is>
          <t>赊销白条</t>
        </is>
      </c>
      <c r="E1712" s="173" t="inlineStr">
        <is>
          <t>东裕11号叔裕</t>
        </is>
      </c>
      <c r="F1712" s="173" t="inlineStr">
        <is>
          <t>银行间</t>
        </is>
      </c>
      <c r="G1712" s="173" t="inlineStr">
        <is>
          <t>招商证券</t>
        </is>
      </c>
      <c r="H1712" s="173" t="inlineStr">
        <is>
          <t>江苏银行/杭州银行/建设银行/东方证券</t>
        </is>
      </c>
      <c r="I1712" s="173" t="inlineStr">
        <is>
          <t>青岛银行</t>
        </is>
      </c>
      <c r="J1712" s="172" t="n">
        <v>10</v>
      </c>
      <c r="K1712" s="173" t="inlineStr">
        <is>
          <t>10+10+9+3</t>
        </is>
      </c>
      <c r="L1712" s="202" t="n">
        <v>46195</v>
      </c>
      <c r="M1712" s="175" t="n">
        <v>0.0148</v>
      </c>
      <c r="N1712" s="176" t="n">
        <v>0.0181</v>
      </c>
      <c r="O1712" s="191" t="n">
        <v>2.1</v>
      </c>
      <c r="P1712" s="172" t="inlineStr">
        <is>
          <t>优先A</t>
        </is>
      </c>
      <c r="Q1712" s="178" t="n">
        <v>0.9</v>
      </c>
      <c r="R1712" s="179" t="n">
        <v>9</v>
      </c>
      <c r="S1712" s="177" t="inlineStr">
        <is>
          <t>AAA</t>
        </is>
      </c>
      <c r="T1712" s="178" t="n">
        <v>0.0159</v>
      </c>
      <c r="U1712" s="177" t="inlineStr">
        <is>
          <t>杭银理财</t>
        </is>
      </c>
      <c r="V1712" s="192" t="n">
        <v>0.45</v>
      </c>
      <c r="W1712" s="175" t="n">
        <v>0.0158</v>
      </c>
      <c r="X1712" s="172" t="inlineStr">
        <is>
          <t>杭银理财</t>
        </is>
      </c>
      <c r="Y1712" s="191" t="n">
        <v>0.45</v>
      </c>
    </row>
    <row r="1713">
      <c r="A1713" s="172" t="n">
        <v>95</v>
      </c>
      <c r="B1713" s="173" t="inlineStr">
        <is>
          <t>6月</t>
        </is>
      </c>
      <c r="C1713" s="173" t="inlineStr">
        <is>
          <t>消金</t>
        </is>
      </c>
      <c r="D1713" s="173" t="inlineStr">
        <is>
          <t>赊销白条</t>
        </is>
      </c>
      <c r="E1713" s="173" t="inlineStr">
        <is>
          <t>东裕11号叔裕</t>
        </is>
      </c>
      <c r="F1713" s="173" t="inlineStr">
        <is>
          <t>银行间</t>
        </is>
      </c>
      <c r="G1713" s="173" t="inlineStr">
        <is>
          <t>招商证券</t>
        </is>
      </c>
      <c r="H1713" s="173" t="inlineStr">
        <is>
          <t>江苏银行/杭州银行/建设银行/东方证券</t>
        </is>
      </c>
      <c r="I1713" s="173" t="inlineStr">
        <is>
          <t>青岛银行</t>
        </is>
      </c>
      <c r="J1713" s="172" t="n">
        <v>10</v>
      </c>
      <c r="K1713" s="173" t="inlineStr">
        <is>
          <t>10+10+9+3</t>
        </is>
      </c>
      <c r="L1713" s="202" t="n">
        <v>46195</v>
      </c>
      <c r="M1713" s="175" t="n">
        <v>0.0148</v>
      </c>
      <c r="N1713" s="176" t="n">
        <v>0.0181</v>
      </c>
      <c r="O1713" s="191" t="n">
        <v>2.1</v>
      </c>
      <c r="P1713" s="172" t="inlineStr">
        <is>
          <t>优先A</t>
        </is>
      </c>
      <c r="Q1713" s="178" t="n">
        <v>0.9</v>
      </c>
      <c r="R1713" s="179" t="n">
        <v>9</v>
      </c>
      <c r="S1713" s="177" t="inlineStr">
        <is>
          <t>AAA</t>
        </is>
      </c>
      <c r="T1713" s="178" t="n">
        <v>0.0159</v>
      </c>
      <c r="U1713" s="177" t="inlineStr">
        <is>
          <t>杭州银行</t>
        </is>
      </c>
      <c r="V1713" s="192" t="n">
        <v>0.8</v>
      </c>
      <c r="W1713" s="175" t="n">
        <v>0.0155</v>
      </c>
      <c r="X1713" s="172" t="inlineStr">
        <is>
          <t>杭州银行</t>
        </is>
      </c>
      <c r="Y1713" s="191" t="n">
        <v>0.8</v>
      </c>
    </row>
    <row r="1714">
      <c r="A1714" s="172" t="n">
        <v>95</v>
      </c>
      <c r="B1714" s="172" t="inlineStr">
        <is>
          <t>6月</t>
        </is>
      </c>
      <c r="C1714" s="172" t="inlineStr">
        <is>
          <t>消金</t>
        </is>
      </c>
      <c r="D1714" s="172" t="inlineStr">
        <is>
          <t>赊销白条</t>
        </is>
      </c>
      <c r="E1714" s="172" t="inlineStr">
        <is>
          <t>东裕11号叔裕</t>
        </is>
      </c>
      <c r="F1714" s="172" t="inlineStr">
        <is>
          <t>银行间</t>
        </is>
      </c>
      <c r="G1714" s="172" t="inlineStr">
        <is>
          <t>招商证券</t>
        </is>
      </c>
      <c r="H1714" s="172" t="inlineStr">
        <is>
          <t>江苏银行/杭州银行/建设银行/东方证券</t>
        </is>
      </c>
      <c r="I1714" s="172" t="inlineStr">
        <is>
          <t>青岛银行</t>
        </is>
      </c>
      <c r="J1714" s="172" t="n">
        <v>10</v>
      </c>
      <c r="K1714" s="172" t="inlineStr">
        <is>
          <t>10+10+9+3</t>
        </is>
      </c>
      <c r="L1714" s="208" t="n">
        <v>46195</v>
      </c>
      <c r="M1714" s="175" t="n">
        <v>0.0148</v>
      </c>
      <c r="N1714" s="176" t="n">
        <v>0.0181</v>
      </c>
      <c r="O1714" s="172" t="n">
        <v>2.1</v>
      </c>
      <c r="P1714" s="172" t="inlineStr">
        <is>
          <t>优先A</t>
        </is>
      </c>
      <c r="Q1714" s="175" t="n">
        <v>0.9</v>
      </c>
      <c r="R1714" s="192" t="n">
        <v>9</v>
      </c>
      <c r="S1714" s="172" t="inlineStr">
        <is>
          <t>AAA</t>
        </is>
      </c>
      <c r="T1714" s="175" t="n">
        <v>0.0159</v>
      </c>
      <c r="U1714" s="172" t="n"/>
      <c r="V1714" s="172" t="n"/>
      <c r="W1714" s="175" t="n">
        <v>0.016</v>
      </c>
      <c r="X1714" s="172" t="inlineStr">
        <is>
          <t>杭州银行</t>
        </is>
      </c>
      <c r="Y1714" s="191" t="n">
        <v>0.55</v>
      </c>
    </row>
    <row r="1715">
      <c r="A1715" s="172" t="n">
        <v>95</v>
      </c>
      <c r="B1715" s="173" t="inlineStr">
        <is>
          <t>6月</t>
        </is>
      </c>
      <c r="C1715" s="173" t="inlineStr">
        <is>
          <t>消金</t>
        </is>
      </c>
      <c r="D1715" s="173" t="inlineStr">
        <is>
          <t>赊销白条</t>
        </is>
      </c>
      <c r="E1715" s="173" t="inlineStr">
        <is>
          <t>东裕11号叔裕</t>
        </is>
      </c>
      <c r="F1715" s="173" t="inlineStr">
        <is>
          <t>银行间</t>
        </is>
      </c>
      <c r="G1715" s="173" t="inlineStr">
        <is>
          <t>招商证券</t>
        </is>
      </c>
      <c r="H1715" s="173" t="inlineStr">
        <is>
          <t>江苏银行/杭州银行/建设银行/东方证券</t>
        </is>
      </c>
      <c r="I1715" s="173" t="inlineStr">
        <is>
          <t>青岛银行</t>
        </is>
      </c>
      <c r="J1715" s="172" t="n">
        <v>10</v>
      </c>
      <c r="K1715" s="173" t="inlineStr">
        <is>
          <t>10+10+9+3</t>
        </is>
      </c>
      <c r="L1715" s="202" t="n">
        <v>46195</v>
      </c>
      <c r="M1715" s="175" t="n">
        <v>0.0148</v>
      </c>
      <c r="N1715" s="176" t="n">
        <v>0.0181</v>
      </c>
      <c r="O1715" s="191" t="n">
        <v>2.1</v>
      </c>
      <c r="P1715" s="172" t="inlineStr">
        <is>
          <t>优先A</t>
        </is>
      </c>
      <c r="Q1715" s="178" t="n">
        <v>0.9</v>
      </c>
      <c r="R1715" s="179" t="n">
        <v>9</v>
      </c>
      <c r="S1715" s="177" t="inlineStr">
        <is>
          <t>AAA</t>
        </is>
      </c>
      <c r="T1715" s="178" t="n">
        <v>0.0159</v>
      </c>
      <c r="U1715" s="177" t="inlineStr">
        <is>
          <t>建设银行</t>
        </is>
      </c>
      <c r="V1715" s="192" t="n">
        <v>1.8</v>
      </c>
      <c r="W1715" s="175" t="n">
        <v>0.0157</v>
      </c>
      <c r="X1715" s="172" t="inlineStr">
        <is>
          <t>建设银行</t>
        </is>
      </c>
      <c r="Y1715" s="191" t="n">
        <v>1.8</v>
      </c>
    </row>
    <row r="1716">
      <c r="A1716" s="172" t="n">
        <v>95</v>
      </c>
      <c r="B1716" s="173" t="inlineStr">
        <is>
          <t>6月</t>
        </is>
      </c>
      <c r="C1716" s="173" t="inlineStr">
        <is>
          <t>消金</t>
        </is>
      </c>
      <c r="D1716" s="173" t="inlineStr">
        <is>
          <t>赊销白条</t>
        </is>
      </c>
      <c r="E1716" s="173" t="inlineStr">
        <is>
          <t>东裕11号叔裕</t>
        </is>
      </c>
      <c r="F1716" s="173" t="inlineStr">
        <is>
          <t>银行间</t>
        </is>
      </c>
      <c r="G1716" s="173" t="inlineStr">
        <is>
          <t>招商证券</t>
        </is>
      </c>
      <c r="H1716" s="173" t="inlineStr">
        <is>
          <t>江苏银行/杭州银行/建设银行/东方证券</t>
        </is>
      </c>
      <c r="I1716" s="173" t="inlineStr">
        <is>
          <t>青岛银行</t>
        </is>
      </c>
      <c r="J1716" s="172" t="n">
        <v>10</v>
      </c>
      <c r="K1716" s="173" t="inlineStr">
        <is>
          <t>10+10+9+3</t>
        </is>
      </c>
      <c r="L1716" s="202" t="n">
        <v>46195</v>
      </c>
      <c r="M1716" s="175" t="n">
        <v>0.0148</v>
      </c>
      <c r="N1716" s="176" t="n">
        <v>0.0181</v>
      </c>
      <c r="O1716" s="191" t="n">
        <v>2.1</v>
      </c>
      <c r="P1716" s="172" t="inlineStr">
        <is>
          <t>优先A</t>
        </is>
      </c>
      <c r="Q1716" s="178" t="n">
        <v>0.9</v>
      </c>
      <c r="R1716" s="179" t="n">
        <v>9</v>
      </c>
      <c r="S1716" s="177" t="inlineStr">
        <is>
          <t>AAA</t>
        </is>
      </c>
      <c r="T1716" s="178" t="n">
        <v>0.0159</v>
      </c>
      <c r="U1716" s="177" t="inlineStr">
        <is>
          <t>建信理财</t>
        </is>
      </c>
      <c r="V1716" s="192" t="n">
        <v>0.9</v>
      </c>
      <c r="W1716" s="175" t="n">
        <v>0.0157</v>
      </c>
      <c r="X1716" s="172" t="inlineStr">
        <is>
          <t>建信信托（建信理财）</t>
        </is>
      </c>
      <c r="Y1716" s="191" t="n">
        <v>0.9</v>
      </c>
    </row>
    <row r="1717">
      <c r="A1717" s="172" t="n">
        <v>95</v>
      </c>
      <c r="B1717" s="173" t="inlineStr">
        <is>
          <t>6月</t>
        </is>
      </c>
      <c r="C1717" s="173" t="inlineStr">
        <is>
          <t>消金</t>
        </is>
      </c>
      <c r="D1717" s="173" t="inlineStr">
        <is>
          <t>赊销白条</t>
        </is>
      </c>
      <c r="E1717" s="173" t="inlineStr">
        <is>
          <t>东裕11号叔裕</t>
        </is>
      </c>
      <c r="F1717" s="173" t="inlineStr">
        <is>
          <t>银行间</t>
        </is>
      </c>
      <c r="G1717" s="173" t="inlineStr">
        <is>
          <t>招商证券</t>
        </is>
      </c>
      <c r="H1717" s="173" t="inlineStr">
        <is>
          <t>江苏银行/杭州银行/建设银行/东方证券</t>
        </is>
      </c>
      <c r="I1717" s="173" t="inlineStr">
        <is>
          <t>青岛银行</t>
        </is>
      </c>
      <c r="J1717" s="172" t="n">
        <v>10</v>
      </c>
      <c r="K1717" s="173" t="inlineStr">
        <is>
          <t>10+10+9+3</t>
        </is>
      </c>
      <c r="L1717" s="202" t="n">
        <v>46195</v>
      </c>
      <c r="M1717" s="175" t="n">
        <v>0.0148</v>
      </c>
      <c r="N1717" s="176" t="n">
        <v>0.0181</v>
      </c>
      <c r="O1717" s="191" t="n">
        <v>2.1</v>
      </c>
      <c r="P1717" s="172" t="inlineStr">
        <is>
          <t>优先A</t>
        </is>
      </c>
      <c r="Q1717" s="178" t="n">
        <v>0.9</v>
      </c>
      <c r="R1717" s="179" t="n">
        <v>9</v>
      </c>
      <c r="S1717" s="177" t="inlineStr">
        <is>
          <t>AAA</t>
        </is>
      </c>
      <c r="T1717" s="178" t="n">
        <v>0.0159</v>
      </c>
      <c r="U1717" s="177" t="inlineStr">
        <is>
          <t>江苏银行</t>
        </is>
      </c>
      <c r="V1717" s="192" t="n">
        <v>1.8</v>
      </c>
      <c r="W1717" s="175" t="n">
        <v>0.015</v>
      </c>
      <c r="X1717" s="172" t="inlineStr">
        <is>
          <t>江苏银行</t>
        </is>
      </c>
      <c r="Y1717" s="191" t="n">
        <v>1.8</v>
      </c>
    </row>
    <row r="1718">
      <c r="A1718" s="172" t="n">
        <v>95</v>
      </c>
      <c r="B1718" s="173" t="inlineStr">
        <is>
          <t>6月</t>
        </is>
      </c>
      <c r="C1718" s="173" t="inlineStr">
        <is>
          <t>消金</t>
        </is>
      </c>
      <c r="D1718" s="173" t="inlineStr">
        <is>
          <t>赊销白条</t>
        </is>
      </c>
      <c r="E1718" s="173" t="inlineStr">
        <is>
          <t>东裕11号叔裕</t>
        </is>
      </c>
      <c r="F1718" s="173" t="inlineStr">
        <is>
          <t>银行间</t>
        </is>
      </c>
      <c r="G1718" s="173" t="inlineStr">
        <is>
          <t>招商证券</t>
        </is>
      </c>
      <c r="H1718" s="173" t="inlineStr">
        <is>
          <t>江苏银行/杭州银行/建设银行/东方证券</t>
        </is>
      </c>
      <c r="I1718" s="173" t="inlineStr">
        <is>
          <t>青岛银行</t>
        </is>
      </c>
      <c r="J1718" s="172" t="n">
        <v>10</v>
      </c>
      <c r="K1718" s="173" t="inlineStr">
        <is>
          <t>10+10+9+3</t>
        </is>
      </c>
      <c r="L1718" s="202" t="n">
        <v>46195</v>
      </c>
      <c r="M1718" s="175" t="n">
        <v>0.0148</v>
      </c>
      <c r="N1718" s="176" t="n">
        <v>0.0181</v>
      </c>
      <c r="O1718" s="191" t="n">
        <v>2.1</v>
      </c>
      <c r="P1718" s="172" t="inlineStr">
        <is>
          <t>优先A</t>
        </is>
      </c>
      <c r="Q1718" s="178" t="n">
        <v>0.9</v>
      </c>
      <c r="R1718" s="179" t="n">
        <v>9</v>
      </c>
      <c r="S1718" s="177" t="inlineStr">
        <is>
          <t>AAA</t>
        </is>
      </c>
      <c r="T1718" s="178" t="n">
        <v>0.0159</v>
      </c>
      <c r="U1718" s="177" t="inlineStr">
        <is>
          <t>平安养老</t>
        </is>
      </c>
      <c r="V1718" s="192" t="n">
        <v>0.9</v>
      </c>
      <c r="W1718" s="175" t="n">
        <v>0.0157</v>
      </c>
      <c r="X1718" s="172" t="inlineStr">
        <is>
          <t>平安养老</t>
        </is>
      </c>
      <c r="Y1718" s="191" t="n">
        <v>0.9</v>
      </c>
    </row>
    <row r="1719">
      <c r="A1719" s="172" t="n">
        <v>95</v>
      </c>
      <c r="B1719" s="173" t="inlineStr">
        <is>
          <t>6月</t>
        </is>
      </c>
      <c r="C1719" s="173" t="inlineStr">
        <is>
          <t>消金</t>
        </is>
      </c>
      <c r="D1719" s="173" t="inlineStr">
        <is>
          <t>赊销白条</t>
        </is>
      </c>
      <c r="E1719" s="173" t="inlineStr">
        <is>
          <t>东裕11号叔裕</t>
        </is>
      </c>
      <c r="F1719" s="173" t="inlineStr">
        <is>
          <t>银行间</t>
        </is>
      </c>
      <c r="G1719" s="173" t="inlineStr">
        <is>
          <t>招商证券</t>
        </is>
      </c>
      <c r="H1719" s="173" t="inlineStr">
        <is>
          <t>江苏银行/杭州银行/建设银行/东方证券</t>
        </is>
      </c>
      <c r="I1719" s="173" t="inlineStr">
        <is>
          <t>青岛银行</t>
        </is>
      </c>
      <c r="J1719" s="172" t="n">
        <v>10</v>
      </c>
      <c r="K1719" s="173" t="inlineStr">
        <is>
          <t>10+10+9+3</t>
        </is>
      </c>
      <c r="L1719" s="202" t="n">
        <v>46195</v>
      </c>
      <c r="M1719" s="175" t="n">
        <v>0.0148</v>
      </c>
      <c r="N1719" s="176" t="n">
        <v>0.0181</v>
      </c>
      <c r="O1719" s="191" t="n">
        <v>2.1</v>
      </c>
      <c r="P1719" s="172" t="inlineStr">
        <is>
          <t>优先A</t>
        </is>
      </c>
      <c r="Q1719" s="178" t="n">
        <v>0.9</v>
      </c>
      <c r="R1719" s="179" t="n">
        <v>9</v>
      </c>
      <c r="S1719" s="177" t="inlineStr">
        <is>
          <t>AAA</t>
        </is>
      </c>
      <c r="T1719" s="178" t="n">
        <v>0.0159</v>
      </c>
      <c r="U1719" s="177" t="inlineStr">
        <is>
          <t>中银理财</t>
        </is>
      </c>
      <c r="V1719" s="192" t="n">
        <v>1.4</v>
      </c>
      <c r="W1719" s="175" t="n">
        <v>0.0157</v>
      </c>
      <c r="X1719" s="172" t="inlineStr">
        <is>
          <t>中银理财</t>
        </is>
      </c>
      <c r="Y1719" s="191" t="n">
        <v>0.5</v>
      </c>
    </row>
    <row r="1720">
      <c r="A1720" s="172" t="n">
        <v>95</v>
      </c>
      <c r="B1720" s="172" t="inlineStr">
        <is>
          <t>6月</t>
        </is>
      </c>
      <c r="C1720" s="172" t="inlineStr">
        <is>
          <t>消金</t>
        </is>
      </c>
      <c r="D1720" s="172" t="inlineStr">
        <is>
          <t>赊销白条</t>
        </is>
      </c>
      <c r="E1720" s="172" t="inlineStr">
        <is>
          <t>东裕11号叔裕</t>
        </is>
      </c>
      <c r="F1720" s="172" t="inlineStr">
        <is>
          <t>银行间</t>
        </is>
      </c>
      <c r="G1720" s="172" t="inlineStr">
        <is>
          <t>招商证券</t>
        </is>
      </c>
      <c r="H1720" s="172" t="inlineStr">
        <is>
          <t>江苏银行/杭州银行/建设银行/东方证券</t>
        </is>
      </c>
      <c r="I1720" s="172" t="inlineStr">
        <is>
          <t>青岛银行</t>
        </is>
      </c>
      <c r="J1720" s="172" t="n">
        <v>10</v>
      </c>
      <c r="K1720" s="172" t="inlineStr">
        <is>
          <t>10+10+9+3</t>
        </is>
      </c>
      <c r="L1720" s="208" t="n">
        <v>46195</v>
      </c>
      <c r="M1720" s="175" t="n">
        <v>0.0148</v>
      </c>
      <c r="N1720" s="176" t="n">
        <v>0.0181</v>
      </c>
      <c r="O1720" s="172" t="n">
        <v>2.1</v>
      </c>
      <c r="P1720" s="172" t="inlineStr">
        <is>
          <t>优先A</t>
        </is>
      </c>
      <c r="Q1720" s="175" t="n">
        <v>0.9</v>
      </c>
      <c r="R1720" s="192" t="n">
        <v>9</v>
      </c>
      <c r="S1720" s="172" t="inlineStr">
        <is>
          <t>AAA</t>
        </is>
      </c>
      <c r="T1720" s="175" t="n">
        <v>0.0159</v>
      </c>
      <c r="U1720" s="172" t="n"/>
      <c r="V1720" s="172" t="n"/>
      <c r="W1720" s="175" t="n">
        <v>0.016</v>
      </c>
      <c r="X1720" s="172" t="inlineStr">
        <is>
          <t>交银理财</t>
        </is>
      </c>
      <c r="Y1720" s="191" t="n">
        <v>0.8</v>
      </c>
    </row>
    <row r="1721">
      <c r="A1721" s="172" t="n">
        <v>95</v>
      </c>
      <c r="B1721" s="172" t="inlineStr">
        <is>
          <t>6月</t>
        </is>
      </c>
      <c r="C1721" s="172" t="inlineStr">
        <is>
          <t>消金</t>
        </is>
      </c>
      <c r="D1721" s="172" t="inlineStr">
        <is>
          <t>赊销白条</t>
        </is>
      </c>
      <c r="E1721" s="172" t="inlineStr">
        <is>
          <t>东裕11号叔裕</t>
        </is>
      </c>
      <c r="F1721" s="172" t="inlineStr">
        <is>
          <t>银行间</t>
        </is>
      </c>
      <c r="G1721" s="172" t="inlineStr">
        <is>
          <t>招商证券</t>
        </is>
      </c>
      <c r="H1721" s="172" t="inlineStr">
        <is>
          <t>江苏银行/杭州银行/建设银行/东方证券</t>
        </is>
      </c>
      <c r="I1721" s="172" t="inlineStr">
        <is>
          <t>青岛银行</t>
        </is>
      </c>
      <c r="J1721" s="172" t="n">
        <v>10</v>
      </c>
      <c r="K1721" s="172" t="inlineStr">
        <is>
          <t>10+10+9+3</t>
        </is>
      </c>
      <c r="L1721" s="208" t="n">
        <v>46195</v>
      </c>
      <c r="M1721" s="175" t="n">
        <v>0.0148</v>
      </c>
      <c r="N1721" s="176" t="n">
        <v>0.0181</v>
      </c>
      <c r="O1721" s="172" t="n">
        <v>2.1</v>
      </c>
      <c r="P1721" s="172" t="inlineStr">
        <is>
          <t>优先A</t>
        </is>
      </c>
      <c r="Q1721" s="175" t="n">
        <v>0.9</v>
      </c>
      <c r="R1721" s="192" t="n">
        <v>9</v>
      </c>
      <c r="S1721" s="172" t="inlineStr">
        <is>
          <t>AAA</t>
        </is>
      </c>
      <c r="T1721" s="175" t="n">
        <v>0.0159</v>
      </c>
      <c r="U1721" s="172" t="n"/>
      <c r="V1721" s="172" t="n"/>
      <c r="W1721" s="175" t="n">
        <v>0.0165</v>
      </c>
      <c r="X1721" s="172" t="inlineStr">
        <is>
          <t>交银理财</t>
        </is>
      </c>
      <c r="Y1721" s="191" t="n">
        <v>0.5</v>
      </c>
    </row>
    <row r="1722">
      <c r="A1722" s="172" t="n">
        <v>95</v>
      </c>
      <c r="B1722" s="172" t="inlineStr">
        <is>
          <t>6月</t>
        </is>
      </c>
      <c r="C1722" s="172" t="inlineStr">
        <is>
          <t>消金</t>
        </is>
      </c>
      <c r="D1722" s="172" t="inlineStr">
        <is>
          <t>赊销白条</t>
        </is>
      </c>
      <c r="E1722" s="172" t="inlineStr">
        <is>
          <t>东裕11号叔裕</t>
        </is>
      </c>
      <c r="F1722" s="172" t="inlineStr">
        <is>
          <t>银行间</t>
        </is>
      </c>
      <c r="G1722" s="172" t="inlineStr">
        <is>
          <t>招商证券</t>
        </is>
      </c>
      <c r="H1722" s="172" t="inlineStr">
        <is>
          <t>江苏银行/杭州银行/建设银行/东方证券</t>
        </is>
      </c>
      <c r="I1722" s="172" t="inlineStr">
        <is>
          <t>青岛银行</t>
        </is>
      </c>
      <c r="J1722" s="172" t="n">
        <v>10</v>
      </c>
      <c r="K1722" s="172" t="inlineStr">
        <is>
          <t>10+10+9+3</t>
        </is>
      </c>
      <c r="L1722" s="208" t="n">
        <v>46195</v>
      </c>
      <c r="M1722" s="175" t="n">
        <v>0.0148</v>
      </c>
      <c r="N1722" s="176" t="n">
        <v>0.0181</v>
      </c>
      <c r="O1722" s="172" t="n">
        <v>2.1</v>
      </c>
      <c r="P1722" s="172" t="inlineStr">
        <is>
          <t>优先A</t>
        </is>
      </c>
      <c r="Q1722" s="175" t="n">
        <v>0.9</v>
      </c>
      <c r="R1722" s="192" t="n">
        <v>9</v>
      </c>
      <c r="S1722" s="172" t="inlineStr">
        <is>
          <t>AAA</t>
        </is>
      </c>
      <c r="T1722" s="175" t="n">
        <v>0.0159</v>
      </c>
      <c r="U1722" s="172" t="n"/>
      <c r="V1722" s="172" t="n"/>
      <c r="W1722" s="175" t="n">
        <v>0.017</v>
      </c>
      <c r="X1722" s="172" t="inlineStr">
        <is>
          <t>交银理财</t>
        </is>
      </c>
      <c r="Y1722" s="191" t="n">
        <v>0.3</v>
      </c>
    </row>
    <row r="1723">
      <c r="A1723" s="172" t="n">
        <v>95</v>
      </c>
      <c r="B1723" s="172" t="inlineStr">
        <is>
          <t>6月</t>
        </is>
      </c>
      <c r="C1723" s="172" t="inlineStr">
        <is>
          <t>消金</t>
        </is>
      </c>
      <c r="D1723" s="172" t="inlineStr">
        <is>
          <t>赊销白条</t>
        </is>
      </c>
      <c r="E1723" s="172" t="inlineStr">
        <is>
          <t>东裕11号叔裕</t>
        </is>
      </c>
      <c r="F1723" s="172" t="inlineStr">
        <is>
          <t>银行间</t>
        </is>
      </c>
      <c r="G1723" s="172" t="inlineStr">
        <is>
          <t>招商证券</t>
        </is>
      </c>
      <c r="H1723" s="172" t="inlineStr">
        <is>
          <t>江苏银行/杭州银行/建设银行/东方证券</t>
        </is>
      </c>
      <c r="I1723" s="172" t="inlineStr">
        <is>
          <t>青岛银行</t>
        </is>
      </c>
      <c r="J1723" s="172" t="n">
        <v>10</v>
      </c>
      <c r="K1723" s="172" t="inlineStr">
        <is>
          <t>10+10+9+3</t>
        </is>
      </c>
      <c r="L1723" s="208" t="n">
        <v>46195</v>
      </c>
      <c r="M1723" s="175" t="n">
        <v>0.0148</v>
      </c>
      <c r="N1723" s="176" t="n">
        <v>0.0181</v>
      </c>
      <c r="O1723" s="172" t="n">
        <v>2.1</v>
      </c>
      <c r="P1723" s="172" t="inlineStr">
        <is>
          <t>优先A</t>
        </is>
      </c>
      <c r="Q1723" s="175" t="n">
        <v>0.9</v>
      </c>
      <c r="R1723" s="192" t="n">
        <v>9</v>
      </c>
      <c r="S1723" s="172" t="inlineStr">
        <is>
          <t>AAA</t>
        </is>
      </c>
      <c r="T1723" s="175" t="n">
        <v>0.0159</v>
      </c>
      <c r="U1723" s="172" t="n"/>
      <c r="V1723" s="172" t="n"/>
      <c r="W1723" s="175" t="n">
        <v>0.017</v>
      </c>
      <c r="X1723" s="172" t="inlineStr">
        <is>
          <t>招商证券</t>
        </is>
      </c>
      <c r="Y1723" s="191" t="n">
        <v>1</v>
      </c>
    </row>
    <row r="1724">
      <c r="A1724" s="172" t="n">
        <v>95</v>
      </c>
      <c r="B1724" s="172" t="inlineStr">
        <is>
          <t>6月</t>
        </is>
      </c>
      <c r="C1724" s="172" t="inlineStr">
        <is>
          <t>消金</t>
        </is>
      </c>
      <c r="D1724" s="172" t="inlineStr">
        <is>
          <t>赊销白条</t>
        </is>
      </c>
      <c r="E1724" s="172" t="inlineStr">
        <is>
          <t>东裕11号叔裕</t>
        </is>
      </c>
      <c r="F1724" s="172" t="inlineStr">
        <is>
          <t>银行间</t>
        </is>
      </c>
      <c r="G1724" s="172" t="inlineStr">
        <is>
          <t>招商证券</t>
        </is>
      </c>
      <c r="H1724" s="172" t="inlineStr">
        <is>
          <t>江苏银行/杭州银行/建设银行/东方证券</t>
        </is>
      </c>
      <c r="I1724" s="172" t="inlineStr">
        <is>
          <t>青岛银行</t>
        </is>
      </c>
      <c r="J1724" s="172" t="n">
        <v>10</v>
      </c>
      <c r="K1724" s="172" t="inlineStr">
        <is>
          <t>10+10+9+3</t>
        </is>
      </c>
      <c r="L1724" s="208" t="n">
        <v>46195</v>
      </c>
      <c r="M1724" s="175" t="n">
        <v>0.0148</v>
      </c>
      <c r="N1724" s="176" t="n">
        <v>0.0181</v>
      </c>
      <c r="O1724" s="172" t="n">
        <v>2.1</v>
      </c>
      <c r="P1724" s="172" t="inlineStr">
        <is>
          <t>优先A</t>
        </is>
      </c>
      <c r="Q1724" s="175" t="n">
        <v>0.9</v>
      </c>
      <c r="R1724" s="192" t="n">
        <v>9</v>
      </c>
      <c r="S1724" s="172" t="inlineStr">
        <is>
          <t>AAA</t>
        </is>
      </c>
      <c r="T1724" s="175" t="n">
        <v>0.0159</v>
      </c>
      <c r="U1724" s="172" t="n"/>
      <c r="V1724" s="172" t="n"/>
      <c r="W1724" s="175" t="n">
        <v>0.024</v>
      </c>
      <c r="X1724" s="172" t="inlineStr">
        <is>
          <t>上海利曦基金</t>
        </is>
      </c>
      <c r="Y1724" s="191" t="n">
        <v>2</v>
      </c>
    </row>
    <row r="1725">
      <c r="A1725" s="172" t="n">
        <v>95</v>
      </c>
      <c r="B1725" s="172" t="inlineStr">
        <is>
          <t>6月</t>
        </is>
      </c>
      <c r="C1725" s="172" t="inlineStr">
        <is>
          <t>消金</t>
        </is>
      </c>
      <c r="D1725" s="172" t="inlineStr">
        <is>
          <t>赊销白条</t>
        </is>
      </c>
      <c r="E1725" s="172" t="inlineStr">
        <is>
          <t>东裕11号叔裕</t>
        </is>
      </c>
      <c r="F1725" s="172" t="inlineStr">
        <is>
          <t>银行间</t>
        </is>
      </c>
      <c r="G1725" s="172" t="inlineStr">
        <is>
          <t>招商证券</t>
        </is>
      </c>
      <c r="H1725" s="172" t="inlineStr">
        <is>
          <t>江苏银行/杭州银行/建设银行/东方证券</t>
        </is>
      </c>
      <c r="I1725" s="172" t="inlineStr">
        <is>
          <t>青岛银行</t>
        </is>
      </c>
      <c r="J1725" s="172" t="n">
        <v>10</v>
      </c>
      <c r="K1725" s="172" t="inlineStr">
        <is>
          <t>10+10+9+3</t>
        </is>
      </c>
      <c r="L1725" s="208" t="n">
        <v>46195</v>
      </c>
      <c r="M1725" s="175" t="n">
        <v>0.0148</v>
      </c>
      <c r="N1725" s="176" t="n">
        <v>0.0181</v>
      </c>
      <c r="O1725" s="172" t="n">
        <v>2.1</v>
      </c>
      <c r="P1725" s="172" t="inlineStr">
        <is>
          <t>优先A</t>
        </is>
      </c>
      <c r="Q1725" s="175" t="n">
        <v>0.9</v>
      </c>
      <c r="R1725" s="192" t="n">
        <v>9</v>
      </c>
      <c r="S1725" s="172" t="inlineStr">
        <is>
          <t>AAA</t>
        </is>
      </c>
      <c r="T1725" s="175" t="n">
        <v>0.0159</v>
      </c>
      <c r="U1725" s="172" t="n"/>
      <c r="V1725" s="172" t="n"/>
      <c r="W1725" s="175" t="n">
        <v>0.016</v>
      </c>
      <c r="X1725" s="172" t="inlineStr">
        <is>
          <t>中邮理财</t>
        </is>
      </c>
      <c r="Y1725" s="191" t="n">
        <v>2.7</v>
      </c>
    </row>
    <row r="1726">
      <c r="A1726" s="172" t="n">
        <v>95</v>
      </c>
      <c r="B1726" s="172" t="inlineStr">
        <is>
          <t>6月</t>
        </is>
      </c>
      <c r="C1726" s="172" t="inlineStr">
        <is>
          <t>消金</t>
        </is>
      </c>
      <c r="D1726" s="172" t="inlineStr">
        <is>
          <t>赊销白条</t>
        </is>
      </c>
      <c r="E1726" s="172" t="inlineStr">
        <is>
          <t>东裕11号叔裕</t>
        </is>
      </c>
      <c r="F1726" s="172" t="inlineStr">
        <is>
          <t>银行间</t>
        </is>
      </c>
      <c r="G1726" s="172" t="inlineStr">
        <is>
          <t>招商证券</t>
        </is>
      </c>
      <c r="H1726" s="172" t="inlineStr">
        <is>
          <t>江苏银行/杭州银行/建设银行/东方证券</t>
        </is>
      </c>
      <c r="I1726" s="172" t="inlineStr">
        <is>
          <t>青岛银行</t>
        </is>
      </c>
      <c r="J1726" s="172" t="n">
        <v>10</v>
      </c>
      <c r="K1726" s="172" t="inlineStr">
        <is>
          <t>10+10+9+3</t>
        </is>
      </c>
      <c r="L1726" s="208" t="n">
        <v>46195</v>
      </c>
      <c r="M1726" s="175" t="n">
        <v>0.0148</v>
      </c>
      <c r="N1726" s="176" t="n">
        <v>0.0181</v>
      </c>
      <c r="O1726" s="172" t="n">
        <v>2.1</v>
      </c>
      <c r="P1726" s="172" t="inlineStr">
        <is>
          <t>优先A</t>
        </is>
      </c>
      <c r="Q1726" s="175" t="n">
        <v>0.9</v>
      </c>
      <c r="R1726" s="192" t="n">
        <v>9</v>
      </c>
      <c r="S1726" s="172" t="inlineStr">
        <is>
          <t>AAA</t>
        </is>
      </c>
      <c r="T1726" s="175" t="n">
        <v>0.0159</v>
      </c>
      <c r="U1726" s="172" t="n"/>
      <c r="V1726" s="172" t="n"/>
      <c r="W1726" s="175" t="n">
        <v>0.0159</v>
      </c>
      <c r="X1726" s="172" t="inlineStr">
        <is>
          <t>中银理财</t>
        </is>
      </c>
      <c r="Y1726" s="191" t="n">
        <v>1</v>
      </c>
    </row>
    <row r="1727">
      <c r="A1727" s="172" t="n">
        <v>95</v>
      </c>
      <c r="B1727" s="172" t="inlineStr">
        <is>
          <t>6月</t>
        </is>
      </c>
      <c r="C1727" s="172" t="inlineStr">
        <is>
          <t>消金</t>
        </is>
      </c>
      <c r="D1727" s="172" t="inlineStr">
        <is>
          <t>赊销白条</t>
        </is>
      </c>
      <c r="E1727" s="172" t="inlineStr">
        <is>
          <t>东裕11号叔裕</t>
        </is>
      </c>
      <c r="F1727" s="172" t="inlineStr">
        <is>
          <t>银行间</t>
        </is>
      </c>
      <c r="G1727" s="172" t="inlineStr">
        <is>
          <t>招商证券</t>
        </is>
      </c>
      <c r="H1727" s="172" t="inlineStr">
        <is>
          <t>江苏银行/杭州银行/建设银行/东方证券</t>
        </is>
      </c>
      <c r="I1727" s="172" t="inlineStr">
        <is>
          <t>青岛银行</t>
        </is>
      </c>
      <c r="J1727" s="172" t="n">
        <v>10</v>
      </c>
      <c r="K1727" s="172" t="inlineStr">
        <is>
          <t>10+10+9+3</t>
        </is>
      </c>
      <c r="L1727" s="208" t="n">
        <v>46195</v>
      </c>
      <c r="M1727" s="175" t="n">
        <v>0.0148</v>
      </c>
      <c r="N1727" s="176" t="n">
        <v>0.0181</v>
      </c>
      <c r="O1727" s="172" t="n">
        <v>2.1</v>
      </c>
      <c r="P1727" s="172" t="inlineStr">
        <is>
          <t>优先A</t>
        </is>
      </c>
      <c r="Q1727" s="175" t="n">
        <v>0.9</v>
      </c>
      <c r="R1727" s="192" t="n">
        <v>9</v>
      </c>
      <c r="S1727" s="172" t="inlineStr">
        <is>
          <t>AAA</t>
        </is>
      </c>
      <c r="T1727" s="175" t="n">
        <v>0.0159</v>
      </c>
      <c r="U1727" s="172" t="n"/>
      <c r="V1727" s="172" t="n"/>
      <c r="W1727" s="175" t="n">
        <v>0.016</v>
      </c>
      <c r="X1727" s="172" t="inlineStr">
        <is>
          <t>中银理财</t>
        </is>
      </c>
      <c r="Y1727" s="191" t="n">
        <v>0.5</v>
      </c>
    </row>
    <row r="1728">
      <c r="A1728" s="172" t="n">
        <v>95</v>
      </c>
      <c r="B1728" s="173" t="inlineStr">
        <is>
          <t>6月</t>
        </is>
      </c>
      <c r="C1728" s="173" t="inlineStr">
        <is>
          <t>消金</t>
        </is>
      </c>
      <c r="D1728" s="173" t="inlineStr">
        <is>
          <t>赊销白条</t>
        </is>
      </c>
      <c r="E1728" s="173" t="inlineStr">
        <is>
          <t>东裕11号叔裕</t>
        </is>
      </c>
      <c r="F1728" s="173" t="inlineStr">
        <is>
          <t>银行间</t>
        </is>
      </c>
      <c r="G1728" s="173" t="inlineStr">
        <is>
          <t>招商证券</t>
        </is>
      </c>
      <c r="H1728" s="173" t="inlineStr">
        <is>
          <t>江苏银行/杭州银行/建设银行/东方证券</t>
        </is>
      </c>
      <c r="I1728" s="173" t="inlineStr">
        <is>
          <t>青岛银行</t>
        </is>
      </c>
      <c r="J1728" s="172" t="n">
        <v>10</v>
      </c>
      <c r="K1728" s="173" t="inlineStr">
        <is>
          <t>10+10+9+3</t>
        </is>
      </c>
      <c r="L1728" s="202" t="n">
        <v>46195</v>
      </c>
      <c r="M1728" s="175" t="n">
        <v>0.0148</v>
      </c>
      <c r="N1728" s="176" t="n">
        <v>0.0181</v>
      </c>
      <c r="O1728" s="191" t="n">
        <v>2.1</v>
      </c>
      <c r="P1728" s="177" t="inlineStr">
        <is>
          <t>优先B</t>
        </is>
      </c>
      <c r="Q1728" s="178" t="n">
        <v>0.03</v>
      </c>
      <c r="R1728" s="179" t="n">
        <v>0.3</v>
      </c>
      <c r="S1728" s="177" t="inlineStr">
        <is>
          <t>AA+</t>
        </is>
      </c>
      <c r="T1728" s="178" t="n">
        <v>0.0172</v>
      </c>
      <c r="U1728" s="177" t="inlineStr">
        <is>
          <t>交银理财</t>
        </is>
      </c>
      <c r="V1728" s="192" t="n">
        <v>0.09</v>
      </c>
      <c r="W1728" s="175" t="n">
        <v>0.017</v>
      </c>
      <c r="X1728" s="172" t="inlineStr">
        <is>
          <t>交银理财</t>
        </is>
      </c>
      <c r="Y1728" s="191" t="n">
        <v>0.09</v>
      </c>
    </row>
    <row r="1729">
      <c r="A1729" s="172" t="n">
        <v>95</v>
      </c>
      <c r="B1729" s="173" t="inlineStr">
        <is>
          <t>6月</t>
        </is>
      </c>
      <c r="C1729" s="173" t="inlineStr">
        <is>
          <t>消金</t>
        </is>
      </c>
      <c r="D1729" s="173" t="inlineStr">
        <is>
          <t>赊销白条</t>
        </is>
      </c>
      <c r="E1729" s="173" t="inlineStr">
        <is>
          <t>东裕11号叔裕</t>
        </is>
      </c>
      <c r="F1729" s="173" t="inlineStr">
        <is>
          <t>银行间</t>
        </is>
      </c>
      <c r="G1729" s="173" t="inlineStr">
        <is>
          <t>招商证券</t>
        </is>
      </c>
      <c r="H1729" s="173" t="inlineStr">
        <is>
          <t>江苏银行/杭州银行/建设银行/东方证券</t>
        </is>
      </c>
      <c r="I1729" s="173" t="inlineStr">
        <is>
          <t>青岛银行</t>
        </is>
      </c>
      <c r="J1729" s="172" t="n">
        <v>10</v>
      </c>
      <c r="K1729" s="173" t="inlineStr">
        <is>
          <t>10+10+9+3</t>
        </is>
      </c>
      <c r="L1729" s="202" t="n">
        <v>46195</v>
      </c>
      <c r="M1729" s="175" t="n">
        <v>0.0148</v>
      </c>
      <c r="N1729" s="176" t="n">
        <v>0.0181</v>
      </c>
      <c r="O1729" s="191" t="n">
        <v>2.1</v>
      </c>
      <c r="P1729" s="172" t="inlineStr">
        <is>
          <t>优先B</t>
        </is>
      </c>
      <c r="Q1729" s="178" t="n">
        <v>0.03</v>
      </c>
      <c r="R1729" s="179" t="n">
        <v>0.3</v>
      </c>
      <c r="S1729" s="177" t="inlineStr">
        <is>
          <t>AA+</t>
        </is>
      </c>
      <c r="T1729" s="178" t="n">
        <v>0.0172</v>
      </c>
      <c r="U1729" s="177" t="inlineStr">
        <is>
          <t>中信建投投行</t>
        </is>
      </c>
      <c r="V1729" s="192" t="n">
        <v>0.1</v>
      </c>
      <c r="W1729" s="175" t="n">
        <v>0.0172</v>
      </c>
      <c r="X1729" s="172" t="inlineStr">
        <is>
          <t>中信建投证券</t>
        </is>
      </c>
      <c r="Y1729" s="191" t="n">
        <v>0.1</v>
      </c>
    </row>
    <row r="1730">
      <c r="A1730" s="172" t="n">
        <v>95</v>
      </c>
      <c r="B1730" s="173" t="inlineStr">
        <is>
          <t>6月</t>
        </is>
      </c>
      <c r="C1730" s="173" t="inlineStr">
        <is>
          <t>消金</t>
        </is>
      </c>
      <c r="D1730" s="173" t="inlineStr">
        <is>
          <t>赊销白条</t>
        </is>
      </c>
      <c r="E1730" s="173" t="inlineStr">
        <is>
          <t>东裕11号叔裕</t>
        </is>
      </c>
      <c r="F1730" s="173" t="inlineStr">
        <is>
          <t>银行间</t>
        </is>
      </c>
      <c r="G1730" s="173" t="inlineStr">
        <is>
          <t>招商证券</t>
        </is>
      </c>
      <c r="H1730" s="173" t="inlineStr">
        <is>
          <t>江苏银行/杭州银行/建设银行/东方证券</t>
        </is>
      </c>
      <c r="I1730" s="173" t="inlineStr">
        <is>
          <t>青岛银行</t>
        </is>
      </c>
      <c r="J1730" s="172" t="n">
        <v>10</v>
      </c>
      <c r="K1730" s="173" t="inlineStr">
        <is>
          <t>10+10+9+3</t>
        </is>
      </c>
      <c r="L1730" s="202" t="n">
        <v>46195</v>
      </c>
      <c r="M1730" s="175" t="n">
        <v>0.0148</v>
      </c>
      <c r="N1730" s="176" t="n">
        <v>0.0181</v>
      </c>
      <c r="O1730" s="191" t="n">
        <v>2.1</v>
      </c>
      <c r="P1730" s="172" t="inlineStr">
        <is>
          <t>优先B</t>
        </is>
      </c>
      <c r="Q1730" s="178" t="n">
        <v>0.03</v>
      </c>
      <c r="R1730" s="179" t="n">
        <v>0.3</v>
      </c>
      <c r="S1730" s="177" t="inlineStr">
        <is>
          <t>AA+</t>
        </is>
      </c>
      <c r="T1730" s="178" t="n">
        <v>0.0172</v>
      </c>
      <c r="U1730" s="177" t="inlineStr">
        <is>
          <t>中信证券投行</t>
        </is>
      </c>
      <c r="V1730" s="192" t="n">
        <v>0.11</v>
      </c>
      <c r="W1730" s="175" t="n">
        <v>0.0172</v>
      </c>
      <c r="X1730" s="172" t="inlineStr">
        <is>
          <t>中信证券</t>
        </is>
      </c>
      <c r="Y1730" s="191" t="n">
        <v>0.11</v>
      </c>
    </row>
    <row r="1731">
      <c r="A1731" s="172" t="n">
        <v>95</v>
      </c>
      <c r="B1731" s="172" t="inlineStr">
        <is>
          <t>6月</t>
        </is>
      </c>
      <c r="C1731" s="172" t="inlineStr">
        <is>
          <t>消金</t>
        </is>
      </c>
      <c r="D1731" s="172" t="inlineStr">
        <is>
          <t>赊销白条</t>
        </is>
      </c>
      <c r="E1731" s="172" t="inlineStr">
        <is>
          <t>东裕11号叔裕</t>
        </is>
      </c>
      <c r="F1731" s="172" t="inlineStr">
        <is>
          <t>银行间</t>
        </is>
      </c>
      <c r="G1731" s="172" t="inlineStr">
        <is>
          <t>招商证券</t>
        </is>
      </c>
      <c r="H1731" s="172" t="inlineStr">
        <is>
          <t>江苏银行/杭州银行/建设银行/东方证券</t>
        </is>
      </c>
      <c r="I1731" s="172" t="inlineStr">
        <is>
          <t>青岛银行</t>
        </is>
      </c>
      <c r="J1731" s="172" t="n">
        <v>10</v>
      </c>
      <c r="K1731" s="172" t="inlineStr">
        <is>
          <t>10+10+9+3</t>
        </is>
      </c>
      <c r="L1731" s="208" t="n">
        <v>46195</v>
      </c>
      <c r="M1731" s="175" t="n">
        <v>0.0148</v>
      </c>
      <c r="N1731" s="176" t="n">
        <v>0.0181</v>
      </c>
      <c r="O1731" s="172" t="n">
        <v>2.1</v>
      </c>
      <c r="P1731" s="172" t="inlineStr">
        <is>
          <t>优先B</t>
        </is>
      </c>
      <c r="Q1731" s="175" t="n">
        <v>0.03</v>
      </c>
      <c r="R1731" s="192" t="n">
        <v>0.3</v>
      </c>
      <c r="S1731" s="172" t="inlineStr">
        <is>
          <t>AA+</t>
        </is>
      </c>
      <c r="T1731" s="175" t="n">
        <v>0.0172</v>
      </c>
      <c r="U1731" s="172" t="n"/>
      <c r="V1731" s="172" t="n"/>
      <c r="W1731" s="175" t="n">
        <v>0.0179</v>
      </c>
      <c r="X1731" s="172" t="inlineStr">
        <is>
          <t>中金资管</t>
        </is>
      </c>
      <c r="Y1731" s="191" t="n">
        <v>0.05</v>
      </c>
    </row>
    <row r="1732">
      <c r="A1732" s="172" t="n">
        <v>95</v>
      </c>
      <c r="B1732" s="172" t="inlineStr">
        <is>
          <t>6月</t>
        </is>
      </c>
      <c r="C1732" s="172" t="inlineStr">
        <is>
          <t>消金</t>
        </is>
      </c>
      <c r="D1732" s="172" t="inlineStr">
        <is>
          <t>赊销白条</t>
        </is>
      </c>
      <c r="E1732" s="172" t="inlineStr">
        <is>
          <t>东裕11号叔裕</t>
        </is>
      </c>
      <c r="F1732" s="172" t="inlineStr">
        <is>
          <t>银行间</t>
        </is>
      </c>
      <c r="G1732" s="172" t="inlineStr">
        <is>
          <t>招商证券</t>
        </is>
      </c>
      <c r="H1732" s="172" t="inlineStr">
        <is>
          <t>江苏银行/杭州银行/建设银行/东方证券</t>
        </is>
      </c>
      <c r="I1732" s="172" t="inlineStr">
        <is>
          <t>青岛银行</t>
        </is>
      </c>
      <c r="J1732" s="172" t="n">
        <v>10</v>
      </c>
      <c r="K1732" s="172" t="inlineStr">
        <is>
          <t>10+10+9+3</t>
        </is>
      </c>
      <c r="L1732" s="208" t="n">
        <v>46195</v>
      </c>
      <c r="M1732" s="175" t="n">
        <v>0.0148</v>
      </c>
      <c r="N1732" s="176" t="n">
        <v>0.0181</v>
      </c>
      <c r="O1732" s="172" t="n">
        <v>2.1</v>
      </c>
      <c r="P1732" s="172" t="inlineStr">
        <is>
          <t>优先B</t>
        </is>
      </c>
      <c r="Q1732" s="175" t="n">
        <v>0.03</v>
      </c>
      <c r="R1732" s="192" t="n">
        <v>0.3</v>
      </c>
      <c r="S1732" s="172" t="inlineStr">
        <is>
          <t>AA+</t>
        </is>
      </c>
      <c r="T1732" s="175" t="n">
        <v>0.0172</v>
      </c>
      <c r="U1732" s="172" t="n"/>
      <c r="V1732" s="172" t="n"/>
      <c r="W1732" s="175" t="n">
        <v>0.018</v>
      </c>
      <c r="X1732" s="172" t="inlineStr">
        <is>
          <t>杭州联合农</t>
        </is>
      </c>
      <c r="Y1732" s="191" t="n">
        <v>0.09</v>
      </c>
    </row>
    <row r="1733">
      <c r="A1733" s="172" t="n">
        <v>95</v>
      </c>
      <c r="B1733" s="173" t="inlineStr">
        <is>
          <t>6月</t>
        </is>
      </c>
      <c r="C1733" s="173" t="inlineStr">
        <is>
          <t>消金</t>
        </is>
      </c>
      <c r="D1733" s="173" t="inlineStr">
        <is>
          <t>赊销白条</t>
        </is>
      </c>
      <c r="E1733" s="173" t="inlineStr">
        <is>
          <t>东裕11号叔裕</t>
        </is>
      </c>
      <c r="F1733" s="173" t="inlineStr">
        <is>
          <t>银行间</t>
        </is>
      </c>
      <c r="G1733" s="173" t="inlineStr">
        <is>
          <t>招商证券</t>
        </is>
      </c>
      <c r="H1733" s="173" t="inlineStr">
        <is>
          <t>江苏银行/杭州银行/建设银行/东方证券</t>
        </is>
      </c>
      <c r="I1733" s="173" t="inlineStr">
        <is>
          <t>青岛银行</t>
        </is>
      </c>
      <c r="J1733" s="172" t="n">
        <v>10</v>
      </c>
      <c r="K1733" s="173" t="inlineStr">
        <is>
          <t>10+10+9+3</t>
        </is>
      </c>
      <c r="L1733" s="202" t="n">
        <v>46195</v>
      </c>
      <c r="M1733" s="175" t="n">
        <v>0.0148</v>
      </c>
      <c r="N1733" s="176" t="n">
        <v>0.0181</v>
      </c>
      <c r="O1733" s="191" t="n">
        <v>2.1</v>
      </c>
      <c r="P1733" s="177" t="inlineStr">
        <is>
          <t>中间级</t>
        </is>
      </c>
      <c r="Q1733" s="178" t="n">
        <v>0.02</v>
      </c>
      <c r="R1733" s="179" t="n">
        <v>0.2</v>
      </c>
      <c r="S1733" s="177" t="inlineStr">
        <is>
          <t>A+</t>
        </is>
      </c>
      <c r="T1733" s="178" t="n">
        <v>0.031</v>
      </c>
      <c r="U1733" s="172" t="inlineStr">
        <is>
          <t>杭州联合银行</t>
        </is>
      </c>
      <c r="V1733" s="192" t="n">
        <v>0.06</v>
      </c>
      <c r="W1733" s="172" t="n"/>
      <c r="X1733" s="172" t="n"/>
      <c r="Y1733" s="172" t="n"/>
    </row>
    <row r="1734">
      <c r="A1734" s="172" t="n">
        <v>95</v>
      </c>
      <c r="B1734" s="173" t="inlineStr">
        <is>
          <t>6月</t>
        </is>
      </c>
      <c r="C1734" s="173" t="inlineStr">
        <is>
          <t>消金</t>
        </is>
      </c>
      <c r="D1734" s="173" t="inlineStr">
        <is>
          <t>赊销白条</t>
        </is>
      </c>
      <c r="E1734" s="173" t="inlineStr">
        <is>
          <t>东裕11号叔裕</t>
        </is>
      </c>
      <c r="F1734" s="173" t="inlineStr">
        <is>
          <t>银行间</t>
        </is>
      </c>
      <c r="G1734" s="173" t="inlineStr">
        <is>
          <t>招商证券</t>
        </is>
      </c>
      <c r="H1734" s="173" t="inlineStr">
        <is>
          <t>江苏银行/杭州银行/建设银行/东方证券</t>
        </is>
      </c>
      <c r="I1734" s="173" t="inlineStr">
        <is>
          <t>青岛银行</t>
        </is>
      </c>
      <c r="J1734" s="172" t="n">
        <v>10</v>
      </c>
      <c r="K1734" s="173" t="inlineStr">
        <is>
          <t>10+10+9+3</t>
        </is>
      </c>
      <c r="L1734" s="202" t="n">
        <v>46195</v>
      </c>
      <c r="M1734" s="175" t="n">
        <v>0.0148</v>
      </c>
      <c r="N1734" s="176" t="n">
        <v>0.0181</v>
      </c>
      <c r="O1734" s="191" t="n">
        <v>2.1</v>
      </c>
      <c r="P1734" s="172" t="inlineStr">
        <is>
          <t>中间级</t>
        </is>
      </c>
      <c r="Q1734" s="178" t="n">
        <v>0.02</v>
      </c>
      <c r="R1734" s="179" t="n">
        <v>0.2</v>
      </c>
      <c r="S1734" s="177" t="inlineStr">
        <is>
          <t>A+</t>
        </is>
      </c>
      <c r="T1734" s="178" t="n">
        <v>0.031</v>
      </c>
      <c r="U1734" s="172" t="inlineStr">
        <is>
          <t>平安理财</t>
        </is>
      </c>
      <c r="V1734" s="192" t="n">
        <v>0.06</v>
      </c>
      <c r="W1734" s="172" t="n"/>
      <c r="X1734" s="172" t="n"/>
      <c r="Y1734" s="172" t="n"/>
    </row>
    <row r="1735">
      <c r="A1735" s="172" t="n">
        <v>95</v>
      </c>
      <c r="B1735" s="173" t="inlineStr">
        <is>
          <t>6月</t>
        </is>
      </c>
      <c r="C1735" s="173" t="inlineStr">
        <is>
          <t>消金</t>
        </is>
      </c>
      <c r="D1735" s="173" t="inlineStr">
        <is>
          <t>赊销白条</t>
        </is>
      </c>
      <c r="E1735" s="173" t="inlineStr">
        <is>
          <t>东裕11号叔裕</t>
        </is>
      </c>
      <c r="F1735" s="173" t="inlineStr">
        <is>
          <t>银行间</t>
        </is>
      </c>
      <c r="G1735" s="173" t="inlineStr">
        <is>
          <t>招商证券</t>
        </is>
      </c>
      <c r="H1735" s="173" t="inlineStr">
        <is>
          <t>江苏银行/杭州银行/建设银行/东方证券</t>
        </is>
      </c>
      <c r="I1735" s="173" t="inlineStr">
        <is>
          <t>青岛银行</t>
        </is>
      </c>
      <c r="J1735" s="172" t="n">
        <v>10</v>
      </c>
      <c r="K1735" s="173" t="inlineStr">
        <is>
          <t>10+10+9+3</t>
        </is>
      </c>
      <c r="L1735" s="202" t="n">
        <v>46195</v>
      </c>
      <c r="M1735" s="175" t="n">
        <v>0.0148</v>
      </c>
      <c r="N1735" s="176" t="n">
        <v>0.0181</v>
      </c>
      <c r="O1735" s="191" t="n">
        <v>2.1</v>
      </c>
      <c r="P1735" s="172" t="inlineStr">
        <is>
          <t>中间级</t>
        </is>
      </c>
      <c r="Q1735" s="178" t="n">
        <v>0.02</v>
      </c>
      <c r="R1735" s="179" t="n">
        <v>0.2</v>
      </c>
      <c r="S1735" s="177" t="inlineStr">
        <is>
          <t>A+</t>
        </is>
      </c>
      <c r="T1735" s="178" t="n">
        <v>0.031</v>
      </c>
      <c r="U1735" s="172" t="inlineStr">
        <is>
          <t>招银理财</t>
        </is>
      </c>
      <c r="V1735" s="192" t="n">
        <v>0.06</v>
      </c>
      <c r="W1735" s="172" t="n"/>
      <c r="X1735" s="172" t="n"/>
      <c r="Y1735" s="172" t="n"/>
    </row>
    <row r="1736">
      <c r="A1736" s="172" t="n">
        <v>95</v>
      </c>
      <c r="B1736" s="173" t="inlineStr">
        <is>
          <t>6月</t>
        </is>
      </c>
      <c r="C1736" s="173" t="inlineStr">
        <is>
          <t>消金</t>
        </is>
      </c>
      <c r="D1736" s="173" t="inlineStr">
        <is>
          <t>赊销白条</t>
        </is>
      </c>
      <c r="E1736" s="173" t="inlineStr">
        <is>
          <t>东裕11号叔裕</t>
        </is>
      </c>
      <c r="F1736" s="173" t="inlineStr">
        <is>
          <t>银行间</t>
        </is>
      </c>
      <c r="G1736" s="173" t="inlineStr">
        <is>
          <t>招商证券</t>
        </is>
      </c>
      <c r="H1736" s="173" t="inlineStr">
        <is>
          <t>江苏银行/杭州银行/建设银行/东方证券</t>
        </is>
      </c>
      <c r="I1736" s="173" t="inlineStr">
        <is>
          <t>青岛银行</t>
        </is>
      </c>
      <c r="J1736" s="172" t="n">
        <v>10</v>
      </c>
      <c r="K1736" s="173" t="inlineStr">
        <is>
          <t>10+10+9+3</t>
        </is>
      </c>
      <c r="L1736" s="202" t="n">
        <v>46195</v>
      </c>
      <c r="M1736" s="175" t="n">
        <v>0.0148</v>
      </c>
      <c r="N1736" s="176" t="n">
        <v>0.0181</v>
      </c>
      <c r="O1736" s="191" t="n">
        <v>2.1</v>
      </c>
      <c r="P1736" s="172" t="inlineStr">
        <is>
          <t>中间级</t>
        </is>
      </c>
      <c r="Q1736" s="178" t="n">
        <v>0.02</v>
      </c>
      <c r="R1736" s="179" t="n">
        <v>0.2</v>
      </c>
      <c r="S1736" s="177" t="inlineStr">
        <is>
          <t>A+</t>
        </is>
      </c>
      <c r="T1736" s="178" t="n">
        <v>0.031</v>
      </c>
      <c r="U1736" s="172" t="inlineStr">
        <is>
          <t>中信建投衍生品</t>
        </is>
      </c>
      <c r="V1736" s="192" t="n">
        <v>0.02</v>
      </c>
      <c r="W1736" s="172" t="n"/>
      <c r="X1736" s="172" t="n"/>
      <c r="Y1736" s="172" t="n"/>
    </row>
    <row r="1737">
      <c r="A1737" s="172" t="n">
        <v>95</v>
      </c>
      <c r="B1737" s="173" t="inlineStr">
        <is>
          <t>6月</t>
        </is>
      </c>
      <c r="C1737" s="173" t="inlineStr">
        <is>
          <t>消金</t>
        </is>
      </c>
      <c r="D1737" s="173" t="inlineStr">
        <is>
          <t>赊销白条</t>
        </is>
      </c>
      <c r="E1737" s="173" t="inlineStr">
        <is>
          <t>东裕11号叔裕</t>
        </is>
      </c>
      <c r="F1737" s="173" t="inlineStr">
        <is>
          <t>银行间</t>
        </is>
      </c>
      <c r="G1737" s="173" t="inlineStr">
        <is>
          <t>招商证券</t>
        </is>
      </c>
      <c r="H1737" s="173" t="inlineStr">
        <is>
          <t>江苏银行/杭州银行/建设银行/东方证券</t>
        </is>
      </c>
      <c r="I1737" s="173" t="inlineStr">
        <is>
          <t>青岛银行</t>
        </is>
      </c>
      <c r="J1737" s="172" t="n">
        <v>10</v>
      </c>
      <c r="K1737" s="173" t="inlineStr">
        <is>
          <t>10+10+9+3</t>
        </is>
      </c>
      <c r="L1737" s="202" t="n">
        <v>46195</v>
      </c>
      <c r="M1737" s="175" t="n">
        <v>0.0148</v>
      </c>
      <c r="N1737" s="176" t="n">
        <v>0.0181</v>
      </c>
      <c r="O1737" s="191" t="n">
        <v>2.1</v>
      </c>
      <c r="P1737" s="177" t="inlineStr">
        <is>
          <t>次级</t>
        </is>
      </c>
      <c r="Q1737" s="178" t="n">
        <v>0.05</v>
      </c>
      <c r="R1737" s="179" t="n">
        <v>0.5</v>
      </c>
      <c r="S1737" s="177" t="inlineStr">
        <is>
          <t>无</t>
        </is>
      </c>
      <c r="T1737" s="178" t="n">
        <v>0.045</v>
      </c>
      <c r="U1737" s="172" t="inlineStr">
        <is>
          <t>中信证券自营</t>
        </is>
      </c>
      <c r="V1737" s="195" t="n">
        <v>0.225</v>
      </c>
      <c r="W1737" s="172" t="n"/>
      <c r="X1737" s="172" t="n"/>
      <c r="Y1737" s="172" t="n"/>
    </row>
    <row r="1738">
      <c r="A1738" s="172" t="n">
        <v>95</v>
      </c>
      <c r="B1738" s="173" t="inlineStr">
        <is>
          <t>6月</t>
        </is>
      </c>
      <c r="C1738" s="173" t="inlineStr">
        <is>
          <t>消金</t>
        </is>
      </c>
      <c r="D1738" s="173" t="inlineStr">
        <is>
          <t>赊销白条</t>
        </is>
      </c>
      <c r="E1738" s="173" t="inlineStr">
        <is>
          <t>东裕11号叔裕</t>
        </is>
      </c>
      <c r="F1738" s="173" t="inlineStr">
        <is>
          <t>银行间</t>
        </is>
      </c>
      <c r="G1738" s="173" t="inlineStr">
        <is>
          <t>招商证券</t>
        </is>
      </c>
      <c r="H1738" s="173" t="inlineStr">
        <is>
          <t>江苏银行/杭州银行/建设银行/东方证券</t>
        </is>
      </c>
      <c r="I1738" s="173" t="inlineStr">
        <is>
          <t>青岛银行</t>
        </is>
      </c>
      <c r="J1738" s="172" t="n">
        <v>10</v>
      </c>
      <c r="K1738" s="173" t="inlineStr">
        <is>
          <t>10+10+9+3</t>
        </is>
      </c>
      <c r="L1738" s="202" t="n">
        <v>46195</v>
      </c>
      <c r="M1738" s="175" t="n">
        <v>0.0148</v>
      </c>
      <c r="N1738" s="176" t="n">
        <v>0.0181</v>
      </c>
      <c r="O1738" s="191" t="n">
        <v>2.1</v>
      </c>
      <c r="P1738" s="172" t="inlineStr">
        <is>
          <t>次级</t>
        </is>
      </c>
      <c r="Q1738" s="178" t="n">
        <v>0.05</v>
      </c>
      <c r="R1738" s="179" t="n">
        <v>0.5</v>
      </c>
      <c r="S1738" s="177" t="inlineStr">
        <is>
          <t>无</t>
        </is>
      </c>
      <c r="T1738" s="178" t="n">
        <v>0.045</v>
      </c>
      <c r="U1738" s="172" t="inlineStr">
        <is>
          <t>华兴证券自营</t>
        </is>
      </c>
      <c r="V1738" s="192" t="n">
        <v>0.075</v>
      </c>
      <c r="W1738" s="172" t="n"/>
      <c r="X1738" s="172" t="n"/>
      <c r="Y1738" s="172" t="n"/>
    </row>
    <row r="1739">
      <c r="A1739" s="172" t="n">
        <v>95</v>
      </c>
      <c r="B1739" s="173" t="inlineStr">
        <is>
          <t>6月</t>
        </is>
      </c>
      <c r="C1739" s="173" t="inlineStr">
        <is>
          <t>消金</t>
        </is>
      </c>
      <c r="D1739" s="173" t="inlineStr">
        <is>
          <t>赊销白条</t>
        </is>
      </c>
      <c r="E1739" s="173" t="inlineStr">
        <is>
          <t>东裕11号叔裕</t>
        </is>
      </c>
      <c r="F1739" s="173" t="inlineStr">
        <is>
          <t>银行间</t>
        </is>
      </c>
      <c r="G1739" s="173" t="inlineStr">
        <is>
          <t>招商证券</t>
        </is>
      </c>
      <c r="H1739" s="173" t="inlineStr">
        <is>
          <t>江苏银行/杭州银行/建设银行/东方证券</t>
        </is>
      </c>
      <c r="I1739" s="173" t="inlineStr">
        <is>
          <t>青岛银行</t>
        </is>
      </c>
      <c r="J1739" s="172" t="n">
        <v>10</v>
      </c>
      <c r="K1739" s="173" t="inlineStr">
        <is>
          <t>10+10+9+3</t>
        </is>
      </c>
      <c r="L1739" s="202" t="n">
        <v>46195</v>
      </c>
      <c r="M1739" s="175" t="n">
        <v>0.0148</v>
      </c>
      <c r="N1739" s="176" t="n">
        <v>0.0181</v>
      </c>
      <c r="O1739" s="191" t="n">
        <v>2.1</v>
      </c>
      <c r="P1739" s="172" t="inlineStr">
        <is>
          <t>次级</t>
        </is>
      </c>
      <c r="Q1739" s="178" t="n">
        <v>0.05</v>
      </c>
      <c r="R1739" s="179" t="n">
        <v>0.5</v>
      </c>
      <c r="S1739" s="177" t="inlineStr">
        <is>
          <t>无</t>
        </is>
      </c>
      <c r="T1739" s="178" t="n">
        <v>0.045</v>
      </c>
      <c r="U1739" s="172" t="inlineStr">
        <is>
          <t>中信建投衍生品</t>
        </is>
      </c>
      <c r="V1739" s="192" t="n">
        <v>0.2</v>
      </c>
      <c r="W1739" s="172" t="n"/>
      <c r="X1739" s="172" t="n"/>
      <c r="Y1739" s="172" t="n"/>
    </row>
    <row r="1740">
      <c r="A1740" s="172" t="n">
        <v>96</v>
      </c>
      <c r="B1740" s="172" t="inlineStr">
        <is>
          <t>6月</t>
        </is>
      </c>
      <c r="C1740" s="172" t="inlineStr">
        <is>
          <t>企金</t>
        </is>
      </c>
      <c r="D1740" s="172" t="inlineStr">
        <is>
          <t>保理</t>
        </is>
      </c>
      <c r="E1740" s="172" t="inlineStr">
        <is>
          <t>京诚14-12</t>
        </is>
      </c>
      <c r="F1740" s="172" t="inlineStr">
        <is>
          <t>上交所</t>
        </is>
      </c>
      <c r="G1740" s="172" t="inlineStr">
        <is>
          <t>中信证券</t>
        </is>
      </c>
      <c r="H1740" s="172" t="inlineStr">
        <is>
          <t>光大证券</t>
        </is>
      </c>
      <c r="I1740" s="172" t="inlineStr">
        <is>
          <t>华夏北分</t>
        </is>
      </c>
      <c r="J1740" s="172" t="n">
        <v>10</v>
      </c>
      <c r="K1740" s="172" t="inlineStr">
        <is>
          <t>2+4</t>
        </is>
      </c>
      <c r="L1740" s="202" t="n">
        <v>46196</v>
      </c>
      <c r="M1740" s="175" t="n">
        <v>0.01488</v>
      </c>
      <c r="N1740" s="176" t="n">
        <v>0.0162</v>
      </c>
      <c r="O1740" s="191" t="n">
        <v>2.65</v>
      </c>
      <c r="P1740" s="172" t="inlineStr">
        <is>
          <t>优先级</t>
        </is>
      </c>
      <c r="Q1740" s="175" t="n">
        <v>0.99</v>
      </c>
      <c r="R1740" s="192" t="n">
        <v>9.9</v>
      </c>
      <c r="S1740" s="172" t="inlineStr">
        <is>
          <t>AAA</t>
        </is>
      </c>
      <c r="T1740" s="175" t="n">
        <v>0.0155</v>
      </c>
      <c r="U1740" s="172" t="inlineStr">
        <is>
          <t>信银理财</t>
        </is>
      </c>
      <c r="V1740" s="191" t="n">
        <v>2.97</v>
      </c>
      <c r="W1740" s="175" t="n">
        <v>0.0153</v>
      </c>
      <c r="X1740" s="172" t="inlineStr">
        <is>
          <t>信银理财</t>
        </is>
      </c>
      <c r="Y1740" s="191" t="n">
        <v>1</v>
      </c>
    </row>
    <row r="1741">
      <c r="A1741" s="172" t="n">
        <v>96</v>
      </c>
      <c r="B1741" s="172" t="inlineStr">
        <is>
          <t>6月</t>
        </is>
      </c>
      <c r="C1741" s="172" t="inlineStr">
        <is>
          <t>企金</t>
        </is>
      </c>
      <c r="D1741" s="172" t="inlineStr">
        <is>
          <t>保理</t>
        </is>
      </c>
      <c r="E1741" s="172" t="inlineStr">
        <is>
          <t>京诚14-12</t>
        </is>
      </c>
      <c r="F1741" s="172" t="inlineStr">
        <is>
          <t>上交所</t>
        </is>
      </c>
      <c r="G1741" s="172" t="inlineStr">
        <is>
          <t>中信证券</t>
        </is>
      </c>
      <c r="H1741" s="172" t="inlineStr">
        <is>
          <t>光大证券</t>
        </is>
      </c>
      <c r="I1741" s="172" t="inlineStr">
        <is>
          <t>华夏北分</t>
        </is>
      </c>
      <c r="J1741" s="172" t="n">
        <v>10</v>
      </c>
      <c r="K1741" s="172" t="inlineStr">
        <is>
          <t>2+4</t>
        </is>
      </c>
      <c r="L1741" s="200" t="n">
        <v>46196</v>
      </c>
      <c r="M1741" s="175" t="n">
        <v>0.01488</v>
      </c>
      <c r="N1741" s="176" t="n">
        <v>0.0162</v>
      </c>
      <c r="O1741" s="172" t="n">
        <v>2.65</v>
      </c>
      <c r="P1741" s="172" t="inlineStr">
        <is>
          <t>优先级</t>
        </is>
      </c>
      <c r="Q1741" s="175" t="n">
        <v>0.99</v>
      </c>
      <c r="R1741" s="192" t="n">
        <v>9.9</v>
      </c>
      <c r="S1741" s="172" t="inlineStr">
        <is>
          <t>AAA</t>
        </is>
      </c>
      <c r="T1741" s="175" t="n">
        <v>0.0155</v>
      </c>
      <c r="U1741" s="172" t="n"/>
      <c r="V1741" s="172" t="n"/>
      <c r="W1741" s="175" t="n">
        <v>0.0154</v>
      </c>
      <c r="X1741" s="172" t="inlineStr">
        <is>
          <t>信银理财</t>
        </is>
      </c>
      <c r="Y1741" s="191" t="n">
        <v>1.97</v>
      </c>
    </row>
    <row r="1742">
      <c r="A1742" s="172" t="n">
        <v>96</v>
      </c>
      <c r="B1742" s="172" t="inlineStr">
        <is>
          <t>6月</t>
        </is>
      </c>
      <c r="C1742" s="172" t="inlineStr">
        <is>
          <t>企金</t>
        </is>
      </c>
      <c r="D1742" s="172" t="inlineStr">
        <is>
          <t>保理</t>
        </is>
      </c>
      <c r="E1742" s="172" t="inlineStr">
        <is>
          <t>京诚14-12</t>
        </is>
      </c>
      <c r="F1742" s="172" t="inlineStr">
        <is>
          <t>上交所</t>
        </is>
      </c>
      <c r="G1742" s="172" t="inlineStr">
        <is>
          <t>中信证券</t>
        </is>
      </c>
      <c r="H1742" s="172" t="inlineStr">
        <is>
          <t>光大证券</t>
        </is>
      </c>
      <c r="I1742" s="172" t="inlineStr">
        <is>
          <t>华夏北分</t>
        </is>
      </c>
      <c r="J1742" s="172" t="n">
        <v>10</v>
      </c>
      <c r="K1742" s="172" t="inlineStr">
        <is>
          <t>2+4</t>
        </is>
      </c>
      <c r="L1742" s="202" t="n">
        <v>46196</v>
      </c>
      <c r="M1742" s="175" t="n">
        <v>0.01488</v>
      </c>
      <c r="N1742" s="176" t="n">
        <v>0.0162</v>
      </c>
      <c r="O1742" s="191" t="n">
        <v>2.65</v>
      </c>
      <c r="P1742" s="172" t="inlineStr">
        <is>
          <t>优先级</t>
        </is>
      </c>
      <c r="Q1742" s="175" t="n">
        <v>0.99</v>
      </c>
      <c r="R1742" s="192" t="n">
        <v>9.9</v>
      </c>
      <c r="S1742" s="172" t="inlineStr">
        <is>
          <t>AAA</t>
        </is>
      </c>
      <c r="T1742" s="175" t="n">
        <v>0.0155</v>
      </c>
      <c r="U1742" s="172" t="inlineStr">
        <is>
          <t>民生理财</t>
        </is>
      </c>
      <c r="V1742" s="191" t="n">
        <v>2.97</v>
      </c>
      <c r="W1742" s="175" t="n">
        <v>0.015</v>
      </c>
      <c r="X1742" s="172" t="inlineStr">
        <is>
          <t>民生理财</t>
        </is>
      </c>
      <c r="Y1742" s="191" t="n">
        <v>2.97</v>
      </c>
    </row>
    <row r="1743">
      <c r="A1743" s="172" t="n">
        <v>96</v>
      </c>
      <c r="B1743" s="172" t="inlineStr">
        <is>
          <t>6月</t>
        </is>
      </c>
      <c r="C1743" s="172" t="inlineStr">
        <is>
          <t>企金</t>
        </is>
      </c>
      <c r="D1743" s="172" t="inlineStr">
        <is>
          <t>保理</t>
        </is>
      </c>
      <c r="E1743" s="172" t="inlineStr">
        <is>
          <t>京诚14-12</t>
        </is>
      </c>
      <c r="F1743" s="172" t="inlineStr">
        <is>
          <t>上交所</t>
        </is>
      </c>
      <c r="G1743" s="172" t="inlineStr">
        <is>
          <t>中信证券</t>
        </is>
      </c>
      <c r="H1743" s="172" t="inlineStr">
        <is>
          <t>光大证券</t>
        </is>
      </c>
      <c r="I1743" s="172" t="inlineStr">
        <is>
          <t>华夏北分</t>
        </is>
      </c>
      <c r="J1743" s="172" t="n">
        <v>10</v>
      </c>
      <c r="K1743" s="172" t="inlineStr">
        <is>
          <t>2+4</t>
        </is>
      </c>
      <c r="L1743" s="202" t="n">
        <v>46196</v>
      </c>
      <c r="M1743" s="175" t="n">
        <v>0.01488</v>
      </c>
      <c r="N1743" s="176" t="n">
        <v>0.0162</v>
      </c>
      <c r="O1743" s="191" t="n">
        <v>2.65</v>
      </c>
      <c r="P1743" s="172" t="inlineStr">
        <is>
          <t>优先级</t>
        </is>
      </c>
      <c r="Q1743" s="175" t="n">
        <v>0.99</v>
      </c>
      <c r="R1743" s="192" t="n">
        <v>9.9</v>
      </c>
      <c r="S1743" s="172" t="inlineStr">
        <is>
          <t>AAA</t>
        </is>
      </c>
      <c r="T1743" s="175" t="n">
        <v>0.0155</v>
      </c>
      <c r="U1743" s="172" t="inlineStr">
        <is>
          <t>浦银理财</t>
        </is>
      </c>
      <c r="V1743" s="191" t="n">
        <v>1.92</v>
      </c>
      <c r="W1743" s="175" t="n">
        <v>0.0155</v>
      </c>
      <c r="X1743" s="172" t="inlineStr">
        <is>
          <t>浦银理财</t>
        </is>
      </c>
      <c r="Y1743" s="191" t="n">
        <v>2.76</v>
      </c>
    </row>
    <row r="1744">
      <c r="A1744" s="172" t="n">
        <v>96</v>
      </c>
      <c r="B1744" s="172" t="inlineStr">
        <is>
          <t>6月</t>
        </is>
      </c>
      <c r="C1744" s="172" t="inlineStr">
        <is>
          <t>企金</t>
        </is>
      </c>
      <c r="D1744" s="172" t="inlineStr">
        <is>
          <t>保理</t>
        </is>
      </c>
      <c r="E1744" s="172" t="inlineStr">
        <is>
          <t>京诚14-12</t>
        </is>
      </c>
      <c r="F1744" s="172" t="inlineStr">
        <is>
          <t>上交所</t>
        </is>
      </c>
      <c r="G1744" s="172" t="inlineStr">
        <is>
          <t>中信证券</t>
        </is>
      </c>
      <c r="H1744" s="172" t="inlineStr">
        <is>
          <t>光大证券</t>
        </is>
      </c>
      <c r="I1744" s="172" t="inlineStr">
        <is>
          <t>华夏北分</t>
        </is>
      </c>
      <c r="J1744" s="172" t="n">
        <v>10</v>
      </c>
      <c r="K1744" s="172" t="inlineStr">
        <is>
          <t>2+4</t>
        </is>
      </c>
      <c r="L1744" s="202" t="n">
        <v>46196</v>
      </c>
      <c r="M1744" s="175" t="n">
        <v>0.01488</v>
      </c>
      <c r="N1744" s="176" t="n">
        <v>0.0162</v>
      </c>
      <c r="O1744" s="191" t="n">
        <v>2.65</v>
      </c>
      <c r="P1744" s="172" t="inlineStr">
        <is>
          <t>优先级</t>
        </is>
      </c>
      <c r="Q1744" s="175" t="n">
        <v>0.99</v>
      </c>
      <c r="R1744" s="192" t="n">
        <v>9.9</v>
      </c>
      <c r="S1744" s="172" t="inlineStr">
        <is>
          <t>AAA</t>
        </is>
      </c>
      <c r="T1744" s="175" t="n">
        <v>0.0155</v>
      </c>
      <c r="U1744" s="172" t="inlineStr">
        <is>
          <t>工银理财</t>
        </is>
      </c>
      <c r="V1744" s="191" t="n">
        <v>1.35</v>
      </c>
      <c r="W1744" s="175" t="n">
        <v>0.0154</v>
      </c>
      <c r="X1744" s="172" t="inlineStr">
        <is>
          <t>工银理财</t>
        </is>
      </c>
      <c r="Y1744" s="191" t="n">
        <v>1</v>
      </c>
    </row>
    <row r="1745">
      <c r="A1745" s="172" t="n">
        <v>96</v>
      </c>
      <c r="B1745" s="172" t="inlineStr">
        <is>
          <t>6月</t>
        </is>
      </c>
      <c r="C1745" s="172" t="inlineStr">
        <is>
          <t>企金</t>
        </is>
      </c>
      <c r="D1745" s="172" t="inlineStr">
        <is>
          <t>保理</t>
        </is>
      </c>
      <c r="E1745" s="172" t="inlineStr">
        <is>
          <t>京诚14-12</t>
        </is>
      </c>
      <c r="F1745" s="172" t="inlineStr">
        <is>
          <t>上交所</t>
        </is>
      </c>
      <c r="G1745" s="172" t="inlineStr">
        <is>
          <t>中信证券</t>
        </is>
      </c>
      <c r="H1745" s="172" t="inlineStr">
        <is>
          <t>光大证券</t>
        </is>
      </c>
      <c r="I1745" s="172" t="inlineStr">
        <is>
          <t>华夏北分</t>
        </is>
      </c>
      <c r="J1745" s="172" t="n">
        <v>10</v>
      </c>
      <c r="K1745" s="172" t="inlineStr">
        <is>
          <t>2+4</t>
        </is>
      </c>
      <c r="L1745" s="200" t="n">
        <v>46196</v>
      </c>
      <c r="M1745" s="175" t="n">
        <v>0.01488</v>
      </c>
      <c r="N1745" s="176" t="n">
        <v>0.0162</v>
      </c>
      <c r="O1745" s="172" t="n">
        <v>2.65</v>
      </c>
      <c r="P1745" s="172" t="inlineStr">
        <is>
          <t>优先级</t>
        </is>
      </c>
      <c r="Q1745" s="175" t="n">
        <v>0.99</v>
      </c>
      <c r="R1745" s="192" t="n">
        <v>9.9</v>
      </c>
      <c r="S1745" s="172" t="inlineStr">
        <is>
          <t>AAA</t>
        </is>
      </c>
      <c r="T1745" s="175" t="n">
        <v>0.0155</v>
      </c>
      <c r="U1745" s="172" t="n"/>
      <c r="V1745" s="172" t="n"/>
      <c r="W1745" s="175" t="n">
        <v>0.0155</v>
      </c>
      <c r="X1745" s="172" t="inlineStr">
        <is>
          <t>工银理财</t>
        </is>
      </c>
      <c r="Y1745" s="191" t="n">
        <v>0.5</v>
      </c>
    </row>
    <row r="1746">
      <c r="A1746" s="172" t="n">
        <v>96</v>
      </c>
      <c r="B1746" s="172" t="inlineStr">
        <is>
          <t>6月</t>
        </is>
      </c>
      <c r="C1746" s="172" t="inlineStr">
        <is>
          <t>企金</t>
        </is>
      </c>
      <c r="D1746" s="172" t="inlineStr">
        <is>
          <t>保理</t>
        </is>
      </c>
      <c r="E1746" s="172" t="inlineStr">
        <is>
          <t>京诚14-12</t>
        </is>
      </c>
      <c r="F1746" s="172" t="inlineStr">
        <is>
          <t>上交所</t>
        </is>
      </c>
      <c r="G1746" s="172" t="inlineStr">
        <is>
          <t>中信证券</t>
        </is>
      </c>
      <c r="H1746" s="172" t="inlineStr">
        <is>
          <t>光大证券</t>
        </is>
      </c>
      <c r="I1746" s="172" t="inlineStr">
        <is>
          <t>华夏北分</t>
        </is>
      </c>
      <c r="J1746" s="172" t="n">
        <v>10</v>
      </c>
      <c r="K1746" s="172" t="inlineStr">
        <is>
          <t>2+4</t>
        </is>
      </c>
      <c r="L1746" s="200" t="n">
        <v>46196</v>
      </c>
      <c r="M1746" s="175" t="n">
        <v>0.01488</v>
      </c>
      <c r="N1746" s="176" t="n">
        <v>0.0162</v>
      </c>
      <c r="O1746" s="172" t="n">
        <v>2.65</v>
      </c>
      <c r="P1746" s="172" t="inlineStr">
        <is>
          <t>优先级</t>
        </is>
      </c>
      <c r="Q1746" s="175" t="n">
        <v>0.99</v>
      </c>
      <c r="R1746" s="192" t="n">
        <v>9.9</v>
      </c>
      <c r="S1746" s="172" t="inlineStr">
        <is>
          <t>AAA</t>
        </is>
      </c>
      <c r="T1746" s="175" t="n">
        <v>0.0155</v>
      </c>
      <c r="U1746" s="172" t="n"/>
      <c r="V1746" s="172" t="n"/>
      <c r="W1746" s="175" t="n">
        <v>0.0158</v>
      </c>
      <c r="X1746" s="172" t="inlineStr">
        <is>
          <t>工银理财</t>
        </is>
      </c>
      <c r="Y1746" s="191" t="n">
        <v>0.5</v>
      </c>
    </row>
    <row r="1747">
      <c r="A1747" s="172" t="n">
        <v>96</v>
      </c>
      <c r="B1747" s="172" t="inlineStr">
        <is>
          <t>6月</t>
        </is>
      </c>
      <c r="C1747" s="172" t="inlineStr">
        <is>
          <t>企金</t>
        </is>
      </c>
      <c r="D1747" s="172" t="inlineStr">
        <is>
          <t>保理</t>
        </is>
      </c>
      <c r="E1747" s="172" t="inlineStr">
        <is>
          <t>京诚14-12</t>
        </is>
      </c>
      <c r="F1747" s="172" t="inlineStr">
        <is>
          <t>上交所</t>
        </is>
      </c>
      <c r="G1747" s="172" t="inlineStr">
        <is>
          <t>中信证券</t>
        </is>
      </c>
      <c r="H1747" s="172" t="inlineStr">
        <is>
          <t>光大证券</t>
        </is>
      </c>
      <c r="I1747" s="172" t="inlineStr">
        <is>
          <t>华夏北分</t>
        </is>
      </c>
      <c r="J1747" s="172" t="n">
        <v>10</v>
      </c>
      <c r="K1747" s="172" t="inlineStr">
        <is>
          <t>2+4</t>
        </is>
      </c>
      <c r="L1747" s="202" t="n">
        <v>46196</v>
      </c>
      <c r="M1747" s="175" t="n">
        <v>0.01488</v>
      </c>
      <c r="N1747" s="176" t="n">
        <v>0.0162</v>
      </c>
      <c r="O1747" s="191" t="n">
        <v>2.65</v>
      </c>
      <c r="P1747" s="172" t="inlineStr">
        <is>
          <t>优先级</t>
        </is>
      </c>
      <c r="Q1747" s="175" t="n">
        <v>0.99</v>
      </c>
      <c r="R1747" s="192" t="n">
        <v>9.9</v>
      </c>
      <c r="S1747" s="172" t="inlineStr">
        <is>
          <t>AAA</t>
        </is>
      </c>
      <c r="T1747" s="175" t="n">
        <v>0.0155</v>
      </c>
      <c r="U1747" s="172" t="inlineStr">
        <is>
          <t>光大理财</t>
        </is>
      </c>
      <c r="V1747" s="191" t="n">
        <v>0.6899999999999999</v>
      </c>
      <c r="W1747" s="175" t="n">
        <v>0.0155</v>
      </c>
      <c r="X1747" s="172" t="inlineStr">
        <is>
          <t>光大理财</t>
        </is>
      </c>
      <c r="Y1747" s="191" t="n">
        <v>1</v>
      </c>
    </row>
    <row r="1748">
      <c r="A1748" s="172" t="n">
        <v>96</v>
      </c>
      <c r="B1748" s="172" t="inlineStr">
        <is>
          <t>6月</t>
        </is>
      </c>
      <c r="C1748" s="172" t="inlineStr">
        <is>
          <t>企金</t>
        </is>
      </c>
      <c r="D1748" s="172" t="inlineStr">
        <is>
          <t>保理</t>
        </is>
      </c>
      <c r="E1748" s="172" t="inlineStr">
        <is>
          <t>京诚14-12</t>
        </is>
      </c>
      <c r="F1748" s="172" t="inlineStr">
        <is>
          <t>上交所</t>
        </is>
      </c>
      <c r="G1748" s="172" t="inlineStr">
        <is>
          <t>中信证券</t>
        </is>
      </c>
      <c r="H1748" s="172" t="inlineStr">
        <is>
          <t>光大证券</t>
        </is>
      </c>
      <c r="I1748" s="172" t="inlineStr">
        <is>
          <t>华夏北分</t>
        </is>
      </c>
      <c r="J1748" s="172" t="n">
        <v>10</v>
      </c>
      <c r="K1748" s="172" t="inlineStr">
        <is>
          <t>2+4</t>
        </is>
      </c>
      <c r="L1748" s="200" t="n">
        <v>46196</v>
      </c>
      <c r="M1748" s="175" t="n">
        <v>0.01488</v>
      </c>
      <c r="N1748" s="176" t="n">
        <v>0.0162</v>
      </c>
      <c r="O1748" s="172" t="n">
        <v>2.65</v>
      </c>
      <c r="P1748" s="172" t="inlineStr">
        <is>
          <t>优先级</t>
        </is>
      </c>
      <c r="Q1748" s="175" t="n">
        <v>0.99</v>
      </c>
      <c r="R1748" s="192" t="n">
        <v>9.9</v>
      </c>
      <c r="S1748" s="172" t="inlineStr">
        <is>
          <t>AAA</t>
        </is>
      </c>
      <c r="T1748" s="175" t="n">
        <v>0.0155</v>
      </c>
      <c r="U1748" s="172" t="n"/>
      <c r="V1748" s="172" t="n"/>
      <c r="W1748" s="175" t="n">
        <v>0.0157</v>
      </c>
      <c r="X1748" s="172" t="inlineStr">
        <is>
          <t>兴银理财</t>
        </is>
      </c>
      <c r="Y1748" s="191" t="n">
        <v>2.47</v>
      </c>
    </row>
    <row r="1749">
      <c r="A1749" s="172" t="n">
        <v>96</v>
      </c>
      <c r="B1749" s="172" t="inlineStr">
        <is>
          <t>6月</t>
        </is>
      </c>
      <c r="C1749" s="172" t="inlineStr">
        <is>
          <t>企金</t>
        </is>
      </c>
      <c r="D1749" s="172" t="inlineStr">
        <is>
          <t>保理</t>
        </is>
      </c>
      <c r="E1749" s="172" t="inlineStr">
        <is>
          <t>京诚14-12</t>
        </is>
      </c>
      <c r="F1749" s="172" t="inlineStr">
        <is>
          <t>上交所</t>
        </is>
      </c>
      <c r="G1749" s="172" t="inlineStr">
        <is>
          <t>中信证券</t>
        </is>
      </c>
      <c r="H1749" s="172" t="inlineStr">
        <is>
          <t>光大证券</t>
        </is>
      </c>
      <c r="I1749" s="172" t="inlineStr">
        <is>
          <t>华夏北分</t>
        </is>
      </c>
      <c r="J1749" s="172" t="n">
        <v>10</v>
      </c>
      <c r="K1749" s="172" t="inlineStr">
        <is>
          <t>2+4</t>
        </is>
      </c>
      <c r="L1749" s="200" t="n">
        <v>46196</v>
      </c>
      <c r="M1749" s="175" t="n">
        <v>0.01488</v>
      </c>
      <c r="N1749" s="176" t="n">
        <v>0.0162</v>
      </c>
      <c r="O1749" s="172" t="n">
        <v>2.65</v>
      </c>
      <c r="P1749" s="172" t="inlineStr">
        <is>
          <t>优先级</t>
        </is>
      </c>
      <c r="Q1749" s="175" t="n">
        <v>0.99</v>
      </c>
      <c r="R1749" s="192" t="n">
        <v>9.9</v>
      </c>
      <c r="S1749" s="172" t="inlineStr">
        <is>
          <t>AAA</t>
        </is>
      </c>
      <c r="T1749" s="175" t="n">
        <v>0.0155</v>
      </c>
      <c r="U1749" s="172" t="n"/>
      <c r="V1749" s="172" t="n"/>
      <c r="W1749" s="175" t="n">
        <v>0.0157</v>
      </c>
      <c r="X1749" s="172" t="inlineStr">
        <is>
          <t>建信理财</t>
        </is>
      </c>
      <c r="Y1749" s="191" t="n">
        <v>0.9</v>
      </c>
    </row>
    <row r="1750">
      <c r="A1750" s="172" t="n">
        <v>96</v>
      </c>
      <c r="B1750" s="172" t="inlineStr">
        <is>
          <t>6月</t>
        </is>
      </c>
      <c r="C1750" s="172" t="inlineStr">
        <is>
          <t>企金</t>
        </is>
      </c>
      <c r="D1750" s="172" t="inlineStr">
        <is>
          <t>保理</t>
        </is>
      </c>
      <c r="E1750" s="172" t="inlineStr">
        <is>
          <t>京诚14-12</t>
        </is>
      </c>
      <c r="F1750" s="172" t="inlineStr">
        <is>
          <t>上交所</t>
        </is>
      </c>
      <c r="G1750" s="172" t="inlineStr">
        <is>
          <t>中信证券</t>
        </is>
      </c>
      <c r="H1750" s="172" t="inlineStr">
        <is>
          <t>光大证券</t>
        </is>
      </c>
      <c r="I1750" s="172" t="inlineStr">
        <is>
          <t>华夏北分</t>
        </is>
      </c>
      <c r="J1750" s="172" t="n">
        <v>10</v>
      </c>
      <c r="K1750" s="172" t="inlineStr">
        <is>
          <t>2+4</t>
        </is>
      </c>
      <c r="L1750" s="200" t="n">
        <v>46196</v>
      </c>
      <c r="M1750" s="175" t="n">
        <v>0.01488</v>
      </c>
      <c r="N1750" s="176" t="n">
        <v>0.0162</v>
      </c>
      <c r="O1750" s="172" t="n">
        <v>2.65</v>
      </c>
      <c r="P1750" s="172" t="inlineStr">
        <is>
          <t>优先级</t>
        </is>
      </c>
      <c r="Q1750" s="175" t="n">
        <v>0.99</v>
      </c>
      <c r="R1750" s="192" t="n">
        <v>9.9</v>
      </c>
      <c r="S1750" s="172" t="inlineStr">
        <is>
          <t>AAA</t>
        </is>
      </c>
      <c r="T1750" s="175" t="n">
        <v>0.0155</v>
      </c>
      <c r="U1750" s="172" t="n"/>
      <c r="V1750" s="172" t="n"/>
      <c r="W1750" s="175" t="n">
        <v>0.0158</v>
      </c>
      <c r="X1750" s="172" t="inlineStr">
        <is>
          <t>杭银理财</t>
        </is>
      </c>
      <c r="Y1750" s="191" t="n">
        <v>0.99</v>
      </c>
    </row>
    <row r="1751">
      <c r="A1751" s="172" t="n">
        <v>96</v>
      </c>
      <c r="B1751" s="172" t="inlineStr">
        <is>
          <t>6月</t>
        </is>
      </c>
      <c r="C1751" s="172" t="inlineStr">
        <is>
          <t>企金</t>
        </is>
      </c>
      <c r="D1751" s="172" t="inlineStr">
        <is>
          <t>保理</t>
        </is>
      </c>
      <c r="E1751" s="172" t="inlineStr">
        <is>
          <t>京诚14-12</t>
        </is>
      </c>
      <c r="F1751" s="172" t="inlineStr">
        <is>
          <t>上交所</t>
        </is>
      </c>
      <c r="G1751" s="172" t="inlineStr">
        <is>
          <t>中信证券</t>
        </is>
      </c>
      <c r="H1751" s="172" t="inlineStr">
        <is>
          <t>光大证券</t>
        </is>
      </c>
      <c r="I1751" s="172" t="inlineStr">
        <is>
          <t>华夏北分</t>
        </is>
      </c>
      <c r="J1751" s="172" t="n">
        <v>10</v>
      </c>
      <c r="K1751" s="172" t="inlineStr">
        <is>
          <t>2+4</t>
        </is>
      </c>
      <c r="L1751" s="200" t="n">
        <v>46196</v>
      </c>
      <c r="M1751" s="175" t="n">
        <v>0.01488</v>
      </c>
      <c r="N1751" s="176" t="n">
        <v>0.0162</v>
      </c>
      <c r="O1751" s="172" t="n">
        <v>2.65</v>
      </c>
      <c r="P1751" s="172" t="inlineStr">
        <is>
          <t>优先级</t>
        </is>
      </c>
      <c r="Q1751" s="175" t="n">
        <v>0.99</v>
      </c>
      <c r="R1751" s="192" t="n">
        <v>9.9</v>
      </c>
      <c r="S1751" s="172" t="inlineStr">
        <is>
          <t>AAA</t>
        </is>
      </c>
      <c r="T1751" s="175" t="n">
        <v>0.0155</v>
      </c>
      <c r="U1751" s="172" t="n"/>
      <c r="V1751" s="172" t="n"/>
      <c r="W1751" s="175" t="n">
        <v>0.016</v>
      </c>
      <c r="X1751" s="172" t="inlineStr">
        <is>
          <t>中信证券（投行上报)</t>
        </is>
      </c>
      <c r="Y1751" s="191" t="n">
        <v>1.4</v>
      </c>
    </row>
    <row r="1752">
      <c r="A1752" s="172" t="n">
        <v>96</v>
      </c>
      <c r="B1752" s="172" t="inlineStr">
        <is>
          <t>6月</t>
        </is>
      </c>
      <c r="C1752" s="172" t="inlineStr">
        <is>
          <t>企金</t>
        </is>
      </c>
      <c r="D1752" s="172" t="inlineStr">
        <is>
          <t>保理</t>
        </is>
      </c>
      <c r="E1752" s="172" t="inlineStr">
        <is>
          <t>京诚14-12</t>
        </is>
      </c>
      <c r="F1752" s="172" t="inlineStr">
        <is>
          <t>上交所</t>
        </is>
      </c>
      <c r="G1752" s="172" t="inlineStr">
        <is>
          <t>中信证券</t>
        </is>
      </c>
      <c r="H1752" s="172" t="inlineStr">
        <is>
          <t>光大证券</t>
        </is>
      </c>
      <c r="I1752" s="172" t="inlineStr">
        <is>
          <t>华夏北分</t>
        </is>
      </c>
      <c r="J1752" s="172" t="n">
        <v>10</v>
      </c>
      <c r="K1752" s="172" t="inlineStr">
        <is>
          <t>2+4</t>
        </is>
      </c>
      <c r="L1752" s="200" t="n">
        <v>46196</v>
      </c>
      <c r="M1752" s="175" t="n">
        <v>0.01488</v>
      </c>
      <c r="N1752" s="176" t="n">
        <v>0.0162</v>
      </c>
      <c r="O1752" s="172" t="n">
        <v>2.65</v>
      </c>
      <c r="P1752" s="172" t="inlineStr">
        <is>
          <t>优先级</t>
        </is>
      </c>
      <c r="Q1752" s="175" t="n">
        <v>0.99</v>
      </c>
      <c r="R1752" s="192" t="n">
        <v>9.9</v>
      </c>
      <c r="S1752" s="172" t="inlineStr">
        <is>
          <t>AAA</t>
        </is>
      </c>
      <c r="T1752" s="175" t="n">
        <v>0.0155</v>
      </c>
      <c r="U1752" s="172" t="n"/>
      <c r="V1752" s="172" t="n"/>
      <c r="W1752" s="175" t="n">
        <v>0.016</v>
      </c>
      <c r="X1752" s="172" t="inlineStr">
        <is>
          <t>光大证券（投行上报）</t>
        </is>
      </c>
      <c r="Y1752" s="191" t="n">
        <v>1</v>
      </c>
    </row>
    <row r="1753">
      <c r="A1753" s="172" t="n">
        <v>96</v>
      </c>
      <c r="B1753" s="172" t="inlineStr">
        <is>
          <t>6月</t>
        </is>
      </c>
      <c r="C1753" s="172" t="inlineStr">
        <is>
          <t>企金</t>
        </is>
      </c>
      <c r="D1753" s="172" t="inlineStr">
        <is>
          <t>保理</t>
        </is>
      </c>
      <c r="E1753" s="172" t="inlineStr">
        <is>
          <t>京诚14-12</t>
        </is>
      </c>
      <c r="F1753" s="172" t="inlineStr">
        <is>
          <t>上交所</t>
        </is>
      </c>
      <c r="G1753" s="172" t="inlineStr">
        <is>
          <t>中信证券</t>
        </is>
      </c>
      <c r="H1753" s="172" t="inlineStr">
        <is>
          <t>光大证券</t>
        </is>
      </c>
      <c r="I1753" s="172" t="inlineStr">
        <is>
          <t>华夏北分</t>
        </is>
      </c>
      <c r="J1753" s="172" t="n">
        <v>10</v>
      </c>
      <c r="K1753" s="172" t="inlineStr">
        <is>
          <t>2+4</t>
        </is>
      </c>
      <c r="L1753" s="200" t="n">
        <v>46196</v>
      </c>
      <c r="M1753" s="175" t="n">
        <v>0.01488</v>
      </c>
      <c r="N1753" s="176" t="n">
        <v>0.0162</v>
      </c>
      <c r="O1753" s="172" t="n">
        <v>2.65</v>
      </c>
      <c r="P1753" s="172" t="inlineStr">
        <is>
          <t>优先级</t>
        </is>
      </c>
      <c r="Q1753" s="175" t="n">
        <v>0.99</v>
      </c>
      <c r="R1753" s="192" t="n">
        <v>9.9</v>
      </c>
      <c r="S1753" s="172" t="inlineStr">
        <is>
          <t>AAA</t>
        </is>
      </c>
      <c r="T1753" s="175" t="n">
        <v>0.0155</v>
      </c>
      <c r="U1753" s="172" t="n"/>
      <c r="V1753" s="172" t="n"/>
      <c r="W1753" s="175" t="n">
        <v>0.016</v>
      </c>
      <c r="X1753" s="172" t="inlineStr">
        <is>
          <t>交银理财</t>
        </is>
      </c>
      <c r="Y1753" s="191" t="n">
        <v>0.5</v>
      </c>
    </row>
    <row r="1754">
      <c r="A1754" s="172" t="n">
        <v>96</v>
      </c>
      <c r="B1754" s="172" t="inlineStr">
        <is>
          <t>6月</t>
        </is>
      </c>
      <c r="C1754" s="172" t="inlineStr">
        <is>
          <t>企金</t>
        </is>
      </c>
      <c r="D1754" s="172" t="inlineStr">
        <is>
          <t>保理</t>
        </is>
      </c>
      <c r="E1754" s="172" t="inlineStr">
        <is>
          <t>京诚14-12</t>
        </is>
      </c>
      <c r="F1754" s="172" t="inlineStr">
        <is>
          <t>上交所</t>
        </is>
      </c>
      <c r="G1754" s="172" t="inlineStr">
        <is>
          <t>中信证券</t>
        </is>
      </c>
      <c r="H1754" s="172" t="inlineStr">
        <is>
          <t>光大证券</t>
        </is>
      </c>
      <c r="I1754" s="172" t="inlineStr">
        <is>
          <t>华夏北分</t>
        </is>
      </c>
      <c r="J1754" s="172" t="n">
        <v>10</v>
      </c>
      <c r="K1754" s="172" t="inlineStr">
        <is>
          <t>2+4</t>
        </is>
      </c>
      <c r="L1754" s="200" t="n">
        <v>46196</v>
      </c>
      <c r="M1754" s="175" t="n">
        <v>0.01488</v>
      </c>
      <c r="N1754" s="176" t="n">
        <v>0.0162</v>
      </c>
      <c r="O1754" s="172" t="n">
        <v>2.65</v>
      </c>
      <c r="P1754" s="172" t="inlineStr">
        <is>
          <t>优先级</t>
        </is>
      </c>
      <c r="Q1754" s="175" t="n">
        <v>0.99</v>
      </c>
      <c r="R1754" s="192" t="n">
        <v>9.9</v>
      </c>
      <c r="S1754" s="172" t="inlineStr">
        <is>
          <t>AAA</t>
        </is>
      </c>
      <c r="T1754" s="175" t="n">
        <v>0.0155</v>
      </c>
      <c r="U1754" s="172" t="n"/>
      <c r="V1754" s="172" t="n"/>
      <c r="W1754" s="175" t="n">
        <v>0.016</v>
      </c>
      <c r="X1754" s="172" t="inlineStr">
        <is>
          <t>中银理财</t>
        </is>
      </c>
      <c r="Y1754" s="191" t="n">
        <v>1</v>
      </c>
    </row>
    <row r="1755">
      <c r="A1755" s="172" t="n">
        <v>96</v>
      </c>
      <c r="B1755" s="172" t="inlineStr">
        <is>
          <t>6月</t>
        </is>
      </c>
      <c r="C1755" s="172" t="inlineStr">
        <is>
          <t>企金</t>
        </is>
      </c>
      <c r="D1755" s="172" t="inlineStr">
        <is>
          <t>保理</t>
        </is>
      </c>
      <c r="E1755" s="172" t="inlineStr">
        <is>
          <t>京诚14-12</t>
        </is>
      </c>
      <c r="F1755" s="172" t="inlineStr">
        <is>
          <t>上交所</t>
        </is>
      </c>
      <c r="G1755" s="172" t="inlineStr">
        <is>
          <t>中信证券</t>
        </is>
      </c>
      <c r="H1755" s="172" t="inlineStr">
        <is>
          <t>光大证券</t>
        </is>
      </c>
      <c r="I1755" s="172" t="inlineStr">
        <is>
          <t>华夏北分</t>
        </is>
      </c>
      <c r="J1755" s="172" t="n">
        <v>10</v>
      </c>
      <c r="K1755" s="172" t="inlineStr">
        <is>
          <t>2+4</t>
        </is>
      </c>
      <c r="L1755" s="200" t="n">
        <v>46196</v>
      </c>
      <c r="M1755" s="175" t="n">
        <v>0.01488</v>
      </c>
      <c r="N1755" s="176" t="n">
        <v>0.0162</v>
      </c>
      <c r="O1755" s="172" t="n">
        <v>2.65</v>
      </c>
      <c r="P1755" s="172" t="inlineStr">
        <is>
          <t>优先级</t>
        </is>
      </c>
      <c r="Q1755" s="175" t="n">
        <v>0.99</v>
      </c>
      <c r="R1755" s="192" t="n">
        <v>9.9</v>
      </c>
      <c r="S1755" s="172" t="inlineStr">
        <is>
          <t>AAA</t>
        </is>
      </c>
      <c r="T1755" s="175" t="n">
        <v>0.0155</v>
      </c>
      <c r="U1755" s="172" t="n"/>
      <c r="V1755" s="172" t="n"/>
      <c r="W1755" s="175" t="n">
        <v>0.016</v>
      </c>
      <c r="X1755" s="172" t="inlineStr">
        <is>
          <t>中邮理财</t>
        </is>
      </c>
      <c r="Y1755" s="191" t="n">
        <v>0.3</v>
      </c>
    </row>
    <row r="1756">
      <c r="A1756" s="172" t="n">
        <v>96</v>
      </c>
      <c r="B1756" s="172" t="inlineStr">
        <is>
          <t>6月</t>
        </is>
      </c>
      <c r="C1756" s="172" t="inlineStr">
        <is>
          <t>企金</t>
        </is>
      </c>
      <c r="D1756" s="172" t="inlineStr">
        <is>
          <t>保理</t>
        </is>
      </c>
      <c r="E1756" s="172" t="inlineStr">
        <is>
          <t>京诚14-12</t>
        </is>
      </c>
      <c r="F1756" s="172" t="inlineStr">
        <is>
          <t>上交所</t>
        </is>
      </c>
      <c r="G1756" s="172" t="inlineStr">
        <is>
          <t>中信证券</t>
        </is>
      </c>
      <c r="H1756" s="172" t="inlineStr">
        <is>
          <t>光大证券</t>
        </is>
      </c>
      <c r="I1756" s="172" t="inlineStr">
        <is>
          <t>华夏北分</t>
        </is>
      </c>
      <c r="J1756" s="172" t="n">
        <v>10</v>
      </c>
      <c r="K1756" s="172" t="inlineStr">
        <is>
          <t>2+4</t>
        </is>
      </c>
      <c r="L1756" s="200" t="n">
        <v>46196</v>
      </c>
      <c r="M1756" s="175" t="n">
        <v>0.01488</v>
      </c>
      <c r="N1756" s="176" t="n">
        <v>0.0162</v>
      </c>
      <c r="O1756" s="172" t="n">
        <v>2.65</v>
      </c>
      <c r="P1756" s="172" t="inlineStr">
        <is>
          <t>优先级</t>
        </is>
      </c>
      <c r="Q1756" s="175" t="n">
        <v>0.99</v>
      </c>
      <c r="R1756" s="192" t="n">
        <v>9.9</v>
      </c>
      <c r="S1756" s="172" t="inlineStr">
        <is>
          <t>AAA</t>
        </is>
      </c>
      <c r="T1756" s="175" t="n">
        <v>0.0155</v>
      </c>
      <c r="U1756" s="172" t="n"/>
      <c r="V1756" s="172" t="n"/>
      <c r="W1756" s="175" t="n">
        <v>0.0162</v>
      </c>
      <c r="X1756" s="172" t="inlineStr">
        <is>
          <t>中邮理财</t>
        </is>
      </c>
      <c r="Y1756" s="191" t="n">
        <v>1.2</v>
      </c>
    </row>
    <row r="1757">
      <c r="A1757" s="172" t="n">
        <v>96</v>
      </c>
      <c r="B1757" s="172" t="inlineStr">
        <is>
          <t>6月</t>
        </is>
      </c>
      <c r="C1757" s="172" t="inlineStr">
        <is>
          <t>企金</t>
        </is>
      </c>
      <c r="D1757" s="172" t="inlineStr">
        <is>
          <t>保理</t>
        </is>
      </c>
      <c r="E1757" s="172" t="inlineStr">
        <is>
          <t>京诚14-12</t>
        </is>
      </c>
      <c r="F1757" s="172" t="inlineStr">
        <is>
          <t>上交所</t>
        </is>
      </c>
      <c r="G1757" s="172" t="inlineStr">
        <is>
          <t>中信证券</t>
        </is>
      </c>
      <c r="H1757" s="172" t="inlineStr">
        <is>
          <t>光大证券</t>
        </is>
      </c>
      <c r="I1757" s="172" t="inlineStr">
        <is>
          <t>华夏北分</t>
        </is>
      </c>
      <c r="J1757" s="172" t="n">
        <v>10</v>
      </c>
      <c r="K1757" s="172" t="inlineStr">
        <is>
          <t>2+4</t>
        </is>
      </c>
      <c r="L1757" s="200" t="n">
        <v>46196</v>
      </c>
      <c r="M1757" s="175" t="n">
        <v>0.01488</v>
      </c>
      <c r="N1757" s="176" t="n">
        <v>0.0162</v>
      </c>
      <c r="O1757" s="172" t="n">
        <v>2.65</v>
      </c>
      <c r="P1757" s="172" t="inlineStr">
        <is>
          <t>优先级</t>
        </is>
      </c>
      <c r="Q1757" s="175" t="n">
        <v>0.99</v>
      </c>
      <c r="R1757" s="192" t="n">
        <v>9.9</v>
      </c>
      <c r="S1757" s="172" t="inlineStr">
        <is>
          <t>AAA</t>
        </is>
      </c>
      <c r="T1757" s="175" t="n">
        <v>0.0155</v>
      </c>
      <c r="U1757" s="172" t="n"/>
      <c r="V1757" s="172" t="n"/>
      <c r="W1757" s="175" t="n">
        <v>0.0164</v>
      </c>
      <c r="X1757" s="172" t="inlineStr">
        <is>
          <t>中邮理财</t>
        </is>
      </c>
      <c r="Y1757" s="191" t="n">
        <v>1.47</v>
      </c>
    </row>
    <row r="1758">
      <c r="A1758" s="172" t="n">
        <v>96</v>
      </c>
      <c r="B1758" s="172" t="inlineStr">
        <is>
          <t>6月</t>
        </is>
      </c>
      <c r="C1758" s="172" t="inlineStr">
        <is>
          <t>企金</t>
        </is>
      </c>
      <c r="D1758" s="172" t="inlineStr">
        <is>
          <t>保理</t>
        </is>
      </c>
      <c r="E1758" s="172" t="inlineStr">
        <is>
          <t>京诚14-12</t>
        </is>
      </c>
      <c r="F1758" s="172" t="inlineStr">
        <is>
          <t>上交所</t>
        </is>
      </c>
      <c r="G1758" s="172" t="inlineStr">
        <is>
          <t>中信证券</t>
        </is>
      </c>
      <c r="H1758" s="172" t="inlineStr">
        <is>
          <t>光大证券</t>
        </is>
      </c>
      <c r="I1758" s="172" t="inlineStr">
        <is>
          <t>华夏北分</t>
        </is>
      </c>
      <c r="J1758" s="172" t="n">
        <v>10</v>
      </c>
      <c r="K1758" s="172" t="inlineStr">
        <is>
          <t>2+4</t>
        </is>
      </c>
      <c r="L1758" s="200" t="n">
        <v>46196</v>
      </c>
      <c r="M1758" s="175" t="n">
        <v>0.01488</v>
      </c>
      <c r="N1758" s="176" t="n">
        <v>0.0162</v>
      </c>
      <c r="O1758" s="172" t="n">
        <v>2.65</v>
      </c>
      <c r="P1758" s="172" t="inlineStr">
        <is>
          <t>优先级</t>
        </is>
      </c>
      <c r="Q1758" s="175" t="n">
        <v>0.99</v>
      </c>
      <c r="R1758" s="192" t="n">
        <v>9.9</v>
      </c>
      <c r="S1758" s="172" t="inlineStr">
        <is>
          <t>AAA</t>
        </is>
      </c>
      <c r="T1758" s="175" t="n">
        <v>0.0155</v>
      </c>
      <c r="U1758" s="172" t="n"/>
      <c r="V1758" s="172" t="n"/>
      <c r="W1758" s="175" t="n">
        <v>0.0162</v>
      </c>
      <c r="X1758" s="172" t="inlineStr">
        <is>
          <t>平安理财</t>
        </is>
      </c>
      <c r="Y1758" s="191" t="n">
        <v>1.29</v>
      </c>
    </row>
    <row r="1759">
      <c r="A1759" s="172" t="n">
        <v>96</v>
      </c>
      <c r="B1759" s="172" t="inlineStr">
        <is>
          <t>6月</t>
        </is>
      </c>
      <c r="C1759" s="172" t="inlineStr">
        <is>
          <t>企金</t>
        </is>
      </c>
      <c r="D1759" s="172" t="inlineStr">
        <is>
          <t>保理</t>
        </is>
      </c>
      <c r="E1759" s="172" t="inlineStr">
        <is>
          <t>京诚14-12</t>
        </is>
      </c>
      <c r="F1759" s="172" t="inlineStr">
        <is>
          <t>上交所</t>
        </is>
      </c>
      <c r="G1759" s="172" t="inlineStr">
        <is>
          <t>中信证券</t>
        </is>
      </c>
      <c r="H1759" s="172" t="inlineStr">
        <is>
          <t>光大证券</t>
        </is>
      </c>
      <c r="I1759" s="172" t="inlineStr">
        <is>
          <t>华夏北分</t>
        </is>
      </c>
      <c r="J1759" s="172" t="n">
        <v>10</v>
      </c>
      <c r="K1759" s="172" t="inlineStr">
        <is>
          <t>2+4</t>
        </is>
      </c>
      <c r="L1759" s="200" t="n">
        <v>46196</v>
      </c>
      <c r="M1759" s="175" t="n">
        <v>0.01488</v>
      </c>
      <c r="N1759" s="176" t="n">
        <v>0.0162</v>
      </c>
      <c r="O1759" s="172" t="n">
        <v>2.65</v>
      </c>
      <c r="P1759" s="172" t="inlineStr">
        <is>
          <t>优先级</t>
        </is>
      </c>
      <c r="Q1759" s="175" t="n">
        <v>0.99</v>
      </c>
      <c r="R1759" s="192" t="n">
        <v>9.9</v>
      </c>
      <c r="S1759" s="172" t="inlineStr">
        <is>
          <t>AAA</t>
        </is>
      </c>
      <c r="T1759" s="175" t="n">
        <v>0.0155</v>
      </c>
      <c r="U1759" s="172" t="n"/>
      <c r="V1759" s="172" t="n"/>
      <c r="W1759" s="175" t="n">
        <v>0.024</v>
      </c>
      <c r="X1759" s="172" t="inlineStr">
        <is>
          <t>上海利曦私募</t>
        </is>
      </c>
      <c r="Y1759" s="191" t="n">
        <v>2</v>
      </c>
    </row>
    <row r="1760">
      <c r="A1760" s="172" t="n">
        <v>96</v>
      </c>
      <c r="B1760" s="172" t="inlineStr">
        <is>
          <t>6月</t>
        </is>
      </c>
      <c r="C1760" s="172" t="inlineStr">
        <is>
          <t>企金</t>
        </is>
      </c>
      <c r="D1760" s="172" t="inlineStr">
        <is>
          <t>保理</t>
        </is>
      </c>
      <c r="E1760" s="172" t="inlineStr">
        <is>
          <t>京诚14-12</t>
        </is>
      </c>
      <c r="F1760" s="172" t="inlineStr">
        <is>
          <t>上交所</t>
        </is>
      </c>
      <c r="G1760" s="172" t="inlineStr">
        <is>
          <t>中信证券</t>
        </is>
      </c>
      <c r="H1760" s="172" t="inlineStr">
        <is>
          <t>光大证券</t>
        </is>
      </c>
      <c r="I1760" s="172" t="inlineStr">
        <is>
          <t>华夏北分</t>
        </is>
      </c>
      <c r="J1760" s="172" t="n">
        <v>10</v>
      </c>
      <c r="K1760" s="172" t="inlineStr">
        <is>
          <t>2+4</t>
        </is>
      </c>
      <c r="L1760" s="202" t="n">
        <v>46196</v>
      </c>
      <c r="M1760" s="175" t="n">
        <v>0.01488</v>
      </c>
      <c r="N1760" s="176" t="n">
        <v>0.0162</v>
      </c>
      <c r="O1760" s="191" t="n">
        <v>2.65</v>
      </c>
      <c r="P1760" s="172" t="inlineStr">
        <is>
          <t>次级</t>
        </is>
      </c>
      <c r="Q1760" s="175" t="n">
        <v>0.01</v>
      </c>
      <c r="R1760" s="192" t="n">
        <v>0.1</v>
      </c>
      <c r="S1760" s="175" t="inlineStr">
        <is>
          <t>无</t>
        </is>
      </c>
      <c r="T1760" s="175" t="n">
        <v>0.043</v>
      </c>
      <c r="U1760" s="172" t="inlineStr">
        <is>
          <t>利曦基金</t>
        </is>
      </c>
      <c r="V1760" s="191" t="n">
        <v>0.1</v>
      </c>
      <c r="W1760" s="172" t="n"/>
      <c r="X1760" s="172" t="n"/>
      <c r="Y1760" s="172" t="n"/>
    </row>
    <row r="1761">
      <c r="A1761" s="172" t="n">
        <v>97</v>
      </c>
      <c r="B1761" s="172" t="inlineStr">
        <is>
          <t>6月</t>
        </is>
      </c>
      <c r="C1761" s="172" t="inlineStr">
        <is>
          <t>企金</t>
        </is>
      </c>
      <c r="D1761" s="172" t="inlineStr">
        <is>
          <t>金采</t>
        </is>
      </c>
      <c r="E1761" s="172" t="inlineStr">
        <is>
          <t>金采8-4</t>
        </is>
      </c>
      <c r="F1761" s="172" t="inlineStr">
        <is>
          <t>上交所</t>
        </is>
      </c>
      <c r="G1761" s="172" t="inlineStr">
        <is>
          <t>招商证券</t>
        </is>
      </c>
      <c r="H1761" s="172" t="inlineStr">
        <is>
          <t>信达证券</t>
        </is>
      </c>
      <c r="I1761" s="172" t="inlineStr">
        <is>
          <t>民生北分</t>
        </is>
      </c>
      <c r="J1761" s="172" t="n">
        <v>10</v>
      </c>
      <c r="K1761" s="172" t="inlineStr">
        <is>
          <t>7+12</t>
        </is>
      </c>
      <c r="L1761" s="202" t="n">
        <v>46196</v>
      </c>
      <c r="M1761" s="175" t="n">
        <v>0.01488</v>
      </c>
      <c r="N1761" s="176" t="n">
        <v>0.0187</v>
      </c>
      <c r="O1761" s="191" t="n">
        <v>1.78</v>
      </c>
      <c r="P1761" s="172" t="inlineStr">
        <is>
          <t>优先级</t>
        </is>
      </c>
      <c r="Q1761" s="175" t="n">
        <v>0.9</v>
      </c>
      <c r="R1761" s="192" t="n">
        <v>9</v>
      </c>
      <c r="S1761" s="172" t="inlineStr">
        <is>
          <t>AAA</t>
        </is>
      </c>
      <c r="T1761" s="175" t="n">
        <v>0.016</v>
      </c>
      <c r="U1761" s="172" t="inlineStr">
        <is>
          <t>中邮理财</t>
        </is>
      </c>
      <c r="V1761" s="191" t="n">
        <v>2.6</v>
      </c>
      <c r="W1761" s="175" t="n">
        <v>0.016</v>
      </c>
      <c r="X1761" s="172" t="inlineStr">
        <is>
          <t>中邮理财</t>
        </is>
      </c>
      <c r="Y1761" s="191" t="n">
        <v>2.7</v>
      </c>
    </row>
    <row r="1762">
      <c r="A1762" s="172" t="n">
        <v>97</v>
      </c>
      <c r="B1762" s="172" t="inlineStr">
        <is>
          <t>6月</t>
        </is>
      </c>
      <c r="C1762" s="172" t="inlineStr">
        <is>
          <t>企金</t>
        </is>
      </c>
      <c r="D1762" s="172" t="inlineStr">
        <is>
          <t>金采</t>
        </is>
      </c>
      <c r="E1762" s="172" t="inlineStr">
        <is>
          <t>金采8-4</t>
        </is>
      </c>
      <c r="F1762" s="172" t="inlineStr">
        <is>
          <t>上交所</t>
        </is>
      </c>
      <c r="G1762" s="172" t="inlineStr">
        <is>
          <t>招商证券</t>
        </is>
      </c>
      <c r="H1762" s="172" t="inlineStr">
        <is>
          <t>信达证券</t>
        </is>
      </c>
      <c r="I1762" s="172" t="inlineStr">
        <is>
          <t>民生北分</t>
        </is>
      </c>
      <c r="J1762" s="172" t="n">
        <v>10</v>
      </c>
      <c r="K1762" s="172" t="inlineStr">
        <is>
          <t>7+12</t>
        </is>
      </c>
      <c r="L1762" s="202" t="n">
        <v>46196</v>
      </c>
      <c r="M1762" s="175" t="n">
        <v>0.01488</v>
      </c>
      <c r="N1762" s="176" t="n">
        <v>0.0187</v>
      </c>
      <c r="O1762" s="191" t="n">
        <v>1.78</v>
      </c>
      <c r="P1762" s="172" t="inlineStr">
        <is>
          <t>优先级</t>
        </is>
      </c>
      <c r="Q1762" s="175" t="n">
        <v>0.9</v>
      </c>
      <c r="R1762" s="192" t="n">
        <v>9</v>
      </c>
      <c r="S1762" s="172" t="inlineStr">
        <is>
          <t>AAA</t>
        </is>
      </c>
      <c r="T1762" s="175" t="n">
        <v>0.016</v>
      </c>
      <c r="U1762" s="172" t="inlineStr">
        <is>
          <t>民生理财</t>
        </is>
      </c>
      <c r="V1762" s="191" t="n">
        <v>2.7</v>
      </c>
      <c r="W1762" s="175" t="n">
        <v>0.0158</v>
      </c>
      <c r="X1762" s="172" t="inlineStr">
        <is>
          <t>民生理财</t>
        </is>
      </c>
      <c r="Y1762" s="191" t="n">
        <v>2.7</v>
      </c>
    </row>
    <row r="1763">
      <c r="A1763" s="172" t="n">
        <v>97</v>
      </c>
      <c r="B1763" s="172" t="inlineStr">
        <is>
          <t>6月</t>
        </is>
      </c>
      <c r="C1763" s="172" t="inlineStr">
        <is>
          <t>企金</t>
        </is>
      </c>
      <c r="D1763" s="172" t="inlineStr">
        <is>
          <t>金采</t>
        </is>
      </c>
      <c r="E1763" s="172" t="inlineStr">
        <is>
          <t>金采8-4</t>
        </is>
      </c>
      <c r="F1763" s="172" t="inlineStr">
        <is>
          <t>上交所</t>
        </is>
      </c>
      <c r="G1763" s="172" t="inlineStr">
        <is>
          <t>招商证券</t>
        </is>
      </c>
      <c r="H1763" s="172" t="inlineStr">
        <is>
          <t>信达证券</t>
        </is>
      </c>
      <c r="I1763" s="172" t="inlineStr">
        <is>
          <t>民生北分</t>
        </is>
      </c>
      <c r="J1763" s="172" t="n">
        <v>10</v>
      </c>
      <c r="K1763" s="172" t="inlineStr">
        <is>
          <t>7+12</t>
        </is>
      </c>
      <c r="L1763" s="202" t="n">
        <v>46196</v>
      </c>
      <c r="M1763" s="175" t="n">
        <v>0.01488</v>
      </c>
      <c r="N1763" s="176" t="n">
        <v>0.0187</v>
      </c>
      <c r="O1763" s="191" t="n">
        <v>1.78</v>
      </c>
      <c r="P1763" s="172" t="inlineStr">
        <is>
          <t>优先级</t>
        </is>
      </c>
      <c r="Q1763" s="175" t="n">
        <v>0.9</v>
      </c>
      <c r="R1763" s="192" t="n">
        <v>9</v>
      </c>
      <c r="S1763" s="172" t="inlineStr">
        <is>
          <t>AAA</t>
        </is>
      </c>
      <c r="T1763" s="175" t="n">
        <v>0.016</v>
      </c>
      <c r="U1763" s="172" t="inlineStr">
        <is>
          <t>交银理财</t>
        </is>
      </c>
      <c r="V1763" s="191" t="n">
        <v>0.95</v>
      </c>
      <c r="W1763" s="175" t="n">
        <v>0.016</v>
      </c>
      <c r="X1763" s="172" t="inlineStr">
        <is>
          <t>交银理财</t>
        </is>
      </c>
      <c r="Y1763" s="191" t="n">
        <v>1</v>
      </c>
    </row>
    <row r="1764">
      <c r="A1764" s="172" t="n">
        <v>97</v>
      </c>
      <c r="B1764" s="172" t="inlineStr">
        <is>
          <t>6月</t>
        </is>
      </c>
      <c r="C1764" s="172" t="inlineStr">
        <is>
          <t>企金</t>
        </is>
      </c>
      <c r="D1764" s="172" t="inlineStr">
        <is>
          <t>金采</t>
        </is>
      </c>
      <c r="E1764" s="172" t="inlineStr">
        <is>
          <t>金采8-4</t>
        </is>
      </c>
      <c r="F1764" s="172" t="inlineStr">
        <is>
          <t>上交所</t>
        </is>
      </c>
      <c r="G1764" s="172" t="inlineStr">
        <is>
          <t>招商证券</t>
        </is>
      </c>
      <c r="H1764" s="172" t="inlineStr">
        <is>
          <t>信达证券</t>
        </is>
      </c>
      <c r="I1764" s="172" t="inlineStr">
        <is>
          <t>民生北分</t>
        </is>
      </c>
      <c r="J1764" s="172" t="n">
        <v>10</v>
      </c>
      <c r="K1764" s="172" t="inlineStr">
        <is>
          <t>7+12</t>
        </is>
      </c>
      <c r="L1764" s="202" t="n">
        <v>46196</v>
      </c>
      <c r="M1764" s="175" t="n">
        <v>0.01488</v>
      </c>
      <c r="N1764" s="176" t="n">
        <v>0.0187</v>
      </c>
      <c r="O1764" s="191" t="n">
        <v>1.78</v>
      </c>
      <c r="P1764" s="172" t="inlineStr">
        <is>
          <t>优先级</t>
        </is>
      </c>
      <c r="Q1764" s="175" t="n">
        <v>0.9</v>
      </c>
      <c r="R1764" s="192" t="n">
        <v>9</v>
      </c>
      <c r="S1764" s="172" t="inlineStr">
        <is>
          <t>AAA</t>
        </is>
      </c>
      <c r="T1764" s="175" t="n">
        <v>0.016</v>
      </c>
      <c r="U1764" s="172" t="inlineStr">
        <is>
          <t>建信理财</t>
        </is>
      </c>
      <c r="V1764" s="191" t="n">
        <v>1.92</v>
      </c>
      <c r="W1764" s="172" t="n"/>
      <c r="X1764" s="172" t="n"/>
      <c r="Y1764" s="172" t="n"/>
    </row>
    <row r="1765">
      <c r="A1765" s="172" t="n">
        <v>97</v>
      </c>
      <c r="B1765" s="172" t="inlineStr">
        <is>
          <t>6月</t>
        </is>
      </c>
      <c r="C1765" s="172" t="inlineStr">
        <is>
          <t>企金</t>
        </is>
      </c>
      <c r="D1765" s="172" t="inlineStr">
        <is>
          <t>金采</t>
        </is>
      </c>
      <c r="E1765" s="172" t="inlineStr">
        <is>
          <t>金采8-4</t>
        </is>
      </c>
      <c r="F1765" s="172" t="inlineStr">
        <is>
          <t>上交所</t>
        </is>
      </c>
      <c r="G1765" s="172" t="inlineStr">
        <is>
          <t>招商证券</t>
        </is>
      </c>
      <c r="H1765" s="172" t="inlineStr">
        <is>
          <t>信达证券</t>
        </is>
      </c>
      <c r="I1765" s="172" t="inlineStr">
        <is>
          <t>民生北分</t>
        </is>
      </c>
      <c r="J1765" s="172" t="n">
        <v>10</v>
      </c>
      <c r="K1765" s="172" t="inlineStr">
        <is>
          <t>7+12</t>
        </is>
      </c>
      <c r="L1765" s="202" t="n">
        <v>46196</v>
      </c>
      <c r="M1765" s="175" t="n">
        <v>0.01488</v>
      </c>
      <c r="N1765" s="176" t="n">
        <v>0.0187</v>
      </c>
      <c r="O1765" s="191" t="n">
        <v>1.78</v>
      </c>
      <c r="P1765" s="172" t="inlineStr">
        <is>
          <t>优先级</t>
        </is>
      </c>
      <c r="Q1765" s="175" t="n">
        <v>0.9</v>
      </c>
      <c r="R1765" s="192" t="n">
        <v>9</v>
      </c>
      <c r="S1765" s="172" t="inlineStr">
        <is>
          <t>AAA</t>
        </is>
      </c>
      <c r="T1765" s="175" t="n">
        <v>0.016</v>
      </c>
      <c r="U1765" s="172" t="inlineStr">
        <is>
          <t>华夏基金</t>
        </is>
      </c>
      <c r="V1765" s="191" t="n">
        <v>0.38</v>
      </c>
      <c r="W1765" s="175" t="n">
        <v>0.016</v>
      </c>
      <c r="X1765" s="172" t="inlineStr">
        <is>
          <t>华夏基金</t>
        </is>
      </c>
      <c r="Y1765" s="191" t="n">
        <v>0.4</v>
      </c>
    </row>
    <row r="1766">
      <c r="A1766" s="172" t="n">
        <v>97</v>
      </c>
      <c r="B1766" s="172" t="inlineStr">
        <is>
          <t>6月</t>
        </is>
      </c>
      <c r="C1766" s="172" t="inlineStr">
        <is>
          <t>企金</t>
        </is>
      </c>
      <c r="D1766" s="172" t="inlineStr">
        <is>
          <t>金采</t>
        </is>
      </c>
      <c r="E1766" s="172" t="inlineStr">
        <is>
          <t>金采8-4</t>
        </is>
      </c>
      <c r="F1766" s="172" t="inlineStr">
        <is>
          <t>上交所</t>
        </is>
      </c>
      <c r="G1766" s="172" t="inlineStr">
        <is>
          <t>招商证券</t>
        </is>
      </c>
      <c r="H1766" s="172" t="inlineStr">
        <is>
          <t>信达证券</t>
        </is>
      </c>
      <c r="I1766" s="172" t="inlineStr">
        <is>
          <t>民生北分</t>
        </is>
      </c>
      <c r="J1766" s="172" t="n">
        <v>10</v>
      </c>
      <c r="K1766" s="172" t="inlineStr">
        <is>
          <t>7+12</t>
        </is>
      </c>
      <c r="L1766" s="202" t="n">
        <v>46196</v>
      </c>
      <c r="M1766" s="175" t="n">
        <v>0.01488</v>
      </c>
      <c r="N1766" s="176" t="n">
        <v>0.0187</v>
      </c>
      <c r="O1766" s="191" t="n">
        <v>1.78</v>
      </c>
      <c r="P1766" s="172" t="inlineStr">
        <is>
          <t>优先级</t>
        </is>
      </c>
      <c r="Q1766" s="175" t="n">
        <v>0.9</v>
      </c>
      <c r="R1766" s="192" t="n">
        <v>9</v>
      </c>
      <c r="S1766" s="172" t="inlineStr">
        <is>
          <t>AAA</t>
        </is>
      </c>
      <c r="T1766" s="175" t="n">
        <v>0.016</v>
      </c>
      <c r="U1766" s="172" t="inlineStr">
        <is>
          <t>邦汇保理</t>
        </is>
      </c>
      <c r="V1766" s="191" t="n">
        <v>0.45</v>
      </c>
      <c r="W1766" s="172" t="n"/>
      <c r="X1766" s="172" t="n"/>
      <c r="Y1766" s="172" t="n"/>
    </row>
    <row r="1767">
      <c r="A1767" s="172" t="n">
        <v>97</v>
      </c>
      <c r="B1767" s="172" t="inlineStr">
        <is>
          <t>6月</t>
        </is>
      </c>
      <c r="C1767" s="172" t="inlineStr">
        <is>
          <t>企金</t>
        </is>
      </c>
      <c r="D1767" s="172" t="inlineStr">
        <is>
          <t>金采</t>
        </is>
      </c>
      <c r="E1767" s="172" t="inlineStr">
        <is>
          <t>金采8-4</t>
        </is>
      </c>
      <c r="F1767" s="172" t="inlineStr">
        <is>
          <t>上交所</t>
        </is>
      </c>
      <c r="G1767" s="172" t="inlineStr">
        <is>
          <t>招商证券</t>
        </is>
      </c>
      <c r="H1767" s="172" t="inlineStr">
        <is>
          <t>信达证券</t>
        </is>
      </c>
      <c r="I1767" s="172" t="inlineStr">
        <is>
          <t>民生北分</t>
        </is>
      </c>
      <c r="J1767" s="172" t="n">
        <v>10</v>
      </c>
      <c r="K1767" s="172" t="inlineStr">
        <is>
          <t>7+12</t>
        </is>
      </c>
      <c r="L1767" s="208" t="n">
        <v>46196</v>
      </c>
      <c r="M1767" s="175" t="n">
        <v>0.01488</v>
      </c>
      <c r="N1767" s="176" t="n">
        <v>0.0187</v>
      </c>
      <c r="O1767" s="172" t="n">
        <v>1.78</v>
      </c>
      <c r="P1767" s="172" t="inlineStr">
        <is>
          <t>优先级</t>
        </is>
      </c>
      <c r="Q1767" s="175" t="n">
        <v>0.9</v>
      </c>
      <c r="R1767" s="192" t="n">
        <v>9</v>
      </c>
      <c r="S1767" s="172" t="inlineStr">
        <is>
          <t>AAA</t>
        </is>
      </c>
      <c r="T1767" s="175" t="n">
        <v>0.016</v>
      </c>
      <c r="U1767" s="172" t="n"/>
      <c r="V1767" s="172" t="n"/>
      <c r="W1767" s="175" t="n">
        <v>0.024</v>
      </c>
      <c r="X1767" s="172" t="inlineStr">
        <is>
          <t>利曦基金</t>
        </is>
      </c>
      <c r="Y1767" s="191" t="n">
        <v>2</v>
      </c>
    </row>
    <row r="1768">
      <c r="A1768" s="172" t="n">
        <v>97</v>
      </c>
      <c r="B1768" s="172" t="inlineStr">
        <is>
          <t>6月</t>
        </is>
      </c>
      <c r="C1768" s="172" t="inlineStr">
        <is>
          <t>企金</t>
        </is>
      </c>
      <c r="D1768" s="172" t="inlineStr">
        <is>
          <t>金采</t>
        </is>
      </c>
      <c r="E1768" s="172" t="inlineStr">
        <is>
          <t>金采8-4</t>
        </is>
      </c>
      <c r="F1768" s="172" t="inlineStr">
        <is>
          <t>上交所</t>
        </is>
      </c>
      <c r="G1768" s="172" t="inlineStr">
        <is>
          <t>招商证券</t>
        </is>
      </c>
      <c r="H1768" s="172" t="inlineStr">
        <is>
          <t>信达证券</t>
        </is>
      </c>
      <c r="I1768" s="172" t="inlineStr">
        <is>
          <t>民生北分</t>
        </is>
      </c>
      <c r="J1768" s="172" t="n">
        <v>10</v>
      </c>
      <c r="K1768" s="172" t="inlineStr">
        <is>
          <t>7+12</t>
        </is>
      </c>
      <c r="L1768" s="208" t="n">
        <v>46196</v>
      </c>
      <c r="M1768" s="175" t="n">
        <v>0.01488</v>
      </c>
      <c r="N1768" s="176" t="n">
        <v>0.0187</v>
      </c>
      <c r="O1768" s="172" t="n">
        <v>1.78</v>
      </c>
      <c r="P1768" s="172" t="inlineStr">
        <is>
          <t>优先级</t>
        </is>
      </c>
      <c r="Q1768" s="175" t="n">
        <v>0.9</v>
      </c>
      <c r="R1768" s="192" t="n">
        <v>9</v>
      </c>
      <c r="S1768" s="172" t="inlineStr">
        <is>
          <t>AAA</t>
        </is>
      </c>
      <c r="T1768" s="175" t="n">
        <v>0.016</v>
      </c>
      <c r="U1768" s="172" t="n"/>
      <c r="V1768" s="172" t="n"/>
      <c r="W1768" s="175" t="n">
        <v>0.0164</v>
      </c>
      <c r="X1768" s="172" t="inlineStr">
        <is>
          <t>宝武财务</t>
        </is>
      </c>
      <c r="Y1768" s="191" t="n">
        <v>0.2</v>
      </c>
    </row>
    <row r="1769">
      <c r="A1769" s="172" t="n">
        <v>97</v>
      </c>
      <c r="B1769" s="172" t="inlineStr">
        <is>
          <t>6月</t>
        </is>
      </c>
      <c r="C1769" s="172" t="inlineStr">
        <is>
          <t>企金</t>
        </is>
      </c>
      <c r="D1769" s="172" t="inlineStr">
        <is>
          <t>金采</t>
        </is>
      </c>
      <c r="E1769" s="172" t="inlineStr">
        <is>
          <t>金采8-4</t>
        </is>
      </c>
      <c r="F1769" s="172" t="inlineStr">
        <is>
          <t>上交所</t>
        </is>
      </c>
      <c r="G1769" s="172" t="inlineStr">
        <is>
          <t>招商证券</t>
        </is>
      </c>
      <c r="H1769" s="172" t="inlineStr">
        <is>
          <t>信达证券</t>
        </is>
      </c>
      <c r="I1769" s="172" t="inlineStr">
        <is>
          <t>民生北分</t>
        </is>
      </c>
      <c r="J1769" s="172" t="n">
        <v>10</v>
      </c>
      <c r="K1769" s="172" t="inlineStr">
        <is>
          <t>7+12</t>
        </is>
      </c>
      <c r="L1769" s="208" t="n">
        <v>46196</v>
      </c>
      <c r="M1769" s="175" t="n">
        <v>0.01488</v>
      </c>
      <c r="N1769" s="176" t="n">
        <v>0.0187</v>
      </c>
      <c r="O1769" s="172" t="n">
        <v>1.78</v>
      </c>
      <c r="P1769" s="172" t="inlineStr">
        <is>
          <t>优先级</t>
        </is>
      </c>
      <c r="Q1769" s="175" t="n">
        <v>0.9</v>
      </c>
      <c r="R1769" s="192" t="n">
        <v>9</v>
      </c>
      <c r="S1769" s="172" t="inlineStr">
        <is>
          <t>AAA</t>
        </is>
      </c>
      <c r="T1769" s="175" t="n">
        <v>0.016</v>
      </c>
      <c r="U1769" s="172" t="n"/>
      <c r="V1769" s="172" t="n"/>
      <c r="W1769" s="175" t="n">
        <v>0.017</v>
      </c>
      <c r="X1769" s="172" t="inlineStr">
        <is>
          <t>广银理财</t>
        </is>
      </c>
      <c r="Y1769" s="191" t="n">
        <v>0.5</v>
      </c>
    </row>
    <row r="1770">
      <c r="A1770" s="172" t="n">
        <v>97</v>
      </c>
      <c r="B1770" s="172" t="inlineStr">
        <is>
          <t>6月</t>
        </is>
      </c>
      <c r="C1770" s="172" t="inlineStr">
        <is>
          <t>企金</t>
        </is>
      </c>
      <c r="D1770" s="172" t="inlineStr">
        <is>
          <t>金采</t>
        </is>
      </c>
      <c r="E1770" s="172" t="inlineStr">
        <is>
          <t>金采8-4</t>
        </is>
      </c>
      <c r="F1770" s="172" t="inlineStr">
        <is>
          <t>上交所</t>
        </is>
      </c>
      <c r="G1770" s="172" t="inlineStr">
        <is>
          <t>招商证券</t>
        </is>
      </c>
      <c r="H1770" s="172" t="inlineStr">
        <is>
          <t>信达证券</t>
        </is>
      </c>
      <c r="I1770" s="172" t="inlineStr">
        <is>
          <t>民生北分</t>
        </is>
      </c>
      <c r="J1770" s="172" t="n">
        <v>10</v>
      </c>
      <c r="K1770" s="172" t="inlineStr">
        <is>
          <t>7+12</t>
        </is>
      </c>
      <c r="L1770" s="208" t="n">
        <v>46196</v>
      </c>
      <c r="M1770" s="175" t="n">
        <v>0.01488</v>
      </c>
      <c r="N1770" s="176" t="n">
        <v>0.0187</v>
      </c>
      <c r="O1770" s="172" t="n">
        <v>1.78</v>
      </c>
      <c r="P1770" s="172" t="inlineStr">
        <is>
          <t>优先级</t>
        </is>
      </c>
      <c r="Q1770" s="175" t="n">
        <v>0.9</v>
      </c>
      <c r="R1770" s="192" t="n">
        <v>9</v>
      </c>
      <c r="S1770" s="172" t="inlineStr">
        <is>
          <t>AAA</t>
        </is>
      </c>
      <c r="T1770" s="175" t="n">
        <v>0.016</v>
      </c>
      <c r="U1770" s="172" t="n"/>
      <c r="V1770" s="172" t="n"/>
      <c r="W1770" s="175" t="n">
        <v>0.016</v>
      </c>
      <c r="X1770" s="172" t="inlineStr">
        <is>
          <t>建信信托单1</t>
        </is>
      </c>
      <c r="Y1770" s="191" t="n">
        <v>2</v>
      </c>
    </row>
    <row r="1771">
      <c r="A1771" s="172" t="n">
        <v>97</v>
      </c>
      <c r="B1771" s="172" t="inlineStr">
        <is>
          <t>6月</t>
        </is>
      </c>
      <c r="C1771" s="172" t="inlineStr">
        <is>
          <t>企金</t>
        </is>
      </c>
      <c r="D1771" s="172" t="inlineStr">
        <is>
          <t>金采</t>
        </is>
      </c>
      <c r="E1771" s="172" t="inlineStr">
        <is>
          <t>金采8-4</t>
        </is>
      </c>
      <c r="F1771" s="172" t="inlineStr">
        <is>
          <t>上交所</t>
        </is>
      </c>
      <c r="G1771" s="172" t="inlineStr">
        <is>
          <t>招商证券</t>
        </is>
      </c>
      <c r="H1771" s="172" t="inlineStr">
        <is>
          <t>信达证券</t>
        </is>
      </c>
      <c r="I1771" s="172" t="inlineStr">
        <is>
          <t>民生北分</t>
        </is>
      </c>
      <c r="J1771" s="172" t="n">
        <v>10</v>
      </c>
      <c r="K1771" s="172" t="inlineStr">
        <is>
          <t>7+12</t>
        </is>
      </c>
      <c r="L1771" s="208" t="n">
        <v>46196</v>
      </c>
      <c r="M1771" s="175" t="n">
        <v>0.01488</v>
      </c>
      <c r="N1771" s="176" t="n">
        <v>0.0187</v>
      </c>
      <c r="O1771" s="172" t="n">
        <v>1.78</v>
      </c>
      <c r="P1771" s="172" t="inlineStr">
        <is>
          <t>优先级</t>
        </is>
      </c>
      <c r="Q1771" s="175" t="n">
        <v>0.9</v>
      </c>
      <c r="R1771" s="192" t="n">
        <v>9</v>
      </c>
      <c r="S1771" s="172" t="inlineStr">
        <is>
          <t>AAA</t>
        </is>
      </c>
      <c r="T1771" s="175" t="n">
        <v>0.016</v>
      </c>
      <c r="U1771" s="172" t="n"/>
      <c r="V1771" s="172" t="n"/>
      <c r="W1771" s="175" t="n">
        <v>0.0165</v>
      </c>
      <c r="X1771" s="172" t="inlineStr">
        <is>
          <t>华夏理财</t>
        </is>
      </c>
      <c r="Y1771" s="191" t="n">
        <v>2.7</v>
      </c>
    </row>
    <row r="1772">
      <c r="A1772" s="172" t="n">
        <v>97</v>
      </c>
      <c r="B1772" s="172" t="inlineStr">
        <is>
          <t>6月</t>
        </is>
      </c>
      <c r="C1772" s="172" t="inlineStr">
        <is>
          <t>企金</t>
        </is>
      </c>
      <c r="D1772" s="172" t="inlineStr">
        <is>
          <t>金采</t>
        </is>
      </c>
      <c r="E1772" s="172" t="inlineStr">
        <is>
          <t>金采8-4</t>
        </is>
      </c>
      <c r="F1772" s="172" t="inlineStr">
        <is>
          <t>上交所</t>
        </is>
      </c>
      <c r="G1772" s="172" t="inlineStr">
        <is>
          <t>招商证券</t>
        </is>
      </c>
      <c r="H1772" s="172" t="inlineStr">
        <is>
          <t>信达证券</t>
        </is>
      </c>
      <c r="I1772" s="172" t="inlineStr">
        <is>
          <t>民生北分</t>
        </is>
      </c>
      <c r="J1772" s="172" t="n">
        <v>10</v>
      </c>
      <c r="K1772" s="172" t="inlineStr">
        <is>
          <t>7+12</t>
        </is>
      </c>
      <c r="L1772" s="208" t="n">
        <v>46196</v>
      </c>
      <c r="M1772" s="175" t="n">
        <v>0.01488</v>
      </c>
      <c r="N1772" s="176" t="n">
        <v>0.0187</v>
      </c>
      <c r="O1772" s="172" t="n">
        <v>1.78</v>
      </c>
      <c r="P1772" s="172" t="inlineStr">
        <is>
          <t>优先级</t>
        </is>
      </c>
      <c r="Q1772" s="175" t="n">
        <v>0.9</v>
      </c>
      <c r="R1772" s="192" t="n">
        <v>9</v>
      </c>
      <c r="S1772" s="172" t="inlineStr">
        <is>
          <t>AAA</t>
        </is>
      </c>
      <c r="T1772" s="175" t="n">
        <v>0.016</v>
      </c>
      <c r="U1772" s="172" t="n"/>
      <c r="V1772" s="172" t="n"/>
      <c r="W1772" s="175" t="n">
        <v>0.0164</v>
      </c>
      <c r="X1772" s="172" t="inlineStr">
        <is>
          <t>建信信托单2</t>
        </is>
      </c>
      <c r="Y1772" s="191" t="n">
        <v>1</v>
      </c>
    </row>
    <row r="1773">
      <c r="A1773" s="172" t="n">
        <v>97</v>
      </c>
      <c r="B1773" s="172" t="inlineStr">
        <is>
          <t>6月</t>
        </is>
      </c>
      <c r="C1773" s="172" t="inlineStr">
        <is>
          <t>企金</t>
        </is>
      </c>
      <c r="D1773" s="172" t="inlineStr">
        <is>
          <t>金采</t>
        </is>
      </c>
      <c r="E1773" s="172" t="inlineStr">
        <is>
          <t>金采8-4</t>
        </is>
      </c>
      <c r="F1773" s="172" t="inlineStr">
        <is>
          <t>上交所</t>
        </is>
      </c>
      <c r="G1773" s="172" t="inlineStr">
        <is>
          <t>招商证券</t>
        </is>
      </c>
      <c r="H1773" s="172" t="inlineStr">
        <is>
          <t>信达证券</t>
        </is>
      </c>
      <c r="I1773" s="172" t="inlineStr">
        <is>
          <t>民生北分</t>
        </is>
      </c>
      <c r="J1773" s="172" t="n">
        <v>10</v>
      </c>
      <c r="K1773" s="172" t="inlineStr">
        <is>
          <t>7+12</t>
        </is>
      </c>
      <c r="L1773" s="202" t="n">
        <v>46196</v>
      </c>
      <c r="M1773" s="175" t="n">
        <v>0.01488</v>
      </c>
      <c r="N1773" s="176" t="n">
        <v>0.0187</v>
      </c>
      <c r="O1773" s="191" t="n">
        <v>1.78</v>
      </c>
      <c r="P1773" s="172" t="inlineStr">
        <is>
          <t>中间级</t>
        </is>
      </c>
      <c r="Q1773" s="175" t="n">
        <v>0.05</v>
      </c>
      <c r="R1773" s="192" t="n">
        <v>0.5</v>
      </c>
      <c r="S1773" s="175" t="inlineStr">
        <is>
          <t>AA</t>
        </is>
      </c>
      <c r="T1773" s="175" t="n">
        <v>0.031</v>
      </c>
      <c r="U1773" s="172" t="inlineStr">
        <is>
          <t>利曦基金</t>
        </is>
      </c>
      <c r="V1773" s="201" t="n">
        <v>0.2375</v>
      </c>
      <c r="W1773" s="172" t="n"/>
      <c r="X1773" s="172" t="n"/>
      <c r="Y1773" s="172" t="n"/>
    </row>
    <row r="1774">
      <c r="A1774" s="172" t="n">
        <v>97</v>
      </c>
      <c r="B1774" s="172" t="inlineStr">
        <is>
          <t>6月</t>
        </is>
      </c>
      <c r="C1774" s="172" t="inlineStr">
        <is>
          <t>企金</t>
        </is>
      </c>
      <c r="D1774" s="172" t="inlineStr">
        <is>
          <t>金采</t>
        </is>
      </c>
      <c r="E1774" s="172" t="inlineStr">
        <is>
          <t>金采8-4</t>
        </is>
      </c>
      <c r="F1774" s="172" t="inlineStr">
        <is>
          <t>上交所</t>
        </is>
      </c>
      <c r="G1774" s="172" t="inlineStr">
        <is>
          <t>招商证券</t>
        </is>
      </c>
      <c r="H1774" s="172" t="inlineStr">
        <is>
          <t>信达证券</t>
        </is>
      </c>
      <c r="I1774" s="172" t="inlineStr">
        <is>
          <t>民生北分</t>
        </is>
      </c>
      <c r="J1774" s="172" t="n">
        <v>10</v>
      </c>
      <c r="K1774" s="172" t="inlineStr">
        <is>
          <t>7+12</t>
        </is>
      </c>
      <c r="L1774" s="202" t="n">
        <v>46196</v>
      </c>
      <c r="M1774" s="175" t="n">
        <v>0.01488</v>
      </c>
      <c r="N1774" s="176" t="n">
        <v>0.0187</v>
      </c>
      <c r="O1774" s="191" t="n">
        <v>1.78</v>
      </c>
      <c r="P1774" s="172" t="inlineStr">
        <is>
          <t>中间级</t>
        </is>
      </c>
      <c r="Q1774" s="175" t="n">
        <v>0.05</v>
      </c>
      <c r="R1774" s="192" t="n">
        <v>0.5</v>
      </c>
      <c r="S1774" s="175" t="inlineStr">
        <is>
          <t>AA</t>
        </is>
      </c>
      <c r="T1774" s="175" t="n">
        <v>0.031</v>
      </c>
      <c r="U1774" s="172" t="inlineStr">
        <is>
          <t>建信信托</t>
        </is>
      </c>
      <c r="V1774" s="201" t="n">
        <v>0.1375</v>
      </c>
      <c r="W1774" s="172" t="n"/>
      <c r="X1774" s="172" t="n"/>
      <c r="Y1774" s="172" t="n"/>
    </row>
    <row r="1775">
      <c r="A1775" s="172" t="n">
        <v>97</v>
      </c>
      <c r="B1775" s="172" t="inlineStr">
        <is>
          <t>6月</t>
        </is>
      </c>
      <c r="C1775" s="172" t="inlineStr">
        <is>
          <t>企金</t>
        </is>
      </c>
      <c r="D1775" s="172" t="inlineStr">
        <is>
          <t>金采</t>
        </is>
      </c>
      <c r="E1775" s="172" t="inlineStr">
        <is>
          <t>金采8-4</t>
        </is>
      </c>
      <c r="F1775" s="172" t="inlineStr">
        <is>
          <t>上交所</t>
        </is>
      </c>
      <c r="G1775" s="172" t="inlineStr">
        <is>
          <t>招商证券</t>
        </is>
      </c>
      <c r="H1775" s="172" t="inlineStr">
        <is>
          <t>信达证券</t>
        </is>
      </c>
      <c r="I1775" s="172" t="inlineStr">
        <is>
          <t>民生北分</t>
        </is>
      </c>
      <c r="J1775" s="172" t="n">
        <v>10</v>
      </c>
      <c r="K1775" s="172" t="inlineStr">
        <is>
          <t>7+12</t>
        </is>
      </c>
      <c r="L1775" s="202" t="n">
        <v>46196</v>
      </c>
      <c r="M1775" s="175" t="n">
        <v>0.01488</v>
      </c>
      <c r="N1775" s="176" t="n">
        <v>0.0187</v>
      </c>
      <c r="O1775" s="191" t="n">
        <v>1.78</v>
      </c>
      <c r="P1775" s="172" t="inlineStr">
        <is>
          <t>中间级</t>
        </is>
      </c>
      <c r="Q1775" s="175" t="n">
        <v>0.05</v>
      </c>
      <c r="R1775" s="192" t="n">
        <v>0.5</v>
      </c>
      <c r="S1775" s="175" t="inlineStr">
        <is>
          <t>AA</t>
        </is>
      </c>
      <c r="T1775" s="175" t="n">
        <v>0.031</v>
      </c>
      <c r="U1775" s="172" t="inlineStr">
        <is>
          <t>沛轩投资</t>
        </is>
      </c>
      <c r="V1775" s="191" t="n">
        <v>0.1</v>
      </c>
      <c r="W1775" s="172" t="n"/>
      <c r="X1775" s="172" t="n"/>
      <c r="Y1775" s="172" t="n"/>
    </row>
    <row r="1776">
      <c r="A1776" s="172" t="n">
        <v>97</v>
      </c>
      <c r="B1776" s="172" t="inlineStr">
        <is>
          <t>6月</t>
        </is>
      </c>
      <c r="C1776" s="172" t="inlineStr">
        <is>
          <t>企金</t>
        </is>
      </c>
      <c r="D1776" s="172" t="inlineStr">
        <is>
          <t>金采</t>
        </is>
      </c>
      <c r="E1776" s="172" t="inlineStr">
        <is>
          <t>金采8-4</t>
        </is>
      </c>
      <c r="F1776" s="172" t="inlineStr">
        <is>
          <t>上交所</t>
        </is>
      </c>
      <c r="G1776" s="172" t="inlineStr">
        <is>
          <t>招商证券</t>
        </is>
      </c>
      <c r="H1776" s="172" t="inlineStr">
        <is>
          <t>信达证券</t>
        </is>
      </c>
      <c r="I1776" s="172" t="inlineStr">
        <is>
          <t>民生北分</t>
        </is>
      </c>
      <c r="J1776" s="172" t="n">
        <v>10</v>
      </c>
      <c r="K1776" s="172" t="inlineStr">
        <is>
          <t>7+12</t>
        </is>
      </c>
      <c r="L1776" s="202" t="n">
        <v>46196</v>
      </c>
      <c r="M1776" s="175" t="n">
        <v>0.01488</v>
      </c>
      <c r="N1776" s="176" t="n">
        <v>0.0187</v>
      </c>
      <c r="O1776" s="191" t="n">
        <v>1.78</v>
      </c>
      <c r="P1776" s="172" t="inlineStr">
        <is>
          <t>中间级</t>
        </is>
      </c>
      <c r="Q1776" s="175" t="n">
        <v>0.05</v>
      </c>
      <c r="R1776" s="192" t="n">
        <v>0.5</v>
      </c>
      <c r="S1776" s="175" t="inlineStr">
        <is>
          <t>AA</t>
        </is>
      </c>
      <c r="T1776" s="175" t="n">
        <v>0.031</v>
      </c>
      <c r="U1776" s="172" t="inlineStr">
        <is>
          <t>邦汇保理</t>
        </is>
      </c>
      <c r="V1776" s="193" t="n">
        <v>0.025</v>
      </c>
      <c r="W1776" s="172" t="n"/>
      <c r="X1776" s="172" t="n"/>
      <c r="Y1776" s="172" t="n"/>
    </row>
    <row r="1777">
      <c r="A1777" s="172" t="n">
        <v>97</v>
      </c>
      <c r="B1777" s="172" t="inlineStr">
        <is>
          <t>6月</t>
        </is>
      </c>
      <c r="C1777" s="172" t="inlineStr">
        <is>
          <t>企金</t>
        </is>
      </c>
      <c r="D1777" s="172" t="inlineStr">
        <is>
          <t>金采</t>
        </is>
      </c>
      <c r="E1777" s="172" t="inlineStr">
        <is>
          <t>金采8-4</t>
        </is>
      </c>
      <c r="F1777" s="172" t="inlineStr">
        <is>
          <t>上交所</t>
        </is>
      </c>
      <c r="G1777" s="172" t="inlineStr">
        <is>
          <t>招商证券</t>
        </is>
      </c>
      <c r="H1777" s="172" t="inlineStr">
        <is>
          <t>信达证券</t>
        </is>
      </c>
      <c r="I1777" s="172" t="inlineStr">
        <is>
          <t>民生北分</t>
        </is>
      </c>
      <c r="J1777" s="172" t="n">
        <v>10</v>
      </c>
      <c r="K1777" s="172" t="inlineStr">
        <is>
          <t>7+12</t>
        </is>
      </c>
      <c r="L1777" s="202" t="n">
        <v>46196</v>
      </c>
      <c r="M1777" s="175" t="n">
        <v>0.01488</v>
      </c>
      <c r="N1777" s="176" t="n">
        <v>0.0187</v>
      </c>
      <c r="O1777" s="191" t="n">
        <v>1.78</v>
      </c>
      <c r="P1777" s="172" t="inlineStr">
        <is>
          <t>次级</t>
        </is>
      </c>
      <c r="Q1777" s="175" t="n">
        <v>0.05</v>
      </c>
      <c r="R1777" s="192" t="n">
        <v>0.5</v>
      </c>
      <c r="S1777" s="175" t="inlineStr">
        <is>
          <t>无</t>
        </is>
      </c>
      <c r="T1777" s="175" t="n">
        <v>0.0455</v>
      </c>
      <c r="U1777" s="172" t="inlineStr">
        <is>
          <t>中泰自营</t>
        </is>
      </c>
      <c r="V1777" s="191" t="n">
        <v>0.2</v>
      </c>
      <c r="W1777" s="172" t="n"/>
      <c r="X1777" s="172" t="n"/>
      <c r="Y1777" s="172" t="n"/>
    </row>
    <row r="1778">
      <c r="A1778" s="172" t="n">
        <v>97</v>
      </c>
      <c r="B1778" s="172" t="inlineStr">
        <is>
          <t>6月</t>
        </is>
      </c>
      <c r="C1778" s="172" t="inlineStr">
        <is>
          <t>企金</t>
        </is>
      </c>
      <c r="D1778" s="172" t="inlineStr">
        <is>
          <t>金采</t>
        </is>
      </c>
      <c r="E1778" s="172" t="inlineStr">
        <is>
          <t>金采8-4</t>
        </is>
      </c>
      <c r="F1778" s="172" t="inlineStr">
        <is>
          <t>上交所</t>
        </is>
      </c>
      <c r="G1778" s="172" t="inlineStr">
        <is>
          <t>招商证券</t>
        </is>
      </c>
      <c r="H1778" s="172" t="inlineStr">
        <is>
          <t>信达证券</t>
        </is>
      </c>
      <c r="I1778" s="172" t="inlineStr">
        <is>
          <t>民生北分</t>
        </is>
      </c>
      <c r="J1778" s="172" t="n">
        <v>10</v>
      </c>
      <c r="K1778" s="172" t="inlineStr">
        <is>
          <t>7+12</t>
        </is>
      </c>
      <c r="L1778" s="202" t="n">
        <v>46196</v>
      </c>
      <c r="M1778" s="175" t="n">
        <v>0.01488</v>
      </c>
      <c r="N1778" s="176" t="n">
        <v>0.0187</v>
      </c>
      <c r="O1778" s="191" t="n">
        <v>1.78</v>
      </c>
      <c r="P1778" s="172" t="inlineStr">
        <is>
          <t>次级</t>
        </is>
      </c>
      <c r="Q1778" s="175" t="n">
        <v>0.05</v>
      </c>
      <c r="R1778" s="192" t="n">
        <v>0.5</v>
      </c>
      <c r="S1778" s="175" t="inlineStr">
        <is>
          <t>无</t>
        </is>
      </c>
      <c r="T1778" s="175" t="n">
        <v>0.0455</v>
      </c>
      <c r="U1778" s="172" t="inlineStr">
        <is>
          <t>德邦自营</t>
        </is>
      </c>
      <c r="V1778" s="201" t="n">
        <v>0.1375</v>
      </c>
      <c r="W1778" s="172" t="n"/>
      <c r="X1778" s="172" t="n"/>
      <c r="Y1778" s="172" t="n"/>
    </row>
    <row r="1779">
      <c r="A1779" s="172" t="n">
        <v>97</v>
      </c>
      <c r="B1779" s="172" t="inlineStr">
        <is>
          <t>6月</t>
        </is>
      </c>
      <c r="C1779" s="172" t="inlineStr">
        <is>
          <t>企金</t>
        </is>
      </c>
      <c r="D1779" s="172" t="inlineStr">
        <is>
          <t>金采</t>
        </is>
      </c>
      <c r="E1779" s="172" t="inlineStr">
        <is>
          <t>金采8-4</t>
        </is>
      </c>
      <c r="F1779" s="172" t="inlineStr">
        <is>
          <t>上交所</t>
        </is>
      </c>
      <c r="G1779" s="172" t="inlineStr">
        <is>
          <t>招商证券</t>
        </is>
      </c>
      <c r="H1779" s="172" t="inlineStr">
        <is>
          <t>信达证券</t>
        </is>
      </c>
      <c r="I1779" s="172" t="inlineStr">
        <is>
          <t>民生北分</t>
        </is>
      </c>
      <c r="J1779" s="172" t="n">
        <v>10</v>
      </c>
      <c r="K1779" s="172" t="inlineStr">
        <is>
          <t>7+12</t>
        </is>
      </c>
      <c r="L1779" s="202" t="n">
        <v>46196</v>
      </c>
      <c r="M1779" s="175" t="n">
        <v>0.01488</v>
      </c>
      <c r="N1779" s="176" t="n">
        <v>0.0187</v>
      </c>
      <c r="O1779" s="191" t="n">
        <v>1.78</v>
      </c>
      <c r="P1779" s="172" t="inlineStr">
        <is>
          <t>次级</t>
        </is>
      </c>
      <c r="Q1779" s="175" t="n">
        <v>0.05</v>
      </c>
      <c r="R1779" s="192" t="n">
        <v>0.5</v>
      </c>
      <c r="S1779" s="175" t="inlineStr">
        <is>
          <t>无</t>
        </is>
      </c>
      <c r="T1779" s="175" t="n">
        <v>0.0455</v>
      </c>
      <c r="U1779" s="172" t="inlineStr">
        <is>
          <t>思达星汇</t>
        </is>
      </c>
      <c r="V1779" s="201" t="n">
        <v>0.1375</v>
      </c>
      <c r="W1779" s="172" t="n"/>
      <c r="X1779" s="172" t="n"/>
      <c r="Y1779" s="172" t="n"/>
    </row>
    <row r="1780">
      <c r="A1780" s="172" t="n">
        <v>97</v>
      </c>
      <c r="B1780" s="172" t="inlineStr">
        <is>
          <t>6月</t>
        </is>
      </c>
      <c r="C1780" s="172" t="inlineStr">
        <is>
          <t>企金</t>
        </is>
      </c>
      <c r="D1780" s="172" t="inlineStr">
        <is>
          <t>金采</t>
        </is>
      </c>
      <c r="E1780" s="172" t="inlineStr">
        <is>
          <t>金采8-4</t>
        </is>
      </c>
      <c r="F1780" s="172" t="inlineStr">
        <is>
          <t>上交所</t>
        </is>
      </c>
      <c r="G1780" s="172" t="inlineStr">
        <is>
          <t>招商证券</t>
        </is>
      </c>
      <c r="H1780" s="172" t="inlineStr">
        <is>
          <t>信达证券</t>
        </is>
      </c>
      <c r="I1780" s="172" t="inlineStr">
        <is>
          <t>民生北分</t>
        </is>
      </c>
      <c r="J1780" s="172" t="n">
        <v>10</v>
      </c>
      <c r="K1780" s="172" t="inlineStr">
        <is>
          <t>7+12</t>
        </is>
      </c>
      <c r="L1780" s="202" t="n">
        <v>46196</v>
      </c>
      <c r="M1780" s="175" t="n">
        <v>0.01488</v>
      </c>
      <c r="N1780" s="176" t="n">
        <v>0.0187</v>
      </c>
      <c r="O1780" s="191" t="n">
        <v>1.78</v>
      </c>
      <c r="P1780" s="172" t="inlineStr">
        <is>
          <t>次级</t>
        </is>
      </c>
      <c r="Q1780" s="175" t="n">
        <v>0.05</v>
      </c>
      <c r="R1780" s="192" t="n">
        <v>0.5</v>
      </c>
      <c r="S1780" s="175" t="inlineStr">
        <is>
          <t>无</t>
        </is>
      </c>
      <c r="T1780" s="175" t="n">
        <v>0.0455</v>
      </c>
      <c r="U1780" s="172" t="inlineStr">
        <is>
          <t>邦汇保理</t>
        </is>
      </c>
      <c r="V1780" s="193" t="n">
        <v>0.025</v>
      </c>
      <c r="W1780" s="172" t="n"/>
      <c r="X1780" s="172" t="n"/>
      <c r="Y1780" s="172" t="n"/>
    </row>
    <row r="1781">
      <c r="A1781" s="172" t="n">
        <v>98</v>
      </c>
      <c r="B1781" s="172" t="inlineStr">
        <is>
          <t>6月</t>
        </is>
      </c>
      <c r="C1781" s="172" t="inlineStr">
        <is>
          <t>企金</t>
        </is>
      </c>
      <c r="D1781" s="172" t="inlineStr">
        <is>
          <t>金采</t>
        </is>
      </c>
      <c r="E1781" s="172" t="inlineStr">
        <is>
          <t>金采8-6</t>
        </is>
      </c>
      <c r="F1781" s="172" t="inlineStr">
        <is>
          <t>上交所</t>
        </is>
      </c>
      <c r="G1781" s="172" t="inlineStr">
        <is>
          <t>国泰海通</t>
        </is>
      </c>
      <c r="H1781" s="172" t="inlineStr">
        <is>
          <t>申万宏源资管</t>
        </is>
      </c>
      <c r="I1781" s="172" t="inlineStr">
        <is>
          <t>光大北分</t>
        </is>
      </c>
      <c r="J1781" s="172" t="n">
        <v>5</v>
      </c>
      <c r="K1781" s="172" t="inlineStr">
        <is>
          <t>7+12</t>
        </is>
      </c>
      <c r="L1781" s="202" t="n">
        <v>46196</v>
      </c>
      <c r="M1781" s="175" t="n">
        <v>0.01488</v>
      </c>
      <c r="N1781" s="176" t="n">
        <v>0.0187</v>
      </c>
      <c r="O1781" s="191" t="n">
        <v>1.78</v>
      </c>
      <c r="P1781" s="172" t="inlineStr">
        <is>
          <t>优先级</t>
        </is>
      </c>
      <c r="Q1781" s="175" t="n">
        <v>0.9</v>
      </c>
      <c r="R1781" s="192">
        <f>Q1179*J1179</f>
        <v/>
      </c>
      <c r="S1781" s="172" t="inlineStr">
        <is>
          <t>AAA</t>
        </is>
      </c>
      <c r="T1781" s="175" t="n">
        <v>0.016</v>
      </c>
      <c r="U1781" s="172" t="inlineStr">
        <is>
          <t>建信信托</t>
        </is>
      </c>
      <c r="V1781" s="191" t="n">
        <v>1.2</v>
      </c>
      <c r="W1781" s="175" t="n">
        <v>0.016</v>
      </c>
      <c r="X1781" s="172" t="inlineStr">
        <is>
          <t>建信信托</t>
        </is>
      </c>
      <c r="Y1781" s="191" t="n">
        <v>1.2</v>
      </c>
    </row>
    <row r="1782">
      <c r="A1782" s="172" t="n">
        <v>98</v>
      </c>
      <c r="B1782" s="172" t="inlineStr">
        <is>
          <t>6月</t>
        </is>
      </c>
      <c r="C1782" s="172" t="inlineStr">
        <is>
          <t>企金</t>
        </is>
      </c>
      <c r="D1782" s="172" t="inlineStr">
        <is>
          <t>金采</t>
        </is>
      </c>
      <c r="E1782" s="172" t="inlineStr">
        <is>
          <t>金采8-6</t>
        </is>
      </c>
      <c r="F1782" s="172" t="inlineStr">
        <is>
          <t>上交所</t>
        </is>
      </c>
      <c r="G1782" s="172" t="inlineStr">
        <is>
          <t>国泰海通</t>
        </is>
      </c>
      <c r="H1782" s="172" t="inlineStr">
        <is>
          <t>申万宏源资管</t>
        </is>
      </c>
      <c r="I1782" s="172" t="inlineStr">
        <is>
          <t>光大北分</t>
        </is>
      </c>
      <c r="J1782" s="172" t="n">
        <v>5</v>
      </c>
      <c r="K1782" s="172" t="inlineStr">
        <is>
          <t>7+12</t>
        </is>
      </c>
      <c r="L1782" s="202" t="n">
        <v>46196</v>
      </c>
      <c r="M1782" s="175" t="n">
        <v>0.01488</v>
      </c>
      <c r="N1782" s="176" t="n">
        <v>0.0187</v>
      </c>
      <c r="O1782" s="191" t="n">
        <v>1.78</v>
      </c>
      <c r="P1782" s="172" t="inlineStr">
        <is>
          <t>优先级</t>
        </is>
      </c>
      <c r="Q1782" s="175" t="n">
        <v>0.9</v>
      </c>
      <c r="R1782" s="192">
        <f>Q1179*J1179</f>
        <v/>
      </c>
      <c r="S1782" s="172" t="inlineStr">
        <is>
          <t>AAA</t>
        </is>
      </c>
      <c r="T1782" s="175" t="n">
        <v>0.016</v>
      </c>
      <c r="U1782" s="172" t="inlineStr">
        <is>
          <t>招银理财</t>
        </is>
      </c>
      <c r="V1782" s="193" t="n">
        <v>1.35</v>
      </c>
      <c r="W1782" s="175" t="n">
        <v>0.0159</v>
      </c>
      <c r="X1782" s="172" t="inlineStr">
        <is>
          <t>招银理财</t>
        </is>
      </c>
      <c r="Y1782" s="191" t="n">
        <v>1.35</v>
      </c>
    </row>
    <row r="1783">
      <c r="A1783" s="172" t="n">
        <v>98</v>
      </c>
      <c r="B1783" s="172" t="inlineStr">
        <is>
          <t>6月</t>
        </is>
      </c>
      <c r="C1783" s="172" t="inlineStr">
        <is>
          <t>企金</t>
        </is>
      </c>
      <c r="D1783" s="172" t="inlineStr">
        <is>
          <t>金采</t>
        </is>
      </c>
      <c r="E1783" s="172" t="inlineStr">
        <is>
          <t>金采8-6</t>
        </is>
      </c>
      <c r="F1783" s="172" t="inlineStr">
        <is>
          <t>上交所</t>
        </is>
      </c>
      <c r="G1783" s="172" t="inlineStr">
        <is>
          <t>国泰海通</t>
        </is>
      </c>
      <c r="H1783" s="172" t="inlineStr">
        <is>
          <t>申万宏源资管</t>
        </is>
      </c>
      <c r="I1783" s="172" t="inlineStr">
        <is>
          <t>光大北分</t>
        </is>
      </c>
      <c r="J1783" s="172" t="n">
        <v>5</v>
      </c>
      <c r="K1783" s="172" t="inlineStr">
        <is>
          <t>7+12</t>
        </is>
      </c>
      <c r="L1783" s="202" t="n">
        <v>46196</v>
      </c>
      <c r="M1783" s="175" t="n">
        <v>0.01488</v>
      </c>
      <c r="N1783" s="176" t="n">
        <v>0.0187</v>
      </c>
      <c r="O1783" s="191" t="n">
        <v>1.78</v>
      </c>
      <c r="P1783" s="172" t="inlineStr">
        <is>
          <t>优先级</t>
        </is>
      </c>
      <c r="Q1783" s="175" t="n">
        <v>0.9</v>
      </c>
      <c r="R1783" s="192">
        <f>Q1179*J1179</f>
        <v/>
      </c>
      <c r="S1783" s="172" t="inlineStr">
        <is>
          <t>AAA</t>
        </is>
      </c>
      <c r="T1783" s="175" t="n">
        <v>0.016</v>
      </c>
      <c r="U1783" s="172" t="inlineStr">
        <is>
          <t>国泰海通投行</t>
        </is>
      </c>
      <c r="V1783" s="193" t="n">
        <v>0.225</v>
      </c>
      <c r="W1783" s="175" t="n">
        <v>0.0159</v>
      </c>
      <c r="X1783" s="172" t="inlineStr">
        <is>
          <t>国泰海通</t>
        </is>
      </c>
      <c r="Y1783" s="191" t="n">
        <v>0.225</v>
      </c>
    </row>
    <row r="1784">
      <c r="A1784" s="172" t="n">
        <v>98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金采</t>
        </is>
      </c>
      <c r="E1784" s="172" t="inlineStr">
        <is>
          <t>金采8-6</t>
        </is>
      </c>
      <c r="F1784" s="172" t="inlineStr">
        <is>
          <t>上交所</t>
        </is>
      </c>
      <c r="G1784" s="172" t="inlineStr">
        <is>
          <t>国泰海通</t>
        </is>
      </c>
      <c r="H1784" s="172" t="inlineStr">
        <is>
          <t>申万宏源资管</t>
        </is>
      </c>
      <c r="I1784" s="172" t="inlineStr">
        <is>
          <t>光大北分</t>
        </is>
      </c>
      <c r="J1784" s="172" t="n">
        <v>5</v>
      </c>
      <c r="K1784" s="172" t="inlineStr">
        <is>
          <t>7+12</t>
        </is>
      </c>
      <c r="L1784" s="202" t="n">
        <v>46196</v>
      </c>
      <c r="M1784" s="175" t="n">
        <v>0.01488</v>
      </c>
      <c r="N1784" s="176" t="n">
        <v>0.0187</v>
      </c>
      <c r="O1784" s="191" t="n">
        <v>1.78</v>
      </c>
      <c r="P1784" s="172" t="inlineStr">
        <is>
          <t>优先级</t>
        </is>
      </c>
      <c r="Q1784" s="175" t="n">
        <v>0.9</v>
      </c>
      <c r="R1784" s="192">
        <f>Q1179*J1179</f>
        <v/>
      </c>
      <c r="S1784" s="172" t="inlineStr">
        <is>
          <t>AAA</t>
        </is>
      </c>
      <c r="T1784" s="175" t="n">
        <v>0.016</v>
      </c>
      <c r="U1784" s="172" t="inlineStr">
        <is>
          <t>申万宏源自营</t>
        </is>
      </c>
      <c r="V1784" s="191" t="n">
        <v>0.1</v>
      </c>
      <c r="W1784" s="175" t="n">
        <v>0.016</v>
      </c>
      <c r="X1784" s="172" t="inlineStr">
        <is>
          <t>申万宏源</t>
        </is>
      </c>
      <c r="Y1784" s="191" t="n">
        <v>0.1</v>
      </c>
    </row>
    <row r="1785">
      <c r="A1785" s="172" t="n">
        <v>98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金采</t>
        </is>
      </c>
      <c r="E1785" s="172" t="inlineStr">
        <is>
          <t>金采8-6</t>
        </is>
      </c>
      <c r="F1785" s="172" t="inlineStr">
        <is>
          <t>上交所</t>
        </is>
      </c>
      <c r="G1785" s="172" t="inlineStr">
        <is>
          <t>国泰海通</t>
        </is>
      </c>
      <c r="H1785" s="172" t="inlineStr">
        <is>
          <t>申万宏源资管</t>
        </is>
      </c>
      <c r="I1785" s="172" t="inlineStr">
        <is>
          <t>光大北分</t>
        </is>
      </c>
      <c r="J1785" s="172" t="n">
        <v>5</v>
      </c>
      <c r="K1785" s="172" t="inlineStr">
        <is>
          <t>7+12</t>
        </is>
      </c>
      <c r="L1785" s="202" t="n">
        <v>46196</v>
      </c>
      <c r="M1785" s="175" t="n">
        <v>0.01488</v>
      </c>
      <c r="N1785" s="176" t="n">
        <v>0.0187</v>
      </c>
      <c r="O1785" s="191" t="n">
        <v>1.78</v>
      </c>
      <c r="P1785" s="172" t="inlineStr">
        <is>
          <t>优先级</t>
        </is>
      </c>
      <c r="Q1785" s="175" t="n">
        <v>0.9</v>
      </c>
      <c r="R1785" s="192">
        <f>Q1179*J1179</f>
        <v/>
      </c>
      <c r="S1785" s="172" t="inlineStr">
        <is>
          <t>AAA</t>
        </is>
      </c>
      <c r="T1785" s="175" t="n">
        <v>0.016</v>
      </c>
      <c r="U1785" s="172" t="inlineStr">
        <is>
          <t>华夏基金</t>
        </is>
      </c>
      <c r="V1785" s="191" t="n">
        <v>0.4</v>
      </c>
      <c r="W1785" s="175" t="n">
        <v>0.016</v>
      </c>
      <c r="X1785" s="172" t="inlineStr">
        <is>
          <t>华夏基金</t>
        </is>
      </c>
      <c r="Y1785" s="191" t="n">
        <v>0.4</v>
      </c>
    </row>
    <row r="1786">
      <c r="A1786" s="172" t="n">
        <v>98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金采</t>
        </is>
      </c>
      <c r="E1786" s="172" t="inlineStr">
        <is>
          <t>金采8-6</t>
        </is>
      </c>
      <c r="F1786" s="172" t="inlineStr">
        <is>
          <t>上交所</t>
        </is>
      </c>
      <c r="G1786" s="172" t="inlineStr">
        <is>
          <t>国泰海通</t>
        </is>
      </c>
      <c r="H1786" s="172" t="inlineStr">
        <is>
          <t>申万宏源资管</t>
        </is>
      </c>
      <c r="I1786" s="172" t="inlineStr">
        <is>
          <t>光大北分</t>
        </is>
      </c>
      <c r="J1786" s="172" t="n">
        <v>5</v>
      </c>
      <c r="K1786" s="172" t="inlineStr">
        <is>
          <t>7+12</t>
        </is>
      </c>
      <c r="L1786" s="202" t="n">
        <v>46196</v>
      </c>
      <c r="M1786" s="175" t="n">
        <v>0.01488</v>
      </c>
      <c r="N1786" s="176" t="n">
        <v>0.0187</v>
      </c>
      <c r="O1786" s="191" t="n">
        <v>1.78</v>
      </c>
      <c r="P1786" s="172" t="inlineStr">
        <is>
          <t>优先级</t>
        </is>
      </c>
      <c r="Q1786" s="175" t="n">
        <v>0.9</v>
      </c>
      <c r="R1786" s="192">
        <f>Q1179*J1179</f>
        <v/>
      </c>
      <c r="S1786" s="172" t="inlineStr">
        <is>
          <t>AAA</t>
        </is>
      </c>
      <c r="T1786" s="175" t="n">
        <v>0.016</v>
      </c>
      <c r="U1786" s="172" t="inlineStr">
        <is>
          <t>交银理财</t>
        </is>
      </c>
      <c r="V1786" s="191" t="n">
        <v>1</v>
      </c>
      <c r="W1786" s="175" t="n">
        <v>0.016</v>
      </c>
      <c r="X1786" s="172" t="inlineStr">
        <is>
          <t>交银理财</t>
        </is>
      </c>
      <c r="Y1786" s="191" t="n">
        <v>1</v>
      </c>
    </row>
    <row r="1787">
      <c r="A1787" s="172" t="n">
        <v>98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金采</t>
        </is>
      </c>
      <c r="E1787" s="172" t="inlineStr">
        <is>
          <t>金采8-6</t>
        </is>
      </c>
      <c r="F1787" s="172" t="inlineStr">
        <is>
          <t>上交所</t>
        </is>
      </c>
      <c r="G1787" s="172" t="inlineStr">
        <is>
          <t>国泰海通</t>
        </is>
      </c>
      <c r="H1787" s="172" t="inlineStr">
        <is>
          <t>申万宏源资管</t>
        </is>
      </c>
      <c r="I1787" s="172" t="inlineStr">
        <is>
          <t>光大北分</t>
        </is>
      </c>
      <c r="J1787" s="172" t="n">
        <v>5</v>
      </c>
      <c r="K1787" s="172" t="inlineStr">
        <is>
          <t>7+12</t>
        </is>
      </c>
      <c r="L1787" s="202" t="n">
        <v>46196</v>
      </c>
      <c r="M1787" s="175" t="n">
        <v>0.01488</v>
      </c>
      <c r="N1787" s="176" t="n">
        <v>0.0187</v>
      </c>
      <c r="O1787" s="191" t="n">
        <v>1.78</v>
      </c>
      <c r="P1787" s="172" t="inlineStr">
        <is>
          <t>优先级</t>
        </is>
      </c>
      <c r="Q1787" s="175" t="n">
        <v>0.9</v>
      </c>
      <c r="R1787" s="192">
        <f>Q1179*J1179</f>
        <v/>
      </c>
      <c r="S1787" s="172" t="inlineStr">
        <is>
          <t>AAA</t>
        </is>
      </c>
      <c r="T1787" s="175" t="n">
        <v>0.016</v>
      </c>
      <c r="U1787" s="172" t="inlineStr">
        <is>
          <t>邦汇保理</t>
        </is>
      </c>
      <c r="V1787" s="193" t="n">
        <v>0.225</v>
      </c>
      <c r="W1787" s="172" t="n"/>
      <c r="X1787" s="172" t="n"/>
      <c r="Y1787" s="172" t="n"/>
    </row>
    <row r="1788">
      <c r="A1788" s="172" t="n">
        <v>98</v>
      </c>
      <c r="B1788" s="172" t="inlineStr">
        <is>
          <t>6月</t>
        </is>
      </c>
      <c r="C1788" s="172" t="inlineStr">
        <is>
          <t>企金</t>
        </is>
      </c>
      <c r="D1788" s="172" t="inlineStr">
        <is>
          <t>金采</t>
        </is>
      </c>
      <c r="E1788" s="172" t="inlineStr">
        <is>
          <t>金采8-6</t>
        </is>
      </c>
      <c r="F1788" s="172" t="inlineStr">
        <is>
          <t>上交所</t>
        </is>
      </c>
      <c r="G1788" s="172" t="inlineStr">
        <is>
          <t>国泰海通</t>
        </is>
      </c>
      <c r="H1788" s="172" t="inlineStr">
        <is>
          <t>申万宏源资管</t>
        </is>
      </c>
      <c r="I1788" s="172" t="inlineStr">
        <is>
          <t>光大北分</t>
        </is>
      </c>
      <c r="J1788" s="172" t="n">
        <v>5</v>
      </c>
      <c r="K1788" s="172" t="inlineStr">
        <is>
          <t>7+12</t>
        </is>
      </c>
      <c r="L1788" s="208" t="n">
        <v>46196</v>
      </c>
      <c r="M1788" s="175" t="n">
        <v>0.01488</v>
      </c>
      <c r="N1788" s="176" t="n">
        <v>0.0187</v>
      </c>
      <c r="O1788" s="172" t="n">
        <v>1.78</v>
      </c>
      <c r="P1788" s="172" t="inlineStr">
        <is>
          <t>优先级</t>
        </is>
      </c>
      <c r="Q1788" s="175" t="n">
        <v>0.9</v>
      </c>
      <c r="R1788" s="172">
        <f>Q1179*J1179</f>
        <v/>
      </c>
      <c r="S1788" s="172" t="inlineStr">
        <is>
          <t>AAA</t>
        </is>
      </c>
      <c r="T1788" s="175" t="n">
        <v>0.016</v>
      </c>
      <c r="U1788" s="172" t="n"/>
      <c r="V1788" s="172" t="n"/>
      <c r="W1788" s="175" t="n">
        <v>0.014</v>
      </c>
      <c r="X1788" s="172" t="inlineStr">
        <is>
          <t>厦门汇正</t>
        </is>
      </c>
      <c r="Y1788" s="191" t="n">
        <v>0.225</v>
      </c>
    </row>
    <row r="1789">
      <c r="A1789" s="172" t="n">
        <v>98</v>
      </c>
      <c r="B1789" s="172" t="inlineStr">
        <is>
          <t>6月</t>
        </is>
      </c>
      <c r="C1789" s="172" t="inlineStr">
        <is>
          <t>企金</t>
        </is>
      </c>
      <c r="D1789" s="172" t="inlineStr">
        <is>
          <t>金采</t>
        </is>
      </c>
      <c r="E1789" s="172" t="inlineStr">
        <is>
          <t>金采8-6</t>
        </is>
      </c>
      <c r="F1789" s="172" t="inlineStr">
        <is>
          <t>上交所</t>
        </is>
      </c>
      <c r="G1789" s="172" t="inlineStr">
        <is>
          <t>国泰海通</t>
        </is>
      </c>
      <c r="H1789" s="172" t="inlineStr">
        <is>
          <t>申万宏源资管</t>
        </is>
      </c>
      <c r="I1789" s="172" t="inlineStr">
        <is>
          <t>光大北分</t>
        </is>
      </c>
      <c r="J1789" s="172" t="n">
        <v>5</v>
      </c>
      <c r="K1789" s="172" t="inlineStr">
        <is>
          <t>7+12</t>
        </is>
      </c>
      <c r="L1789" s="208" t="n">
        <v>46196</v>
      </c>
      <c r="M1789" s="175" t="n">
        <v>0.01488</v>
      </c>
      <c r="N1789" s="176" t="n">
        <v>0.0187</v>
      </c>
      <c r="O1789" s="172" t="n">
        <v>1.78</v>
      </c>
      <c r="P1789" s="172" t="inlineStr">
        <is>
          <t>优先级</t>
        </is>
      </c>
      <c r="Q1789" s="175" t="n">
        <v>0.9</v>
      </c>
      <c r="R1789" s="172">
        <f>Q1179*J1179</f>
        <v/>
      </c>
      <c r="S1789" s="172" t="inlineStr">
        <is>
          <t>AAA</t>
        </is>
      </c>
      <c r="T1789" s="175" t="n">
        <v>0.016</v>
      </c>
      <c r="U1789" s="172" t="n"/>
      <c r="V1789" s="172" t="n"/>
      <c r="W1789" s="175" t="n">
        <v>0.0162</v>
      </c>
      <c r="X1789" s="172" t="inlineStr">
        <is>
          <t>中邮理财</t>
        </is>
      </c>
      <c r="Y1789" s="191" t="n">
        <v>1</v>
      </c>
    </row>
    <row r="1790">
      <c r="A1790" s="172" t="n">
        <v>98</v>
      </c>
      <c r="B1790" s="172" t="inlineStr">
        <is>
          <t>6月</t>
        </is>
      </c>
      <c r="C1790" s="172" t="inlineStr">
        <is>
          <t>企金</t>
        </is>
      </c>
      <c r="D1790" s="172" t="inlineStr">
        <is>
          <t>金采</t>
        </is>
      </c>
      <c r="E1790" s="172" t="inlineStr">
        <is>
          <t>金采8-6</t>
        </is>
      </c>
      <c r="F1790" s="172" t="inlineStr">
        <is>
          <t>上交所</t>
        </is>
      </c>
      <c r="G1790" s="172" t="inlineStr">
        <is>
          <t>国泰海通</t>
        </is>
      </c>
      <c r="H1790" s="172" t="inlineStr">
        <is>
          <t>申万宏源资管</t>
        </is>
      </c>
      <c r="I1790" s="172" t="inlineStr">
        <is>
          <t>光大北分</t>
        </is>
      </c>
      <c r="J1790" s="172" t="n">
        <v>5</v>
      </c>
      <c r="K1790" s="172" t="inlineStr">
        <is>
          <t>7+12</t>
        </is>
      </c>
      <c r="L1790" s="208" t="n">
        <v>46196</v>
      </c>
      <c r="M1790" s="175" t="n">
        <v>0.01488</v>
      </c>
      <c r="N1790" s="176" t="n">
        <v>0.0187</v>
      </c>
      <c r="O1790" s="172" t="n">
        <v>1.78</v>
      </c>
      <c r="P1790" s="172" t="inlineStr">
        <is>
          <t>优先级</t>
        </is>
      </c>
      <c r="Q1790" s="175" t="n">
        <v>0.9</v>
      </c>
      <c r="R1790" s="172">
        <f>Q1179*J1179</f>
        <v/>
      </c>
      <c r="S1790" s="172" t="inlineStr">
        <is>
          <t>AAA</t>
        </is>
      </c>
      <c r="T1790" s="175" t="n">
        <v>0.016</v>
      </c>
      <c r="U1790" s="172" t="n"/>
      <c r="V1790" s="172" t="n"/>
      <c r="W1790" s="175" t="n">
        <v>0.0164</v>
      </c>
      <c r="X1790" s="172" t="inlineStr">
        <is>
          <t>中邮理财</t>
        </is>
      </c>
      <c r="Y1790" s="191" t="n">
        <v>0.35</v>
      </c>
    </row>
    <row r="1791">
      <c r="A1791" s="172" t="n">
        <v>98</v>
      </c>
      <c r="B1791" s="172" t="inlineStr">
        <is>
          <t>6月</t>
        </is>
      </c>
      <c r="C1791" s="172" t="inlineStr">
        <is>
          <t>企金</t>
        </is>
      </c>
      <c r="D1791" s="172" t="inlineStr">
        <is>
          <t>金采</t>
        </is>
      </c>
      <c r="E1791" s="172" t="inlineStr">
        <is>
          <t>金采8-6</t>
        </is>
      </c>
      <c r="F1791" s="172" t="inlineStr">
        <is>
          <t>上交所</t>
        </is>
      </c>
      <c r="G1791" s="172" t="inlineStr">
        <is>
          <t>国泰海通</t>
        </is>
      </c>
      <c r="H1791" s="172" t="inlineStr">
        <is>
          <t>申万宏源资管</t>
        </is>
      </c>
      <c r="I1791" s="172" t="inlineStr">
        <is>
          <t>光大北分</t>
        </is>
      </c>
      <c r="J1791" s="172" t="n">
        <v>5</v>
      </c>
      <c r="K1791" s="172" t="inlineStr">
        <is>
          <t>7+12</t>
        </is>
      </c>
      <c r="L1791" s="208" t="n">
        <v>46196</v>
      </c>
      <c r="M1791" s="175" t="n">
        <v>0.01488</v>
      </c>
      <c r="N1791" s="176" t="n">
        <v>0.0187</v>
      </c>
      <c r="O1791" s="172" t="n">
        <v>1.78</v>
      </c>
      <c r="P1791" s="172" t="inlineStr">
        <is>
          <t>优先级</t>
        </is>
      </c>
      <c r="Q1791" s="175" t="n">
        <v>0.9</v>
      </c>
      <c r="R1791" s="172">
        <f>Q1179*J1179</f>
        <v/>
      </c>
      <c r="S1791" s="172" t="inlineStr">
        <is>
          <t>AAA</t>
        </is>
      </c>
      <c r="T1791" s="175" t="n">
        <v>0.016</v>
      </c>
      <c r="U1791" s="172" t="n"/>
      <c r="V1791" s="172" t="n"/>
      <c r="W1791" s="175" t="n">
        <v>0.0164</v>
      </c>
      <c r="X1791" s="172" t="inlineStr">
        <is>
          <t>宝武财务</t>
        </is>
      </c>
      <c r="Y1791" s="191" t="n">
        <v>0.2</v>
      </c>
    </row>
    <row r="1792">
      <c r="A1792" s="172" t="n">
        <v>98</v>
      </c>
      <c r="B1792" s="172" t="inlineStr">
        <is>
          <t>6月</t>
        </is>
      </c>
      <c r="C1792" s="172" t="inlineStr">
        <is>
          <t>企金</t>
        </is>
      </c>
      <c r="D1792" s="172" t="inlineStr">
        <is>
          <t>金采</t>
        </is>
      </c>
      <c r="E1792" s="172" t="inlineStr">
        <is>
          <t>金采8-6</t>
        </is>
      </c>
      <c r="F1792" s="172" t="inlineStr">
        <is>
          <t>上交所</t>
        </is>
      </c>
      <c r="G1792" s="172" t="inlineStr">
        <is>
          <t>国泰海通</t>
        </is>
      </c>
      <c r="H1792" s="172" t="inlineStr">
        <is>
          <t>申万宏源资管</t>
        </is>
      </c>
      <c r="I1792" s="172" t="inlineStr">
        <is>
          <t>光大北分</t>
        </is>
      </c>
      <c r="J1792" s="172" t="n">
        <v>5</v>
      </c>
      <c r="K1792" s="172" t="inlineStr">
        <is>
          <t>7+12</t>
        </is>
      </c>
      <c r="L1792" s="208" t="n">
        <v>46196</v>
      </c>
      <c r="M1792" s="175" t="n">
        <v>0.01488</v>
      </c>
      <c r="N1792" s="176" t="n">
        <v>0.0187</v>
      </c>
      <c r="O1792" s="172" t="n">
        <v>1.78</v>
      </c>
      <c r="P1792" s="172" t="inlineStr">
        <is>
          <t>优先级</t>
        </is>
      </c>
      <c r="Q1792" s="175" t="n">
        <v>0.9</v>
      </c>
      <c r="R1792" s="172">
        <f>Q1179*J1179</f>
        <v/>
      </c>
      <c r="S1792" s="172" t="inlineStr">
        <is>
          <t>AAA</t>
        </is>
      </c>
      <c r="T1792" s="175" t="n">
        <v>0.016</v>
      </c>
      <c r="U1792" s="172" t="n"/>
      <c r="V1792" s="172" t="n"/>
      <c r="W1792" s="175" t="n">
        <v>0.017</v>
      </c>
      <c r="X1792" s="172" t="inlineStr">
        <is>
          <t>中金公司</t>
        </is>
      </c>
      <c r="Y1792" s="191" t="n">
        <v>0.5</v>
      </c>
    </row>
    <row r="1793">
      <c r="A1793" s="172" t="n">
        <v>98</v>
      </c>
      <c r="B1793" s="172" t="inlineStr">
        <is>
          <t>6月</t>
        </is>
      </c>
      <c r="C1793" s="172" t="inlineStr">
        <is>
          <t>企金</t>
        </is>
      </c>
      <c r="D1793" s="172" t="inlineStr">
        <is>
          <t>金采</t>
        </is>
      </c>
      <c r="E1793" s="172" t="inlineStr">
        <is>
          <t>金采8-6</t>
        </is>
      </c>
      <c r="F1793" s="172" t="inlineStr">
        <is>
          <t>上交所</t>
        </is>
      </c>
      <c r="G1793" s="172" t="inlineStr">
        <is>
          <t>国泰海通</t>
        </is>
      </c>
      <c r="H1793" s="172" t="inlineStr">
        <is>
          <t>申万宏源资管</t>
        </is>
      </c>
      <c r="I1793" s="172" t="inlineStr">
        <is>
          <t>光大北分</t>
        </is>
      </c>
      <c r="J1793" s="172" t="n">
        <v>5</v>
      </c>
      <c r="K1793" s="172" t="inlineStr">
        <is>
          <t>7+12</t>
        </is>
      </c>
      <c r="L1793" s="208" t="n">
        <v>46196</v>
      </c>
      <c r="M1793" s="175" t="n">
        <v>0.01488</v>
      </c>
      <c r="N1793" s="176" t="n">
        <v>0.0187</v>
      </c>
      <c r="O1793" s="172" t="n">
        <v>1.78</v>
      </c>
      <c r="P1793" s="172" t="inlineStr">
        <is>
          <t>优先级</t>
        </is>
      </c>
      <c r="Q1793" s="175" t="n">
        <v>0.9</v>
      </c>
      <c r="R1793" s="172">
        <f>Q1179*J1179</f>
        <v/>
      </c>
      <c r="S1793" s="172" t="inlineStr">
        <is>
          <t>AAA</t>
        </is>
      </c>
      <c r="T1793" s="175" t="n">
        <v>0.016</v>
      </c>
      <c r="U1793" s="172" t="n"/>
      <c r="V1793" s="172" t="n"/>
      <c r="W1793" s="175" t="n">
        <v>0.017</v>
      </c>
      <c r="X1793" s="172" t="inlineStr">
        <is>
          <t>华夏理财</t>
        </is>
      </c>
      <c r="Y1793" s="191" t="n">
        <v>1.3</v>
      </c>
    </row>
    <row r="1794">
      <c r="A1794" s="172" t="n">
        <v>98</v>
      </c>
      <c r="B1794" s="172" t="inlineStr">
        <is>
          <t>6月</t>
        </is>
      </c>
      <c r="C1794" s="172" t="inlineStr">
        <is>
          <t>企金</t>
        </is>
      </c>
      <c r="D1794" s="172" t="inlineStr">
        <is>
          <t>金采</t>
        </is>
      </c>
      <c r="E1794" s="172" t="inlineStr">
        <is>
          <t>金采8-6</t>
        </is>
      </c>
      <c r="F1794" s="172" t="inlineStr">
        <is>
          <t>上交所</t>
        </is>
      </c>
      <c r="G1794" s="172" t="inlineStr">
        <is>
          <t>国泰海通</t>
        </is>
      </c>
      <c r="H1794" s="172" t="inlineStr">
        <is>
          <t>申万宏源资管</t>
        </is>
      </c>
      <c r="I1794" s="172" t="inlineStr">
        <is>
          <t>光大北分</t>
        </is>
      </c>
      <c r="J1794" s="172" t="n">
        <v>5</v>
      </c>
      <c r="K1794" s="172" t="inlineStr">
        <is>
          <t>7+12</t>
        </is>
      </c>
      <c r="L1794" s="208" t="n">
        <v>46196</v>
      </c>
      <c r="M1794" s="175" t="n">
        <v>0.01488</v>
      </c>
      <c r="N1794" s="176" t="n">
        <v>0.0187</v>
      </c>
      <c r="O1794" s="172" t="n">
        <v>1.78</v>
      </c>
      <c r="P1794" s="172" t="inlineStr">
        <is>
          <t>优先级</t>
        </is>
      </c>
      <c r="Q1794" s="175" t="n">
        <v>0.9</v>
      </c>
      <c r="R1794" s="172">
        <f>Q1179*J1179</f>
        <v/>
      </c>
      <c r="S1794" s="172" t="inlineStr">
        <is>
          <t>AAA</t>
        </is>
      </c>
      <c r="T1794" s="175" t="n">
        <v>0.016</v>
      </c>
      <c r="U1794" s="172" t="n"/>
      <c r="V1794" s="172" t="n"/>
      <c r="W1794" s="175" t="n">
        <v>0.024</v>
      </c>
      <c r="X1794" s="172" t="inlineStr">
        <is>
          <t>华夏理财</t>
        </is>
      </c>
      <c r="Y1794" s="191" t="n">
        <v>0.05</v>
      </c>
    </row>
    <row r="1795">
      <c r="A1795" s="172" t="n">
        <v>98</v>
      </c>
      <c r="B1795" s="172" t="inlineStr">
        <is>
          <t>6月</t>
        </is>
      </c>
      <c r="C1795" s="172" t="inlineStr">
        <is>
          <t>企金</t>
        </is>
      </c>
      <c r="D1795" s="172" t="inlineStr">
        <is>
          <t>金采</t>
        </is>
      </c>
      <c r="E1795" s="172" t="inlineStr">
        <is>
          <t>金采8-6</t>
        </is>
      </c>
      <c r="F1795" s="172" t="inlineStr">
        <is>
          <t>上交所</t>
        </is>
      </c>
      <c r="G1795" s="172" t="inlineStr">
        <is>
          <t>国泰海通</t>
        </is>
      </c>
      <c r="H1795" s="172" t="inlineStr">
        <is>
          <t>申万宏源资管</t>
        </is>
      </c>
      <c r="I1795" s="172" t="inlineStr">
        <is>
          <t>光大北分</t>
        </is>
      </c>
      <c r="J1795" s="172" t="n">
        <v>5</v>
      </c>
      <c r="K1795" s="172" t="inlineStr">
        <is>
          <t>7+12</t>
        </is>
      </c>
      <c r="L1795" s="208" t="n">
        <v>46196</v>
      </c>
      <c r="M1795" s="175" t="n">
        <v>0.01488</v>
      </c>
      <c r="N1795" s="176" t="n">
        <v>0.0187</v>
      </c>
      <c r="O1795" s="172" t="n">
        <v>1.78</v>
      </c>
      <c r="P1795" s="172" t="inlineStr">
        <is>
          <t>优先级</t>
        </is>
      </c>
      <c r="Q1795" s="175" t="n">
        <v>0.9</v>
      </c>
      <c r="R1795" s="172">
        <f>Q1179*J1179</f>
        <v/>
      </c>
      <c r="S1795" s="172" t="inlineStr">
        <is>
          <t>AAA</t>
        </is>
      </c>
      <c r="T1795" s="175" t="n">
        <v>0.016</v>
      </c>
      <c r="U1795" s="172" t="n"/>
      <c r="V1795" s="172" t="n"/>
      <c r="W1795" s="175" t="n">
        <v>0.017</v>
      </c>
      <c r="X1795" s="172" t="inlineStr">
        <is>
          <t>广银理财</t>
        </is>
      </c>
      <c r="Y1795" s="191" t="n">
        <v>1</v>
      </c>
    </row>
    <row r="1796">
      <c r="A1796" s="172" t="n">
        <v>98</v>
      </c>
      <c r="B1796" s="172" t="inlineStr">
        <is>
          <t>6月</t>
        </is>
      </c>
      <c r="C1796" s="172" t="inlineStr">
        <is>
          <t>企金</t>
        </is>
      </c>
      <c r="D1796" s="172" t="inlineStr">
        <is>
          <t>金采</t>
        </is>
      </c>
      <c r="E1796" s="172" t="inlineStr">
        <is>
          <t>金采8-6</t>
        </is>
      </c>
      <c r="F1796" s="172" t="inlineStr">
        <is>
          <t>上交所</t>
        </is>
      </c>
      <c r="G1796" s="172" t="inlineStr">
        <is>
          <t>国泰海通</t>
        </is>
      </c>
      <c r="H1796" s="172" t="inlineStr">
        <is>
          <t>申万宏源资管</t>
        </is>
      </c>
      <c r="I1796" s="172" t="inlineStr">
        <is>
          <t>光大北分</t>
        </is>
      </c>
      <c r="J1796" s="172" t="n">
        <v>5</v>
      </c>
      <c r="K1796" s="172" t="inlineStr">
        <is>
          <t>7+12</t>
        </is>
      </c>
      <c r="L1796" s="202" t="n">
        <v>46196</v>
      </c>
      <c r="M1796" s="175" t="n">
        <v>0.01488</v>
      </c>
      <c r="N1796" s="176" t="n">
        <v>0.0187</v>
      </c>
      <c r="O1796" s="191" t="n">
        <v>1.78</v>
      </c>
      <c r="P1796" s="172" t="inlineStr">
        <is>
          <t>中间级</t>
        </is>
      </c>
      <c r="Q1796" s="175" t="n">
        <v>0.05</v>
      </c>
      <c r="R1796" s="192">
        <f>Q1186*J1179</f>
        <v/>
      </c>
      <c r="S1796" s="175" t="inlineStr">
        <is>
          <t>AA</t>
        </is>
      </c>
      <c r="T1796" s="175" t="n">
        <v>0.031</v>
      </c>
      <c r="U1796" s="172" t="inlineStr">
        <is>
          <t>建信信托</t>
        </is>
      </c>
      <c r="V1796" s="201" t="n">
        <v>0.1375</v>
      </c>
      <c r="W1796" s="172" t="n"/>
      <c r="X1796" s="172" t="n"/>
      <c r="Y1796" s="172" t="n"/>
    </row>
    <row r="1797">
      <c r="A1797" s="172" t="n">
        <v>98</v>
      </c>
      <c r="B1797" s="172" t="inlineStr">
        <is>
          <t>6月</t>
        </is>
      </c>
      <c r="C1797" s="172" t="inlineStr">
        <is>
          <t>企金</t>
        </is>
      </c>
      <c r="D1797" s="172" t="inlineStr">
        <is>
          <t>金采</t>
        </is>
      </c>
      <c r="E1797" s="172" t="inlineStr">
        <is>
          <t>金采8-6</t>
        </is>
      </c>
      <c r="F1797" s="172" t="inlineStr">
        <is>
          <t>上交所</t>
        </is>
      </c>
      <c r="G1797" s="172" t="inlineStr">
        <is>
          <t>国泰海通</t>
        </is>
      </c>
      <c r="H1797" s="172" t="inlineStr">
        <is>
          <t>申万宏源资管</t>
        </is>
      </c>
      <c r="I1797" s="172" t="inlineStr">
        <is>
          <t>光大北分</t>
        </is>
      </c>
      <c r="J1797" s="172" t="n">
        <v>5</v>
      </c>
      <c r="K1797" s="172" t="inlineStr">
        <is>
          <t>7+12</t>
        </is>
      </c>
      <c r="L1797" s="202" t="n">
        <v>46196</v>
      </c>
      <c r="M1797" s="175" t="n">
        <v>0.01488</v>
      </c>
      <c r="N1797" s="176" t="n">
        <v>0.0187</v>
      </c>
      <c r="O1797" s="191" t="n">
        <v>1.78</v>
      </c>
      <c r="P1797" s="172" t="inlineStr">
        <is>
          <t>中间级</t>
        </is>
      </c>
      <c r="Q1797" s="175" t="n">
        <v>0.05</v>
      </c>
      <c r="R1797" s="192">
        <f>Q1186*J1179</f>
        <v/>
      </c>
      <c r="S1797" s="175" t="inlineStr">
        <is>
          <t>AA</t>
        </is>
      </c>
      <c r="T1797" s="175" t="n">
        <v>0.031</v>
      </c>
      <c r="U1797" s="172" t="inlineStr">
        <is>
          <t>中泰证券自营</t>
        </is>
      </c>
      <c r="V1797" s="191" t="n">
        <v>0.1</v>
      </c>
      <c r="W1797" s="172" t="n"/>
      <c r="X1797" s="172" t="n"/>
      <c r="Y1797" s="172" t="n"/>
    </row>
    <row r="1798">
      <c r="A1798" s="172" t="n">
        <v>98</v>
      </c>
      <c r="B1798" s="172" t="inlineStr">
        <is>
          <t>6月</t>
        </is>
      </c>
      <c r="C1798" s="172" t="inlineStr">
        <is>
          <t>企金</t>
        </is>
      </c>
      <c r="D1798" s="172" t="inlineStr">
        <is>
          <t>金采</t>
        </is>
      </c>
      <c r="E1798" s="172" t="inlineStr">
        <is>
          <t>金采8-6</t>
        </is>
      </c>
      <c r="F1798" s="172" t="inlineStr">
        <is>
          <t>上交所</t>
        </is>
      </c>
      <c r="G1798" s="172" t="inlineStr">
        <is>
          <t>国泰海通</t>
        </is>
      </c>
      <c r="H1798" s="172" t="inlineStr">
        <is>
          <t>申万宏源资管</t>
        </is>
      </c>
      <c r="I1798" s="172" t="inlineStr">
        <is>
          <t>光大北分</t>
        </is>
      </c>
      <c r="J1798" s="172" t="n">
        <v>5</v>
      </c>
      <c r="K1798" s="172" t="inlineStr">
        <is>
          <t>7+12</t>
        </is>
      </c>
      <c r="L1798" s="202" t="n">
        <v>46196</v>
      </c>
      <c r="M1798" s="175" t="n">
        <v>0.01488</v>
      </c>
      <c r="N1798" s="176" t="n">
        <v>0.0187</v>
      </c>
      <c r="O1798" s="191" t="n">
        <v>1.78</v>
      </c>
      <c r="P1798" s="172" t="inlineStr">
        <is>
          <t>中间级</t>
        </is>
      </c>
      <c r="Q1798" s="175" t="n">
        <v>0.05</v>
      </c>
      <c r="R1798" s="192">
        <f>Q1186*J1179</f>
        <v/>
      </c>
      <c r="S1798" s="175" t="inlineStr">
        <is>
          <t>AA</t>
        </is>
      </c>
      <c r="T1798" s="175" t="n">
        <v>0.031</v>
      </c>
      <c r="U1798" s="172" t="inlineStr">
        <is>
          <t>邦汇保理</t>
        </is>
      </c>
      <c r="V1798" s="201">
        <f>0.0125</f>
        <v/>
      </c>
      <c r="W1798" s="172" t="n"/>
      <c r="X1798" s="172" t="n"/>
      <c r="Y1798" s="172" t="n"/>
    </row>
    <row r="1799">
      <c r="A1799" s="172" t="n">
        <v>98</v>
      </c>
      <c r="B1799" s="172" t="inlineStr">
        <is>
          <t>6月</t>
        </is>
      </c>
      <c r="C1799" s="172" t="inlineStr">
        <is>
          <t>企金</t>
        </is>
      </c>
      <c r="D1799" s="172" t="inlineStr">
        <is>
          <t>金采</t>
        </is>
      </c>
      <c r="E1799" s="172" t="inlineStr">
        <is>
          <t>金采8-6</t>
        </is>
      </c>
      <c r="F1799" s="172" t="inlineStr">
        <is>
          <t>上交所</t>
        </is>
      </c>
      <c r="G1799" s="172" t="inlineStr">
        <is>
          <t>国泰海通</t>
        </is>
      </c>
      <c r="H1799" s="172" t="inlineStr">
        <is>
          <t>申万宏源资管</t>
        </is>
      </c>
      <c r="I1799" s="172" t="inlineStr">
        <is>
          <t>光大北分</t>
        </is>
      </c>
      <c r="J1799" s="172" t="n">
        <v>5</v>
      </c>
      <c r="K1799" s="172" t="inlineStr">
        <is>
          <t>7+12</t>
        </is>
      </c>
      <c r="L1799" s="202" t="n">
        <v>46196</v>
      </c>
      <c r="M1799" s="175" t="n">
        <v>0.01488</v>
      </c>
      <c r="N1799" s="176" t="n">
        <v>0.0187</v>
      </c>
      <c r="O1799" s="191" t="n">
        <v>1.78</v>
      </c>
      <c r="P1799" s="172" t="inlineStr">
        <is>
          <t>次级</t>
        </is>
      </c>
      <c r="Q1799" s="175" t="n">
        <v>0.05</v>
      </c>
      <c r="R1799" s="192">
        <f>J1179*Q1189</f>
        <v/>
      </c>
      <c r="S1799" s="175" t="inlineStr">
        <is>
          <t>无</t>
        </is>
      </c>
      <c r="T1799" s="175" t="n">
        <v>0.0455</v>
      </c>
      <c r="U1799" s="172" t="inlineStr">
        <is>
          <t>华宝证券资管</t>
        </is>
      </c>
      <c r="V1799" s="201" t="n">
        <v>0.2375</v>
      </c>
      <c r="W1799" s="172" t="n"/>
      <c r="X1799" s="172" t="n"/>
      <c r="Y1799" s="172" t="n"/>
    </row>
    <row r="1800">
      <c r="A1800" s="172" t="n">
        <v>98</v>
      </c>
      <c r="B1800" s="172" t="inlineStr">
        <is>
          <t>6月</t>
        </is>
      </c>
      <c r="C1800" s="172" t="inlineStr">
        <is>
          <t>企金</t>
        </is>
      </c>
      <c r="D1800" s="172" t="inlineStr">
        <is>
          <t>金采</t>
        </is>
      </c>
      <c r="E1800" s="172" t="inlineStr">
        <is>
          <t>金采8-6</t>
        </is>
      </c>
      <c r="F1800" s="172" t="inlineStr">
        <is>
          <t>上交所</t>
        </is>
      </c>
      <c r="G1800" s="172" t="inlineStr">
        <is>
          <t>国泰海通</t>
        </is>
      </c>
      <c r="H1800" s="172" t="inlineStr">
        <is>
          <t>申万宏源资管</t>
        </is>
      </c>
      <c r="I1800" s="172" t="inlineStr">
        <is>
          <t>光大北分</t>
        </is>
      </c>
      <c r="J1800" s="172" t="n">
        <v>5</v>
      </c>
      <c r="K1800" s="172" t="inlineStr">
        <is>
          <t>7+12</t>
        </is>
      </c>
      <c r="L1800" s="202" t="n">
        <v>46196</v>
      </c>
      <c r="M1800" s="175" t="n">
        <v>0.01488</v>
      </c>
      <c r="N1800" s="176" t="n">
        <v>0.0187</v>
      </c>
      <c r="O1800" s="191" t="n">
        <v>1.78</v>
      </c>
      <c r="P1800" s="172" t="inlineStr">
        <is>
          <t>次级</t>
        </is>
      </c>
      <c r="Q1800" s="175" t="n">
        <v>0.05</v>
      </c>
      <c r="R1800" s="192">
        <f>J1179*Q1189</f>
        <v/>
      </c>
      <c r="S1800" s="175" t="inlineStr">
        <is>
          <t>无</t>
        </is>
      </c>
      <c r="T1800" s="175" t="n">
        <v>0.0455</v>
      </c>
      <c r="U1800" s="172" t="inlineStr">
        <is>
          <t>邦汇保理</t>
        </is>
      </c>
      <c r="V1800" s="201">
        <f>0.25-0.2375</f>
        <v/>
      </c>
      <c r="W1800" s="172" t="n"/>
      <c r="X1800" s="172" t="n"/>
      <c r="Y1800" s="172" t="n"/>
    </row>
    <row r="1801">
      <c r="A1801" s="172" t="n">
        <v>99</v>
      </c>
      <c r="B1801" s="172" t="inlineStr">
        <is>
          <t>6月</t>
        </is>
      </c>
      <c r="C1801" s="172" t="inlineStr">
        <is>
          <t>企金</t>
        </is>
      </c>
      <c r="D1801" s="172" t="inlineStr">
        <is>
          <t>动产质押</t>
        </is>
      </c>
      <c r="E1801" s="172" t="inlineStr">
        <is>
          <t>尚亦2-3</t>
        </is>
      </c>
      <c r="F1801" s="172" t="inlineStr">
        <is>
          <t>上交所</t>
        </is>
      </c>
      <c r="G1801" s="172" t="inlineStr">
        <is>
          <t>申万宏源资管</t>
        </is>
      </c>
      <c r="H1801" s="172" t="inlineStr">
        <is>
          <t>国联证券</t>
        </is>
      </c>
      <c r="I1801" s="172" t="inlineStr">
        <is>
          <t>光大重分</t>
        </is>
      </c>
      <c r="J1801" s="172" t="n">
        <v>5</v>
      </c>
      <c r="K1801" s="172" t="inlineStr">
        <is>
          <t>7+12</t>
        </is>
      </c>
      <c r="L1801" s="202" t="n">
        <v>46196</v>
      </c>
      <c r="M1801" s="175" t="n">
        <v>0.01488</v>
      </c>
      <c r="N1801" s="176" t="n">
        <v>0.0189</v>
      </c>
      <c r="O1801" s="191" t="n">
        <v>3.39</v>
      </c>
      <c r="P1801" s="172" t="inlineStr">
        <is>
          <t>优先A</t>
        </is>
      </c>
      <c r="Q1801" s="175" t="n">
        <v>0.86</v>
      </c>
      <c r="R1801" s="192">
        <f>Q1191*J1191</f>
        <v/>
      </c>
      <c r="S1801" s="172" t="inlineStr">
        <is>
          <t>AAA</t>
        </is>
      </c>
      <c r="T1801" s="175" t="n">
        <v>0.0162</v>
      </c>
      <c r="U1801" s="172" t="inlineStr">
        <is>
          <t>华夏理财</t>
        </is>
      </c>
      <c r="V1801" s="191" t="n">
        <v>0.52</v>
      </c>
      <c r="W1801" s="175" t="n">
        <v>0.0162</v>
      </c>
      <c r="X1801" s="172" t="inlineStr">
        <is>
          <t>华夏理财</t>
        </is>
      </c>
      <c r="Y1801" s="191" t="n">
        <v>1.2</v>
      </c>
    </row>
    <row r="1802">
      <c r="A1802" s="172" t="n">
        <v>99</v>
      </c>
      <c r="B1802" s="172" t="inlineStr">
        <is>
          <t>6月</t>
        </is>
      </c>
      <c r="C1802" s="172" t="inlineStr">
        <is>
          <t>企金</t>
        </is>
      </c>
      <c r="D1802" s="172" t="inlineStr">
        <is>
          <t>动产质押</t>
        </is>
      </c>
      <c r="E1802" s="172" t="inlineStr">
        <is>
          <t>尚亦2-3</t>
        </is>
      </c>
      <c r="F1802" s="172" t="inlineStr">
        <is>
          <t>上交所</t>
        </is>
      </c>
      <c r="G1802" s="172" t="inlineStr">
        <is>
          <t>申万宏源资管</t>
        </is>
      </c>
      <c r="H1802" s="172" t="inlineStr">
        <is>
          <t>国联证券</t>
        </is>
      </c>
      <c r="I1802" s="172" t="inlineStr">
        <is>
          <t>光大重分</t>
        </is>
      </c>
      <c r="J1802" s="172" t="n">
        <v>5</v>
      </c>
      <c r="K1802" s="172" t="inlineStr">
        <is>
          <t>7+12</t>
        </is>
      </c>
      <c r="L1802" s="208" t="n">
        <v>46196</v>
      </c>
      <c r="M1802" s="175" t="n">
        <v>0.01488</v>
      </c>
      <c r="N1802" s="176" t="n">
        <v>0.0189</v>
      </c>
      <c r="O1802" s="172" t="n">
        <v>3.39</v>
      </c>
      <c r="P1802" s="172" t="inlineStr">
        <is>
          <t>优先A</t>
        </is>
      </c>
      <c r="Q1802" s="175" t="n">
        <v>0.86</v>
      </c>
      <c r="R1802" s="172">
        <f>Q1191*J1191</f>
        <v/>
      </c>
      <c r="S1802" s="172" t="inlineStr">
        <is>
          <t>AAA</t>
        </is>
      </c>
      <c r="T1802" s="175" t="n">
        <v>0.0162</v>
      </c>
      <c r="U1802" s="172" t="n"/>
      <c r="V1802" s="172" t="n"/>
      <c r="W1802" s="175" t="n">
        <v>0.017</v>
      </c>
      <c r="X1802" s="172" t="inlineStr">
        <is>
          <t>华夏理财</t>
        </is>
      </c>
      <c r="Y1802" s="191" t="n">
        <v>0.09</v>
      </c>
    </row>
    <row r="1803">
      <c r="A1803" s="172" t="n">
        <v>99</v>
      </c>
      <c r="B1803" s="172" t="inlineStr">
        <is>
          <t>6月</t>
        </is>
      </c>
      <c r="C1803" s="172" t="inlineStr">
        <is>
          <t>企金</t>
        </is>
      </c>
      <c r="D1803" s="172" t="inlineStr">
        <is>
          <t>动产质押</t>
        </is>
      </c>
      <c r="E1803" s="172" t="inlineStr">
        <is>
          <t>尚亦2-3</t>
        </is>
      </c>
      <c r="F1803" s="172" t="inlineStr">
        <is>
          <t>上交所</t>
        </is>
      </c>
      <c r="G1803" s="172" t="inlineStr">
        <is>
          <t>申万宏源资管</t>
        </is>
      </c>
      <c r="H1803" s="172" t="inlineStr">
        <is>
          <t>国联证券</t>
        </is>
      </c>
      <c r="I1803" s="172" t="inlineStr">
        <is>
          <t>光大重分</t>
        </is>
      </c>
      <c r="J1803" s="172" t="n">
        <v>5</v>
      </c>
      <c r="K1803" s="172" t="inlineStr">
        <is>
          <t>7+12</t>
        </is>
      </c>
      <c r="L1803" s="202" t="n">
        <v>46196</v>
      </c>
      <c r="M1803" s="175" t="n">
        <v>0.01488</v>
      </c>
      <c r="N1803" s="176" t="n">
        <v>0.0189</v>
      </c>
      <c r="O1803" s="191" t="n">
        <v>3.39</v>
      </c>
      <c r="P1803" s="172" t="inlineStr">
        <is>
          <t>优先A</t>
        </is>
      </c>
      <c r="Q1803" s="175" t="n">
        <v>0.86</v>
      </c>
      <c r="R1803" s="192">
        <f>Q1191*J1191</f>
        <v/>
      </c>
      <c r="S1803" s="172" t="inlineStr">
        <is>
          <t>AAA</t>
        </is>
      </c>
      <c r="T1803" s="175" t="n">
        <v>0.0162</v>
      </c>
      <c r="U1803" s="172" t="inlineStr">
        <is>
          <t>招银理财</t>
        </is>
      </c>
      <c r="V1803" s="191" t="n">
        <v>1.29</v>
      </c>
      <c r="W1803" s="175" t="n">
        <v>0.0158</v>
      </c>
      <c r="X1803" s="172" t="inlineStr">
        <is>
          <t>招银理财</t>
        </is>
      </c>
      <c r="Y1803" s="191" t="n">
        <v>1.2</v>
      </c>
    </row>
    <row r="1804">
      <c r="A1804" s="172" t="n">
        <v>99</v>
      </c>
      <c r="B1804" s="172" t="inlineStr">
        <is>
          <t>6月</t>
        </is>
      </c>
      <c r="C1804" s="172" t="inlineStr">
        <is>
          <t>企金</t>
        </is>
      </c>
      <c r="D1804" s="172" t="inlineStr">
        <is>
          <t>动产质押</t>
        </is>
      </c>
      <c r="E1804" s="172" t="inlineStr">
        <is>
          <t>尚亦2-3</t>
        </is>
      </c>
      <c r="F1804" s="172" t="inlineStr">
        <is>
          <t>上交所</t>
        </is>
      </c>
      <c r="G1804" s="172" t="inlineStr">
        <is>
          <t>申万宏源资管</t>
        </is>
      </c>
      <c r="H1804" s="172" t="inlineStr">
        <is>
          <t>国联证券</t>
        </is>
      </c>
      <c r="I1804" s="172" t="inlineStr">
        <is>
          <t>光大重分</t>
        </is>
      </c>
      <c r="J1804" s="172" t="n">
        <v>5</v>
      </c>
      <c r="K1804" s="172" t="inlineStr">
        <is>
          <t>7+12</t>
        </is>
      </c>
      <c r="L1804" s="208" t="n">
        <v>46196</v>
      </c>
      <c r="M1804" s="175" t="n">
        <v>0.01488</v>
      </c>
      <c r="N1804" s="176" t="n">
        <v>0.0189</v>
      </c>
      <c r="O1804" s="172" t="n">
        <v>3.39</v>
      </c>
      <c r="P1804" s="172" t="inlineStr">
        <is>
          <t>优先A</t>
        </is>
      </c>
      <c r="Q1804" s="175" t="n">
        <v>0.86</v>
      </c>
      <c r="R1804" s="172">
        <f>Q1191*J1191</f>
        <v/>
      </c>
      <c r="S1804" s="172" t="inlineStr">
        <is>
          <t>AAA</t>
        </is>
      </c>
      <c r="T1804" s="175" t="n">
        <v>0.0162</v>
      </c>
      <c r="U1804" s="172" t="n"/>
      <c r="V1804" s="172" t="n"/>
      <c r="W1804" s="175" t="n">
        <v>0.0159</v>
      </c>
      <c r="X1804" s="172" t="inlineStr">
        <is>
          <t>招银理财</t>
        </is>
      </c>
      <c r="Y1804" s="191" t="n">
        <v>0.09</v>
      </c>
    </row>
    <row r="1805">
      <c r="A1805" s="172" t="n">
        <v>99</v>
      </c>
      <c r="B1805" s="172" t="inlineStr">
        <is>
          <t>6月</t>
        </is>
      </c>
      <c r="C1805" s="172" t="inlineStr">
        <is>
          <t>企金</t>
        </is>
      </c>
      <c r="D1805" s="172" t="inlineStr">
        <is>
          <t>动产质押</t>
        </is>
      </c>
      <c r="E1805" s="172" t="inlineStr">
        <is>
          <t>尚亦2-3</t>
        </is>
      </c>
      <c r="F1805" s="172" t="inlineStr">
        <is>
          <t>上交所</t>
        </is>
      </c>
      <c r="G1805" s="172" t="inlineStr">
        <is>
          <t>申万宏源资管</t>
        </is>
      </c>
      <c r="H1805" s="172" t="inlineStr">
        <is>
          <t>国联证券</t>
        </is>
      </c>
      <c r="I1805" s="172" t="inlineStr">
        <is>
          <t>光大重分</t>
        </is>
      </c>
      <c r="J1805" s="172" t="n">
        <v>5</v>
      </c>
      <c r="K1805" s="172" t="inlineStr">
        <is>
          <t>7+12</t>
        </is>
      </c>
      <c r="L1805" s="202" t="n">
        <v>46196</v>
      </c>
      <c r="M1805" s="175" t="n">
        <v>0.01488</v>
      </c>
      <c r="N1805" s="176" t="n">
        <v>0.0189</v>
      </c>
      <c r="O1805" s="191" t="n">
        <v>3.39</v>
      </c>
      <c r="P1805" s="172" t="inlineStr">
        <is>
          <t>优先A</t>
        </is>
      </c>
      <c r="Q1805" s="175" t="n">
        <v>0.86</v>
      </c>
      <c r="R1805" s="192">
        <f>Q1191*J1191</f>
        <v/>
      </c>
      <c r="S1805" s="172" t="inlineStr">
        <is>
          <t>AAA</t>
        </is>
      </c>
      <c r="T1805" s="175" t="n">
        <v>0.0162</v>
      </c>
      <c r="U1805" s="172" t="inlineStr">
        <is>
          <t>建信信托</t>
        </is>
      </c>
      <c r="V1805" s="191" t="n">
        <v>1.2</v>
      </c>
      <c r="W1805" s="175" t="n">
        <v>0.016</v>
      </c>
      <c r="X1805" s="172" t="inlineStr">
        <is>
          <t>建信信托</t>
        </is>
      </c>
      <c r="Y1805" s="191" t="n">
        <v>1.2</v>
      </c>
    </row>
    <row r="1806">
      <c r="A1806" s="172" t="n">
        <v>99</v>
      </c>
      <c r="B1806" s="172" t="inlineStr">
        <is>
          <t>6月</t>
        </is>
      </c>
      <c r="C1806" s="172" t="inlineStr">
        <is>
          <t>企金</t>
        </is>
      </c>
      <c r="D1806" s="172" t="inlineStr">
        <is>
          <t>动产质押</t>
        </is>
      </c>
      <c r="E1806" s="172" t="inlineStr">
        <is>
          <t>尚亦2-3</t>
        </is>
      </c>
      <c r="F1806" s="172" t="inlineStr">
        <is>
          <t>上交所</t>
        </is>
      </c>
      <c r="G1806" s="172" t="inlineStr">
        <is>
          <t>申万宏源资管</t>
        </is>
      </c>
      <c r="H1806" s="172" t="inlineStr">
        <is>
          <t>国联证券</t>
        </is>
      </c>
      <c r="I1806" s="172" t="inlineStr">
        <is>
          <t>光大重分</t>
        </is>
      </c>
      <c r="J1806" s="172" t="n">
        <v>5</v>
      </c>
      <c r="K1806" s="172" t="inlineStr">
        <is>
          <t>7+12</t>
        </is>
      </c>
      <c r="L1806" s="202" t="n">
        <v>46196</v>
      </c>
      <c r="M1806" s="175" t="n">
        <v>0.01488</v>
      </c>
      <c r="N1806" s="176" t="n">
        <v>0.0189</v>
      </c>
      <c r="O1806" s="191" t="n">
        <v>3.39</v>
      </c>
      <c r="P1806" s="172" t="inlineStr">
        <is>
          <t>优先A</t>
        </is>
      </c>
      <c r="Q1806" s="175" t="n">
        <v>0.86</v>
      </c>
      <c r="R1806" s="192">
        <f>Q1191*J1191</f>
        <v/>
      </c>
      <c r="S1806" s="172" t="inlineStr">
        <is>
          <t>AAA</t>
        </is>
      </c>
      <c r="T1806" s="175" t="n">
        <v>0.0162</v>
      </c>
      <c r="U1806" s="172" t="inlineStr">
        <is>
          <t>中邮理财</t>
        </is>
      </c>
      <c r="V1806" s="191" t="n">
        <v>1.29</v>
      </c>
      <c r="W1806" s="175" t="n">
        <v>0.016</v>
      </c>
      <c r="X1806" s="172" t="inlineStr">
        <is>
          <t>中邮理财</t>
        </is>
      </c>
      <c r="Y1806" s="191" t="n">
        <v>1.29</v>
      </c>
    </row>
    <row r="1807">
      <c r="A1807" s="172" t="n">
        <v>99</v>
      </c>
      <c r="B1807" s="172" t="inlineStr">
        <is>
          <t>6月</t>
        </is>
      </c>
      <c r="C1807" s="172" t="inlineStr">
        <is>
          <t>企金</t>
        </is>
      </c>
      <c r="D1807" s="172" t="inlineStr">
        <is>
          <t>动产质押</t>
        </is>
      </c>
      <c r="E1807" s="172" t="inlineStr">
        <is>
          <t>尚亦2-3</t>
        </is>
      </c>
      <c r="F1807" s="172" t="inlineStr">
        <is>
          <t>上交所</t>
        </is>
      </c>
      <c r="G1807" s="172" t="inlineStr">
        <is>
          <t>申万宏源资管</t>
        </is>
      </c>
      <c r="H1807" s="172" t="inlineStr">
        <is>
          <t>国联证券</t>
        </is>
      </c>
      <c r="I1807" s="172" t="inlineStr">
        <is>
          <t>光大重分</t>
        </is>
      </c>
      <c r="J1807" s="172" t="n">
        <v>5</v>
      </c>
      <c r="K1807" s="172" t="inlineStr">
        <is>
          <t>7+12</t>
        </is>
      </c>
      <c r="L1807" s="208" t="n">
        <v>46196</v>
      </c>
      <c r="M1807" s="175" t="n">
        <v>0.01488</v>
      </c>
      <c r="N1807" s="176" t="n">
        <v>0.0189</v>
      </c>
      <c r="O1807" s="172" t="n">
        <v>3.39</v>
      </c>
      <c r="P1807" s="172" t="inlineStr">
        <is>
          <t>优先A</t>
        </is>
      </c>
      <c r="Q1807" s="175" t="n">
        <v>0.86</v>
      </c>
      <c r="R1807" s="172">
        <f>Q1191*J1191</f>
        <v/>
      </c>
      <c r="S1807" s="172" t="inlineStr">
        <is>
          <t>AAA</t>
        </is>
      </c>
      <c r="T1807" s="175" t="n">
        <v>0.0162</v>
      </c>
      <c r="U1807" s="172" t="n"/>
      <c r="V1807" s="172" t="n"/>
      <c r="W1807" s="175" t="n">
        <v>0.0164</v>
      </c>
      <c r="X1807" s="172" t="inlineStr">
        <is>
          <t>易方达基金</t>
        </is>
      </c>
      <c r="Y1807" s="191" t="n">
        <v>0.4</v>
      </c>
    </row>
    <row r="1808">
      <c r="A1808" s="172" t="n">
        <v>99</v>
      </c>
      <c r="B1808" s="172" t="inlineStr">
        <is>
          <t>6月</t>
        </is>
      </c>
      <c r="C1808" s="172" t="inlineStr">
        <is>
          <t>企金</t>
        </is>
      </c>
      <c r="D1808" s="172" t="inlineStr">
        <is>
          <t>动产质押</t>
        </is>
      </c>
      <c r="E1808" s="172" t="inlineStr">
        <is>
          <t>尚亦2-3</t>
        </is>
      </c>
      <c r="F1808" s="172" t="inlineStr">
        <is>
          <t>上交所</t>
        </is>
      </c>
      <c r="G1808" s="172" t="inlineStr">
        <is>
          <t>申万宏源资管</t>
        </is>
      </c>
      <c r="H1808" s="172" t="inlineStr">
        <is>
          <t>国联证券</t>
        </is>
      </c>
      <c r="I1808" s="172" t="inlineStr">
        <is>
          <t>光大重分</t>
        </is>
      </c>
      <c r="J1808" s="172" t="n">
        <v>5</v>
      </c>
      <c r="K1808" s="172" t="inlineStr">
        <is>
          <t>7+12</t>
        </is>
      </c>
      <c r="L1808" s="208" t="n">
        <v>46196</v>
      </c>
      <c r="M1808" s="175" t="n">
        <v>0.01488</v>
      </c>
      <c r="N1808" s="176" t="n">
        <v>0.0189</v>
      </c>
      <c r="O1808" s="172" t="n">
        <v>3.39</v>
      </c>
      <c r="P1808" s="172" t="inlineStr">
        <is>
          <t>优先A</t>
        </is>
      </c>
      <c r="Q1808" s="175" t="n">
        <v>0.86</v>
      </c>
      <c r="R1808" s="172">
        <f>Q1191*J1191</f>
        <v/>
      </c>
      <c r="S1808" s="172" t="inlineStr">
        <is>
          <t>AAA</t>
        </is>
      </c>
      <c r="T1808" s="175" t="n">
        <v>0.0162</v>
      </c>
      <c r="U1808" s="172" t="n"/>
      <c r="V1808" s="172" t="n"/>
      <c r="W1808" s="175" t="n">
        <v>0.017</v>
      </c>
      <c r="X1808" s="172" t="inlineStr">
        <is>
          <t>中金自营</t>
        </is>
      </c>
      <c r="Y1808" s="191" t="n">
        <v>0.4</v>
      </c>
    </row>
    <row r="1809">
      <c r="A1809" s="172" t="n">
        <v>99</v>
      </c>
      <c r="B1809" s="172" t="inlineStr">
        <is>
          <t>6月</t>
        </is>
      </c>
      <c r="C1809" s="172" t="inlineStr">
        <is>
          <t>企金</t>
        </is>
      </c>
      <c r="D1809" s="172" t="inlineStr">
        <is>
          <t>动产质押</t>
        </is>
      </c>
      <c r="E1809" s="172" t="inlineStr">
        <is>
          <t>尚亦2-3</t>
        </is>
      </c>
      <c r="F1809" s="172" t="inlineStr">
        <is>
          <t>上交所</t>
        </is>
      </c>
      <c r="G1809" s="172" t="inlineStr">
        <is>
          <t>申万宏源资管</t>
        </is>
      </c>
      <c r="H1809" s="172" t="inlineStr">
        <is>
          <t>国联证券</t>
        </is>
      </c>
      <c r="I1809" s="172" t="inlineStr">
        <is>
          <t>光大重分</t>
        </is>
      </c>
      <c r="J1809" s="172" t="n">
        <v>5</v>
      </c>
      <c r="K1809" s="172" t="inlineStr">
        <is>
          <t>7+12</t>
        </is>
      </c>
      <c r="L1809" s="208" t="n">
        <v>46196</v>
      </c>
      <c r="M1809" s="175" t="n">
        <v>0.01488</v>
      </c>
      <c r="N1809" s="176" t="n">
        <v>0.0189</v>
      </c>
      <c r="O1809" s="172" t="n">
        <v>3.39</v>
      </c>
      <c r="P1809" s="172" t="inlineStr">
        <is>
          <t>优先A</t>
        </is>
      </c>
      <c r="Q1809" s="175" t="n">
        <v>0.86</v>
      </c>
      <c r="R1809" s="172">
        <f>Q1191*J1191</f>
        <v/>
      </c>
      <c r="S1809" s="172" t="inlineStr">
        <is>
          <t>AAA</t>
        </is>
      </c>
      <c r="T1809" s="175" t="n">
        <v>0.0162</v>
      </c>
      <c r="U1809" s="172" t="n"/>
      <c r="V1809" s="172" t="n"/>
      <c r="W1809" s="175" t="n">
        <v>0.0175</v>
      </c>
      <c r="X1809" s="172" t="inlineStr">
        <is>
          <t>广银理财</t>
        </is>
      </c>
      <c r="Y1809" s="191" t="n">
        <v>0.5</v>
      </c>
    </row>
    <row r="1810">
      <c r="A1810" s="172" t="n">
        <v>99</v>
      </c>
      <c r="B1810" s="172" t="inlineStr">
        <is>
          <t>6月</t>
        </is>
      </c>
      <c r="C1810" s="172" t="inlineStr">
        <is>
          <t>企金</t>
        </is>
      </c>
      <c r="D1810" s="172" t="inlineStr">
        <is>
          <t>动产质押</t>
        </is>
      </c>
      <c r="E1810" s="172" t="inlineStr">
        <is>
          <t>尚亦2-3</t>
        </is>
      </c>
      <c r="F1810" s="172" t="inlineStr">
        <is>
          <t>上交所</t>
        </is>
      </c>
      <c r="G1810" s="172" t="inlineStr">
        <is>
          <t>申万宏源资管</t>
        </is>
      </c>
      <c r="H1810" s="172" t="inlineStr">
        <is>
          <t>国联证券</t>
        </is>
      </c>
      <c r="I1810" s="172" t="inlineStr">
        <is>
          <t>光大重分</t>
        </is>
      </c>
      <c r="J1810" s="172" t="n">
        <v>5</v>
      </c>
      <c r="K1810" s="172" t="inlineStr">
        <is>
          <t>7+12</t>
        </is>
      </c>
      <c r="L1810" s="208" t="n">
        <v>46196</v>
      </c>
      <c r="M1810" s="175" t="n">
        <v>0.01488</v>
      </c>
      <c r="N1810" s="176" t="n">
        <v>0.0189</v>
      </c>
      <c r="O1810" s="172" t="n">
        <v>3.39</v>
      </c>
      <c r="P1810" s="172" t="inlineStr">
        <is>
          <t>优先A</t>
        </is>
      </c>
      <c r="Q1810" s="175" t="n">
        <v>0.86</v>
      </c>
      <c r="R1810" s="172">
        <f>Q1191*J1191</f>
        <v/>
      </c>
      <c r="S1810" s="172" t="inlineStr">
        <is>
          <t>AAA</t>
        </is>
      </c>
      <c r="T1810" s="175" t="n">
        <v>0.0162</v>
      </c>
      <c r="U1810" s="172" t="n"/>
      <c r="V1810" s="172" t="n"/>
      <c r="W1810" s="175" t="n">
        <v>0.018</v>
      </c>
      <c r="X1810" s="172" t="inlineStr">
        <is>
          <t>申万宏源资管</t>
        </is>
      </c>
      <c r="Y1810" s="191" t="n">
        <v>0.68</v>
      </c>
    </row>
    <row r="1811">
      <c r="A1811" s="172" t="n">
        <v>99</v>
      </c>
      <c r="B1811" s="172" t="inlineStr">
        <is>
          <t>6月</t>
        </is>
      </c>
      <c r="C1811" s="172" t="inlineStr">
        <is>
          <t>企金</t>
        </is>
      </c>
      <c r="D1811" s="172" t="inlineStr">
        <is>
          <t>动产质押</t>
        </is>
      </c>
      <c r="E1811" s="172" t="inlineStr">
        <is>
          <t>尚亦2-3</t>
        </is>
      </c>
      <c r="F1811" s="172" t="inlineStr">
        <is>
          <t>上交所</t>
        </is>
      </c>
      <c r="G1811" s="172" t="inlineStr">
        <is>
          <t>申万宏源资管</t>
        </is>
      </c>
      <c r="H1811" s="172" t="inlineStr">
        <is>
          <t>国联证券</t>
        </is>
      </c>
      <c r="I1811" s="172" t="inlineStr">
        <is>
          <t>光大重分</t>
        </is>
      </c>
      <c r="J1811" s="172" t="n">
        <v>5</v>
      </c>
      <c r="K1811" s="172" t="inlineStr">
        <is>
          <t>7+12</t>
        </is>
      </c>
      <c r="L1811" s="208" t="n">
        <v>46196</v>
      </c>
      <c r="M1811" s="175" t="n">
        <v>0.01488</v>
      </c>
      <c r="N1811" s="176" t="n">
        <v>0.0189</v>
      </c>
      <c r="O1811" s="172" t="n">
        <v>3.39</v>
      </c>
      <c r="P1811" s="172" t="inlineStr">
        <is>
          <t>优先A</t>
        </is>
      </c>
      <c r="Q1811" s="175" t="n">
        <v>0.86</v>
      </c>
      <c r="R1811" s="172">
        <f>Q1191*J1191</f>
        <v/>
      </c>
      <c r="S1811" s="172" t="inlineStr">
        <is>
          <t>AAA</t>
        </is>
      </c>
      <c r="T1811" s="175" t="n">
        <v>0.0162</v>
      </c>
      <c r="U1811" s="172" t="n"/>
      <c r="V1811" s="172" t="n"/>
      <c r="W1811" s="175" t="n">
        <v>0.018</v>
      </c>
      <c r="X1811" s="172" t="inlineStr">
        <is>
          <t>东方财富证券</t>
        </is>
      </c>
      <c r="Y1811" s="191" t="n">
        <v>0.2</v>
      </c>
    </row>
    <row r="1812">
      <c r="A1812" s="172" t="n">
        <v>99</v>
      </c>
      <c r="B1812" s="172" t="inlineStr">
        <is>
          <t>6月</t>
        </is>
      </c>
      <c r="C1812" s="172" t="inlineStr">
        <is>
          <t>企金</t>
        </is>
      </c>
      <c r="D1812" s="172" t="inlineStr">
        <is>
          <t>动产质押</t>
        </is>
      </c>
      <c r="E1812" s="172" t="inlineStr">
        <is>
          <t>尚亦2-3</t>
        </is>
      </c>
      <c r="F1812" s="172" t="inlineStr">
        <is>
          <t>上交所</t>
        </is>
      </c>
      <c r="G1812" s="172" t="inlineStr">
        <is>
          <t>申万宏源资管</t>
        </is>
      </c>
      <c r="H1812" s="172" t="inlineStr">
        <is>
          <t>国联证券</t>
        </is>
      </c>
      <c r="I1812" s="172" t="inlineStr">
        <is>
          <t>光大重分</t>
        </is>
      </c>
      <c r="J1812" s="172" t="n">
        <v>5</v>
      </c>
      <c r="K1812" s="172" t="inlineStr">
        <is>
          <t>7+12</t>
        </is>
      </c>
      <c r="L1812" s="208" t="n">
        <v>46196</v>
      </c>
      <c r="M1812" s="175" t="n">
        <v>0.01488</v>
      </c>
      <c r="N1812" s="176" t="n">
        <v>0.0189</v>
      </c>
      <c r="O1812" s="172" t="n">
        <v>3.39</v>
      </c>
      <c r="P1812" s="172" t="inlineStr">
        <is>
          <t>优先A</t>
        </is>
      </c>
      <c r="Q1812" s="175" t="n">
        <v>0.86</v>
      </c>
      <c r="R1812" s="172">
        <f>Q1191*J1191</f>
        <v/>
      </c>
      <c r="S1812" s="172" t="inlineStr">
        <is>
          <t>AAA</t>
        </is>
      </c>
      <c r="T1812" s="175" t="n">
        <v>0.0162</v>
      </c>
      <c r="U1812" s="172" t="n"/>
      <c r="V1812" s="172" t="n"/>
      <c r="W1812" s="175" t="n">
        <v>0.018</v>
      </c>
      <c r="X1812" s="172" t="inlineStr">
        <is>
          <t>国联证券</t>
        </is>
      </c>
      <c r="Y1812" s="191" t="n">
        <v>0.68</v>
      </c>
    </row>
    <row r="1813">
      <c r="A1813" s="172" t="n">
        <v>99</v>
      </c>
      <c r="B1813" s="172" t="inlineStr">
        <is>
          <t>6月</t>
        </is>
      </c>
      <c r="C1813" s="172" t="inlineStr">
        <is>
          <t>企金</t>
        </is>
      </c>
      <c r="D1813" s="172" t="inlineStr">
        <is>
          <t>动产质押</t>
        </is>
      </c>
      <c r="E1813" s="172" t="inlineStr">
        <is>
          <t>尚亦2-3</t>
        </is>
      </c>
      <c r="F1813" s="172" t="inlineStr">
        <is>
          <t>上交所</t>
        </is>
      </c>
      <c r="G1813" s="172" t="inlineStr">
        <is>
          <t>申万宏源资管</t>
        </is>
      </c>
      <c r="H1813" s="172" t="inlineStr">
        <is>
          <t>国联证券</t>
        </is>
      </c>
      <c r="I1813" s="172" t="inlineStr">
        <is>
          <t>光大重分</t>
        </is>
      </c>
      <c r="J1813" s="172" t="n">
        <v>5</v>
      </c>
      <c r="K1813" s="172" t="inlineStr">
        <is>
          <t>7+12</t>
        </is>
      </c>
      <c r="L1813" s="208" t="n">
        <v>46196</v>
      </c>
      <c r="M1813" s="175" t="n">
        <v>0.01488</v>
      </c>
      <c r="N1813" s="176" t="n">
        <v>0.0189</v>
      </c>
      <c r="O1813" s="172" t="n">
        <v>3.39</v>
      </c>
      <c r="P1813" s="172" t="inlineStr">
        <is>
          <t>优先A</t>
        </is>
      </c>
      <c r="Q1813" s="175" t="n">
        <v>0.86</v>
      </c>
      <c r="R1813" s="172">
        <f>Q1191*J1191</f>
        <v/>
      </c>
      <c r="S1813" s="172" t="inlineStr">
        <is>
          <t>AAA</t>
        </is>
      </c>
      <c r="T1813" s="175" t="n">
        <v>0.0162</v>
      </c>
      <c r="U1813" s="172" t="n"/>
      <c r="V1813" s="172" t="n"/>
      <c r="W1813" s="175" t="n">
        <v>0.019</v>
      </c>
      <c r="X1813" s="172" t="inlineStr">
        <is>
          <t>中金投顾</t>
        </is>
      </c>
      <c r="Y1813" s="191" t="n">
        <v>0.5</v>
      </c>
    </row>
    <row r="1814">
      <c r="A1814" s="172" t="n">
        <v>99</v>
      </c>
      <c r="B1814" s="172" t="inlineStr">
        <is>
          <t>6月</t>
        </is>
      </c>
      <c r="C1814" s="172" t="inlineStr">
        <is>
          <t>企金</t>
        </is>
      </c>
      <c r="D1814" s="172" t="inlineStr">
        <is>
          <t>动产质押</t>
        </is>
      </c>
      <c r="E1814" s="172" t="inlineStr">
        <is>
          <t>尚亦2-3</t>
        </is>
      </c>
      <c r="F1814" s="172" t="inlineStr">
        <is>
          <t>上交所</t>
        </is>
      </c>
      <c r="G1814" s="172" t="inlineStr">
        <is>
          <t>申万宏源资管</t>
        </is>
      </c>
      <c r="H1814" s="172" t="inlineStr">
        <is>
          <t>国联证券</t>
        </is>
      </c>
      <c r="I1814" s="172" t="inlineStr">
        <is>
          <t>光大重分</t>
        </is>
      </c>
      <c r="J1814" s="172" t="n">
        <v>5</v>
      </c>
      <c r="K1814" s="172" t="inlineStr">
        <is>
          <t>7+12</t>
        </is>
      </c>
      <c r="L1814" s="208" t="n">
        <v>46196</v>
      </c>
      <c r="M1814" s="175" t="n">
        <v>0.01488</v>
      </c>
      <c r="N1814" s="176" t="n">
        <v>0.0189</v>
      </c>
      <c r="O1814" s="172" t="n">
        <v>3.39</v>
      </c>
      <c r="P1814" s="172" t="inlineStr">
        <is>
          <t>优先A</t>
        </is>
      </c>
      <c r="Q1814" s="175" t="n">
        <v>0.86</v>
      </c>
      <c r="R1814" s="172">
        <f>Q1191*J1191</f>
        <v/>
      </c>
      <c r="S1814" s="172" t="inlineStr">
        <is>
          <t>AAA</t>
        </is>
      </c>
      <c r="T1814" s="175" t="n">
        <v>0.0162</v>
      </c>
      <c r="U1814" s="172" t="n"/>
      <c r="V1814" s="172" t="n"/>
      <c r="W1814" s="175" t="n">
        <v>0.02</v>
      </c>
      <c r="X1814" s="172" t="inlineStr">
        <is>
          <t>建投机构部</t>
        </is>
      </c>
      <c r="Y1814" s="191" t="n">
        <v>0.6</v>
      </c>
    </row>
    <row r="1815">
      <c r="A1815" s="172" t="n">
        <v>99</v>
      </c>
      <c r="B1815" s="172" t="inlineStr">
        <is>
          <t>6月</t>
        </is>
      </c>
      <c r="C1815" s="172" t="inlineStr">
        <is>
          <t>企金</t>
        </is>
      </c>
      <c r="D1815" s="172" t="inlineStr">
        <is>
          <t>动产质押</t>
        </is>
      </c>
      <c r="E1815" s="172" t="inlineStr">
        <is>
          <t>尚亦2-3</t>
        </is>
      </c>
      <c r="F1815" s="172" t="inlineStr">
        <is>
          <t>上交所</t>
        </is>
      </c>
      <c r="G1815" s="172" t="inlineStr">
        <is>
          <t>申万宏源资管</t>
        </is>
      </c>
      <c r="H1815" s="172" t="inlineStr">
        <is>
          <t>国联证券</t>
        </is>
      </c>
      <c r="I1815" s="172" t="inlineStr">
        <is>
          <t>光大重分</t>
        </is>
      </c>
      <c r="J1815" s="172" t="n">
        <v>5</v>
      </c>
      <c r="K1815" s="172" t="inlineStr">
        <is>
          <t>7+12</t>
        </is>
      </c>
      <c r="L1815" s="208" t="n">
        <v>46196</v>
      </c>
      <c r="M1815" s="175" t="n">
        <v>0.01488</v>
      </c>
      <c r="N1815" s="176" t="n">
        <v>0.0189</v>
      </c>
      <c r="O1815" s="172" t="n">
        <v>3.39</v>
      </c>
      <c r="P1815" s="172" t="inlineStr">
        <is>
          <t>优先A</t>
        </is>
      </c>
      <c r="Q1815" s="175" t="n">
        <v>0.86</v>
      </c>
      <c r="R1815" s="172">
        <f>Q1191*J1191</f>
        <v/>
      </c>
      <c r="S1815" s="172" t="inlineStr">
        <is>
          <t>AAA</t>
        </is>
      </c>
      <c r="T1815" s="175" t="n">
        <v>0.0162</v>
      </c>
      <c r="U1815" s="172" t="n"/>
      <c r="V1815" s="172" t="n"/>
      <c r="W1815" s="175" t="n">
        <v>0.023</v>
      </c>
      <c r="X1815" s="172" t="inlineStr">
        <is>
          <t>信达证券</t>
        </is>
      </c>
      <c r="Y1815" s="191" t="n">
        <v>0.8</v>
      </c>
    </row>
    <row r="1816">
      <c r="A1816" s="172" t="n">
        <v>99</v>
      </c>
      <c r="B1816" s="172" t="inlineStr">
        <is>
          <t>6月</t>
        </is>
      </c>
      <c r="C1816" s="172" t="inlineStr">
        <is>
          <t>企金</t>
        </is>
      </c>
      <c r="D1816" s="172" t="inlineStr">
        <is>
          <t>动产质押</t>
        </is>
      </c>
      <c r="E1816" s="172" t="inlineStr">
        <is>
          <t>尚亦2-3</t>
        </is>
      </c>
      <c r="F1816" s="172" t="inlineStr">
        <is>
          <t>上交所</t>
        </is>
      </c>
      <c r="G1816" s="172" t="inlineStr">
        <is>
          <t>申万宏源资管</t>
        </is>
      </c>
      <c r="H1816" s="172" t="inlineStr">
        <is>
          <t>国联证券</t>
        </is>
      </c>
      <c r="I1816" s="172" t="inlineStr">
        <is>
          <t>光大重分</t>
        </is>
      </c>
      <c r="J1816" s="172" t="n">
        <v>5</v>
      </c>
      <c r="K1816" s="172" t="inlineStr">
        <is>
          <t>7+12</t>
        </is>
      </c>
      <c r="L1816" s="208" t="n">
        <v>46196</v>
      </c>
      <c r="M1816" s="175" t="n">
        <v>0.01488</v>
      </c>
      <c r="N1816" s="176" t="n">
        <v>0.0189</v>
      </c>
      <c r="O1816" s="172" t="n">
        <v>3.39</v>
      </c>
      <c r="P1816" s="172" t="inlineStr">
        <is>
          <t>优先A</t>
        </is>
      </c>
      <c r="Q1816" s="175" t="n">
        <v>0.86</v>
      </c>
      <c r="R1816" s="172">
        <f>Q1191*J1191</f>
        <v/>
      </c>
      <c r="S1816" s="172" t="inlineStr">
        <is>
          <t>AAA</t>
        </is>
      </c>
      <c r="T1816" s="175" t="n">
        <v>0.0162</v>
      </c>
      <c r="U1816" s="172" t="n"/>
      <c r="V1816" s="172" t="n"/>
      <c r="W1816" s="175" t="n">
        <v>0.024</v>
      </c>
      <c r="X1816" s="172" t="inlineStr">
        <is>
          <t>上海利曦私募基金管理合伙企业</t>
        </is>
      </c>
      <c r="Y1816" s="191" t="n">
        <v>1.5</v>
      </c>
    </row>
    <row r="1817">
      <c r="A1817" s="172" t="n">
        <v>99</v>
      </c>
      <c r="B1817" s="172" t="inlineStr">
        <is>
          <t>6月</t>
        </is>
      </c>
      <c r="C1817" s="172" t="inlineStr">
        <is>
          <t>企金</t>
        </is>
      </c>
      <c r="D1817" s="172" t="inlineStr">
        <is>
          <t>动产质押</t>
        </is>
      </c>
      <c r="E1817" s="172" t="inlineStr">
        <is>
          <t>尚亦2-3</t>
        </is>
      </c>
      <c r="F1817" s="172" t="inlineStr">
        <is>
          <t>上交所</t>
        </is>
      </c>
      <c r="G1817" s="172" t="inlineStr">
        <is>
          <t>申万宏源资管</t>
        </is>
      </c>
      <c r="H1817" s="172" t="inlineStr">
        <is>
          <t>国联证券</t>
        </is>
      </c>
      <c r="I1817" s="172" t="inlineStr">
        <is>
          <t>光大重分</t>
        </is>
      </c>
      <c r="J1817" s="172" t="n">
        <v>5</v>
      </c>
      <c r="K1817" s="172" t="inlineStr">
        <is>
          <t>7+12</t>
        </is>
      </c>
      <c r="L1817" s="208" t="n">
        <v>46196</v>
      </c>
      <c r="M1817" s="175" t="n">
        <v>0.01488</v>
      </c>
      <c r="N1817" s="176" t="n">
        <v>0.0189</v>
      </c>
      <c r="O1817" s="172" t="n">
        <v>3.39</v>
      </c>
      <c r="P1817" s="172" t="inlineStr">
        <is>
          <t>优先A</t>
        </is>
      </c>
      <c r="Q1817" s="175" t="n">
        <v>0.86</v>
      </c>
      <c r="R1817" s="172">
        <f>Q1191*J1191</f>
        <v/>
      </c>
      <c r="S1817" s="172" t="inlineStr">
        <is>
          <t>AAA</t>
        </is>
      </c>
      <c r="T1817" s="175" t="n">
        <v>0.0162</v>
      </c>
      <c r="U1817" s="172" t="n"/>
      <c r="V1817" s="172" t="n"/>
      <c r="W1817" s="175" t="n">
        <v>0.024</v>
      </c>
      <c r="X1817" s="172" t="inlineStr">
        <is>
          <t>中信建投证券</t>
        </is>
      </c>
      <c r="Y1817" s="191" t="n">
        <v>1.5</v>
      </c>
    </row>
    <row r="1818">
      <c r="A1818" s="172" t="n">
        <v>99</v>
      </c>
      <c r="B1818" s="172" t="inlineStr">
        <is>
          <t>6月</t>
        </is>
      </c>
      <c r="C1818" s="172" t="inlineStr">
        <is>
          <t>企金</t>
        </is>
      </c>
      <c r="D1818" s="172" t="inlineStr">
        <is>
          <t>动产质押</t>
        </is>
      </c>
      <c r="E1818" s="172" t="inlineStr">
        <is>
          <t>尚亦2-3</t>
        </is>
      </c>
      <c r="F1818" s="172" t="inlineStr">
        <is>
          <t>上交所</t>
        </is>
      </c>
      <c r="G1818" s="172" t="inlineStr">
        <is>
          <t>申万宏源资管</t>
        </is>
      </c>
      <c r="H1818" s="172" t="inlineStr">
        <is>
          <t>国联证券</t>
        </is>
      </c>
      <c r="I1818" s="172" t="inlineStr">
        <is>
          <t>光大重分</t>
        </is>
      </c>
      <c r="J1818" s="172" t="n">
        <v>5</v>
      </c>
      <c r="K1818" s="172" t="inlineStr">
        <is>
          <t>7+12</t>
        </is>
      </c>
      <c r="L1818" s="208" t="n">
        <v>46196</v>
      </c>
      <c r="M1818" s="175" t="n">
        <v>0.01488</v>
      </c>
      <c r="N1818" s="176" t="n">
        <v>0.0189</v>
      </c>
      <c r="O1818" s="172" t="n">
        <v>3.39</v>
      </c>
      <c r="P1818" s="172" t="inlineStr">
        <is>
          <t>优先A</t>
        </is>
      </c>
      <c r="Q1818" s="175" t="n">
        <v>0.86</v>
      </c>
      <c r="R1818" s="172">
        <f>Q1191*J1191</f>
        <v/>
      </c>
      <c r="S1818" s="172" t="inlineStr">
        <is>
          <t>AAA</t>
        </is>
      </c>
      <c r="T1818" s="175" t="n">
        <v>0.0162</v>
      </c>
      <c r="U1818" s="172" t="n"/>
      <c r="V1818" s="172" t="n"/>
      <c r="W1818" s="175" t="n">
        <v>0.024</v>
      </c>
      <c r="X1818" s="172" t="inlineStr">
        <is>
          <t>建投衍生品</t>
        </is>
      </c>
      <c r="Y1818" s="191" t="n">
        <v>1</v>
      </c>
    </row>
    <row r="1819">
      <c r="A1819" s="172" t="n">
        <v>99</v>
      </c>
      <c r="B1819" s="172" t="inlineStr">
        <is>
          <t>6月</t>
        </is>
      </c>
      <c r="C1819" s="172" t="inlineStr">
        <is>
          <t>企金</t>
        </is>
      </c>
      <c r="D1819" s="172" t="inlineStr">
        <is>
          <t>动产质押</t>
        </is>
      </c>
      <c r="E1819" s="172" t="inlineStr">
        <is>
          <t>尚亦2-3</t>
        </is>
      </c>
      <c r="F1819" s="172" t="inlineStr">
        <is>
          <t>上交所</t>
        </is>
      </c>
      <c r="G1819" s="172" t="inlineStr">
        <is>
          <t>申万宏源资管</t>
        </is>
      </c>
      <c r="H1819" s="172" t="inlineStr">
        <is>
          <t>国联证券</t>
        </is>
      </c>
      <c r="I1819" s="172" t="inlineStr">
        <is>
          <t>光大重分</t>
        </is>
      </c>
      <c r="J1819" s="172" t="n">
        <v>5</v>
      </c>
      <c r="K1819" s="172" t="inlineStr">
        <is>
          <t>7+12</t>
        </is>
      </c>
      <c r="L1819" s="208" t="n">
        <v>46196</v>
      </c>
      <c r="M1819" s="175" t="n">
        <v>0.01488</v>
      </c>
      <c r="N1819" s="176" t="n">
        <v>0.0189</v>
      </c>
      <c r="O1819" s="172" t="n">
        <v>3.39</v>
      </c>
      <c r="P1819" s="172" t="inlineStr">
        <is>
          <t>优先A</t>
        </is>
      </c>
      <c r="Q1819" s="175" t="n">
        <v>0.86</v>
      </c>
      <c r="R1819" s="172">
        <f>Q1191*J1191</f>
        <v/>
      </c>
      <c r="S1819" s="172" t="inlineStr">
        <is>
          <t>AAA</t>
        </is>
      </c>
      <c r="T1819" s="175" t="n">
        <v>0.0162</v>
      </c>
      <c r="U1819" s="172" t="n"/>
      <c r="V1819" s="172" t="n"/>
      <c r="W1819" s="175" t="n">
        <v>0.024</v>
      </c>
      <c r="X1819" s="172" t="inlineStr">
        <is>
          <t>国信证券</t>
        </is>
      </c>
      <c r="Y1819" s="191" t="n">
        <v>0.75</v>
      </c>
    </row>
    <row r="1820">
      <c r="A1820" s="172" t="n">
        <v>99</v>
      </c>
      <c r="B1820" s="172" t="inlineStr">
        <is>
          <t>6月</t>
        </is>
      </c>
      <c r="C1820" s="172" t="inlineStr">
        <is>
          <t>企金</t>
        </is>
      </c>
      <c r="D1820" s="172" t="inlineStr">
        <is>
          <t>动产质押</t>
        </is>
      </c>
      <c r="E1820" s="172" t="inlineStr">
        <is>
          <t>尚亦2-3</t>
        </is>
      </c>
      <c r="F1820" s="172" t="inlineStr">
        <is>
          <t>上交所</t>
        </is>
      </c>
      <c r="G1820" s="172" t="inlineStr">
        <is>
          <t>申万宏源资管</t>
        </is>
      </c>
      <c r="H1820" s="172" t="inlineStr">
        <is>
          <t>国联证券</t>
        </is>
      </c>
      <c r="I1820" s="172" t="inlineStr">
        <is>
          <t>光大重分</t>
        </is>
      </c>
      <c r="J1820" s="172" t="n">
        <v>5</v>
      </c>
      <c r="K1820" s="172" t="inlineStr">
        <is>
          <t>7+12</t>
        </is>
      </c>
      <c r="L1820" s="202" t="n">
        <v>46196</v>
      </c>
      <c r="M1820" s="175" t="n">
        <v>0.01488</v>
      </c>
      <c r="N1820" s="176" t="n">
        <v>0.0189</v>
      </c>
      <c r="O1820" s="191" t="n">
        <v>3.39</v>
      </c>
      <c r="P1820" s="172" t="inlineStr">
        <is>
          <t>优先B</t>
        </is>
      </c>
      <c r="Q1820" s="175" t="n">
        <v>0.04</v>
      </c>
      <c r="R1820" s="192">
        <f>J1191*Q1195</f>
        <v/>
      </c>
      <c r="S1820" s="175" t="inlineStr">
        <is>
          <t>AA+</t>
        </is>
      </c>
      <c r="T1820" s="175" t="n">
        <v>0.017</v>
      </c>
      <c r="U1820" s="172" t="inlineStr">
        <is>
          <t>中金财富</t>
        </is>
      </c>
      <c r="V1820" s="191" t="n">
        <v>0.14</v>
      </c>
      <c r="W1820" s="175" t="n">
        <v>0.017</v>
      </c>
      <c r="X1820" s="172" t="inlineStr">
        <is>
          <t>中金财富证券</t>
        </is>
      </c>
      <c r="Y1820" s="191" t="n">
        <v>0.14</v>
      </c>
    </row>
    <row r="1821">
      <c r="A1821" s="172" t="n">
        <v>99</v>
      </c>
      <c r="B1821" s="172" t="inlineStr">
        <is>
          <t>6月</t>
        </is>
      </c>
      <c r="C1821" s="172" t="inlineStr">
        <is>
          <t>企金</t>
        </is>
      </c>
      <c r="D1821" s="172" t="inlineStr">
        <is>
          <t>动产质押</t>
        </is>
      </c>
      <c r="E1821" s="172" t="inlineStr">
        <is>
          <t>尚亦2-3</t>
        </is>
      </c>
      <c r="F1821" s="172" t="inlineStr">
        <is>
          <t>上交所</t>
        </is>
      </c>
      <c r="G1821" s="172" t="inlineStr">
        <is>
          <t>申万宏源资管</t>
        </is>
      </c>
      <c r="H1821" s="172" t="inlineStr">
        <is>
          <t>国联证券</t>
        </is>
      </c>
      <c r="I1821" s="172" t="inlineStr">
        <is>
          <t>光大重分</t>
        </is>
      </c>
      <c r="J1821" s="172" t="n">
        <v>5</v>
      </c>
      <c r="K1821" s="172" t="inlineStr">
        <is>
          <t>7+12</t>
        </is>
      </c>
      <c r="L1821" s="202" t="n">
        <v>46196</v>
      </c>
      <c r="M1821" s="175" t="n">
        <v>0.01488</v>
      </c>
      <c r="N1821" s="176" t="n">
        <v>0.0189</v>
      </c>
      <c r="O1821" s="191" t="n">
        <v>3.39</v>
      </c>
      <c r="P1821" s="172" t="inlineStr">
        <is>
          <t>优先B</t>
        </is>
      </c>
      <c r="Q1821" s="175" t="n">
        <v>0.04</v>
      </c>
      <c r="R1821" s="192">
        <f>J1191*Q1195</f>
        <v/>
      </c>
      <c r="S1821" s="175" t="inlineStr">
        <is>
          <t>AA+</t>
        </is>
      </c>
      <c r="T1821" s="175" t="n">
        <v>0.017</v>
      </c>
      <c r="U1821" s="172" t="inlineStr">
        <is>
          <t>招银理财</t>
        </is>
      </c>
      <c r="V1821" s="191" t="n">
        <v>0.06</v>
      </c>
      <c r="W1821" s="175" t="n">
        <v>0.017</v>
      </c>
      <c r="X1821" s="172" t="inlineStr">
        <is>
          <t>招银理财</t>
        </is>
      </c>
      <c r="Y1821" s="191" t="n">
        <v>0.06</v>
      </c>
    </row>
    <row r="1822">
      <c r="A1822" s="172" t="n">
        <v>99</v>
      </c>
      <c r="B1822" s="172" t="inlineStr">
        <is>
          <t>6月</t>
        </is>
      </c>
      <c r="C1822" s="172" t="inlineStr">
        <is>
          <t>企金</t>
        </is>
      </c>
      <c r="D1822" s="172" t="inlineStr">
        <is>
          <t>动产质押</t>
        </is>
      </c>
      <c r="E1822" s="172" t="inlineStr">
        <is>
          <t>尚亦2-3</t>
        </is>
      </c>
      <c r="F1822" s="172" t="inlineStr">
        <is>
          <t>上交所</t>
        </is>
      </c>
      <c r="G1822" s="172" t="inlineStr">
        <is>
          <t>申万宏源资管</t>
        </is>
      </c>
      <c r="H1822" s="172" t="inlineStr">
        <is>
          <t>国联证券</t>
        </is>
      </c>
      <c r="I1822" s="172" t="inlineStr">
        <is>
          <t>光大重分</t>
        </is>
      </c>
      <c r="J1822" s="172" t="n">
        <v>5</v>
      </c>
      <c r="K1822" s="172" t="inlineStr">
        <is>
          <t>7+12</t>
        </is>
      </c>
      <c r="L1822" s="208" t="n">
        <v>46196</v>
      </c>
      <c r="M1822" s="175" t="n">
        <v>0.01488</v>
      </c>
      <c r="N1822" s="176" t="n">
        <v>0.0189</v>
      </c>
      <c r="O1822" s="172" t="n">
        <v>3.39</v>
      </c>
      <c r="P1822" s="172" t="inlineStr">
        <is>
          <t>优先B</t>
        </is>
      </c>
      <c r="Q1822" s="175" t="n">
        <v>0.04</v>
      </c>
      <c r="R1822" s="172">
        <f>J1191*Q1195</f>
        <v/>
      </c>
      <c r="S1822" s="172" t="inlineStr">
        <is>
          <t>AA+</t>
        </is>
      </c>
      <c r="T1822" s="175" t="n">
        <v>0.017</v>
      </c>
      <c r="U1822" s="172" t="n"/>
      <c r="V1822" s="172" t="n"/>
      <c r="W1822" s="175" t="n">
        <v>0.019</v>
      </c>
      <c r="X1822" s="172" t="inlineStr">
        <is>
          <t>中金自营</t>
        </is>
      </c>
      <c r="Y1822" s="191" t="n">
        <v>0.1</v>
      </c>
    </row>
    <row r="1823">
      <c r="A1823" s="172" t="n">
        <v>99</v>
      </c>
      <c r="B1823" s="172" t="inlineStr">
        <is>
          <t>6月</t>
        </is>
      </c>
      <c r="C1823" s="172" t="inlineStr">
        <is>
          <t>企金</t>
        </is>
      </c>
      <c r="D1823" s="172" t="inlineStr">
        <is>
          <t>动产质押</t>
        </is>
      </c>
      <c r="E1823" s="172" t="inlineStr">
        <is>
          <t>尚亦2-3</t>
        </is>
      </c>
      <c r="F1823" s="172" t="inlineStr">
        <is>
          <t>上交所</t>
        </is>
      </c>
      <c r="G1823" s="172" t="inlineStr">
        <is>
          <t>申万宏源资管</t>
        </is>
      </c>
      <c r="H1823" s="172" t="inlineStr">
        <is>
          <t>国联证券</t>
        </is>
      </c>
      <c r="I1823" s="172" t="inlineStr">
        <is>
          <t>光大重分</t>
        </is>
      </c>
      <c r="J1823" s="172" t="n">
        <v>5</v>
      </c>
      <c r="K1823" s="172" t="inlineStr">
        <is>
          <t>7+12</t>
        </is>
      </c>
      <c r="L1823" s="208" t="n">
        <v>46196</v>
      </c>
      <c r="M1823" s="175" t="n">
        <v>0.01488</v>
      </c>
      <c r="N1823" s="176" t="n">
        <v>0.0189</v>
      </c>
      <c r="O1823" s="172" t="n">
        <v>3.39</v>
      </c>
      <c r="P1823" s="172" t="inlineStr">
        <is>
          <t>优先B</t>
        </is>
      </c>
      <c r="Q1823" s="175" t="n">
        <v>0.04</v>
      </c>
      <c r="R1823" s="172">
        <f>J1191*Q1195</f>
        <v/>
      </c>
      <c r="S1823" s="172" t="inlineStr">
        <is>
          <t>AA+</t>
        </is>
      </c>
      <c r="T1823" s="175" t="n">
        <v>0.017</v>
      </c>
      <c r="U1823" s="172" t="n"/>
      <c r="V1823" s="172" t="n"/>
      <c r="W1823" s="175" t="n">
        <v>0.019</v>
      </c>
      <c r="X1823" s="172" t="inlineStr">
        <is>
          <t>申万宏源资管</t>
        </is>
      </c>
      <c r="Y1823" s="191" t="n">
        <v>0.03</v>
      </c>
    </row>
    <row r="1824">
      <c r="A1824" s="172" t="n">
        <v>99</v>
      </c>
      <c r="B1824" s="172" t="inlineStr">
        <is>
          <t>6月</t>
        </is>
      </c>
      <c r="C1824" s="172" t="inlineStr">
        <is>
          <t>企金</t>
        </is>
      </c>
      <c r="D1824" s="172" t="inlineStr">
        <is>
          <t>动产质押</t>
        </is>
      </c>
      <c r="E1824" s="172" t="inlineStr">
        <is>
          <t>尚亦2-3</t>
        </is>
      </c>
      <c r="F1824" s="172" t="inlineStr">
        <is>
          <t>上交所</t>
        </is>
      </c>
      <c r="G1824" s="172" t="inlineStr">
        <is>
          <t>申万宏源资管</t>
        </is>
      </c>
      <c r="H1824" s="172" t="inlineStr">
        <is>
          <t>国联证券</t>
        </is>
      </c>
      <c r="I1824" s="172" t="inlineStr">
        <is>
          <t>光大重分</t>
        </is>
      </c>
      <c r="J1824" s="172" t="n">
        <v>5</v>
      </c>
      <c r="K1824" s="172" t="inlineStr">
        <is>
          <t>7+12</t>
        </is>
      </c>
      <c r="L1824" s="202" t="n">
        <v>46196</v>
      </c>
      <c r="M1824" s="175" t="n">
        <v>0.01488</v>
      </c>
      <c r="N1824" s="176" t="n">
        <v>0.0189</v>
      </c>
      <c r="O1824" s="191" t="n">
        <v>3.39</v>
      </c>
      <c r="P1824" s="172" t="inlineStr">
        <is>
          <t>中间级</t>
        </is>
      </c>
      <c r="Q1824" s="175" t="n">
        <v>0.05</v>
      </c>
      <c r="R1824" s="192">
        <f>J1191*Q1197</f>
        <v/>
      </c>
      <c r="S1824" s="175" t="inlineStr">
        <is>
          <t>A-</t>
        </is>
      </c>
      <c r="T1824" s="175" t="n">
        <v>0.031</v>
      </c>
      <c r="U1824" s="172" t="inlineStr">
        <is>
          <t>利曦基金</t>
        </is>
      </c>
      <c r="V1824" s="191" t="n">
        <v>0.25</v>
      </c>
      <c r="W1824" s="172" t="n"/>
      <c r="X1824" s="172" t="n"/>
      <c r="Y1824" s="172" t="n"/>
    </row>
    <row r="1825">
      <c r="A1825" s="172" t="n">
        <v>99</v>
      </c>
      <c r="B1825" s="172" t="inlineStr">
        <is>
          <t>6月</t>
        </is>
      </c>
      <c r="C1825" s="172" t="inlineStr">
        <is>
          <t>企金</t>
        </is>
      </c>
      <c r="D1825" s="172" t="inlineStr">
        <is>
          <t>动产质押</t>
        </is>
      </c>
      <c r="E1825" s="172" t="inlineStr">
        <is>
          <t>尚亦2-3</t>
        </is>
      </c>
      <c r="F1825" s="172" t="inlineStr">
        <is>
          <t>上交所</t>
        </is>
      </c>
      <c r="G1825" s="172" t="inlineStr">
        <is>
          <t>申万宏源资管</t>
        </is>
      </c>
      <c r="H1825" s="172" t="inlineStr">
        <is>
          <t>国联证券</t>
        </is>
      </c>
      <c r="I1825" s="172" t="inlineStr">
        <is>
          <t>光大重分</t>
        </is>
      </c>
      <c r="J1825" s="172" t="n">
        <v>5</v>
      </c>
      <c r="K1825" s="172" t="inlineStr">
        <is>
          <t>7+12</t>
        </is>
      </c>
      <c r="L1825" s="202" t="n">
        <v>46196</v>
      </c>
      <c r="M1825" s="175" t="n">
        <v>0.01488</v>
      </c>
      <c r="N1825" s="176" t="n">
        <v>0.0189</v>
      </c>
      <c r="O1825" s="191" t="n">
        <v>3.39</v>
      </c>
      <c r="P1825" s="172" t="inlineStr">
        <is>
          <t>受益权</t>
        </is>
      </c>
      <c r="Q1825" s="175" t="n">
        <v>0.05</v>
      </c>
      <c r="R1825" s="192">
        <f>J1191*Q1198</f>
        <v/>
      </c>
      <c r="S1825" s="175" t="inlineStr">
        <is>
          <t>无</t>
        </is>
      </c>
      <c r="T1825" s="175" t="n">
        <v>0.0455</v>
      </c>
      <c r="U1825" s="172" t="inlineStr">
        <is>
          <t>员工理财</t>
        </is>
      </c>
      <c r="V1825" s="191" t="n">
        <v>0.25</v>
      </c>
      <c r="W1825" s="172" t="n"/>
      <c r="X1825" s="172" t="n"/>
      <c r="Y1825" s="172" t="n"/>
    </row>
    <row r="1826">
      <c r="A1826" s="172" t="n">
        <v>100</v>
      </c>
      <c r="B1826" s="172" t="inlineStr">
        <is>
          <t>6月</t>
        </is>
      </c>
      <c r="C1826" s="173" t="inlineStr">
        <is>
          <t>消金</t>
        </is>
      </c>
      <c r="D1826" s="173" t="inlineStr">
        <is>
          <t>金条&amp;白取混发</t>
        </is>
      </c>
      <c r="E1826" s="173" t="inlineStr">
        <is>
          <t>东樾4号春樾（4-1）</t>
        </is>
      </c>
      <c r="F1826" s="173" t="inlineStr">
        <is>
          <t>上交所</t>
        </is>
      </c>
      <c r="G1826" s="173" t="inlineStr">
        <is>
          <t>国泰海通</t>
        </is>
      </c>
      <c r="H1826" s="173" t="inlineStr">
        <is>
          <t>中信建投/招商证券/光大证券/中信证券</t>
        </is>
      </c>
      <c r="I1826" s="173" t="inlineStr">
        <is>
          <t>中行北分</t>
        </is>
      </c>
      <c r="J1826" s="172" t="n">
        <v>15</v>
      </c>
      <c r="K1826" s="173" t="inlineStr">
        <is>
          <t>12+10+12</t>
        </is>
      </c>
      <c r="L1826" s="202" t="n">
        <v>46198</v>
      </c>
      <c r="M1826" s="175" t="n">
        <v>0.0148</v>
      </c>
      <c r="N1826" s="176" t="n">
        <v>0.02104</v>
      </c>
      <c r="O1826" s="172" t="n">
        <v>1.1</v>
      </c>
      <c r="P1826" s="177" t="inlineStr">
        <is>
          <t>优先A</t>
        </is>
      </c>
      <c r="Q1826" s="178" t="n">
        <v>0.9</v>
      </c>
      <c r="R1826" s="179">
        <f>Q1199*J1199</f>
        <v/>
      </c>
      <c r="S1826" s="177" t="inlineStr">
        <is>
          <t>AAA</t>
        </is>
      </c>
      <c r="T1826" s="178" t="n">
        <v>0.0162</v>
      </c>
      <c r="U1826" s="177" t="inlineStr">
        <is>
          <t>招银理财</t>
        </is>
      </c>
      <c r="V1826" s="192" t="n">
        <v>3.5</v>
      </c>
      <c r="W1826" s="175" t="n">
        <v>0.0159</v>
      </c>
      <c r="X1826" s="172" t="inlineStr">
        <is>
          <t>招银理财</t>
        </is>
      </c>
      <c r="Y1826" s="191" t="n">
        <v>3.5</v>
      </c>
    </row>
    <row r="1827">
      <c r="A1827" s="172" t="n">
        <v>100</v>
      </c>
      <c r="B1827" s="172" t="inlineStr">
        <is>
          <t>6月</t>
        </is>
      </c>
      <c r="C1827" s="173" t="inlineStr">
        <is>
          <t>消金</t>
        </is>
      </c>
      <c r="D1827" s="173" t="inlineStr">
        <is>
          <t>金条&amp;白取混发</t>
        </is>
      </c>
      <c r="E1827" s="173" t="inlineStr">
        <is>
          <t>东樾4号春樾（4-1）</t>
        </is>
      </c>
      <c r="F1827" s="173" t="inlineStr">
        <is>
          <t>上交所</t>
        </is>
      </c>
      <c r="G1827" s="173" t="inlineStr">
        <is>
          <t>国泰海通</t>
        </is>
      </c>
      <c r="H1827" s="173" t="inlineStr">
        <is>
          <t>中信建投/招商证券/光大证券/中信证券</t>
        </is>
      </c>
      <c r="I1827" s="173" t="inlineStr">
        <is>
          <t>中行北分</t>
        </is>
      </c>
      <c r="J1827" s="172" t="n">
        <v>15</v>
      </c>
      <c r="K1827" s="173" t="inlineStr">
        <is>
          <t>12+10+12</t>
        </is>
      </c>
      <c r="L1827" s="202" t="n">
        <v>46198</v>
      </c>
      <c r="M1827" s="175" t="n">
        <v>0.0148</v>
      </c>
      <c r="N1827" s="176" t="n">
        <v>0.02104</v>
      </c>
      <c r="O1827" s="172" t="n">
        <v>1.1</v>
      </c>
      <c r="P1827" s="172" t="inlineStr">
        <is>
          <t>优先A</t>
        </is>
      </c>
      <c r="Q1827" s="178" t="n">
        <v>0.9</v>
      </c>
      <c r="R1827" s="179">
        <f>Q1199*J1199</f>
        <v/>
      </c>
      <c r="S1827" s="177" t="inlineStr">
        <is>
          <t>AAA</t>
        </is>
      </c>
      <c r="T1827" s="178" t="n">
        <v>0.0162</v>
      </c>
      <c r="U1827" s="177" t="inlineStr">
        <is>
          <t>平安理财</t>
        </is>
      </c>
      <c r="V1827" s="192" t="n">
        <v>2.09</v>
      </c>
      <c r="W1827" s="175" t="n">
        <v>0.0159</v>
      </c>
      <c r="X1827" s="172" t="inlineStr">
        <is>
          <t>平安理财</t>
        </is>
      </c>
      <c r="Y1827" s="191" t="n">
        <v>2.09</v>
      </c>
    </row>
    <row r="1828">
      <c r="A1828" s="172" t="n">
        <v>100</v>
      </c>
      <c r="B1828" s="172" t="inlineStr">
        <is>
          <t>6月</t>
        </is>
      </c>
      <c r="C1828" s="173" t="inlineStr">
        <is>
          <t>消金</t>
        </is>
      </c>
      <c r="D1828" s="173" t="inlineStr">
        <is>
          <t>金条&amp;白取混发</t>
        </is>
      </c>
      <c r="E1828" s="173" t="inlineStr">
        <is>
          <t>东樾4号春樾（4-1）</t>
        </is>
      </c>
      <c r="F1828" s="173" t="inlineStr">
        <is>
          <t>上交所</t>
        </is>
      </c>
      <c r="G1828" s="173" t="inlineStr">
        <is>
          <t>国泰海通</t>
        </is>
      </c>
      <c r="H1828" s="173" t="inlineStr">
        <is>
          <t>中信建投/招商证券/光大证券/中信证券</t>
        </is>
      </c>
      <c r="I1828" s="173" t="inlineStr">
        <is>
          <t>中行北分</t>
        </is>
      </c>
      <c r="J1828" s="172" t="n">
        <v>15</v>
      </c>
      <c r="K1828" s="173" t="inlineStr">
        <is>
          <t>12+10+12</t>
        </is>
      </c>
      <c r="L1828" s="202" t="n">
        <v>46198</v>
      </c>
      <c r="M1828" s="175" t="n">
        <v>0.0148</v>
      </c>
      <c r="N1828" s="176" t="n">
        <v>0.02104</v>
      </c>
      <c r="O1828" s="172" t="n">
        <v>1.1</v>
      </c>
      <c r="P1828" s="172" t="inlineStr">
        <is>
          <t>优先A</t>
        </is>
      </c>
      <c r="Q1828" s="178" t="n">
        <v>0.9</v>
      </c>
      <c r="R1828" s="179">
        <f>Q1199*J1199</f>
        <v/>
      </c>
      <c r="S1828" s="177" t="inlineStr">
        <is>
          <t>AAA</t>
        </is>
      </c>
      <c r="T1828" s="178" t="n">
        <v>0.0162</v>
      </c>
      <c r="U1828" s="177" t="inlineStr">
        <is>
          <t>中邮理财</t>
        </is>
      </c>
      <c r="V1828" s="192" t="n">
        <v>4.05</v>
      </c>
      <c r="W1828" s="175" t="n">
        <v>0.016</v>
      </c>
      <c r="X1828" s="172" t="inlineStr">
        <is>
          <t>中邮理财</t>
        </is>
      </c>
      <c r="Y1828" s="191" t="n">
        <v>4.05</v>
      </c>
    </row>
    <row r="1829">
      <c r="A1829" s="172" t="n">
        <v>100</v>
      </c>
      <c r="B1829" s="172" t="inlineStr">
        <is>
          <t>6月</t>
        </is>
      </c>
      <c r="C1829" s="173" t="inlineStr">
        <is>
          <t>消金</t>
        </is>
      </c>
      <c r="D1829" s="173" t="inlineStr">
        <is>
          <t>金条&amp;白取混发</t>
        </is>
      </c>
      <c r="E1829" s="173" t="inlineStr">
        <is>
          <t>东樾4号春樾（4-1）</t>
        </is>
      </c>
      <c r="F1829" s="173" t="inlineStr">
        <is>
          <t>上交所</t>
        </is>
      </c>
      <c r="G1829" s="173" t="inlineStr">
        <is>
          <t>国泰海通</t>
        </is>
      </c>
      <c r="H1829" s="173" t="inlineStr">
        <is>
          <t>中信建投/招商证券/光大证券/中信证券</t>
        </is>
      </c>
      <c r="I1829" s="173" t="inlineStr">
        <is>
          <t>中行北分</t>
        </is>
      </c>
      <c r="J1829" s="172" t="n">
        <v>15</v>
      </c>
      <c r="K1829" s="173" t="inlineStr">
        <is>
          <t>12+10+12</t>
        </is>
      </c>
      <c r="L1829" s="202" t="n">
        <v>46198</v>
      </c>
      <c r="M1829" s="175" t="n">
        <v>0.0148</v>
      </c>
      <c r="N1829" s="176" t="n">
        <v>0.02104</v>
      </c>
      <c r="O1829" s="172" t="n">
        <v>1.1</v>
      </c>
      <c r="P1829" s="172" t="inlineStr">
        <is>
          <t>优先A</t>
        </is>
      </c>
      <c r="Q1829" s="178" t="n">
        <v>0.9</v>
      </c>
      <c r="R1829" s="179">
        <f>Q1199*J1199</f>
        <v/>
      </c>
      <c r="S1829" s="177" t="inlineStr">
        <is>
          <t>AAA</t>
        </is>
      </c>
      <c r="T1829" s="178" t="n">
        <v>0.0162</v>
      </c>
      <c r="U1829" s="177" t="inlineStr">
        <is>
          <t>交银理财</t>
        </is>
      </c>
      <c r="V1829" s="192" t="n">
        <v>0.5</v>
      </c>
      <c r="W1829" s="175" t="n">
        <v>0.016</v>
      </c>
      <c r="X1829" s="172" t="inlineStr">
        <is>
          <t>交银理财</t>
        </is>
      </c>
      <c r="Y1829" s="191" t="n">
        <v>0.5</v>
      </c>
    </row>
    <row r="1830">
      <c r="A1830" s="172" t="n">
        <v>100</v>
      </c>
      <c r="B1830" s="172" t="inlineStr">
        <is>
          <t>6月</t>
        </is>
      </c>
      <c r="C1830" s="173" t="inlineStr">
        <is>
          <t>消金</t>
        </is>
      </c>
      <c r="D1830" s="173" t="inlineStr">
        <is>
          <t>金条&amp;白取混发</t>
        </is>
      </c>
      <c r="E1830" s="173" t="inlineStr">
        <is>
          <t>东樾4号春樾（4-1）</t>
        </is>
      </c>
      <c r="F1830" s="173" t="inlineStr">
        <is>
          <t>上交所</t>
        </is>
      </c>
      <c r="G1830" s="173" t="inlineStr">
        <is>
          <t>国泰海通</t>
        </is>
      </c>
      <c r="H1830" s="173" t="inlineStr">
        <is>
          <t>中信建投/招商证券/光大证券/中信证券</t>
        </is>
      </c>
      <c r="I1830" s="173" t="inlineStr">
        <is>
          <t>中行北分</t>
        </is>
      </c>
      <c r="J1830" s="172" t="n">
        <v>15</v>
      </c>
      <c r="K1830" s="173" t="inlineStr">
        <is>
          <t>12+10+12</t>
        </is>
      </c>
      <c r="L1830" s="202" t="n">
        <v>46198</v>
      </c>
      <c r="M1830" s="175" t="n">
        <v>0.0148</v>
      </c>
      <c r="N1830" s="176" t="n">
        <v>0.02104</v>
      </c>
      <c r="O1830" s="172" t="n">
        <v>1.1</v>
      </c>
      <c r="P1830" s="172" t="inlineStr">
        <is>
          <t>优先A</t>
        </is>
      </c>
      <c r="Q1830" s="178" t="n">
        <v>0.9</v>
      </c>
      <c r="R1830" s="179">
        <f>Q1199*J1199</f>
        <v/>
      </c>
      <c r="S1830" s="177" t="inlineStr">
        <is>
          <t>AAA</t>
        </is>
      </c>
      <c r="T1830" s="178" t="n">
        <v>0.0162</v>
      </c>
      <c r="U1830" s="177" t="inlineStr">
        <is>
          <t>德邦证券自营</t>
        </is>
      </c>
      <c r="V1830" s="192" t="n">
        <v>0.5</v>
      </c>
      <c r="W1830" s="175" t="n">
        <v>0.0162</v>
      </c>
      <c r="X1830" s="172" t="inlineStr">
        <is>
          <t>德邦证券</t>
        </is>
      </c>
      <c r="Y1830" s="191" t="n">
        <v>0.5</v>
      </c>
    </row>
    <row r="1831">
      <c r="A1831" s="172" t="n">
        <v>100</v>
      </c>
      <c r="B1831" s="172" t="inlineStr">
        <is>
          <t>6月</t>
        </is>
      </c>
      <c r="C1831" s="173" t="inlineStr">
        <is>
          <t>消金</t>
        </is>
      </c>
      <c r="D1831" s="173" t="inlineStr">
        <is>
          <t>金条&amp;白取混发</t>
        </is>
      </c>
      <c r="E1831" s="173" t="inlineStr">
        <is>
          <t>东樾4号春樾（4-1）</t>
        </is>
      </c>
      <c r="F1831" s="173" t="inlineStr">
        <is>
          <t>上交所</t>
        </is>
      </c>
      <c r="G1831" s="173" t="inlineStr">
        <is>
          <t>国泰海通</t>
        </is>
      </c>
      <c r="H1831" s="173" t="inlineStr">
        <is>
          <t>中信建投/招商证券/光大证券/中信证券</t>
        </is>
      </c>
      <c r="I1831" s="173" t="inlineStr">
        <is>
          <t>中行北分</t>
        </is>
      </c>
      <c r="J1831" s="172" t="n">
        <v>15</v>
      </c>
      <c r="K1831" s="173" t="inlineStr">
        <is>
          <t>12+10+12</t>
        </is>
      </c>
      <c r="L1831" s="202" t="n">
        <v>46198</v>
      </c>
      <c r="M1831" s="175" t="n">
        <v>0.0148</v>
      </c>
      <c r="N1831" s="176" t="n">
        <v>0.02104</v>
      </c>
      <c r="O1831" s="172" t="n">
        <v>1.1</v>
      </c>
      <c r="P1831" s="172" t="inlineStr">
        <is>
          <t>优先A</t>
        </is>
      </c>
      <c r="Q1831" s="178" t="n">
        <v>0.9</v>
      </c>
      <c r="R1831" s="179">
        <f>Q1199*J1199</f>
        <v/>
      </c>
      <c r="S1831" s="177" t="inlineStr">
        <is>
          <t>AAA</t>
        </is>
      </c>
      <c r="T1831" s="178" t="n">
        <v>0.0162</v>
      </c>
      <c r="U1831" s="177" t="inlineStr">
        <is>
          <t>国泰海通投行</t>
        </is>
      </c>
      <c r="V1831" s="192" t="n">
        <v>0.5600000000000001</v>
      </c>
      <c r="W1831" s="175" t="n">
        <v>0.0162</v>
      </c>
      <c r="X1831" s="172" t="inlineStr">
        <is>
          <t>国泰海通</t>
        </is>
      </c>
      <c r="Y1831" s="191" t="n">
        <v>0.5600000000000001</v>
      </c>
    </row>
    <row r="1832">
      <c r="A1832" s="172" t="n">
        <v>100</v>
      </c>
      <c r="B1832" s="172" t="inlineStr">
        <is>
          <t>6月</t>
        </is>
      </c>
      <c r="C1832" s="173" t="inlineStr">
        <is>
          <t>消金</t>
        </is>
      </c>
      <c r="D1832" s="173" t="inlineStr">
        <is>
          <t>金条&amp;白取混发</t>
        </is>
      </c>
      <c r="E1832" s="173" t="inlineStr">
        <is>
          <t>东樾4号春樾（4-1）</t>
        </is>
      </c>
      <c r="F1832" s="173" t="inlineStr">
        <is>
          <t>上交所</t>
        </is>
      </c>
      <c r="G1832" s="173" t="inlineStr">
        <is>
          <t>国泰海通</t>
        </is>
      </c>
      <c r="H1832" s="173" t="inlineStr">
        <is>
          <t>中信建投/招商证券/光大证券/中信证券</t>
        </is>
      </c>
      <c r="I1832" s="173" t="inlineStr">
        <is>
          <t>中行北分</t>
        </is>
      </c>
      <c r="J1832" s="172" t="n">
        <v>15</v>
      </c>
      <c r="K1832" s="173" t="inlineStr">
        <is>
          <t>12+10+12</t>
        </is>
      </c>
      <c r="L1832" s="202" t="n">
        <v>46198</v>
      </c>
      <c r="M1832" s="175" t="n">
        <v>0.0148</v>
      </c>
      <c r="N1832" s="176" t="n">
        <v>0.02104</v>
      </c>
      <c r="O1832" s="172" t="n">
        <v>1.1</v>
      </c>
      <c r="P1832" s="172" t="inlineStr">
        <is>
          <t>优先A</t>
        </is>
      </c>
      <c r="Q1832" s="178" t="n">
        <v>0.9</v>
      </c>
      <c r="R1832" s="179">
        <f>Q1199*J1199</f>
        <v/>
      </c>
      <c r="S1832" s="177" t="inlineStr">
        <is>
          <t>AAA</t>
        </is>
      </c>
      <c r="T1832" s="178" t="n">
        <v>0.0162</v>
      </c>
      <c r="U1832" s="177" t="inlineStr">
        <is>
          <t>光大证券投行</t>
        </is>
      </c>
      <c r="V1832" s="192" t="n">
        <v>0.25</v>
      </c>
      <c r="W1832" s="175" t="n">
        <v>0.0162</v>
      </c>
      <c r="X1832" s="172" t="inlineStr">
        <is>
          <t>光大证券</t>
        </is>
      </c>
      <c r="Y1832" s="191" t="n">
        <v>0.25</v>
      </c>
    </row>
    <row r="1833">
      <c r="A1833" s="172" t="n">
        <v>100</v>
      </c>
      <c r="B1833" s="172" t="inlineStr">
        <is>
          <t>6月</t>
        </is>
      </c>
      <c r="C1833" s="173" t="inlineStr">
        <is>
          <t>消金</t>
        </is>
      </c>
      <c r="D1833" s="173" t="inlineStr">
        <is>
          <t>金条&amp;白取混发</t>
        </is>
      </c>
      <c r="E1833" s="173" t="inlineStr">
        <is>
          <t>东樾4号春樾（4-1）</t>
        </is>
      </c>
      <c r="F1833" s="173" t="inlineStr">
        <is>
          <t>上交所</t>
        </is>
      </c>
      <c r="G1833" s="173" t="inlineStr">
        <is>
          <t>国泰海通</t>
        </is>
      </c>
      <c r="H1833" s="173" t="inlineStr">
        <is>
          <t>中信建投/招商证券/光大证券/中信证券</t>
        </is>
      </c>
      <c r="I1833" s="173" t="inlineStr">
        <is>
          <t>中行北分</t>
        </is>
      </c>
      <c r="J1833" s="172" t="n">
        <v>15</v>
      </c>
      <c r="K1833" s="173" t="inlineStr">
        <is>
          <t>12+10+12</t>
        </is>
      </c>
      <c r="L1833" s="202" t="n">
        <v>46198</v>
      </c>
      <c r="M1833" s="175" t="n">
        <v>0.0148</v>
      </c>
      <c r="N1833" s="176" t="n">
        <v>0.02104</v>
      </c>
      <c r="O1833" s="172" t="n">
        <v>1.1</v>
      </c>
      <c r="P1833" s="172" t="inlineStr">
        <is>
          <t>优先A</t>
        </is>
      </c>
      <c r="Q1833" s="178" t="n">
        <v>0.9</v>
      </c>
      <c r="R1833" s="179">
        <f>Q1199*J1199</f>
        <v/>
      </c>
      <c r="S1833" s="177" t="inlineStr">
        <is>
          <t>AAA</t>
        </is>
      </c>
      <c r="T1833" s="178" t="n">
        <v>0.0162</v>
      </c>
      <c r="U1833" s="177" t="inlineStr">
        <is>
          <t>招商证券投行</t>
        </is>
      </c>
      <c r="V1833" s="192" t="n">
        <v>0.25</v>
      </c>
      <c r="W1833" s="175" t="n">
        <v>0.0162</v>
      </c>
      <c r="X1833" s="172" t="inlineStr">
        <is>
          <t>招商证券</t>
        </is>
      </c>
      <c r="Y1833" s="191" t="n">
        <v>0.25</v>
      </c>
    </row>
    <row r="1834">
      <c r="A1834" s="172" t="n">
        <v>100</v>
      </c>
      <c r="B1834" s="172" t="inlineStr">
        <is>
          <t>6月</t>
        </is>
      </c>
      <c r="C1834" s="173" t="inlineStr">
        <is>
          <t>消金</t>
        </is>
      </c>
      <c r="D1834" s="173" t="inlineStr">
        <is>
          <t>金条&amp;白取混发</t>
        </is>
      </c>
      <c r="E1834" s="173" t="inlineStr">
        <is>
          <t>东樾4号春樾（4-1）</t>
        </is>
      </c>
      <c r="F1834" s="173" t="inlineStr">
        <is>
          <t>上交所</t>
        </is>
      </c>
      <c r="G1834" s="173" t="inlineStr">
        <is>
          <t>国泰海通</t>
        </is>
      </c>
      <c r="H1834" s="173" t="inlineStr">
        <is>
          <t>中信建投/招商证券/光大证券/中信证券</t>
        </is>
      </c>
      <c r="I1834" s="173" t="inlineStr">
        <is>
          <t>中行北分</t>
        </is>
      </c>
      <c r="J1834" s="172" t="n">
        <v>15</v>
      </c>
      <c r="K1834" s="173" t="inlineStr">
        <is>
          <t>12+10+12</t>
        </is>
      </c>
      <c r="L1834" s="202" t="n">
        <v>46198</v>
      </c>
      <c r="M1834" s="175" t="n">
        <v>0.0148</v>
      </c>
      <c r="N1834" s="176" t="n">
        <v>0.02104</v>
      </c>
      <c r="O1834" s="172" t="n">
        <v>1.1</v>
      </c>
      <c r="P1834" s="172" t="inlineStr">
        <is>
          <t>优先A</t>
        </is>
      </c>
      <c r="Q1834" s="178" t="n">
        <v>0.9</v>
      </c>
      <c r="R1834" s="179">
        <f>Q1199*J1199</f>
        <v/>
      </c>
      <c r="S1834" s="177" t="inlineStr">
        <is>
          <t>AAA</t>
        </is>
      </c>
      <c r="T1834" s="178" t="n">
        <v>0.0162</v>
      </c>
      <c r="U1834" s="177" t="inlineStr">
        <is>
          <t>中信建投投行</t>
        </is>
      </c>
      <c r="V1834" s="192" t="n">
        <v>0.25</v>
      </c>
      <c r="W1834" s="175" t="n">
        <v>0.0162</v>
      </c>
      <c r="X1834" s="172" t="inlineStr">
        <is>
          <t>中信建投</t>
        </is>
      </c>
      <c r="Y1834" s="191" t="n">
        <v>0.25</v>
      </c>
    </row>
    <row r="1835">
      <c r="A1835" s="172" t="n">
        <v>100</v>
      </c>
      <c r="B1835" s="172" t="inlineStr">
        <is>
          <t>6月</t>
        </is>
      </c>
      <c r="C1835" s="173" t="inlineStr">
        <is>
          <t>消金</t>
        </is>
      </c>
      <c r="D1835" s="173" t="inlineStr">
        <is>
          <t>金条&amp;白取混发</t>
        </is>
      </c>
      <c r="E1835" s="173" t="inlineStr">
        <is>
          <t>东樾4号春樾（4-1）</t>
        </is>
      </c>
      <c r="F1835" s="173" t="inlineStr">
        <is>
          <t>上交所</t>
        </is>
      </c>
      <c r="G1835" s="173" t="inlineStr">
        <is>
          <t>国泰海通</t>
        </is>
      </c>
      <c r="H1835" s="173" t="inlineStr">
        <is>
          <t>中信建投/招商证券/光大证券/中信证券</t>
        </is>
      </c>
      <c r="I1835" s="173" t="inlineStr">
        <is>
          <t>中行北分</t>
        </is>
      </c>
      <c r="J1835" s="172" t="n">
        <v>15</v>
      </c>
      <c r="K1835" s="173" t="inlineStr">
        <is>
          <t>12+10+12</t>
        </is>
      </c>
      <c r="L1835" s="202" t="n">
        <v>46198</v>
      </c>
      <c r="M1835" s="175" t="n">
        <v>0.0148</v>
      </c>
      <c r="N1835" s="176" t="n">
        <v>0.02104</v>
      </c>
      <c r="O1835" s="172" t="n">
        <v>1.1</v>
      </c>
      <c r="P1835" s="172" t="inlineStr">
        <is>
          <t>优先A</t>
        </is>
      </c>
      <c r="Q1835" s="178" t="n">
        <v>0.9</v>
      </c>
      <c r="R1835" s="179">
        <f>Q1199*J1199</f>
        <v/>
      </c>
      <c r="S1835" s="177" t="inlineStr">
        <is>
          <t>AAA</t>
        </is>
      </c>
      <c r="T1835" s="178" t="n">
        <v>0.0162</v>
      </c>
      <c r="U1835" s="177" t="inlineStr">
        <is>
          <t>中信证券投行</t>
        </is>
      </c>
      <c r="V1835" s="192" t="n">
        <v>0.25</v>
      </c>
      <c r="W1835" s="175" t="n">
        <v>0.0162</v>
      </c>
      <c r="X1835" s="172" t="inlineStr">
        <is>
          <t>中信证券</t>
        </is>
      </c>
      <c r="Y1835" s="191" t="n">
        <v>0.25</v>
      </c>
    </row>
    <row r="1836">
      <c r="A1836" s="172" t="n">
        <v>100</v>
      </c>
      <c r="B1836" s="172" t="inlineStr">
        <is>
          <t>6月</t>
        </is>
      </c>
      <c r="C1836" s="173" t="inlineStr">
        <is>
          <t>消金</t>
        </is>
      </c>
      <c r="D1836" s="173" t="inlineStr">
        <is>
          <t>金条&amp;白取混发</t>
        </is>
      </c>
      <c r="E1836" s="173" t="inlineStr">
        <is>
          <t>东樾4号春樾（4-1）</t>
        </is>
      </c>
      <c r="F1836" s="173" t="inlineStr">
        <is>
          <t>上交所</t>
        </is>
      </c>
      <c r="G1836" s="173" t="inlineStr">
        <is>
          <t>国泰海通</t>
        </is>
      </c>
      <c r="H1836" s="173" t="inlineStr">
        <is>
          <t>中信建投/招商证券/光大证券/中信证券</t>
        </is>
      </c>
      <c r="I1836" s="173" t="inlineStr">
        <is>
          <t>中行北分</t>
        </is>
      </c>
      <c r="J1836" s="172" t="n">
        <v>15</v>
      </c>
      <c r="K1836" s="173" t="inlineStr">
        <is>
          <t>12+10+12</t>
        </is>
      </c>
      <c r="L1836" s="202" t="n">
        <v>46198</v>
      </c>
      <c r="M1836" s="175" t="n">
        <v>0.0148</v>
      </c>
      <c r="N1836" s="176" t="n">
        <v>0.02104</v>
      </c>
      <c r="O1836" s="172" t="n">
        <v>1.1</v>
      </c>
      <c r="P1836" s="172" t="inlineStr">
        <is>
          <t>优先A</t>
        </is>
      </c>
      <c r="Q1836" s="178" t="n">
        <v>0.9</v>
      </c>
      <c r="R1836" s="179">
        <f>Q1199*J1199</f>
        <v/>
      </c>
      <c r="S1836" s="177" t="inlineStr">
        <is>
          <t>AAA</t>
        </is>
      </c>
      <c r="T1836" s="178" t="n">
        <v>0.0162</v>
      </c>
      <c r="U1836" s="177" t="inlineStr">
        <is>
          <t>国信证券自营</t>
        </is>
      </c>
      <c r="V1836" s="192" t="n">
        <v>0.8</v>
      </c>
      <c r="W1836" s="175" t="n">
        <v>0.0162</v>
      </c>
      <c r="X1836" s="172" t="inlineStr">
        <is>
          <t>国信证券</t>
        </is>
      </c>
      <c r="Y1836" s="191" t="n">
        <v>0.8</v>
      </c>
    </row>
    <row r="1837">
      <c r="A1837" s="172" t="n">
        <v>100</v>
      </c>
      <c r="B1837" s="172" t="inlineStr">
        <is>
          <t>6月</t>
        </is>
      </c>
      <c r="C1837" s="173" t="inlineStr">
        <is>
          <t>消金</t>
        </is>
      </c>
      <c r="D1837" s="173" t="inlineStr">
        <is>
          <t>金条&amp;白取混发</t>
        </is>
      </c>
      <c r="E1837" s="173" t="inlineStr">
        <is>
          <t>东樾4号春樾（4-1）</t>
        </is>
      </c>
      <c r="F1837" s="173" t="inlineStr">
        <is>
          <t>上交所</t>
        </is>
      </c>
      <c r="G1837" s="173" t="inlineStr">
        <is>
          <t>国泰海通</t>
        </is>
      </c>
      <c r="H1837" s="173" t="inlineStr">
        <is>
          <t>中信建投/招商证券/光大证券/中信证券</t>
        </is>
      </c>
      <c r="I1837" s="173" t="inlineStr">
        <is>
          <t>中行北分</t>
        </is>
      </c>
      <c r="J1837" s="172" t="n">
        <v>15</v>
      </c>
      <c r="K1837" s="173" t="inlineStr">
        <is>
          <t>12+10+12</t>
        </is>
      </c>
      <c r="L1837" s="202" t="n">
        <v>46198</v>
      </c>
      <c r="M1837" s="175" t="n">
        <v>0.0148</v>
      </c>
      <c r="N1837" s="176" t="n">
        <v>0.02104</v>
      </c>
      <c r="O1837" s="172" t="n">
        <v>1.1</v>
      </c>
      <c r="P1837" s="172" t="inlineStr">
        <is>
          <t>优先A</t>
        </is>
      </c>
      <c r="Q1837" s="178" t="n">
        <v>0.9</v>
      </c>
      <c r="R1837" s="179">
        <f>Q1199*J1199</f>
        <v/>
      </c>
      <c r="S1837" s="177" t="inlineStr">
        <is>
          <t>AAA</t>
        </is>
      </c>
      <c r="T1837" s="178" t="n">
        <v>0.0162</v>
      </c>
      <c r="U1837" s="177" t="inlineStr">
        <is>
          <t>中金自营</t>
        </is>
      </c>
      <c r="V1837" s="192" t="n">
        <v>0.5</v>
      </c>
      <c r="W1837" s="172" t="n"/>
      <c r="X1837" s="172" t="n"/>
      <c r="Y1837" s="172" t="n"/>
    </row>
    <row r="1838">
      <c r="A1838" s="172" t="n">
        <v>100</v>
      </c>
      <c r="B1838" s="172" t="inlineStr">
        <is>
          <t>6月</t>
        </is>
      </c>
      <c r="C1838" s="172" t="inlineStr">
        <is>
          <t>消金</t>
        </is>
      </c>
      <c r="D1838" s="172" t="inlineStr">
        <is>
          <t>金条&amp;白取混发</t>
        </is>
      </c>
      <c r="E1838" s="172" t="inlineStr">
        <is>
          <t>东樾4号春樾（4-1）</t>
        </is>
      </c>
      <c r="F1838" s="172" t="inlineStr">
        <is>
          <t>上交所</t>
        </is>
      </c>
      <c r="G1838" s="172" t="inlineStr">
        <is>
          <t>国泰海通</t>
        </is>
      </c>
      <c r="H1838" s="172" t="inlineStr">
        <is>
          <t>中信建投/招商证券/光大证券/中信证券</t>
        </is>
      </c>
      <c r="I1838" s="172" t="inlineStr">
        <is>
          <t>中行北分</t>
        </is>
      </c>
      <c r="J1838" s="172" t="n">
        <v>15</v>
      </c>
      <c r="K1838" s="172" t="inlineStr">
        <is>
          <t>12+10+12</t>
        </is>
      </c>
      <c r="L1838" s="208" t="n">
        <v>46198</v>
      </c>
      <c r="M1838" s="175" t="n">
        <v>0.0148</v>
      </c>
      <c r="N1838" s="176" t="n">
        <v>0.02104</v>
      </c>
      <c r="O1838" s="172" t="n">
        <v>1.1</v>
      </c>
      <c r="P1838" s="172" t="inlineStr">
        <is>
          <t>优先A</t>
        </is>
      </c>
      <c r="Q1838" s="175" t="n">
        <v>0.9</v>
      </c>
      <c r="R1838" s="172">
        <f>Q1199*J1199</f>
        <v/>
      </c>
      <c r="S1838" s="172" t="inlineStr">
        <is>
          <t>AAA</t>
        </is>
      </c>
      <c r="T1838" s="175" t="n">
        <v>0.0162</v>
      </c>
      <c r="U1838" s="172" t="n"/>
      <c r="V1838" s="172" t="n"/>
      <c r="W1838" s="175" t="n">
        <v>0.0168</v>
      </c>
      <c r="X1838" s="172" t="inlineStr">
        <is>
          <t>广银理财</t>
        </is>
      </c>
      <c r="Y1838" s="191" t="n">
        <v>1</v>
      </c>
    </row>
    <row r="1839">
      <c r="A1839" s="172" t="n">
        <v>100</v>
      </c>
      <c r="B1839" s="172" t="inlineStr">
        <is>
          <t>6月</t>
        </is>
      </c>
      <c r="C1839" s="172" t="inlineStr">
        <is>
          <t>消金</t>
        </is>
      </c>
      <c r="D1839" s="172" t="inlineStr">
        <is>
          <t>金条&amp;白取混发</t>
        </is>
      </c>
      <c r="E1839" s="172" t="inlineStr">
        <is>
          <t>东樾4号春樾（4-1）</t>
        </is>
      </c>
      <c r="F1839" s="172" t="inlineStr">
        <is>
          <t>上交所</t>
        </is>
      </c>
      <c r="G1839" s="172" t="inlineStr">
        <is>
          <t>国泰海通</t>
        </is>
      </c>
      <c r="H1839" s="172" t="inlineStr">
        <is>
          <t>中信建投/招商证券/光大证券/中信证券</t>
        </is>
      </c>
      <c r="I1839" s="172" t="inlineStr">
        <is>
          <t>中行北分</t>
        </is>
      </c>
      <c r="J1839" s="172" t="n">
        <v>15</v>
      </c>
      <c r="K1839" s="172" t="inlineStr">
        <is>
          <t>12+10+12</t>
        </is>
      </c>
      <c r="L1839" s="208" t="n">
        <v>46198</v>
      </c>
      <c r="M1839" s="175" t="n">
        <v>0.0148</v>
      </c>
      <c r="N1839" s="176" t="n">
        <v>0.02104</v>
      </c>
      <c r="O1839" s="172" t="n">
        <v>1.1</v>
      </c>
      <c r="P1839" s="172" t="inlineStr">
        <is>
          <t>优先A</t>
        </is>
      </c>
      <c r="Q1839" s="175" t="n">
        <v>0.9</v>
      </c>
      <c r="R1839" s="172">
        <f>Q1199*J1199</f>
        <v/>
      </c>
      <c r="S1839" s="172" t="inlineStr">
        <is>
          <t>AAA</t>
        </is>
      </c>
      <c r="T1839" s="175" t="n">
        <v>0.0162</v>
      </c>
      <c r="U1839" s="172" t="n"/>
      <c r="V1839" s="172" t="n"/>
      <c r="W1839" s="175" t="n">
        <v>0.0162</v>
      </c>
      <c r="X1839" s="172" t="inlineStr">
        <is>
          <t>中金公司</t>
        </is>
      </c>
      <c r="Y1839" s="191" t="n">
        <v>0.5</v>
      </c>
    </row>
    <row r="1840">
      <c r="A1840" s="172" t="n">
        <v>100</v>
      </c>
      <c r="B1840" s="172" t="inlineStr">
        <is>
          <t>6月</t>
        </is>
      </c>
      <c r="C1840" s="172" t="inlineStr">
        <is>
          <t>消金</t>
        </is>
      </c>
      <c r="D1840" s="172" t="inlineStr">
        <is>
          <t>金条&amp;白取混发</t>
        </is>
      </c>
      <c r="E1840" s="172" t="inlineStr">
        <is>
          <t>东樾4号春樾（4-1）</t>
        </is>
      </c>
      <c r="F1840" s="172" t="inlineStr">
        <is>
          <t>上交所</t>
        </is>
      </c>
      <c r="G1840" s="172" t="inlineStr">
        <is>
          <t>国泰海通</t>
        </is>
      </c>
      <c r="H1840" s="172" t="inlineStr">
        <is>
          <t>中信建投/招商证券/光大证券/中信证券</t>
        </is>
      </c>
      <c r="I1840" s="172" t="inlineStr">
        <is>
          <t>中行北分</t>
        </is>
      </c>
      <c r="J1840" s="172" t="n">
        <v>15</v>
      </c>
      <c r="K1840" s="172" t="inlineStr">
        <is>
          <t>12+10+12</t>
        </is>
      </c>
      <c r="L1840" s="208" t="n">
        <v>46198</v>
      </c>
      <c r="M1840" s="175" t="n">
        <v>0.0148</v>
      </c>
      <c r="N1840" s="176" t="n">
        <v>0.02104</v>
      </c>
      <c r="O1840" s="172" t="n">
        <v>1.1</v>
      </c>
      <c r="P1840" s="172" t="inlineStr">
        <is>
          <t>优先A</t>
        </is>
      </c>
      <c r="Q1840" s="175" t="n">
        <v>0.9</v>
      </c>
      <c r="R1840" s="172">
        <f>Q1199*J1199</f>
        <v/>
      </c>
      <c r="S1840" s="172" t="inlineStr">
        <is>
          <t>AAA</t>
        </is>
      </c>
      <c r="T1840" s="175" t="n">
        <v>0.0162</v>
      </c>
      <c r="U1840" s="172" t="n"/>
      <c r="V1840" s="172" t="n"/>
      <c r="W1840" s="175" t="n">
        <v>0.0165</v>
      </c>
      <c r="X1840" s="172" t="inlineStr">
        <is>
          <t>利曦基金</t>
        </is>
      </c>
      <c r="Y1840" s="191" t="n">
        <v>0.2</v>
      </c>
    </row>
    <row r="1841">
      <c r="A1841" s="172" t="n">
        <v>100</v>
      </c>
      <c r="B1841" s="172" t="inlineStr">
        <is>
          <t>6月</t>
        </is>
      </c>
      <c r="C1841" s="173" t="inlineStr">
        <is>
          <t>消金</t>
        </is>
      </c>
      <c r="D1841" s="173" t="inlineStr">
        <is>
          <t>金条&amp;白取混发</t>
        </is>
      </c>
      <c r="E1841" s="173" t="inlineStr">
        <is>
          <t>东樾4号春樾（4-1）</t>
        </is>
      </c>
      <c r="F1841" s="173" t="inlineStr">
        <is>
          <t>上交所</t>
        </is>
      </c>
      <c r="G1841" s="173" t="inlineStr">
        <is>
          <t>国泰海通</t>
        </is>
      </c>
      <c r="H1841" s="173" t="inlineStr">
        <is>
          <t>中信建投/招商证券/光大证券/中信证券</t>
        </is>
      </c>
      <c r="I1841" s="173" t="inlineStr">
        <is>
          <t>中行北分</t>
        </is>
      </c>
      <c r="J1841" s="172" t="n">
        <v>15</v>
      </c>
      <c r="K1841" s="173" t="inlineStr">
        <is>
          <t>12+10+12</t>
        </is>
      </c>
      <c r="L1841" s="202" t="n">
        <v>46198</v>
      </c>
      <c r="M1841" s="175" t="n">
        <v>0.0148</v>
      </c>
      <c r="N1841" s="176" t="n">
        <v>0.02104</v>
      </c>
      <c r="O1841" s="172" t="n">
        <v>1.1</v>
      </c>
      <c r="P1841" s="177" t="inlineStr">
        <is>
          <t>优先B</t>
        </is>
      </c>
      <c r="Q1841" s="178" t="n">
        <v>0.03</v>
      </c>
      <c r="R1841" s="179">
        <f>J1199*Q1211</f>
        <v/>
      </c>
      <c r="S1841" s="177" t="inlineStr">
        <is>
          <t>AA+</t>
        </is>
      </c>
      <c r="T1841" s="178" t="n">
        <v>0.0178</v>
      </c>
      <c r="U1841" s="177" t="inlineStr">
        <is>
          <t>招银理财</t>
        </is>
      </c>
      <c r="V1841" s="192" t="n">
        <v>0.13</v>
      </c>
      <c r="W1841" s="175" t="n">
        <v>0.017</v>
      </c>
      <c r="X1841" s="172" t="inlineStr">
        <is>
          <t>招银理财</t>
        </is>
      </c>
      <c r="Y1841" s="191" t="n">
        <v>0.13</v>
      </c>
    </row>
    <row r="1842">
      <c r="A1842" s="172" t="n">
        <v>100</v>
      </c>
      <c r="B1842" s="172" t="inlineStr">
        <is>
          <t>6月</t>
        </is>
      </c>
      <c r="C1842" s="173" t="inlineStr">
        <is>
          <t>消金</t>
        </is>
      </c>
      <c r="D1842" s="173" t="inlineStr">
        <is>
          <t>金条&amp;白取混发</t>
        </is>
      </c>
      <c r="E1842" s="173" t="inlineStr">
        <is>
          <t>东樾4号春樾（4-1）</t>
        </is>
      </c>
      <c r="F1842" s="173" t="inlineStr">
        <is>
          <t>上交所</t>
        </is>
      </c>
      <c r="G1842" s="173" t="inlineStr">
        <is>
          <t>国泰海通</t>
        </is>
      </c>
      <c r="H1842" s="173" t="inlineStr">
        <is>
          <t>中信建投/招商证券/光大证券/中信证券</t>
        </is>
      </c>
      <c r="I1842" s="173" t="inlineStr">
        <is>
          <t>中行北分</t>
        </is>
      </c>
      <c r="J1842" s="172" t="n">
        <v>15</v>
      </c>
      <c r="K1842" s="173" t="inlineStr">
        <is>
          <t>12+10+12</t>
        </is>
      </c>
      <c r="L1842" s="202" t="n">
        <v>46198</v>
      </c>
      <c r="M1842" s="175" t="n">
        <v>0.0148</v>
      </c>
      <c r="N1842" s="176" t="n">
        <v>0.02104</v>
      </c>
      <c r="O1842" s="172" t="n">
        <v>1.1</v>
      </c>
      <c r="P1842" s="172" t="inlineStr">
        <is>
          <t>优先B</t>
        </is>
      </c>
      <c r="Q1842" s="178" t="n">
        <v>0.03</v>
      </c>
      <c r="R1842" s="179">
        <f>J1199*Q1211</f>
        <v/>
      </c>
      <c r="S1842" s="177" t="inlineStr">
        <is>
          <t>AA+</t>
        </is>
      </c>
      <c r="T1842" s="178" t="n">
        <v>0.0178</v>
      </c>
      <c r="U1842" s="177" t="inlineStr">
        <is>
          <t>平安理财</t>
        </is>
      </c>
      <c r="V1842" s="192" t="n">
        <v>0.11</v>
      </c>
      <c r="W1842" s="175" t="n">
        <v>0.0178</v>
      </c>
      <c r="X1842" s="172" t="inlineStr">
        <is>
          <t>平安理财</t>
        </is>
      </c>
      <c r="Y1842" s="191" t="n">
        <v>0.11</v>
      </c>
    </row>
    <row r="1843">
      <c r="A1843" s="172" t="n">
        <v>100</v>
      </c>
      <c r="B1843" s="172" t="inlineStr">
        <is>
          <t>6月</t>
        </is>
      </c>
      <c r="C1843" s="173" t="inlineStr">
        <is>
          <t>消金</t>
        </is>
      </c>
      <c r="D1843" s="173" t="inlineStr">
        <is>
          <t>金条&amp;白取混发</t>
        </is>
      </c>
      <c r="E1843" s="173" t="inlineStr">
        <is>
          <t>东樾4号春樾（4-1）</t>
        </is>
      </c>
      <c r="F1843" s="173" t="inlineStr">
        <is>
          <t>上交所</t>
        </is>
      </c>
      <c r="G1843" s="173" t="inlineStr">
        <is>
          <t>国泰海通</t>
        </is>
      </c>
      <c r="H1843" s="173" t="inlineStr">
        <is>
          <t>中信建投/招商证券/光大证券/中信证券</t>
        </is>
      </c>
      <c r="I1843" s="173" t="inlineStr">
        <is>
          <t>中行北分</t>
        </is>
      </c>
      <c r="J1843" s="172" t="n">
        <v>15</v>
      </c>
      <c r="K1843" s="173" t="inlineStr">
        <is>
          <t>12+10+12</t>
        </is>
      </c>
      <c r="L1843" s="202" t="n">
        <v>46198</v>
      </c>
      <c r="M1843" s="175" t="n">
        <v>0.0148</v>
      </c>
      <c r="N1843" s="176" t="n">
        <v>0.02104</v>
      </c>
      <c r="O1843" s="172" t="n">
        <v>1.1</v>
      </c>
      <c r="P1843" s="172" t="inlineStr">
        <is>
          <t>优先B</t>
        </is>
      </c>
      <c r="Q1843" s="178" t="n">
        <v>0.03</v>
      </c>
      <c r="R1843" s="179">
        <f>J1199*Q1211</f>
        <v/>
      </c>
      <c r="S1843" s="177" t="inlineStr">
        <is>
          <t>AA+</t>
        </is>
      </c>
      <c r="T1843" s="178" t="n">
        <v>0.0178</v>
      </c>
      <c r="U1843" s="177" t="inlineStr">
        <is>
          <t>交银理财</t>
        </is>
      </c>
      <c r="V1843" s="195" t="n">
        <v>0.135</v>
      </c>
      <c r="W1843" s="175" t="n">
        <v>0.0165</v>
      </c>
      <c r="X1843" s="172" t="inlineStr">
        <is>
          <t>交银理财</t>
        </is>
      </c>
      <c r="Y1843" s="191" t="n">
        <v>0.1</v>
      </c>
    </row>
    <row r="1844">
      <c r="A1844" s="172" t="n">
        <v>100</v>
      </c>
      <c r="B1844" s="172" t="inlineStr">
        <is>
          <t>6月</t>
        </is>
      </c>
      <c r="C1844" s="172" t="inlineStr">
        <is>
          <t>消金</t>
        </is>
      </c>
      <c r="D1844" s="172" t="inlineStr">
        <is>
          <t>金条&amp;白取混发</t>
        </is>
      </c>
      <c r="E1844" s="172" t="inlineStr">
        <is>
          <t>东樾4号春樾（4-1）</t>
        </is>
      </c>
      <c r="F1844" s="172" t="inlineStr">
        <is>
          <t>上交所</t>
        </is>
      </c>
      <c r="G1844" s="172" t="inlineStr">
        <is>
          <t>国泰海通</t>
        </is>
      </c>
      <c r="H1844" s="172" t="inlineStr">
        <is>
          <t>中信建投/招商证券/光大证券/中信证券</t>
        </is>
      </c>
      <c r="I1844" s="172" t="inlineStr">
        <is>
          <t>中行北分</t>
        </is>
      </c>
      <c r="J1844" s="172" t="n">
        <v>15</v>
      </c>
      <c r="K1844" s="172" t="inlineStr">
        <is>
          <t>12+10+12</t>
        </is>
      </c>
      <c r="L1844" s="208" t="n">
        <v>46198</v>
      </c>
      <c r="M1844" s="175" t="n">
        <v>0.0148</v>
      </c>
      <c r="N1844" s="176" t="n">
        <v>0.02104</v>
      </c>
      <c r="O1844" s="172" t="n">
        <v>1.1</v>
      </c>
      <c r="P1844" s="172" t="inlineStr">
        <is>
          <t>优先B</t>
        </is>
      </c>
      <c r="Q1844" s="175" t="n">
        <v>0.03</v>
      </c>
      <c r="R1844" s="172">
        <f>J1199*Q1211</f>
        <v/>
      </c>
      <c r="S1844" s="172" t="inlineStr">
        <is>
          <t>AA+</t>
        </is>
      </c>
      <c r="T1844" s="175" t="n">
        <v>0.0178</v>
      </c>
      <c r="U1844" s="172" t="n"/>
      <c r="V1844" s="172" t="n"/>
      <c r="W1844" s="175" t="n">
        <v>0.0167</v>
      </c>
      <c r="X1844" s="172" t="inlineStr">
        <is>
          <t>交银理财</t>
        </is>
      </c>
      <c r="Y1844" s="191" t="n">
        <v>0.035</v>
      </c>
    </row>
    <row r="1845">
      <c r="A1845" s="172" t="n">
        <v>100</v>
      </c>
      <c r="B1845" s="172" t="inlineStr">
        <is>
          <t>6月</t>
        </is>
      </c>
      <c r="C1845" s="173" t="inlineStr">
        <is>
          <t>消金</t>
        </is>
      </c>
      <c r="D1845" s="173" t="inlineStr">
        <is>
          <t>金条&amp;白取混发</t>
        </is>
      </c>
      <c r="E1845" s="173" t="inlineStr">
        <is>
          <t>东樾4号春樾（4-1）</t>
        </is>
      </c>
      <c r="F1845" s="173" t="inlineStr">
        <is>
          <t>上交所</t>
        </is>
      </c>
      <c r="G1845" s="173" t="inlineStr">
        <is>
          <t>国泰海通</t>
        </is>
      </c>
      <c r="H1845" s="173" t="inlineStr">
        <is>
          <t>中信建投/招商证券/光大证券/中信证券</t>
        </is>
      </c>
      <c r="I1845" s="173" t="inlineStr">
        <is>
          <t>中行北分</t>
        </is>
      </c>
      <c r="J1845" s="172" t="n">
        <v>15</v>
      </c>
      <c r="K1845" s="173" t="inlineStr">
        <is>
          <t>12+10+12</t>
        </is>
      </c>
      <c r="L1845" s="202" t="n">
        <v>46198</v>
      </c>
      <c r="M1845" s="175" t="n">
        <v>0.0148</v>
      </c>
      <c r="N1845" s="176" t="n">
        <v>0.02104</v>
      </c>
      <c r="O1845" s="172" t="n">
        <v>1.1</v>
      </c>
      <c r="P1845" s="172" t="inlineStr">
        <is>
          <t>优先B</t>
        </is>
      </c>
      <c r="Q1845" s="178" t="n">
        <v>0.03</v>
      </c>
      <c r="R1845" s="179">
        <f>J1199*Q1211</f>
        <v/>
      </c>
      <c r="S1845" s="177" t="inlineStr">
        <is>
          <t>AA+</t>
        </is>
      </c>
      <c r="T1845" s="178" t="n">
        <v>0.0178</v>
      </c>
      <c r="U1845" s="177" t="inlineStr">
        <is>
          <t>国泰海通投行</t>
        </is>
      </c>
      <c r="V1845" s="195" t="n">
        <v>0.075</v>
      </c>
      <c r="W1845" s="175" t="n">
        <v>0.0178</v>
      </c>
      <c r="X1845" s="172" t="inlineStr">
        <is>
          <t>国泰海通</t>
        </is>
      </c>
      <c r="Y1845" s="191" t="n">
        <v>0.075</v>
      </c>
    </row>
    <row r="1846">
      <c r="A1846" s="172" t="n">
        <v>100</v>
      </c>
      <c r="B1846" s="172" t="inlineStr">
        <is>
          <t>6月</t>
        </is>
      </c>
      <c r="C1846" s="172" t="inlineStr">
        <is>
          <t>消金</t>
        </is>
      </c>
      <c r="D1846" s="172" t="inlineStr">
        <is>
          <t>金条&amp;白取混发</t>
        </is>
      </c>
      <c r="E1846" s="172" t="inlineStr">
        <is>
          <t>东樾4号春樾（4-1）</t>
        </is>
      </c>
      <c r="F1846" s="172" t="inlineStr">
        <is>
          <t>上交所</t>
        </is>
      </c>
      <c r="G1846" s="172" t="inlineStr">
        <is>
          <t>国泰海通</t>
        </is>
      </c>
      <c r="H1846" s="172" t="inlineStr">
        <is>
          <t>中信建投/招商证券/光大证券/中信证券</t>
        </is>
      </c>
      <c r="I1846" s="172" t="inlineStr">
        <is>
          <t>中行北分</t>
        </is>
      </c>
      <c r="J1846" s="172" t="n">
        <v>15</v>
      </c>
      <c r="K1846" s="172" t="inlineStr">
        <is>
          <t>12+10+12</t>
        </is>
      </c>
      <c r="L1846" s="208" t="n">
        <v>46198</v>
      </c>
      <c r="M1846" s="175" t="n">
        <v>0.0148</v>
      </c>
      <c r="N1846" s="176" t="n">
        <v>0.02104</v>
      </c>
      <c r="O1846" s="172" t="n">
        <v>1.1</v>
      </c>
      <c r="P1846" s="172" t="inlineStr">
        <is>
          <t>优先B</t>
        </is>
      </c>
      <c r="Q1846" s="175" t="n">
        <v>0.03</v>
      </c>
      <c r="R1846" s="172">
        <f>J1199*Q1211</f>
        <v/>
      </c>
      <c r="S1846" s="172" t="inlineStr">
        <is>
          <t>AA+</t>
        </is>
      </c>
      <c r="T1846" s="175" t="n">
        <v>0.0178</v>
      </c>
      <c r="U1846" s="172" t="n"/>
      <c r="V1846" s="172" t="n"/>
      <c r="W1846" s="175" t="n">
        <v>0.0185</v>
      </c>
      <c r="X1846" s="172" t="inlineStr">
        <is>
          <t>中金公司</t>
        </is>
      </c>
      <c r="Y1846" s="191" t="n">
        <v>0.2</v>
      </c>
    </row>
    <row r="1847">
      <c r="A1847" s="172" t="n">
        <v>100</v>
      </c>
      <c r="B1847" s="172" t="inlineStr">
        <is>
          <t>6月</t>
        </is>
      </c>
      <c r="C1847" s="173" t="inlineStr">
        <is>
          <t>消金</t>
        </is>
      </c>
      <c r="D1847" s="173" t="inlineStr">
        <is>
          <t>金条&amp;白取混发</t>
        </is>
      </c>
      <c r="E1847" s="173" t="inlineStr">
        <is>
          <t>东樾4号春樾（4-1）</t>
        </is>
      </c>
      <c r="F1847" s="173" t="inlineStr">
        <is>
          <t>上交所</t>
        </is>
      </c>
      <c r="G1847" s="173" t="inlineStr">
        <is>
          <t>国泰海通</t>
        </is>
      </c>
      <c r="H1847" s="173" t="inlineStr">
        <is>
          <t>中信建投/招商证券/光大证券/中信证券</t>
        </is>
      </c>
      <c r="I1847" s="173" t="inlineStr">
        <is>
          <t>中行北分</t>
        </is>
      </c>
      <c r="J1847" s="172" t="n">
        <v>15</v>
      </c>
      <c r="K1847" s="173" t="inlineStr">
        <is>
          <t>12+10+12</t>
        </is>
      </c>
      <c r="L1847" s="202" t="n">
        <v>46198</v>
      </c>
      <c r="M1847" s="175" t="n">
        <v>0.0148</v>
      </c>
      <c r="N1847" s="176" t="n">
        <v>0.02104</v>
      </c>
      <c r="O1847" s="172" t="n">
        <v>1.1</v>
      </c>
      <c r="P1847" s="177" t="inlineStr">
        <is>
          <t>中间级</t>
        </is>
      </c>
      <c r="Q1847" s="178" t="n">
        <v>0.02</v>
      </c>
      <c r="R1847" s="179">
        <f>Q1215*J1199</f>
        <v/>
      </c>
      <c r="S1847" s="177" t="inlineStr">
        <is>
          <t>A+</t>
        </is>
      </c>
      <c r="T1847" s="178" t="n">
        <v>0.031</v>
      </c>
      <c r="U1847" s="177" t="inlineStr">
        <is>
          <t>申万宏源自营</t>
        </is>
      </c>
      <c r="V1847" s="192" t="n">
        <v>0.1</v>
      </c>
      <c r="W1847" s="172" t="n"/>
      <c r="X1847" s="172" t="n"/>
      <c r="Y1847" s="172" t="n"/>
    </row>
    <row r="1848">
      <c r="A1848" s="172" t="n">
        <v>100</v>
      </c>
      <c r="B1848" s="172" t="inlineStr">
        <is>
          <t>6月</t>
        </is>
      </c>
      <c r="C1848" s="173" t="inlineStr">
        <is>
          <t>消金</t>
        </is>
      </c>
      <c r="D1848" s="173" t="inlineStr">
        <is>
          <t>金条&amp;白取混发</t>
        </is>
      </c>
      <c r="E1848" s="173" t="inlineStr">
        <is>
          <t>东樾4号春樾（4-1）</t>
        </is>
      </c>
      <c r="F1848" s="173" t="inlineStr">
        <is>
          <t>上交所</t>
        </is>
      </c>
      <c r="G1848" s="173" t="inlineStr">
        <is>
          <t>国泰海通</t>
        </is>
      </c>
      <c r="H1848" s="173" t="inlineStr">
        <is>
          <t>中信建投/招商证券/光大证券/中信证券</t>
        </is>
      </c>
      <c r="I1848" s="173" t="inlineStr">
        <is>
          <t>中行北分</t>
        </is>
      </c>
      <c r="J1848" s="172" t="n">
        <v>15</v>
      </c>
      <c r="K1848" s="173" t="inlineStr">
        <is>
          <t>12+10+12</t>
        </is>
      </c>
      <c r="L1848" s="202" t="n">
        <v>46198</v>
      </c>
      <c r="M1848" s="175" t="n">
        <v>0.0148</v>
      </c>
      <c r="N1848" s="176" t="n">
        <v>0.02104</v>
      </c>
      <c r="O1848" s="172" t="n">
        <v>1.1</v>
      </c>
      <c r="P1848" s="172" t="inlineStr">
        <is>
          <t>中间级</t>
        </is>
      </c>
      <c r="Q1848" s="178" t="n">
        <v>0.02</v>
      </c>
      <c r="R1848" s="179">
        <f>Q1215*J1199</f>
        <v/>
      </c>
      <c r="S1848" s="177" t="inlineStr">
        <is>
          <t>A+</t>
        </is>
      </c>
      <c r="T1848" s="178" t="n">
        <v>0.031</v>
      </c>
      <c r="U1848" s="177" t="inlineStr">
        <is>
          <t>中金财富</t>
        </is>
      </c>
      <c r="V1848" s="192" t="n">
        <v>0.1</v>
      </c>
      <c r="W1848" s="172" t="n"/>
      <c r="X1848" s="172" t="n"/>
      <c r="Y1848" s="172" t="n"/>
    </row>
    <row r="1849">
      <c r="A1849" s="172" t="n">
        <v>100</v>
      </c>
      <c r="B1849" s="172" t="inlineStr">
        <is>
          <t>6月</t>
        </is>
      </c>
      <c r="C1849" s="173" t="inlineStr">
        <is>
          <t>消金</t>
        </is>
      </c>
      <c r="D1849" s="173" t="inlineStr">
        <is>
          <t>金条&amp;白取混发</t>
        </is>
      </c>
      <c r="E1849" s="173" t="inlineStr">
        <is>
          <t>东樾4号春樾（4-1）</t>
        </is>
      </c>
      <c r="F1849" s="173" t="inlineStr">
        <is>
          <t>上交所</t>
        </is>
      </c>
      <c r="G1849" s="173" t="inlineStr">
        <is>
          <t>国泰海通</t>
        </is>
      </c>
      <c r="H1849" s="173" t="inlineStr">
        <is>
          <t>中信建投/招商证券/光大证券/中信证券</t>
        </is>
      </c>
      <c r="I1849" s="173" t="inlineStr">
        <is>
          <t>中行北分</t>
        </is>
      </c>
      <c r="J1849" s="172" t="n">
        <v>15</v>
      </c>
      <c r="K1849" s="173" t="inlineStr">
        <is>
          <t>12+10+12</t>
        </is>
      </c>
      <c r="L1849" s="202" t="n">
        <v>46198</v>
      </c>
      <c r="M1849" s="175" t="n">
        <v>0.0148</v>
      </c>
      <c r="N1849" s="176" t="n">
        <v>0.02104</v>
      </c>
      <c r="O1849" s="172" t="n">
        <v>1.1</v>
      </c>
      <c r="P1849" s="172" t="inlineStr">
        <is>
          <t>中间级</t>
        </is>
      </c>
      <c r="Q1849" s="178" t="n">
        <v>0.02</v>
      </c>
      <c r="R1849" s="179">
        <f>Q1215*J1199</f>
        <v/>
      </c>
      <c r="S1849" s="177" t="inlineStr">
        <is>
          <t>A+</t>
        </is>
      </c>
      <c r="T1849" s="178" t="n">
        <v>0.031</v>
      </c>
      <c r="U1849" s="177" t="inlineStr">
        <is>
          <t>中信证券投顾</t>
        </is>
      </c>
      <c r="V1849" s="192" t="n">
        <v>0.1</v>
      </c>
      <c r="W1849" s="172" t="n"/>
      <c r="X1849" s="172" t="n"/>
      <c r="Y1849" s="172" t="n"/>
    </row>
    <row r="1850">
      <c r="A1850" s="172" t="n">
        <v>100</v>
      </c>
      <c r="B1850" s="172" t="inlineStr">
        <is>
          <t>6月</t>
        </is>
      </c>
      <c r="C1850" s="173" t="inlineStr">
        <is>
          <t>消金</t>
        </is>
      </c>
      <c r="D1850" s="173" t="inlineStr">
        <is>
          <t>金条&amp;白取混发</t>
        </is>
      </c>
      <c r="E1850" s="173" t="inlineStr">
        <is>
          <t>东樾4号春樾（4-1）</t>
        </is>
      </c>
      <c r="F1850" s="173" t="inlineStr">
        <is>
          <t>上交所</t>
        </is>
      </c>
      <c r="G1850" s="173" t="inlineStr">
        <is>
          <t>国泰海通</t>
        </is>
      </c>
      <c r="H1850" s="173" t="inlineStr">
        <is>
          <t>中信建投/招商证券/光大证券/中信证券</t>
        </is>
      </c>
      <c r="I1850" s="173" t="inlineStr">
        <is>
          <t>中行北分</t>
        </is>
      </c>
      <c r="J1850" s="172" t="n">
        <v>15</v>
      </c>
      <c r="K1850" s="173" t="inlineStr">
        <is>
          <t>12+10+12</t>
        </is>
      </c>
      <c r="L1850" s="202" t="n">
        <v>46198</v>
      </c>
      <c r="M1850" s="175" t="n">
        <v>0.0148</v>
      </c>
      <c r="N1850" s="176" t="n">
        <v>0.02104</v>
      </c>
      <c r="O1850" s="172" t="n">
        <v>1.1</v>
      </c>
      <c r="P1850" s="177" t="inlineStr">
        <is>
          <t>受益权</t>
        </is>
      </c>
      <c r="Q1850" s="178" t="n">
        <v>0.05</v>
      </c>
      <c r="R1850" s="179">
        <f>Q1218*J1199</f>
        <v/>
      </c>
      <c r="S1850" s="177" t="inlineStr">
        <is>
          <t>无</t>
        </is>
      </c>
      <c r="T1850" s="178" t="n">
        <v>0.0495</v>
      </c>
      <c r="U1850" s="177" t="inlineStr">
        <is>
          <t>中信建投衍生品</t>
        </is>
      </c>
      <c r="V1850" s="192" t="n">
        <v>0.3</v>
      </c>
      <c r="W1850" s="172" t="n"/>
      <c r="X1850" s="172" t="n"/>
      <c r="Y1850" s="172" t="n"/>
    </row>
    <row r="1851">
      <c r="A1851" s="172" t="n">
        <v>100</v>
      </c>
      <c r="B1851" s="172" t="inlineStr">
        <is>
          <t>6月</t>
        </is>
      </c>
      <c r="C1851" s="173" t="inlineStr">
        <is>
          <t>消金</t>
        </is>
      </c>
      <c r="D1851" s="173" t="inlineStr">
        <is>
          <t>金条&amp;白取混发</t>
        </is>
      </c>
      <c r="E1851" s="173" t="inlineStr">
        <is>
          <t>东樾4号春樾（4-1）</t>
        </is>
      </c>
      <c r="F1851" s="173" t="inlineStr">
        <is>
          <t>上交所</t>
        </is>
      </c>
      <c r="G1851" s="173" t="inlineStr">
        <is>
          <t>国泰海通</t>
        </is>
      </c>
      <c r="H1851" s="173" t="inlineStr">
        <is>
          <t>中信建投/招商证券/光大证券/中信证券</t>
        </is>
      </c>
      <c r="I1851" s="173" t="inlineStr">
        <is>
          <t>中行北分</t>
        </is>
      </c>
      <c r="J1851" s="172" t="n">
        <v>15</v>
      </c>
      <c r="K1851" s="173" t="inlineStr">
        <is>
          <t>12+10+12</t>
        </is>
      </c>
      <c r="L1851" s="202" t="n">
        <v>46198</v>
      </c>
      <c r="M1851" s="175" t="n">
        <v>0.0148</v>
      </c>
      <c r="N1851" s="176" t="n">
        <v>0.02104</v>
      </c>
      <c r="O1851" s="172" t="n">
        <v>1.1</v>
      </c>
      <c r="P1851" s="172" t="inlineStr">
        <is>
          <t>受益权</t>
        </is>
      </c>
      <c r="Q1851" s="178" t="n">
        <v>0.05</v>
      </c>
      <c r="R1851" s="179">
        <f>Q1218*J1199</f>
        <v/>
      </c>
      <c r="S1851" s="177" t="inlineStr">
        <is>
          <t>无</t>
        </is>
      </c>
      <c r="T1851" s="178" t="n">
        <v>0.0495</v>
      </c>
      <c r="U1851" s="177" t="inlineStr">
        <is>
          <t>中信证券自营</t>
        </is>
      </c>
      <c r="V1851" s="195" t="n">
        <v>0.075</v>
      </c>
      <c r="W1851" s="172" t="n"/>
      <c r="X1851" s="172" t="n"/>
      <c r="Y1851" s="172" t="n"/>
    </row>
    <row r="1852">
      <c r="A1852" s="172" t="n">
        <v>100</v>
      </c>
      <c r="B1852" s="172" t="inlineStr">
        <is>
          <t>6月</t>
        </is>
      </c>
      <c r="C1852" s="173" t="inlineStr">
        <is>
          <t>消金</t>
        </is>
      </c>
      <c r="D1852" s="173" t="inlineStr">
        <is>
          <t>金条&amp;白取混发</t>
        </is>
      </c>
      <c r="E1852" s="173" t="inlineStr">
        <is>
          <t>东樾4号春樾（4-1）</t>
        </is>
      </c>
      <c r="F1852" s="173" t="inlineStr">
        <is>
          <t>上交所</t>
        </is>
      </c>
      <c r="G1852" s="173" t="inlineStr">
        <is>
          <t>国泰海通</t>
        </is>
      </c>
      <c r="H1852" s="173" t="inlineStr">
        <is>
          <t>中信建投/招商证券/光大证券/中信证券</t>
        </is>
      </c>
      <c r="I1852" s="173" t="inlineStr">
        <is>
          <t>中行北分</t>
        </is>
      </c>
      <c r="J1852" s="172" t="n">
        <v>15</v>
      </c>
      <c r="K1852" s="173" t="inlineStr">
        <is>
          <t>12+10+12</t>
        </is>
      </c>
      <c r="L1852" s="202" t="n">
        <v>46198</v>
      </c>
      <c r="M1852" s="175" t="n">
        <v>0.0148</v>
      </c>
      <c r="N1852" s="176" t="n">
        <v>0.02104</v>
      </c>
      <c r="O1852" s="172" t="n">
        <v>1.1</v>
      </c>
      <c r="P1852" s="172" t="inlineStr">
        <is>
          <t>受益权</t>
        </is>
      </c>
      <c r="Q1852" s="178" t="n">
        <v>0.05</v>
      </c>
      <c r="R1852" s="179">
        <f>Q1218*J1199</f>
        <v/>
      </c>
      <c r="S1852" s="177" t="inlineStr">
        <is>
          <t>无</t>
        </is>
      </c>
      <c r="T1852" s="178" t="n">
        <v>0.0495</v>
      </c>
      <c r="U1852" s="177" t="inlineStr">
        <is>
          <t>中信建投机构部</t>
        </is>
      </c>
      <c r="V1852" s="195" t="n">
        <v>0.225</v>
      </c>
      <c r="W1852" s="172" t="n"/>
      <c r="X1852" s="172" t="n"/>
      <c r="Y1852" s="172" t="n"/>
    </row>
    <row r="1853">
      <c r="A1853" s="172" t="n">
        <v>100</v>
      </c>
      <c r="B1853" s="172" t="inlineStr">
        <is>
          <t>6月</t>
        </is>
      </c>
      <c r="C1853" s="173" t="inlineStr">
        <is>
          <t>消金</t>
        </is>
      </c>
      <c r="D1853" s="173" t="inlineStr">
        <is>
          <t>金条&amp;白取混发</t>
        </is>
      </c>
      <c r="E1853" s="173" t="inlineStr">
        <is>
          <t>东樾4号春樾（4-1）</t>
        </is>
      </c>
      <c r="F1853" s="173" t="inlineStr">
        <is>
          <t>上交所</t>
        </is>
      </c>
      <c r="G1853" s="173" t="inlineStr">
        <is>
          <t>国泰海通</t>
        </is>
      </c>
      <c r="H1853" s="173" t="inlineStr">
        <is>
          <t>中信建投/招商证券/光大证券/中信证券</t>
        </is>
      </c>
      <c r="I1853" s="173" t="inlineStr">
        <is>
          <t>中行北分</t>
        </is>
      </c>
      <c r="J1853" s="172" t="n">
        <v>15</v>
      </c>
      <c r="K1853" s="173" t="inlineStr">
        <is>
          <t>12+10+12</t>
        </is>
      </c>
      <c r="L1853" s="202" t="n">
        <v>46198</v>
      </c>
      <c r="M1853" s="175" t="n">
        <v>0.0148</v>
      </c>
      <c r="N1853" s="176" t="n">
        <v>0.02104</v>
      </c>
      <c r="O1853" s="172" t="n">
        <v>1.1</v>
      </c>
      <c r="P1853" s="172" t="inlineStr">
        <is>
          <t>受益权</t>
        </is>
      </c>
      <c r="Q1853" s="178" t="n">
        <v>0.05</v>
      </c>
      <c r="R1853" s="179">
        <f>Q1218*J1199</f>
        <v/>
      </c>
      <c r="S1853" s="177" t="inlineStr">
        <is>
          <t>无</t>
        </is>
      </c>
      <c r="T1853" s="178" t="n">
        <v>0.0495</v>
      </c>
      <c r="U1853" s="177" t="inlineStr">
        <is>
          <t>中金投顾</t>
        </is>
      </c>
      <c r="V1853" s="192" t="n">
        <v>0.15</v>
      </c>
      <c r="W1853" s="172" t="n"/>
      <c r="X1853" s="172" t="n"/>
      <c r="Y1853" s="172" t="n"/>
    </row>
    <row r="1854">
      <c r="A1854" s="172" t="n">
        <v>101</v>
      </c>
      <c r="B1854" s="173" t="inlineStr">
        <is>
          <t>6月</t>
        </is>
      </c>
      <c r="C1854" s="173" t="inlineStr">
        <is>
          <t>消金</t>
        </is>
      </c>
      <c r="D1854" s="173" t="inlineStr">
        <is>
          <t>赊销白条</t>
        </is>
      </c>
      <c r="E1854" s="173" t="inlineStr">
        <is>
          <t>东裕11号仲裕</t>
        </is>
      </c>
      <c r="F1854" s="173" t="inlineStr">
        <is>
          <t>银行间</t>
        </is>
      </c>
      <c r="G1854" s="173" t="inlineStr">
        <is>
          <t>中信建投</t>
        </is>
      </c>
      <c r="H1854" s="173" t="inlineStr">
        <is>
          <t>江苏银行/杭州银行/国信证券/国开证券</t>
        </is>
      </c>
      <c r="I1854" s="173" t="inlineStr">
        <is>
          <t>招行北分</t>
        </is>
      </c>
      <c r="J1854" s="172" t="n">
        <v>10</v>
      </c>
      <c r="K1854" s="173" t="inlineStr">
        <is>
          <t>12+12+9+3</t>
        </is>
      </c>
      <c r="L1854" s="202" t="n">
        <v>46198</v>
      </c>
      <c r="M1854" s="175" t="n">
        <v>0.0148</v>
      </c>
      <c r="N1854" s="176" t="n">
        <v>0.0182</v>
      </c>
      <c r="O1854" s="191" t="n">
        <v>2.3</v>
      </c>
      <c r="P1854" s="177" t="inlineStr">
        <is>
          <t>优先A</t>
        </is>
      </c>
      <c r="Q1854" s="178" t="n">
        <v>0.9</v>
      </c>
      <c r="R1854" s="179" t="n">
        <v>9</v>
      </c>
      <c r="S1854" s="177" t="inlineStr">
        <is>
          <t>AAA</t>
        </is>
      </c>
      <c r="T1854" s="178" t="n">
        <v>0.016</v>
      </c>
      <c r="U1854" s="177" t="inlineStr">
        <is>
          <t>杭州银行</t>
        </is>
      </c>
      <c r="V1854" s="192" t="n">
        <v>0.8</v>
      </c>
      <c r="W1854" s="175" t="n">
        <v>0.0159</v>
      </c>
      <c r="X1854" s="172" t="inlineStr">
        <is>
          <t>杭州银行</t>
        </is>
      </c>
      <c r="Y1854" s="191" t="n">
        <v>0.8</v>
      </c>
    </row>
    <row r="1855">
      <c r="A1855" s="172" t="n">
        <v>101</v>
      </c>
      <c r="B1855" s="172" t="inlineStr">
        <is>
          <t>6月</t>
        </is>
      </c>
      <c r="C1855" s="172" t="inlineStr">
        <is>
          <t>消金</t>
        </is>
      </c>
      <c r="D1855" s="172" t="inlineStr">
        <is>
          <t>赊销白条</t>
        </is>
      </c>
      <c r="E1855" s="172" t="inlineStr">
        <is>
          <t>东裕11号仲裕</t>
        </is>
      </c>
      <c r="F1855" s="172" t="inlineStr">
        <is>
          <t>银行间</t>
        </is>
      </c>
      <c r="G1855" s="172" t="inlineStr">
        <is>
          <t>中信建投</t>
        </is>
      </c>
      <c r="H1855" s="172" t="inlineStr">
        <is>
          <t>江苏银行/杭州银行/国信证券/国开证券</t>
        </is>
      </c>
      <c r="I1855" s="172" t="inlineStr">
        <is>
          <t>招行北分</t>
        </is>
      </c>
      <c r="J1855" s="172" t="n">
        <v>10</v>
      </c>
      <c r="K1855" s="172" t="inlineStr">
        <is>
          <t>12+12+9+3</t>
        </is>
      </c>
      <c r="L1855" s="200" t="n">
        <v>46198</v>
      </c>
      <c r="M1855" s="175" t="n">
        <v>0.0148</v>
      </c>
      <c r="N1855" s="176" t="n">
        <v>0.0182</v>
      </c>
      <c r="O1855" s="172" t="n">
        <v>2.3</v>
      </c>
      <c r="P1855" s="172" t="inlineStr">
        <is>
          <t>优先A</t>
        </is>
      </c>
      <c r="Q1855" s="175" t="n">
        <v>0.9</v>
      </c>
      <c r="R1855" s="192" t="n">
        <v>9</v>
      </c>
      <c r="S1855" s="172" t="inlineStr">
        <is>
          <t>AAA</t>
        </is>
      </c>
      <c r="T1855" s="175" t="n">
        <v>0.016</v>
      </c>
      <c r="U1855" s="172" t="n"/>
      <c r="V1855" s="172" t="n"/>
      <c r="W1855" s="175" t="n">
        <v>0.0161</v>
      </c>
      <c r="X1855" s="172" t="inlineStr">
        <is>
          <t>杭州银行</t>
        </is>
      </c>
      <c r="Y1855" s="191" t="n">
        <v>0.55</v>
      </c>
    </row>
    <row r="1856">
      <c r="A1856" s="172" t="n">
        <v>101</v>
      </c>
      <c r="B1856" s="173" t="inlineStr">
        <is>
          <t>6月</t>
        </is>
      </c>
      <c r="C1856" s="173" t="inlineStr">
        <is>
          <t>消金</t>
        </is>
      </c>
      <c r="D1856" s="173" t="inlineStr">
        <is>
          <t>赊销白条</t>
        </is>
      </c>
      <c r="E1856" s="173" t="inlineStr">
        <is>
          <t>东裕11号仲裕</t>
        </is>
      </c>
      <c r="F1856" s="173" t="inlineStr">
        <is>
          <t>银行间</t>
        </is>
      </c>
      <c r="G1856" s="173" t="inlineStr">
        <is>
          <t>中信建投</t>
        </is>
      </c>
      <c r="H1856" s="173" t="inlineStr">
        <is>
          <t>江苏银行/杭州银行/国信证券/国开证券</t>
        </is>
      </c>
      <c r="I1856" s="173" t="inlineStr">
        <is>
          <t>招行北分</t>
        </is>
      </c>
      <c r="J1856" s="172" t="n">
        <v>10</v>
      </c>
      <c r="K1856" s="173" t="inlineStr">
        <is>
          <t>12+12+9+3</t>
        </is>
      </c>
      <c r="L1856" s="202" t="n">
        <v>46198</v>
      </c>
      <c r="M1856" s="175" t="n">
        <v>0.0148</v>
      </c>
      <c r="N1856" s="176" t="n">
        <v>0.0182</v>
      </c>
      <c r="O1856" s="191" t="n">
        <v>2.3</v>
      </c>
      <c r="P1856" s="172" t="inlineStr">
        <is>
          <t>优先A</t>
        </is>
      </c>
      <c r="Q1856" s="178" t="n">
        <v>0.9</v>
      </c>
      <c r="R1856" s="179" t="n">
        <v>9</v>
      </c>
      <c r="S1856" s="177" t="inlineStr">
        <is>
          <t>AAA</t>
        </is>
      </c>
      <c r="T1856" s="178" t="n">
        <v>0.016</v>
      </c>
      <c r="U1856" s="177" t="inlineStr">
        <is>
          <t>平安养老</t>
        </is>
      </c>
      <c r="V1856" s="192" t="n">
        <v>0.5</v>
      </c>
      <c r="W1856" s="175" t="n">
        <v>0.016</v>
      </c>
      <c r="X1856" s="172" t="inlineStr">
        <is>
          <t>平安养老</t>
        </is>
      </c>
      <c r="Y1856" s="191" t="n">
        <v>0.9</v>
      </c>
    </row>
    <row r="1857">
      <c r="A1857" s="172" t="n">
        <v>101</v>
      </c>
      <c r="B1857" s="172" t="inlineStr">
        <is>
          <t>6月</t>
        </is>
      </c>
      <c r="C1857" s="172" t="inlineStr">
        <is>
          <t>消金</t>
        </is>
      </c>
      <c r="D1857" s="172" t="inlineStr">
        <is>
          <t>赊销白条</t>
        </is>
      </c>
      <c r="E1857" s="172" t="inlineStr">
        <is>
          <t>东裕11号仲裕</t>
        </is>
      </c>
      <c r="F1857" s="172" t="inlineStr">
        <is>
          <t>银行间</t>
        </is>
      </c>
      <c r="G1857" s="172" t="inlineStr">
        <is>
          <t>中信建投</t>
        </is>
      </c>
      <c r="H1857" s="172" t="inlineStr">
        <is>
          <t>江苏银行/杭州银行/国信证券/国开证券</t>
        </is>
      </c>
      <c r="I1857" s="172" t="inlineStr">
        <is>
          <t>招行北分</t>
        </is>
      </c>
      <c r="J1857" s="172" t="n">
        <v>10</v>
      </c>
      <c r="K1857" s="172" t="inlineStr">
        <is>
          <t>12+12+9+3</t>
        </is>
      </c>
      <c r="L1857" s="200" t="n">
        <v>46198</v>
      </c>
      <c r="M1857" s="175" t="n">
        <v>0.0148</v>
      </c>
      <c r="N1857" s="176" t="n">
        <v>0.0182</v>
      </c>
      <c r="O1857" s="172" t="n">
        <v>2.3</v>
      </c>
      <c r="P1857" s="172" t="inlineStr">
        <is>
          <t>优先A</t>
        </is>
      </c>
      <c r="Q1857" s="175" t="n">
        <v>0.9</v>
      </c>
      <c r="R1857" s="192" t="n">
        <v>9</v>
      </c>
      <c r="S1857" s="172" t="inlineStr">
        <is>
          <t>AAA</t>
        </is>
      </c>
      <c r="T1857" s="175" t="n">
        <v>0.016</v>
      </c>
      <c r="U1857" s="172" t="n"/>
      <c r="V1857" s="172" t="n"/>
      <c r="W1857" s="175" t="n">
        <v>0.0162</v>
      </c>
      <c r="X1857" s="172" t="inlineStr">
        <is>
          <t>平安养老</t>
        </is>
      </c>
      <c r="Y1857" s="191" t="n">
        <v>0.45</v>
      </c>
    </row>
    <row r="1858">
      <c r="A1858" s="172" t="n">
        <v>101</v>
      </c>
      <c r="B1858" s="173" t="inlineStr">
        <is>
          <t>6月</t>
        </is>
      </c>
      <c r="C1858" s="173" t="inlineStr">
        <is>
          <t>消金</t>
        </is>
      </c>
      <c r="D1858" s="173" t="inlineStr">
        <is>
          <t>赊销白条</t>
        </is>
      </c>
      <c r="E1858" s="173" t="inlineStr">
        <is>
          <t>东裕11号仲裕</t>
        </is>
      </c>
      <c r="F1858" s="173" t="inlineStr">
        <is>
          <t>银行间</t>
        </is>
      </c>
      <c r="G1858" s="173" t="inlineStr">
        <is>
          <t>中信建投</t>
        </is>
      </c>
      <c r="H1858" s="173" t="inlineStr">
        <is>
          <t>江苏银行/杭州银行/国信证券/国开证券</t>
        </is>
      </c>
      <c r="I1858" s="173" t="inlineStr">
        <is>
          <t>招行北分</t>
        </is>
      </c>
      <c r="J1858" s="172" t="n">
        <v>10</v>
      </c>
      <c r="K1858" s="173" t="inlineStr">
        <is>
          <t>12+12+9+3</t>
        </is>
      </c>
      <c r="L1858" s="202" t="n">
        <v>46198</v>
      </c>
      <c r="M1858" s="175" t="n">
        <v>0.0148</v>
      </c>
      <c r="N1858" s="176" t="n">
        <v>0.0182</v>
      </c>
      <c r="O1858" s="191" t="n">
        <v>2.3</v>
      </c>
      <c r="P1858" s="172" t="inlineStr">
        <is>
          <t>优先A</t>
        </is>
      </c>
      <c r="Q1858" s="178" t="n">
        <v>0.9</v>
      </c>
      <c r="R1858" s="179" t="n">
        <v>9</v>
      </c>
      <c r="S1858" s="177" t="inlineStr">
        <is>
          <t>AAA</t>
        </is>
      </c>
      <c r="T1858" s="178" t="n">
        <v>0.016</v>
      </c>
      <c r="U1858" s="177" t="inlineStr">
        <is>
          <t>中邮理财</t>
        </is>
      </c>
      <c r="V1858" s="192" t="n">
        <v>0.9</v>
      </c>
      <c r="W1858" s="175" t="n">
        <v>0.016</v>
      </c>
      <c r="X1858" s="172" t="inlineStr">
        <is>
          <t>中邮理财</t>
        </is>
      </c>
      <c r="Y1858" s="191" t="n">
        <v>1.7</v>
      </c>
    </row>
    <row r="1859">
      <c r="A1859" s="172" t="n">
        <v>101</v>
      </c>
      <c r="B1859" s="172" t="inlineStr">
        <is>
          <t>6月</t>
        </is>
      </c>
      <c r="C1859" s="172" t="inlineStr">
        <is>
          <t>消金</t>
        </is>
      </c>
      <c r="D1859" s="172" t="inlineStr">
        <is>
          <t>赊销白条</t>
        </is>
      </c>
      <c r="E1859" s="172" t="inlineStr">
        <is>
          <t>东裕11号仲裕</t>
        </is>
      </c>
      <c r="F1859" s="172" t="inlineStr">
        <is>
          <t>银行间</t>
        </is>
      </c>
      <c r="G1859" s="172" t="inlineStr">
        <is>
          <t>中信建投</t>
        </is>
      </c>
      <c r="H1859" s="172" t="inlineStr">
        <is>
          <t>江苏银行/杭州银行/国信证券/国开证券</t>
        </is>
      </c>
      <c r="I1859" s="172" t="inlineStr">
        <is>
          <t>招行北分</t>
        </is>
      </c>
      <c r="J1859" s="172" t="n">
        <v>10</v>
      </c>
      <c r="K1859" s="172" t="inlineStr">
        <is>
          <t>12+12+9+3</t>
        </is>
      </c>
      <c r="L1859" s="200" t="n">
        <v>46198</v>
      </c>
      <c r="M1859" s="175" t="n">
        <v>0.0148</v>
      </c>
      <c r="N1859" s="176" t="n">
        <v>0.0182</v>
      </c>
      <c r="O1859" s="172" t="n">
        <v>2.3</v>
      </c>
      <c r="P1859" s="172" t="inlineStr">
        <is>
          <t>优先A</t>
        </is>
      </c>
      <c r="Q1859" s="175" t="n">
        <v>0.9</v>
      </c>
      <c r="R1859" s="192" t="n">
        <v>9</v>
      </c>
      <c r="S1859" s="172" t="inlineStr">
        <is>
          <t>AAA</t>
        </is>
      </c>
      <c r="T1859" s="175" t="n">
        <v>0.016</v>
      </c>
      <c r="U1859" s="172" t="n"/>
      <c r="V1859" s="172" t="n"/>
      <c r="W1859" s="175" t="n">
        <v>0.0162</v>
      </c>
      <c r="X1859" s="172" t="inlineStr">
        <is>
          <t>中邮理财</t>
        </is>
      </c>
      <c r="Y1859" s="191" t="n">
        <v>1</v>
      </c>
    </row>
    <row r="1860">
      <c r="A1860" s="172" t="n">
        <v>101</v>
      </c>
      <c r="B1860" s="173" t="inlineStr">
        <is>
          <t>6月</t>
        </is>
      </c>
      <c r="C1860" s="173" t="inlineStr">
        <is>
          <t>消金</t>
        </is>
      </c>
      <c r="D1860" s="173" t="inlineStr">
        <is>
          <t>赊销白条</t>
        </is>
      </c>
      <c r="E1860" s="173" t="inlineStr">
        <is>
          <t>东裕11号仲裕</t>
        </is>
      </c>
      <c r="F1860" s="173" t="inlineStr">
        <is>
          <t>银行间</t>
        </is>
      </c>
      <c r="G1860" s="173" t="inlineStr">
        <is>
          <t>中信建投</t>
        </is>
      </c>
      <c r="H1860" s="173" t="inlineStr">
        <is>
          <t>江苏银行/杭州银行/国信证券/国开证券</t>
        </is>
      </c>
      <c r="I1860" s="173" t="inlineStr">
        <is>
          <t>招行北分</t>
        </is>
      </c>
      <c r="J1860" s="172" t="n">
        <v>10</v>
      </c>
      <c r="K1860" s="173" t="inlineStr">
        <is>
          <t>12+12+9+3</t>
        </is>
      </c>
      <c r="L1860" s="202" t="n">
        <v>46198</v>
      </c>
      <c r="M1860" s="175" t="n">
        <v>0.0148</v>
      </c>
      <c r="N1860" s="176" t="n">
        <v>0.0182</v>
      </c>
      <c r="O1860" s="191" t="n">
        <v>2.3</v>
      </c>
      <c r="P1860" s="172" t="inlineStr">
        <is>
          <t>优先A</t>
        </is>
      </c>
      <c r="Q1860" s="178" t="n">
        <v>0.9</v>
      </c>
      <c r="R1860" s="179" t="n">
        <v>9</v>
      </c>
      <c r="S1860" s="177" t="inlineStr">
        <is>
          <t>AAA</t>
        </is>
      </c>
      <c r="T1860" s="178" t="n">
        <v>0.016</v>
      </c>
      <c r="U1860" s="177" t="inlineStr">
        <is>
          <t>交银理财</t>
        </is>
      </c>
      <c r="V1860" s="192" t="n">
        <v>0.25</v>
      </c>
      <c r="W1860" s="175" t="n">
        <v>0.016</v>
      </c>
      <c r="X1860" s="172" t="inlineStr">
        <is>
          <t>交银理财</t>
        </is>
      </c>
      <c r="Y1860" s="191" t="n">
        <v>0.5</v>
      </c>
    </row>
    <row r="1861">
      <c r="A1861" s="172" t="n">
        <v>101</v>
      </c>
      <c r="B1861" s="172" t="inlineStr">
        <is>
          <t>6月</t>
        </is>
      </c>
      <c r="C1861" s="172" t="inlineStr">
        <is>
          <t>消金</t>
        </is>
      </c>
      <c r="D1861" s="172" t="inlineStr">
        <is>
          <t>赊销白条</t>
        </is>
      </c>
      <c r="E1861" s="172" t="inlineStr">
        <is>
          <t>东裕11号仲裕</t>
        </is>
      </c>
      <c r="F1861" s="172" t="inlineStr">
        <is>
          <t>银行间</t>
        </is>
      </c>
      <c r="G1861" s="172" t="inlineStr">
        <is>
          <t>中信建投</t>
        </is>
      </c>
      <c r="H1861" s="172" t="inlineStr">
        <is>
          <t>江苏银行/杭州银行/国信证券/国开证券</t>
        </is>
      </c>
      <c r="I1861" s="172" t="inlineStr">
        <is>
          <t>招行北分</t>
        </is>
      </c>
      <c r="J1861" s="172" t="n">
        <v>10</v>
      </c>
      <c r="K1861" s="172" t="inlineStr">
        <is>
          <t>12+12+9+3</t>
        </is>
      </c>
      <c r="L1861" s="200" t="n">
        <v>46198</v>
      </c>
      <c r="M1861" s="175" t="n">
        <v>0.0148</v>
      </c>
      <c r="N1861" s="176" t="n">
        <v>0.0182</v>
      </c>
      <c r="O1861" s="172" t="n">
        <v>2.3</v>
      </c>
      <c r="P1861" s="172" t="inlineStr">
        <is>
          <t>优先A</t>
        </is>
      </c>
      <c r="Q1861" s="175" t="n">
        <v>0.9</v>
      </c>
      <c r="R1861" s="192" t="n">
        <v>9</v>
      </c>
      <c r="S1861" s="172" t="inlineStr">
        <is>
          <t>AAA</t>
        </is>
      </c>
      <c r="T1861" s="175" t="n">
        <v>0.016</v>
      </c>
      <c r="U1861" s="172" t="n"/>
      <c r="V1861" s="172" t="n"/>
      <c r="W1861" s="175" t="n">
        <v>0.0165</v>
      </c>
      <c r="X1861" s="172" t="inlineStr">
        <is>
          <t>交银理财</t>
        </is>
      </c>
      <c r="Y1861" s="191" t="n">
        <v>0.3</v>
      </c>
    </row>
    <row r="1862">
      <c r="A1862" s="172" t="n">
        <v>101</v>
      </c>
      <c r="B1862" s="173" t="inlineStr">
        <is>
          <t>6月</t>
        </is>
      </c>
      <c r="C1862" s="173" t="inlineStr">
        <is>
          <t>消金</t>
        </is>
      </c>
      <c r="D1862" s="173" t="inlineStr">
        <is>
          <t>赊销白条</t>
        </is>
      </c>
      <c r="E1862" s="173" t="inlineStr">
        <is>
          <t>东裕11号仲裕</t>
        </is>
      </c>
      <c r="F1862" s="173" t="inlineStr">
        <is>
          <t>银行间</t>
        </is>
      </c>
      <c r="G1862" s="173" t="inlineStr">
        <is>
          <t>中信建投</t>
        </is>
      </c>
      <c r="H1862" s="173" t="inlineStr">
        <is>
          <t>江苏银行/杭州银行/国信证券/国开证券</t>
        </is>
      </c>
      <c r="I1862" s="173" t="inlineStr">
        <is>
          <t>招行北分</t>
        </is>
      </c>
      <c r="J1862" s="172" t="n">
        <v>10</v>
      </c>
      <c r="K1862" s="173" t="inlineStr">
        <is>
          <t>12+12+9+3</t>
        </is>
      </c>
      <c r="L1862" s="202" t="n">
        <v>46198</v>
      </c>
      <c r="M1862" s="175" t="n">
        <v>0.0148</v>
      </c>
      <c r="N1862" s="176" t="n">
        <v>0.0182</v>
      </c>
      <c r="O1862" s="191" t="n">
        <v>2.3</v>
      </c>
      <c r="P1862" s="172" t="inlineStr">
        <is>
          <t>优先A</t>
        </is>
      </c>
      <c r="Q1862" s="178" t="n">
        <v>0.9</v>
      </c>
      <c r="R1862" s="179" t="n">
        <v>9</v>
      </c>
      <c r="S1862" s="177" t="inlineStr">
        <is>
          <t>AAA</t>
        </is>
      </c>
      <c r="T1862" s="178" t="n">
        <v>0.016</v>
      </c>
      <c r="U1862" s="177" t="inlineStr">
        <is>
          <t>江苏银行</t>
        </is>
      </c>
      <c r="V1862" s="192" t="n">
        <v>1.8</v>
      </c>
      <c r="W1862" s="175" t="n">
        <v>0.015</v>
      </c>
      <c r="X1862" s="172" t="inlineStr">
        <is>
          <t>江苏银行</t>
        </is>
      </c>
      <c r="Y1862" s="191" t="n">
        <v>1.8</v>
      </c>
    </row>
    <row r="1863">
      <c r="A1863" s="172" t="n">
        <v>101</v>
      </c>
      <c r="B1863" s="173" t="inlineStr">
        <is>
          <t>6月</t>
        </is>
      </c>
      <c r="C1863" s="173" t="inlineStr">
        <is>
          <t>消金</t>
        </is>
      </c>
      <c r="D1863" s="173" t="inlineStr">
        <is>
          <t>赊销白条</t>
        </is>
      </c>
      <c r="E1863" s="173" t="inlineStr">
        <is>
          <t>东裕11号仲裕</t>
        </is>
      </c>
      <c r="F1863" s="173" t="inlineStr">
        <is>
          <t>银行间</t>
        </is>
      </c>
      <c r="G1863" s="173" t="inlineStr">
        <is>
          <t>中信建投</t>
        </is>
      </c>
      <c r="H1863" s="173" t="inlineStr">
        <is>
          <t>江苏银行/杭州银行/国信证券/国开证券</t>
        </is>
      </c>
      <c r="I1863" s="173" t="inlineStr">
        <is>
          <t>招行北分</t>
        </is>
      </c>
      <c r="J1863" s="172" t="n">
        <v>10</v>
      </c>
      <c r="K1863" s="173" t="inlineStr">
        <is>
          <t>12+12+9+3</t>
        </is>
      </c>
      <c r="L1863" s="202" t="n">
        <v>46198</v>
      </c>
      <c r="M1863" s="175" t="n">
        <v>0.0148</v>
      </c>
      <c r="N1863" s="176" t="n">
        <v>0.0182</v>
      </c>
      <c r="O1863" s="191" t="n">
        <v>2.3</v>
      </c>
      <c r="P1863" s="172" t="inlineStr">
        <is>
          <t>优先A</t>
        </is>
      </c>
      <c r="Q1863" s="178" t="n">
        <v>0.9</v>
      </c>
      <c r="R1863" s="179" t="n">
        <v>9</v>
      </c>
      <c r="S1863" s="177" t="inlineStr">
        <is>
          <t>AAA</t>
        </is>
      </c>
      <c r="T1863" s="178" t="n">
        <v>0.016</v>
      </c>
      <c r="U1863" s="177" t="inlineStr">
        <is>
          <t>兴银理财</t>
        </is>
      </c>
      <c r="V1863" s="192" t="n">
        <v>1.5</v>
      </c>
      <c r="W1863" s="175" t="n">
        <v>0.016</v>
      </c>
      <c r="X1863" s="172" t="inlineStr">
        <is>
          <t>兴银理财</t>
        </is>
      </c>
      <c r="Y1863" s="191" t="n">
        <v>2.7</v>
      </c>
    </row>
    <row r="1864">
      <c r="A1864" s="172" t="n">
        <v>101</v>
      </c>
      <c r="B1864" s="173" t="inlineStr">
        <is>
          <t>6月</t>
        </is>
      </c>
      <c r="C1864" s="173" t="inlineStr">
        <is>
          <t>消金</t>
        </is>
      </c>
      <c r="D1864" s="173" t="inlineStr">
        <is>
          <t>赊销白条</t>
        </is>
      </c>
      <c r="E1864" s="173" t="inlineStr">
        <is>
          <t>东裕11号仲裕</t>
        </is>
      </c>
      <c r="F1864" s="173" t="inlineStr">
        <is>
          <t>银行间</t>
        </is>
      </c>
      <c r="G1864" s="173" t="inlineStr">
        <is>
          <t>中信建投</t>
        </is>
      </c>
      <c r="H1864" s="173" t="inlineStr">
        <is>
          <t>江苏银行/杭州银行/国信证券/国开证券</t>
        </is>
      </c>
      <c r="I1864" s="173" t="inlineStr">
        <is>
          <t>招行北分</t>
        </is>
      </c>
      <c r="J1864" s="172" t="n">
        <v>10</v>
      </c>
      <c r="K1864" s="173" t="inlineStr">
        <is>
          <t>12+12+9+3</t>
        </is>
      </c>
      <c r="L1864" s="202" t="n">
        <v>46198</v>
      </c>
      <c r="M1864" s="175" t="n">
        <v>0.0148</v>
      </c>
      <c r="N1864" s="176" t="n">
        <v>0.0182</v>
      </c>
      <c r="O1864" s="191" t="n">
        <v>2.3</v>
      </c>
      <c r="P1864" s="172" t="inlineStr">
        <is>
          <t>优先A</t>
        </is>
      </c>
      <c r="Q1864" s="178" t="n">
        <v>0.9</v>
      </c>
      <c r="R1864" s="179" t="n">
        <v>9</v>
      </c>
      <c r="S1864" s="177" t="inlineStr">
        <is>
          <t>AAA</t>
        </is>
      </c>
      <c r="T1864" s="178" t="n">
        <v>0.016</v>
      </c>
      <c r="U1864" s="177" t="inlineStr">
        <is>
          <t>杭银理财</t>
        </is>
      </c>
      <c r="V1864" s="192" t="n">
        <v>0.45</v>
      </c>
      <c r="W1864" s="175" t="n">
        <v>0.0158</v>
      </c>
      <c r="X1864" s="172" t="inlineStr">
        <is>
          <t>杭银理财</t>
        </is>
      </c>
      <c r="Y1864" s="191" t="n">
        <v>0.45</v>
      </c>
    </row>
    <row r="1865">
      <c r="A1865" s="172" t="n">
        <v>101</v>
      </c>
      <c r="B1865" s="173" t="inlineStr">
        <is>
          <t>6月</t>
        </is>
      </c>
      <c r="C1865" s="173" t="inlineStr">
        <is>
          <t>消金</t>
        </is>
      </c>
      <c r="D1865" s="173" t="inlineStr">
        <is>
          <t>赊销白条</t>
        </is>
      </c>
      <c r="E1865" s="173" t="inlineStr">
        <is>
          <t>东裕11号仲裕</t>
        </is>
      </c>
      <c r="F1865" s="173" t="inlineStr">
        <is>
          <t>银行间</t>
        </is>
      </c>
      <c r="G1865" s="173" t="inlineStr">
        <is>
          <t>中信建投</t>
        </is>
      </c>
      <c r="H1865" s="173" t="inlineStr">
        <is>
          <t>江苏银行/杭州银行/国信证券/国开证券</t>
        </is>
      </c>
      <c r="I1865" s="173" t="inlineStr">
        <is>
          <t>招行北分</t>
        </is>
      </c>
      <c r="J1865" s="172" t="n">
        <v>10</v>
      </c>
      <c r="K1865" s="173" t="inlineStr">
        <is>
          <t>12+12+9+3</t>
        </is>
      </c>
      <c r="L1865" s="202" t="n">
        <v>46198</v>
      </c>
      <c r="M1865" s="175" t="n">
        <v>0.0148</v>
      </c>
      <c r="N1865" s="176" t="n">
        <v>0.0182</v>
      </c>
      <c r="O1865" s="191" t="n">
        <v>2.3</v>
      </c>
      <c r="P1865" s="172" t="inlineStr">
        <is>
          <t>优先A</t>
        </is>
      </c>
      <c r="Q1865" s="178" t="n">
        <v>0.9</v>
      </c>
      <c r="R1865" s="179" t="n">
        <v>9</v>
      </c>
      <c r="S1865" s="177" t="inlineStr">
        <is>
          <t>AAA</t>
        </is>
      </c>
      <c r="T1865" s="178" t="n">
        <v>0.016</v>
      </c>
      <c r="U1865" s="177" t="inlineStr">
        <is>
          <t>招银理财</t>
        </is>
      </c>
      <c r="V1865" s="192" t="n">
        <v>2.7</v>
      </c>
      <c r="W1865" s="175" t="n">
        <v>0.0158</v>
      </c>
      <c r="X1865" s="172" t="inlineStr">
        <is>
          <t>招银理财</t>
        </is>
      </c>
      <c r="Y1865" s="191" t="n">
        <v>2.7</v>
      </c>
    </row>
    <row r="1866">
      <c r="A1866" s="172" t="n">
        <v>101</v>
      </c>
      <c r="B1866" s="173" t="inlineStr">
        <is>
          <t>6月</t>
        </is>
      </c>
      <c r="C1866" s="173" t="inlineStr">
        <is>
          <t>消金</t>
        </is>
      </c>
      <c r="D1866" s="173" t="inlineStr">
        <is>
          <t>赊销白条</t>
        </is>
      </c>
      <c r="E1866" s="173" t="inlineStr">
        <is>
          <t>东裕11号仲裕</t>
        </is>
      </c>
      <c r="F1866" s="173" t="inlineStr">
        <is>
          <t>银行间</t>
        </is>
      </c>
      <c r="G1866" s="173" t="inlineStr">
        <is>
          <t>中信建投</t>
        </is>
      </c>
      <c r="H1866" s="173" t="inlineStr">
        <is>
          <t>江苏银行/杭州银行/国信证券/国开证券</t>
        </is>
      </c>
      <c r="I1866" s="173" t="inlineStr">
        <is>
          <t>招行北分</t>
        </is>
      </c>
      <c r="J1866" s="172" t="n">
        <v>10</v>
      </c>
      <c r="K1866" s="173" t="inlineStr">
        <is>
          <t>12+12+9+3</t>
        </is>
      </c>
      <c r="L1866" s="202" t="n">
        <v>46198</v>
      </c>
      <c r="M1866" s="175" t="n">
        <v>0.0148</v>
      </c>
      <c r="N1866" s="176" t="n">
        <v>0.0182</v>
      </c>
      <c r="O1866" s="191" t="n">
        <v>2.3</v>
      </c>
      <c r="P1866" s="172" t="inlineStr">
        <is>
          <t>优先A</t>
        </is>
      </c>
      <c r="Q1866" s="178" t="n">
        <v>0.9</v>
      </c>
      <c r="R1866" s="179" t="n">
        <v>9</v>
      </c>
      <c r="S1866" s="177" t="inlineStr">
        <is>
          <t>AAA</t>
        </is>
      </c>
      <c r="T1866" s="178" t="n">
        <v>0.016</v>
      </c>
      <c r="U1866" s="177" t="inlineStr">
        <is>
          <t>平安理财</t>
        </is>
      </c>
      <c r="V1866" s="192" t="n">
        <v>0.1</v>
      </c>
      <c r="W1866" s="175" t="n">
        <v>0.016</v>
      </c>
      <c r="X1866" s="172" t="inlineStr">
        <is>
          <t>平安理财</t>
        </is>
      </c>
      <c r="Y1866" s="191" t="n">
        <v>0.115</v>
      </c>
    </row>
    <row r="1867">
      <c r="A1867" s="172" t="n">
        <v>101</v>
      </c>
      <c r="B1867" s="172" t="inlineStr">
        <is>
          <t>6月</t>
        </is>
      </c>
      <c r="C1867" s="172" t="inlineStr">
        <is>
          <t>消金</t>
        </is>
      </c>
      <c r="D1867" s="172" t="inlineStr">
        <is>
          <t>赊销白条</t>
        </is>
      </c>
      <c r="E1867" s="172" t="inlineStr">
        <is>
          <t>东裕11号仲裕</t>
        </is>
      </c>
      <c r="F1867" s="172" t="inlineStr">
        <is>
          <t>银行间</t>
        </is>
      </c>
      <c r="G1867" s="172" t="inlineStr">
        <is>
          <t>中信建投</t>
        </is>
      </c>
      <c r="H1867" s="172" t="inlineStr">
        <is>
          <t>江苏银行/杭州银行/国信证券/国开证券</t>
        </is>
      </c>
      <c r="I1867" s="172" t="inlineStr">
        <is>
          <t>招行北分</t>
        </is>
      </c>
      <c r="J1867" s="172" t="n">
        <v>10</v>
      </c>
      <c r="K1867" s="172" t="inlineStr">
        <is>
          <t>12+12+9+3</t>
        </is>
      </c>
      <c r="L1867" s="200" t="n">
        <v>46198</v>
      </c>
      <c r="M1867" s="175" t="n">
        <v>0.0148</v>
      </c>
      <c r="N1867" s="176" t="n">
        <v>0.0182</v>
      </c>
      <c r="O1867" s="172" t="n">
        <v>2.3</v>
      </c>
      <c r="P1867" s="172" t="inlineStr">
        <is>
          <t>优先A</t>
        </is>
      </c>
      <c r="Q1867" s="175" t="n">
        <v>0.9</v>
      </c>
      <c r="R1867" s="192" t="n">
        <v>9</v>
      </c>
      <c r="S1867" s="172" t="inlineStr">
        <is>
          <t>AAA</t>
        </is>
      </c>
      <c r="T1867" s="175" t="n">
        <v>0.016</v>
      </c>
      <c r="U1867" s="172" t="n"/>
      <c r="V1867" s="172" t="n"/>
      <c r="W1867" s="175" t="n">
        <v>0.016</v>
      </c>
      <c r="X1867" s="172" t="inlineStr">
        <is>
          <t>国开证券</t>
        </is>
      </c>
      <c r="Y1867" s="191" t="n">
        <v>1</v>
      </c>
    </row>
    <row r="1868">
      <c r="A1868" s="172" t="n">
        <v>101</v>
      </c>
      <c r="B1868" s="172" t="inlineStr">
        <is>
          <t>6月</t>
        </is>
      </c>
      <c r="C1868" s="172" t="inlineStr">
        <is>
          <t>消金</t>
        </is>
      </c>
      <c r="D1868" s="172" t="inlineStr">
        <is>
          <t>赊销白条</t>
        </is>
      </c>
      <c r="E1868" s="172" t="inlineStr">
        <is>
          <t>东裕11号仲裕</t>
        </is>
      </c>
      <c r="F1868" s="172" t="inlineStr">
        <is>
          <t>银行间</t>
        </is>
      </c>
      <c r="G1868" s="172" t="inlineStr">
        <is>
          <t>中信建投</t>
        </is>
      </c>
      <c r="H1868" s="172" t="inlineStr">
        <is>
          <t>江苏银行/杭州银行/国信证券/国开证券</t>
        </is>
      </c>
      <c r="I1868" s="172" t="inlineStr">
        <is>
          <t>招行北分</t>
        </is>
      </c>
      <c r="J1868" s="172" t="n">
        <v>10</v>
      </c>
      <c r="K1868" s="172" t="inlineStr">
        <is>
          <t>12+12+9+3</t>
        </is>
      </c>
      <c r="L1868" s="200" t="n">
        <v>46198</v>
      </c>
      <c r="M1868" s="175" t="n">
        <v>0.0148</v>
      </c>
      <c r="N1868" s="176" t="n">
        <v>0.0182</v>
      </c>
      <c r="O1868" s="172" t="n">
        <v>2.3</v>
      </c>
      <c r="P1868" s="172" t="inlineStr">
        <is>
          <t>优先A</t>
        </is>
      </c>
      <c r="Q1868" s="175" t="n">
        <v>0.9</v>
      </c>
      <c r="R1868" s="192" t="n">
        <v>9</v>
      </c>
      <c r="S1868" s="172" t="inlineStr">
        <is>
          <t>AAA</t>
        </is>
      </c>
      <c r="T1868" s="175" t="n">
        <v>0.016</v>
      </c>
      <c r="U1868" s="172" t="n"/>
      <c r="V1868" s="172" t="n"/>
      <c r="W1868" s="175" t="n">
        <v>0.018</v>
      </c>
      <c r="X1868" s="172" t="inlineStr">
        <is>
          <t>国信证券（投行）</t>
        </is>
      </c>
      <c r="Y1868" s="191" t="n">
        <v>1.3</v>
      </c>
    </row>
    <row r="1869">
      <c r="A1869" s="172" t="n">
        <v>101</v>
      </c>
      <c r="B1869" s="172" t="inlineStr">
        <is>
          <t>6月</t>
        </is>
      </c>
      <c r="C1869" s="172" t="inlineStr">
        <is>
          <t>消金</t>
        </is>
      </c>
      <c r="D1869" s="172" t="inlineStr">
        <is>
          <t>赊销白条</t>
        </is>
      </c>
      <c r="E1869" s="172" t="inlineStr">
        <is>
          <t>东裕11号仲裕</t>
        </is>
      </c>
      <c r="F1869" s="172" t="inlineStr">
        <is>
          <t>银行间</t>
        </is>
      </c>
      <c r="G1869" s="172" t="inlineStr">
        <is>
          <t>中信建投</t>
        </is>
      </c>
      <c r="H1869" s="172" t="inlineStr">
        <is>
          <t>江苏银行/杭州银行/国信证券/国开证券</t>
        </is>
      </c>
      <c r="I1869" s="172" t="inlineStr">
        <is>
          <t>招行北分</t>
        </is>
      </c>
      <c r="J1869" s="172" t="n">
        <v>10</v>
      </c>
      <c r="K1869" s="172" t="inlineStr">
        <is>
          <t>12+12+9+3</t>
        </is>
      </c>
      <c r="L1869" s="200" t="n">
        <v>46198</v>
      </c>
      <c r="M1869" s="175" t="n">
        <v>0.0148</v>
      </c>
      <c r="N1869" s="176" t="n">
        <v>0.0182</v>
      </c>
      <c r="O1869" s="172" t="n">
        <v>2.3</v>
      </c>
      <c r="P1869" s="172" t="inlineStr">
        <is>
          <t>优先A</t>
        </is>
      </c>
      <c r="Q1869" s="175" t="n">
        <v>0.9</v>
      </c>
      <c r="R1869" s="192" t="n">
        <v>9</v>
      </c>
      <c r="S1869" s="172" t="inlineStr">
        <is>
          <t>AAA</t>
        </is>
      </c>
      <c r="T1869" s="175" t="n">
        <v>0.016</v>
      </c>
      <c r="U1869" s="172" t="n"/>
      <c r="V1869" s="172" t="n"/>
      <c r="W1869" s="175" t="n">
        <v>0.02</v>
      </c>
      <c r="X1869" s="172" t="inlineStr">
        <is>
          <t>信达证券</t>
        </is>
      </c>
      <c r="Y1869" s="191" t="n">
        <v>0.8</v>
      </c>
    </row>
    <row r="1870">
      <c r="A1870" s="172" t="n">
        <v>101</v>
      </c>
      <c r="B1870" s="172" t="inlineStr">
        <is>
          <t>6月</t>
        </is>
      </c>
      <c r="C1870" s="172" t="inlineStr">
        <is>
          <t>消金</t>
        </is>
      </c>
      <c r="D1870" s="172" t="inlineStr">
        <is>
          <t>赊销白条</t>
        </is>
      </c>
      <c r="E1870" s="172" t="inlineStr">
        <is>
          <t>东裕11号仲裕</t>
        </is>
      </c>
      <c r="F1870" s="172" t="inlineStr">
        <is>
          <t>银行间</t>
        </is>
      </c>
      <c r="G1870" s="172" t="inlineStr">
        <is>
          <t>中信建投</t>
        </is>
      </c>
      <c r="H1870" s="172" t="inlineStr">
        <is>
          <t>江苏银行/杭州银行/国信证券/国开证券</t>
        </is>
      </c>
      <c r="I1870" s="172" t="inlineStr">
        <is>
          <t>招行北分</t>
        </is>
      </c>
      <c r="J1870" s="172" t="n">
        <v>10</v>
      </c>
      <c r="K1870" s="172" t="inlineStr">
        <is>
          <t>12+12+9+3</t>
        </is>
      </c>
      <c r="L1870" s="200" t="n">
        <v>46198</v>
      </c>
      <c r="M1870" s="175" t="n">
        <v>0.0148</v>
      </c>
      <c r="N1870" s="176" t="n">
        <v>0.0182</v>
      </c>
      <c r="O1870" s="172" t="n">
        <v>2.3</v>
      </c>
      <c r="P1870" s="172" t="inlineStr">
        <is>
          <t>优先A</t>
        </is>
      </c>
      <c r="Q1870" s="175" t="n">
        <v>0.9</v>
      </c>
      <c r="R1870" s="192" t="n">
        <v>9</v>
      </c>
      <c r="S1870" s="172" t="inlineStr">
        <is>
          <t>AAA</t>
        </is>
      </c>
      <c r="T1870" s="175" t="n">
        <v>0.016</v>
      </c>
      <c r="U1870" s="172" t="n"/>
      <c r="V1870" s="172" t="n"/>
      <c r="W1870" s="175" t="n">
        <v>0.02</v>
      </c>
      <c r="X1870" s="172" t="inlineStr">
        <is>
          <t>中信证券自营</t>
        </is>
      </c>
      <c r="Y1870" s="191" t="n">
        <v>1</v>
      </c>
    </row>
    <row r="1871">
      <c r="A1871" s="172" t="n">
        <v>101</v>
      </c>
      <c r="B1871" s="172" t="inlineStr">
        <is>
          <t>6月</t>
        </is>
      </c>
      <c r="C1871" s="172" t="inlineStr">
        <is>
          <t>消金</t>
        </is>
      </c>
      <c r="D1871" s="172" t="inlineStr">
        <is>
          <t>赊销白条</t>
        </is>
      </c>
      <c r="E1871" s="172" t="inlineStr">
        <is>
          <t>东裕11号仲裕</t>
        </is>
      </c>
      <c r="F1871" s="172" t="inlineStr">
        <is>
          <t>银行间</t>
        </is>
      </c>
      <c r="G1871" s="172" t="inlineStr">
        <is>
          <t>中信建投</t>
        </is>
      </c>
      <c r="H1871" s="172" t="inlineStr">
        <is>
          <t>江苏银行/杭州银行/国信证券/国开证券</t>
        </is>
      </c>
      <c r="I1871" s="172" t="inlineStr">
        <is>
          <t>招行北分</t>
        </is>
      </c>
      <c r="J1871" s="172" t="n">
        <v>10</v>
      </c>
      <c r="K1871" s="172" t="inlineStr">
        <is>
          <t>12+12+9+3</t>
        </is>
      </c>
      <c r="L1871" s="200" t="n">
        <v>46198</v>
      </c>
      <c r="M1871" s="175" t="n">
        <v>0.0148</v>
      </c>
      <c r="N1871" s="176" t="n">
        <v>0.0182</v>
      </c>
      <c r="O1871" s="172" t="n">
        <v>2.3</v>
      </c>
      <c r="P1871" s="172" t="inlineStr">
        <is>
          <t>优先A</t>
        </is>
      </c>
      <c r="Q1871" s="175" t="n">
        <v>0.9</v>
      </c>
      <c r="R1871" s="192" t="n">
        <v>9</v>
      </c>
      <c r="S1871" s="172" t="inlineStr">
        <is>
          <t>AAA</t>
        </is>
      </c>
      <c r="T1871" s="175" t="n">
        <v>0.016</v>
      </c>
      <c r="U1871" s="172" t="n"/>
      <c r="V1871" s="172" t="n"/>
      <c r="W1871" s="175" t="n">
        <v>0.02</v>
      </c>
      <c r="X1871" s="172" t="inlineStr">
        <is>
          <t>建投机构部</t>
        </is>
      </c>
      <c r="Y1871" s="191" t="n">
        <v>0.5</v>
      </c>
    </row>
    <row r="1872">
      <c r="A1872" s="172" t="n">
        <v>101</v>
      </c>
      <c r="B1872" s="172" t="inlineStr">
        <is>
          <t>6月</t>
        </is>
      </c>
      <c r="C1872" s="172" t="inlineStr">
        <is>
          <t>消金</t>
        </is>
      </c>
      <c r="D1872" s="172" t="inlineStr">
        <is>
          <t>赊销白条</t>
        </is>
      </c>
      <c r="E1872" s="172" t="inlineStr">
        <is>
          <t>东裕11号仲裕</t>
        </is>
      </c>
      <c r="F1872" s="172" t="inlineStr">
        <is>
          <t>银行间</t>
        </is>
      </c>
      <c r="G1872" s="172" t="inlineStr">
        <is>
          <t>中信建投</t>
        </is>
      </c>
      <c r="H1872" s="172" t="inlineStr">
        <is>
          <t>江苏银行/杭州银行/国信证券/国开证券</t>
        </is>
      </c>
      <c r="I1872" s="172" t="inlineStr">
        <is>
          <t>招行北分</t>
        </is>
      </c>
      <c r="J1872" s="172" t="n">
        <v>10</v>
      </c>
      <c r="K1872" s="172" t="inlineStr">
        <is>
          <t>12+12+9+3</t>
        </is>
      </c>
      <c r="L1872" s="200" t="n">
        <v>46198</v>
      </c>
      <c r="M1872" s="175" t="n">
        <v>0.0148</v>
      </c>
      <c r="N1872" s="176" t="n">
        <v>0.0182</v>
      </c>
      <c r="O1872" s="172" t="n">
        <v>2.3</v>
      </c>
      <c r="P1872" s="172" t="inlineStr">
        <is>
          <t>优先A</t>
        </is>
      </c>
      <c r="Q1872" s="175" t="n">
        <v>0.9</v>
      </c>
      <c r="R1872" s="192" t="n">
        <v>9</v>
      </c>
      <c r="S1872" s="172" t="inlineStr">
        <is>
          <t>AAA</t>
        </is>
      </c>
      <c r="T1872" s="175" t="n">
        <v>0.016</v>
      </c>
      <c r="U1872" s="172" t="n"/>
      <c r="V1872" s="172" t="n"/>
      <c r="W1872" s="175" t="n">
        <v>0.024</v>
      </c>
      <c r="X1872" s="172" t="inlineStr">
        <is>
          <t>国信证券（固收）</t>
        </is>
      </c>
      <c r="Y1872" s="191" t="n">
        <v>0.8</v>
      </c>
    </row>
    <row r="1873">
      <c r="A1873" s="172" t="n">
        <v>101</v>
      </c>
      <c r="B1873" s="172" t="inlineStr">
        <is>
          <t>6月</t>
        </is>
      </c>
      <c r="C1873" s="172" t="inlineStr">
        <is>
          <t>消金</t>
        </is>
      </c>
      <c r="D1873" s="172" t="inlineStr">
        <is>
          <t>赊销白条</t>
        </is>
      </c>
      <c r="E1873" s="172" t="inlineStr">
        <is>
          <t>东裕11号仲裕</t>
        </is>
      </c>
      <c r="F1873" s="172" t="inlineStr">
        <is>
          <t>银行间</t>
        </is>
      </c>
      <c r="G1873" s="172" t="inlineStr">
        <is>
          <t>中信建投</t>
        </is>
      </c>
      <c r="H1873" s="172" t="inlineStr">
        <is>
          <t>江苏银行/杭州银行/国信证券/国开证券</t>
        </is>
      </c>
      <c r="I1873" s="172" t="inlineStr">
        <is>
          <t>招行北分</t>
        </is>
      </c>
      <c r="J1873" s="172" t="n">
        <v>10</v>
      </c>
      <c r="K1873" s="172" t="inlineStr">
        <is>
          <t>12+12+9+3</t>
        </is>
      </c>
      <c r="L1873" s="200" t="n">
        <v>46198</v>
      </c>
      <c r="M1873" s="175" t="n">
        <v>0.0148</v>
      </c>
      <c r="N1873" s="176" t="n">
        <v>0.0182</v>
      </c>
      <c r="O1873" s="172" t="n">
        <v>2.3</v>
      </c>
      <c r="P1873" s="172" t="inlineStr">
        <is>
          <t>优先A</t>
        </is>
      </c>
      <c r="Q1873" s="175" t="n">
        <v>0.9</v>
      </c>
      <c r="R1873" s="192" t="n">
        <v>9</v>
      </c>
      <c r="S1873" s="172" t="inlineStr">
        <is>
          <t>AAA</t>
        </is>
      </c>
      <c r="T1873" s="175" t="n">
        <v>0.016</v>
      </c>
      <c r="U1873" s="172" t="n"/>
      <c r="V1873" s="172" t="n"/>
      <c r="W1873" s="175" t="n">
        <v>0.024</v>
      </c>
      <c r="X1873" s="172" t="inlineStr">
        <is>
          <t>建投衍生品自营</t>
        </is>
      </c>
      <c r="Y1873" s="191" t="n">
        <v>1.35</v>
      </c>
    </row>
    <row r="1874">
      <c r="A1874" s="172" t="n">
        <v>101</v>
      </c>
      <c r="B1874" s="173" t="inlineStr">
        <is>
          <t>6月</t>
        </is>
      </c>
      <c r="C1874" s="173" t="inlineStr">
        <is>
          <t>消金</t>
        </is>
      </c>
      <c r="D1874" s="173" t="inlineStr">
        <is>
          <t>赊销白条</t>
        </is>
      </c>
      <c r="E1874" s="173" t="inlineStr">
        <is>
          <t>东裕11号仲裕</t>
        </is>
      </c>
      <c r="F1874" s="173" t="inlineStr">
        <is>
          <t>银行间</t>
        </is>
      </c>
      <c r="G1874" s="173" t="inlineStr">
        <is>
          <t>中信建投</t>
        </is>
      </c>
      <c r="H1874" s="173" t="inlineStr">
        <is>
          <t>江苏银行/杭州银行/国信证券/国开证券</t>
        </is>
      </c>
      <c r="I1874" s="173" t="inlineStr">
        <is>
          <t>招行北分</t>
        </is>
      </c>
      <c r="J1874" s="172" t="n">
        <v>10</v>
      </c>
      <c r="K1874" s="173" t="inlineStr">
        <is>
          <t>12+12+9+3</t>
        </is>
      </c>
      <c r="L1874" s="202" t="n">
        <v>46198</v>
      </c>
      <c r="M1874" s="175" t="n">
        <v>0.0148</v>
      </c>
      <c r="N1874" s="176" t="n">
        <v>0.0182</v>
      </c>
      <c r="O1874" s="191" t="n">
        <v>2.3</v>
      </c>
      <c r="P1874" s="177" t="inlineStr">
        <is>
          <t>优先B</t>
        </is>
      </c>
      <c r="Q1874" s="178" t="n">
        <v>0.03</v>
      </c>
      <c r="R1874" s="179" t="n">
        <v>0.3</v>
      </c>
      <c r="S1874" s="177" t="inlineStr">
        <is>
          <t>AA+</t>
        </is>
      </c>
      <c r="T1874" s="178" t="n">
        <v>0.0177</v>
      </c>
      <c r="U1874" s="177" t="inlineStr">
        <is>
          <t>交银理财</t>
        </is>
      </c>
      <c r="V1874" s="192" t="n">
        <v>0.09</v>
      </c>
      <c r="W1874" s="175" t="n">
        <v>0.017</v>
      </c>
      <c r="X1874" s="172" t="inlineStr">
        <is>
          <t>交银理财</t>
        </is>
      </c>
      <c r="Y1874" s="191" t="n">
        <v>0.09</v>
      </c>
    </row>
    <row r="1875">
      <c r="A1875" s="172" t="n">
        <v>101</v>
      </c>
      <c r="B1875" s="173" t="inlineStr">
        <is>
          <t>6月</t>
        </is>
      </c>
      <c r="C1875" s="173" t="inlineStr">
        <is>
          <t>消金</t>
        </is>
      </c>
      <c r="D1875" s="173" t="inlineStr">
        <is>
          <t>赊销白条</t>
        </is>
      </c>
      <c r="E1875" s="173" t="inlineStr">
        <is>
          <t>东裕11号仲裕</t>
        </is>
      </c>
      <c r="F1875" s="173" t="inlineStr">
        <is>
          <t>银行间</t>
        </is>
      </c>
      <c r="G1875" s="173" t="inlineStr">
        <is>
          <t>中信建投</t>
        </is>
      </c>
      <c r="H1875" s="173" t="inlineStr">
        <is>
          <t>江苏银行/杭州银行/国信证券/国开证券</t>
        </is>
      </c>
      <c r="I1875" s="173" t="inlineStr">
        <is>
          <t>招行北分</t>
        </is>
      </c>
      <c r="J1875" s="172" t="n">
        <v>10</v>
      </c>
      <c r="K1875" s="173" t="inlineStr">
        <is>
          <t>12+12+9+3</t>
        </is>
      </c>
      <c r="L1875" s="202" t="n">
        <v>46198</v>
      </c>
      <c r="M1875" s="175" t="n">
        <v>0.0148</v>
      </c>
      <c r="N1875" s="176" t="n">
        <v>0.0182</v>
      </c>
      <c r="O1875" s="191" t="n">
        <v>2.3</v>
      </c>
      <c r="P1875" s="172" t="inlineStr">
        <is>
          <t>优先B</t>
        </is>
      </c>
      <c r="Q1875" s="178" t="n">
        <v>0.03</v>
      </c>
      <c r="R1875" s="179" t="n">
        <v>0.3</v>
      </c>
      <c r="S1875" s="177" t="inlineStr">
        <is>
          <t>AA+</t>
        </is>
      </c>
      <c r="T1875" s="178" t="n">
        <v>0.0177</v>
      </c>
      <c r="U1875" s="177" t="inlineStr">
        <is>
          <t>招银理财</t>
        </is>
      </c>
      <c r="V1875" s="192" t="n">
        <v>0.09</v>
      </c>
      <c r="W1875" s="175" t="n">
        <v>0.017</v>
      </c>
      <c r="X1875" s="172" t="inlineStr">
        <is>
          <t>招银理财</t>
        </is>
      </c>
      <c r="Y1875" s="191" t="n">
        <v>0.09</v>
      </c>
    </row>
    <row r="1876">
      <c r="A1876" s="172" t="n">
        <v>101</v>
      </c>
      <c r="B1876" s="173" t="inlineStr">
        <is>
          <t>6月</t>
        </is>
      </c>
      <c r="C1876" s="173" t="inlineStr">
        <is>
          <t>消金</t>
        </is>
      </c>
      <c r="D1876" s="173" t="inlineStr">
        <is>
          <t>赊销白条</t>
        </is>
      </c>
      <c r="E1876" s="173" t="inlineStr">
        <is>
          <t>东裕11号仲裕</t>
        </is>
      </c>
      <c r="F1876" s="173" t="inlineStr">
        <is>
          <t>银行间</t>
        </is>
      </c>
      <c r="G1876" s="173" t="inlineStr">
        <is>
          <t>中信建投</t>
        </is>
      </c>
      <c r="H1876" s="173" t="inlineStr">
        <is>
          <t>江苏银行/杭州银行/国信证券/国开证券</t>
        </is>
      </c>
      <c r="I1876" s="173" t="inlineStr">
        <is>
          <t>招行北分</t>
        </is>
      </c>
      <c r="J1876" s="172" t="n">
        <v>10</v>
      </c>
      <c r="K1876" s="173" t="inlineStr">
        <is>
          <t>12+12+9+3</t>
        </is>
      </c>
      <c r="L1876" s="202" t="n">
        <v>46198</v>
      </c>
      <c r="M1876" s="175" t="n">
        <v>0.0148</v>
      </c>
      <c r="N1876" s="176" t="n">
        <v>0.0182</v>
      </c>
      <c r="O1876" s="191" t="n">
        <v>2.3</v>
      </c>
      <c r="P1876" s="172" t="inlineStr">
        <is>
          <t>优先B</t>
        </is>
      </c>
      <c r="Q1876" s="178" t="n">
        <v>0.03</v>
      </c>
      <c r="R1876" s="179" t="n">
        <v>0.3</v>
      </c>
      <c r="S1876" s="177" t="inlineStr">
        <is>
          <t>AA+</t>
        </is>
      </c>
      <c r="T1876" s="178" t="n">
        <v>0.0177</v>
      </c>
      <c r="U1876" s="177" t="inlineStr">
        <is>
          <t>平安理财</t>
        </is>
      </c>
      <c r="V1876" s="192" t="n">
        <v>0.07000000000000001</v>
      </c>
      <c r="W1876" s="175" t="n">
        <v>0.0172</v>
      </c>
      <c r="X1876" s="172" t="inlineStr">
        <is>
          <t>平安理财</t>
        </is>
      </c>
      <c r="Y1876" s="191" t="n">
        <v>0.07000000000000001</v>
      </c>
    </row>
    <row r="1877">
      <c r="A1877" s="172" t="n">
        <v>101</v>
      </c>
      <c r="B1877" s="173" t="inlineStr">
        <is>
          <t>6月</t>
        </is>
      </c>
      <c r="C1877" s="173" t="inlineStr">
        <is>
          <t>消金</t>
        </is>
      </c>
      <c r="D1877" s="173" t="inlineStr">
        <is>
          <t>赊销白条</t>
        </is>
      </c>
      <c r="E1877" s="173" t="inlineStr">
        <is>
          <t>东裕11号仲裕</t>
        </is>
      </c>
      <c r="F1877" s="173" t="inlineStr">
        <is>
          <t>银行间</t>
        </is>
      </c>
      <c r="G1877" s="173" t="inlineStr">
        <is>
          <t>中信建投</t>
        </is>
      </c>
      <c r="H1877" s="173" t="inlineStr">
        <is>
          <t>江苏银行/杭州银行/国信证券/国开证券</t>
        </is>
      </c>
      <c r="I1877" s="173" t="inlineStr">
        <is>
          <t>招行北分</t>
        </is>
      </c>
      <c r="J1877" s="172" t="n">
        <v>10</v>
      </c>
      <c r="K1877" s="173" t="inlineStr">
        <is>
          <t>12+12+9+3</t>
        </is>
      </c>
      <c r="L1877" s="202" t="n">
        <v>46198</v>
      </c>
      <c r="M1877" s="175" t="n">
        <v>0.0148</v>
      </c>
      <c r="N1877" s="176" t="n">
        <v>0.0182</v>
      </c>
      <c r="O1877" s="191" t="n">
        <v>2.3</v>
      </c>
      <c r="P1877" s="172" t="inlineStr">
        <is>
          <t>优先B</t>
        </is>
      </c>
      <c r="Q1877" s="178" t="n">
        <v>0.03</v>
      </c>
      <c r="R1877" s="179" t="n">
        <v>0.3</v>
      </c>
      <c r="S1877" s="177" t="inlineStr">
        <is>
          <t>AA+</t>
        </is>
      </c>
      <c r="T1877" s="178" t="n">
        <v>0.0177</v>
      </c>
      <c r="U1877" s="177" t="inlineStr">
        <is>
          <t>杭州联合银行</t>
        </is>
      </c>
      <c r="V1877" s="192" t="n">
        <v>0.05</v>
      </c>
      <c r="W1877" s="175" t="n">
        <v>0.0177</v>
      </c>
      <c r="X1877" s="172" t="inlineStr">
        <is>
          <t>杭州联合银行</t>
        </is>
      </c>
      <c r="Y1877" s="191" t="n">
        <v>0.09</v>
      </c>
    </row>
    <row r="1878">
      <c r="A1878" s="172" t="n">
        <v>101</v>
      </c>
      <c r="B1878" s="172" t="inlineStr">
        <is>
          <t>6月</t>
        </is>
      </c>
      <c r="C1878" s="172" t="inlineStr">
        <is>
          <t>消金</t>
        </is>
      </c>
      <c r="D1878" s="172" t="inlineStr">
        <is>
          <t>赊销白条</t>
        </is>
      </c>
      <c r="E1878" s="172" t="inlineStr">
        <is>
          <t>东裕11号仲裕</t>
        </is>
      </c>
      <c r="F1878" s="172" t="inlineStr">
        <is>
          <t>银行间</t>
        </is>
      </c>
      <c r="G1878" s="172" t="inlineStr">
        <is>
          <t>中信建投</t>
        </is>
      </c>
      <c r="H1878" s="172" t="inlineStr">
        <is>
          <t>江苏银行/杭州银行/国信证券/国开证券</t>
        </is>
      </c>
      <c r="I1878" s="172" t="inlineStr">
        <is>
          <t>招行北分</t>
        </is>
      </c>
      <c r="J1878" s="172" t="n">
        <v>10</v>
      </c>
      <c r="K1878" s="172" t="inlineStr">
        <is>
          <t>12+12+9+3</t>
        </is>
      </c>
      <c r="L1878" s="200" t="n">
        <v>46198</v>
      </c>
      <c r="M1878" s="175" t="n">
        <v>0.0148</v>
      </c>
      <c r="N1878" s="176" t="n">
        <v>0.0182</v>
      </c>
      <c r="O1878" s="172" t="n">
        <v>2.3</v>
      </c>
      <c r="P1878" s="172" t="inlineStr">
        <is>
          <t>优先B</t>
        </is>
      </c>
      <c r="Q1878" s="175" t="n">
        <v>0.03</v>
      </c>
      <c r="R1878" s="192" t="n">
        <v>0.3</v>
      </c>
      <c r="S1878" s="172" t="inlineStr">
        <is>
          <t>AA+</t>
        </is>
      </c>
      <c r="T1878" s="175" t="n">
        <v>0.0177</v>
      </c>
      <c r="U1878" s="172" t="n"/>
      <c r="V1878" s="172" t="n"/>
      <c r="W1878" s="175" t="n">
        <v>0.023</v>
      </c>
      <c r="X1878" s="172" t="inlineStr">
        <is>
          <t>中信证券自营</t>
        </is>
      </c>
      <c r="Y1878" s="191" t="n">
        <v>0.3</v>
      </c>
    </row>
    <row r="1879">
      <c r="A1879" s="172" t="n">
        <v>101</v>
      </c>
      <c r="B1879" s="173" t="inlineStr">
        <is>
          <t>6月</t>
        </is>
      </c>
      <c r="C1879" s="173" t="inlineStr">
        <is>
          <t>消金</t>
        </is>
      </c>
      <c r="D1879" s="173" t="inlineStr">
        <is>
          <t>赊销白条</t>
        </is>
      </c>
      <c r="E1879" s="173" t="inlineStr">
        <is>
          <t>东裕11号仲裕</t>
        </is>
      </c>
      <c r="F1879" s="173" t="inlineStr">
        <is>
          <t>银行间</t>
        </is>
      </c>
      <c r="G1879" s="173" t="inlineStr">
        <is>
          <t>中信建投</t>
        </is>
      </c>
      <c r="H1879" s="173" t="inlineStr">
        <is>
          <t>江苏银行/杭州银行/国信证券/国开证券</t>
        </is>
      </c>
      <c r="I1879" s="173" t="inlineStr">
        <is>
          <t>招行北分</t>
        </is>
      </c>
      <c r="J1879" s="172" t="n">
        <v>10</v>
      </c>
      <c r="K1879" s="173" t="inlineStr">
        <is>
          <t>12+12+9+3</t>
        </is>
      </c>
      <c r="L1879" s="202" t="n">
        <v>46198</v>
      </c>
      <c r="M1879" s="175" t="n">
        <v>0.0148</v>
      </c>
      <c r="N1879" s="176" t="n">
        <v>0.0182</v>
      </c>
      <c r="O1879" s="191" t="n">
        <v>2.3</v>
      </c>
      <c r="P1879" s="177" t="inlineStr">
        <is>
          <t>中间级</t>
        </is>
      </c>
      <c r="Q1879" s="178" t="n">
        <v>0.02</v>
      </c>
      <c r="R1879" s="179" t="n">
        <v>0.2</v>
      </c>
      <c r="S1879" s="177" t="inlineStr">
        <is>
          <t>A+</t>
        </is>
      </c>
      <c r="T1879" s="178" t="n">
        <v>0.031</v>
      </c>
      <c r="U1879" s="177" t="inlineStr">
        <is>
          <t>杭州联合银行</t>
        </is>
      </c>
      <c r="V1879" s="192" t="n">
        <v>0.06</v>
      </c>
      <c r="W1879" s="172" t="n"/>
      <c r="X1879" s="172" t="n"/>
      <c r="Y1879" s="172" t="n"/>
    </row>
    <row r="1880">
      <c r="A1880" s="172" t="n">
        <v>101</v>
      </c>
      <c r="B1880" s="173" t="inlineStr">
        <is>
          <t>6月</t>
        </is>
      </c>
      <c r="C1880" s="173" t="inlineStr">
        <is>
          <t>消金</t>
        </is>
      </c>
      <c r="D1880" s="173" t="inlineStr">
        <is>
          <t>赊销白条</t>
        </is>
      </c>
      <c r="E1880" s="173" t="inlineStr">
        <is>
          <t>东裕11号仲裕</t>
        </is>
      </c>
      <c r="F1880" s="173" t="inlineStr">
        <is>
          <t>银行间</t>
        </is>
      </c>
      <c r="G1880" s="173" t="inlineStr">
        <is>
          <t>中信建投</t>
        </is>
      </c>
      <c r="H1880" s="173" t="inlineStr">
        <is>
          <t>江苏银行/杭州银行/国信证券/国开证券</t>
        </is>
      </c>
      <c r="I1880" s="173" t="inlineStr">
        <is>
          <t>招行北分</t>
        </is>
      </c>
      <c r="J1880" s="172" t="n">
        <v>10</v>
      </c>
      <c r="K1880" s="173" t="inlineStr">
        <is>
          <t>12+12+9+3</t>
        </is>
      </c>
      <c r="L1880" s="202" t="n">
        <v>46198</v>
      </c>
      <c r="M1880" s="175" t="n">
        <v>0.0148</v>
      </c>
      <c r="N1880" s="176" t="n">
        <v>0.0182</v>
      </c>
      <c r="O1880" s="191" t="n">
        <v>2.3</v>
      </c>
      <c r="P1880" s="172" t="inlineStr">
        <is>
          <t>中间级</t>
        </is>
      </c>
      <c r="Q1880" s="178" t="n">
        <v>0.02</v>
      </c>
      <c r="R1880" s="179" t="n">
        <v>0.2</v>
      </c>
      <c r="S1880" s="177" t="inlineStr">
        <is>
          <t>A+</t>
        </is>
      </c>
      <c r="T1880" s="178" t="n">
        <v>0.031</v>
      </c>
      <c r="U1880" s="177" t="inlineStr">
        <is>
          <t>平安理财</t>
        </is>
      </c>
      <c r="V1880" s="192" t="n">
        <v>0.06</v>
      </c>
      <c r="W1880" s="172" t="n"/>
      <c r="X1880" s="172" t="n"/>
      <c r="Y1880" s="172" t="n"/>
    </row>
    <row r="1881">
      <c r="A1881" s="172" t="n">
        <v>101</v>
      </c>
      <c r="B1881" s="173" t="inlineStr">
        <is>
          <t>6月</t>
        </is>
      </c>
      <c r="C1881" s="173" t="inlineStr">
        <is>
          <t>消金</t>
        </is>
      </c>
      <c r="D1881" s="173" t="inlineStr">
        <is>
          <t>赊销白条</t>
        </is>
      </c>
      <c r="E1881" s="173" t="inlineStr">
        <is>
          <t>东裕11号仲裕</t>
        </is>
      </c>
      <c r="F1881" s="173" t="inlineStr">
        <is>
          <t>银行间</t>
        </is>
      </c>
      <c r="G1881" s="173" t="inlineStr">
        <is>
          <t>中信建投</t>
        </is>
      </c>
      <c r="H1881" s="173" t="inlineStr">
        <is>
          <t>江苏银行/杭州银行/国信证券/国开证券</t>
        </is>
      </c>
      <c r="I1881" s="173" t="inlineStr">
        <is>
          <t>招行北分</t>
        </is>
      </c>
      <c r="J1881" s="172" t="n">
        <v>10</v>
      </c>
      <c r="K1881" s="173" t="inlineStr">
        <is>
          <t>12+12+9+3</t>
        </is>
      </c>
      <c r="L1881" s="202" t="n">
        <v>46198</v>
      </c>
      <c r="M1881" s="175" t="n">
        <v>0.0148</v>
      </c>
      <c r="N1881" s="176" t="n">
        <v>0.0182</v>
      </c>
      <c r="O1881" s="191" t="n">
        <v>2.3</v>
      </c>
      <c r="P1881" s="172" t="inlineStr">
        <is>
          <t>中间级</t>
        </is>
      </c>
      <c r="Q1881" s="178" t="n">
        <v>0.02</v>
      </c>
      <c r="R1881" s="179" t="n">
        <v>0.2</v>
      </c>
      <c r="S1881" s="177" t="inlineStr">
        <is>
          <t>A+</t>
        </is>
      </c>
      <c r="T1881" s="178" t="n">
        <v>0.031</v>
      </c>
      <c r="U1881" s="177" t="inlineStr">
        <is>
          <t>招银理财</t>
        </is>
      </c>
      <c r="V1881" s="192" t="n">
        <v>0.06</v>
      </c>
      <c r="W1881" s="172" t="n"/>
      <c r="X1881" s="172" t="n"/>
      <c r="Y1881" s="172" t="n"/>
    </row>
    <row r="1882">
      <c r="A1882" s="172" t="n">
        <v>101</v>
      </c>
      <c r="B1882" s="173" t="inlineStr">
        <is>
          <t>6月</t>
        </is>
      </c>
      <c r="C1882" s="173" t="inlineStr">
        <is>
          <t>消金</t>
        </is>
      </c>
      <c r="D1882" s="173" t="inlineStr">
        <is>
          <t>赊销白条</t>
        </is>
      </c>
      <c r="E1882" s="173" t="inlineStr">
        <is>
          <t>东裕11号仲裕</t>
        </is>
      </c>
      <c r="F1882" s="173" t="inlineStr">
        <is>
          <t>银行间</t>
        </is>
      </c>
      <c r="G1882" s="173" t="inlineStr">
        <is>
          <t>中信建投</t>
        </is>
      </c>
      <c r="H1882" s="173" t="inlineStr">
        <is>
          <t>江苏银行/杭州银行/国信证券/国开证券</t>
        </is>
      </c>
      <c r="I1882" s="173" t="inlineStr">
        <is>
          <t>招行北分</t>
        </is>
      </c>
      <c r="J1882" s="172" t="n">
        <v>10</v>
      </c>
      <c r="K1882" s="173" t="inlineStr">
        <is>
          <t>12+12+9+3</t>
        </is>
      </c>
      <c r="L1882" s="202" t="n">
        <v>46198</v>
      </c>
      <c r="M1882" s="175" t="n">
        <v>0.0148</v>
      </c>
      <c r="N1882" s="176" t="n">
        <v>0.0182</v>
      </c>
      <c r="O1882" s="191" t="n">
        <v>2.3</v>
      </c>
      <c r="P1882" s="172" t="inlineStr">
        <is>
          <t>中间级</t>
        </is>
      </c>
      <c r="Q1882" s="178" t="n">
        <v>0.02</v>
      </c>
      <c r="R1882" s="179" t="n">
        <v>0.2</v>
      </c>
      <c r="S1882" s="177" t="inlineStr">
        <is>
          <t>A+</t>
        </is>
      </c>
      <c r="T1882" s="178" t="n">
        <v>0.031</v>
      </c>
      <c r="U1882" s="177" t="inlineStr">
        <is>
          <t>中信建投机构部</t>
        </is>
      </c>
      <c r="V1882" s="192" t="n">
        <v>0.02</v>
      </c>
      <c r="W1882" s="172" t="n"/>
      <c r="X1882" s="172" t="n"/>
      <c r="Y1882" s="172" t="n"/>
    </row>
    <row r="1883">
      <c r="A1883" s="172" t="n">
        <v>101</v>
      </c>
      <c r="B1883" s="173" t="inlineStr">
        <is>
          <t>6月</t>
        </is>
      </c>
      <c r="C1883" s="173" t="inlineStr">
        <is>
          <t>消金</t>
        </is>
      </c>
      <c r="D1883" s="173" t="inlineStr">
        <is>
          <t>赊销白条</t>
        </is>
      </c>
      <c r="E1883" s="173" t="inlineStr">
        <is>
          <t>东裕11号仲裕</t>
        </is>
      </c>
      <c r="F1883" s="173" t="inlineStr">
        <is>
          <t>银行间</t>
        </is>
      </c>
      <c r="G1883" s="173" t="inlineStr">
        <is>
          <t>中信建投</t>
        </is>
      </c>
      <c r="H1883" s="173" t="inlineStr">
        <is>
          <t>江苏银行/杭州银行/国信证券/国开证券</t>
        </is>
      </c>
      <c r="I1883" s="173" t="inlineStr">
        <is>
          <t>招行北分</t>
        </is>
      </c>
      <c r="J1883" s="172" t="n">
        <v>10</v>
      </c>
      <c r="K1883" s="173" t="inlineStr">
        <is>
          <t>12+12+9+3</t>
        </is>
      </c>
      <c r="L1883" s="202" t="n">
        <v>46198</v>
      </c>
      <c r="M1883" s="175" t="n">
        <v>0.0148</v>
      </c>
      <c r="N1883" s="176" t="n">
        <v>0.0182</v>
      </c>
      <c r="O1883" s="191" t="n">
        <v>2.3</v>
      </c>
      <c r="P1883" s="177" t="inlineStr">
        <is>
          <t>次级</t>
        </is>
      </c>
      <c r="Q1883" s="178" t="n">
        <v>0.05</v>
      </c>
      <c r="R1883" s="179" t="n">
        <v>0.5</v>
      </c>
      <c r="S1883" s="177" t="inlineStr">
        <is>
          <t>无</t>
        </is>
      </c>
      <c r="T1883" s="178" t="n">
        <v>0.045</v>
      </c>
      <c r="U1883" s="177" t="inlineStr">
        <is>
          <t>中信证券自营</t>
        </is>
      </c>
      <c r="V1883" s="195" t="n">
        <v>0.275</v>
      </c>
      <c r="W1883" s="172" t="n"/>
      <c r="X1883" s="172" t="n"/>
      <c r="Y1883" s="172" t="n"/>
    </row>
    <row r="1884">
      <c r="A1884" s="172" t="n">
        <v>101</v>
      </c>
      <c r="B1884" s="173" t="inlineStr">
        <is>
          <t>6月</t>
        </is>
      </c>
      <c r="C1884" s="173" t="inlineStr">
        <is>
          <t>消金</t>
        </is>
      </c>
      <c r="D1884" s="173" t="inlineStr">
        <is>
          <t>赊销白条</t>
        </is>
      </c>
      <c r="E1884" s="173" t="inlineStr">
        <is>
          <t>东裕11号仲裕</t>
        </is>
      </c>
      <c r="F1884" s="173" t="inlineStr">
        <is>
          <t>银行间</t>
        </is>
      </c>
      <c r="G1884" s="173" t="inlineStr">
        <is>
          <t>中信建投</t>
        </is>
      </c>
      <c r="H1884" s="173" t="inlineStr">
        <is>
          <t>江苏银行/杭州银行/国信证券/国开证券</t>
        </is>
      </c>
      <c r="I1884" s="173" t="inlineStr">
        <is>
          <t>招行北分</t>
        </is>
      </c>
      <c r="J1884" s="172" t="n">
        <v>10</v>
      </c>
      <c r="K1884" s="173" t="inlineStr">
        <is>
          <t>12+12+9+3</t>
        </is>
      </c>
      <c r="L1884" s="202" t="n">
        <v>46198</v>
      </c>
      <c r="M1884" s="175" t="n">
        <v>0.0148</v>
      </c>
      <c r="N1884" s="176" t="n">
        <v>0.0182</v>
      </c>
      <c r="O1884" s="191" t="n">
        <v>2.3</v>
      </c>
      <c r="P1884" s="172" t="inlineStr">
        <is>
          <t>次级</t>
        </is>
      </c>
      <c r="Q1884" s="178" t="n">
        <v>0.05</v>
      </c>
      <c r="R1884" s="179" t="n">
        <v>0.5</v>
      </c>
      <c r="S1884" s="177" t="inlineStr">
        <is>
          <t>无</t>
        </is>
      </c>
      <c r="T1884" s="178" t="n">
        <v>0.045</v>
      </c>
      <c r="U1884" s="177" t="inlineStr">
        <is>
          <t>中信证券投顾</t>
        </is>
      </c>
      <c r="V1884" s="195" t="n">
        <v>0.225</v>
      </c>
      <c r="W1884" s="172" t="n"/>
      <c r="X1884" s="172" t="n"/>
      <c r="Y1884" s="172" t="n"/>
    </row>
    <row r="1885">
      <c r="A1885" s="172" t="n">
        <v>102</v>
      </c>
      <c r="B1885" s="172" t="inlineStr">
        <is>
          <t>6月</t>
        </is>
      </c>
      <c r="C1885" s="172" t="inlineStr">
        <is>
          <t>企金</t>
        </is>
      </c>
      <c r="D1885" s="172" t="inlineStr">
        <is>
          <t>金采</t>
        </is>
      </c>
      <c r="E1885" s="172" t="inlineStr">
        <is>
          <t>金采8-5</t>
        </is>
      </c>
      <c r="F1885" s="172" t="inlineStr">
        <is>
          <t>上交所</t>
        </is>
      </c>
      <c r="G1885" s="172" t="inlineStr">
        <is>
          <t>华泰资管</t>
        </is>
      </c>
      <c r="H1885" s="172" t="inlineStr">
        <is>
          <t>华福证券</t>
        </is>
      </c>
      <c r="I1885" s="172" t="inlineStr">
        <is>
          <t>招行北分</t>
        </is>
      </c>
      <c r="J1885" s="172" t="n">
        <v>10</v>
      </c>
      <c r="K1885" s="172" t="inlineStr">
        <is>
          <t>7+12</t>
        </is>
      </c>
      <c r="L1885" s="202" t="n">
        <v>46198</v>
      </c>
      <c r="M1885" s="175" t="n">
        <v>0.0148</v>
      </c>
      <c r="N1885" s="176" t="n">
        <v>0.0191</v>
      </c>
      <c r="O1885" s="191" t="n">
        <v>1.1</v>
      </c>
      <c r="P1885" s="172" t="inlineStr">
        <is>
          <t>优先级</t>
        </is>
      </c>
      <c r="Q1885" s="175" t="n">
        <v>0.9</v>
      </c>
      <c r="R1885" s="192" t="n">
        <v>9</v>
      </c>
      <c r="S1885" s="172" t="inlineStr">
        <is>
          <t>AAA</t>
        </is>
      </c>
      <c r="T1885" s="175" t="n">
        <v>0.0165</v>
      </c>
      <c r="U1885" s="172" t="inlineStr">
        <is>
          <t>民生理财</t>
        </is>
      </c>
      <c r="V1885" s="191" t="n">
        <v>2.7</v>
      </c>
      <c r="W1885" s="175" t="n">
        <v>0.0155</v>
      </c>
      <c r="X1885" s="172" t="inlineStr">
        <is>
          <t>民生理财</t>
        </is>
      </c>
      <c r="Y1885" s="191" t="n">
        <v>2.7</v>
      </c>
    </row>
    <row r="1886">
      <c r="A1886" s="172" t="n">
        <v>102</v>
      </c>
      <c r="B1886" s="172" t="inlineStr">
        <is>
          <t>6月</t>
        </is>
      </c>
      <c r="C1886" s="172" t="inlineStr">
        <is>
          <t>企金</t>
        </is>
      </c>
      <c r="D1886" s="172" t="inlineStr">
        <is>
          <t>金采</t>
        </is>
      </c>
      <c r="E1886" s="172" t="inlineStr">
        <is>
          <t>金采8-5</t>
        </is>
      </c>
      <c r="F1886" s="172" t="inlineStr">
        <is>
          <t>上交所</t>
        </is>
      </c>
      <c r="G1886" s="172" t="inlineStr">
        <is>
          <t>华泰资管</t>
        </is>
      </c>
      <c r="H1886" s="172" t="inlineStr">
        <is>
          <t>华福证券</t>
        </is>
      </c>
      <c r="I1886" s="172" t="inlineStr">
        <is>
          <t>招行北分</t>
        </is>
      </c>
      <c r="J1886" s="172" t="n">
        <v>10</v>
      </c>
      <c r="K1886" s="172" t="inlineStr">
        <is>
          <t>7+12</t>
        </is>
      </c>
      <c r="L1886" s="202" t="n">
        <v>46198</v>
      </c>
      <c r="M1886" s="175" t="n">
        <v>0.0148</v>
      </c>
      <c r="N1886" s="176" t="n">
        <v>0.0191</v>
      </c>
      <c r="O1886" s="191" t="n">
        <v>1.1</v>
      </c>
      <c r="P1886" s="172" t="inlineStr">
        <is>
          <t>优先级</t>
        </is>
      </c>
      <c r="Q1886" s="175" t="n">
        <v>0.9</v>
      </c>
      <c r="R1886" s="192" t="n">
        <v>9</v>
      </c>
      <c r="S1886" s="172" t="inlineStr">
        <is>
          <t>AAA</t>
        </is>
      </c>
      <c r="T1886" s="175" t="n">
        <v>0.0165</v>
      </c>
      <c r="U1886" s="172" t="inlineStr">
        <is>
          <t>交银理财</t>
        </is>
      </c>
      <c r="V1886" s="191" t="n">
        <v>0.5</v>
      </c>
      <c r="W1886" s="175" t="n">
        <v>0.016</v>
      </c>
      <c r="X1886" s="172" t="inlineStr">
        <is>
          <t>交银理财</t>
        </is>
      </c>
      <c r="Y1886" s="191" t="n">
        <v>0.5</v>
      </c>
    </row>
    <row r="1887">
      <c r="A1887" s="172" t="n">
        <v>102</v>
      </c>
      <c r="B1887" s="172" t="inlineStr">
        <is>
          <t>6月</t>
        </is>
      </c>
      <c r="C1887" s="172" t="inlineStr">
        <is>
          <t>企金</t>
        </is>
      </c>
      <c r="D1887" s="172" t="inlineStr">
        <is>
          <t>金采</t>
        </is>
      </c>
      <c r="E1887" s="172" t="inlineStr">
        <is>
          <t>金采8-5</t>
        </is>
      </c>
      <c r="F1887" s="172" t="inlineStr">
        <is>
          <t>上交所</t>
        </is>
      </c>
      <c r="G1887" s="172" t="inlineStr">
        <is>
          <t>华泰资管</t>
        </is>
      </c>
      <c r="H1887" s="172" t="inlineStr">
        <is>
          <t>华福证券</t>
        </is>
      </c>
      <c r="I1887" s="172" t="inlineStr">
        <is>
          <t>招行北分</t>
        </is>
      </c>
      <c r="J1887" s="172" t="n">
        <v>10</v>
      </c>
      <c r="K1887" s="172" t="inlineStr">
        <is>
          <t>7+12</t>
        </is>
      </c>
      <c r="L1887" s="202" t="n">
        <v>46198</v>
      </c>
      <c r="M1887" s="175" t="n">
        <v>0.0148</v>
      </c>
      <c r="N1887" s="176" t="n">
        <v>0.0191</v>
      </c>
      <c r="O1887" s="191" t="n">
        <v>1.1</v>
      </c>
      <c r="P1887" s="172" t="inlineStr">
        <is>
          <t>优先级</t>
        </is>
      </c>
      <c r="Q1887" s="175" t="n">
        <v>0.9</v>
      </c>
      <c r="R1887" s="192" t="n">
        <v>9</v>
      </c>
      <c r="S1887" s="172" t="inlineStr">
        <is>
          <t>AAA</t>
        </is>
      </c>
      <c r="T1887" s="175" t="n">
        <v>0.0165</v>
      </c>
      <c r="U1887" s="172" t="inlineStr">
        <is>
          <t>中邮理财</t>
        </is>
      </c>
      <c r="V1887" s="191" t="n">
        <v>2.7</v>
      </c>
      <c r="W1887" s="175" t="n">
        <v>0.016</v>
      </c>
      <c r="X1887" s="172" t="inlineStr">
        <is>
          <t>中邮理财</t>
        </is>
      </c>
      <c r="Y1887" s="191" t="n">
        <v>2.7</v>
      </c>
    </row>
    <row r="1888">
      <c r="A1888" s="172" t="n">
        <v>102</v>
      </c>
      <c r="B1888" s="172" t="inlineStr">
        <is>
          <t>6月</t>
        </is>
      </c>
      <c r="C1888" s="172" t="inlineStr">
        <is>
          <t>企金</t>
        </is>
      </c>
      <c r="D1888" s="172" t="inlineStr">
        <is>
          <t>金采</t>
        </is>
      </c>
      <c r="E1888" s="172" t="inlineStr">
        <is>
          <t>金采8-5</t>
        </is>
      </c>
      <c r="F1888" s="172" t="inlineStr">
        <is>
          <t>上交所</t>
        </is>
      </c>
      <c r="G1888" s="172" t="inlineStr">
        <is>
          <t>华泰资管</t>
        </is>
      </c>
      <c r="H1888" s="172" t="inlineStr">
        <is>
          <t>华福证券</t>
        </is>
      </c>
      <c r="I1888" s="172" t="inlineStr">
        <is>
          <t>招行北分</t>
        </is>
      </c>
      <c r="J1888" s="172" t="n">
        <v>10</v>
      </c>
      <c r="K1888" s="172" t="inlineStr">
        <is>
          <t>7+12</t>
        </is>
      </c>
      <c r="L1888" s="202" t="n">
        <v>46198</v>
      </c>
      <c r="M1888" s="175" t="n">
        <v>0.0148</v>
      </c>
      <c r="N1888" s="176" t="n">
        <v>0.0191</v>
      </c>
      <c r="O1888" s="191" t="n">
        <v>1.1</v>
      </c>
      <c r="P1888" s="172" t="inlineStr">
        <is>
          <t>优先级</t>
        </is>
      </c>
      <c r="Q1888" s="175" t="n">
        <v>0.9</v>
      </c>
      <c r="R1888" s="192" t="n">
        <v>9</v>
      </c>
      <c r="S1888" s="172" t="inlineStr">
        <is>
          <t>AAA</t>
        </is>
      </c>
      <c r="T1888" s="175" t="n">
        <v>0.0165</v>
      </c>
      <c r="U1888" s="172" t="inlineStr">
        <is>
          <t>建信理财</t>
        </is>
      </c>
      <c r="V1888" s="191" t="n">
        <v>2.2</v>
      </c>
      <c r="W1888" s="175" t="n">
        <v>0.0165</v>
      </c>
      <c r="X1888" s="172" t="inlineStr">
        <is>
          <t>建信理财</t>
        </is>
      </c>
      <c r="Y1888" s="191" t="n">
        <v>2.2</v>
      </c>
    </row>
    <row r="1889">
      <c r="A1889" s="172" t="n">
        <v>102</v>
      </c>
      <c r="B1889" s="172" t="inlineStr">
        <is>
          <t>6月</t>
        </is>
      </c>
      <c r="C1889" s="172" t="inlineStr">
        <is>
          <t>企金</t>
        </is>
      </c>
      <c r="D1889" s="172" t="inlineStr">
        <is>
          <t>金采</t>
        </is>
      </c>
      <c r="E1889" s="172" t="inlineStr">
        <is>
          <t>金采8-5</t>
        </is>
      </c>
      <c r="F1889" s="172" t="inlineStr">
        <is>
          <t>上交所</t>
        </is>
      </c>
      <c r="G1889" s="172" t="inlineStr">
        <is>
          <t>华泰资管</t>
        </is>
      </c>
      <c r="H1889" s="172" t="inlineStr">
        <is>
          <t>华福证券</t>
        </is>
      </c>
      <c r="I1889" s="172" t="inlineStr">
        <is>
          <t>招行北分</t>
        </is>
      </c>
      <c r="J1889" s="172" t="n">
        <v>10</v>
      </c>
      <c r="K1889" s="172" t="inlineStr">
        <is>
          <t>7+12</t>
        </is>
      </c>
      <c r="L1889" s="202" t="n">
        <v>46198</v>
      </c>
      <c r="M1889" s="175" t="n">
        <v>0.0148</v>
      </c>
      <c r="N1889" s="176" t="n">
        <v>0.0191</v>
      </c>
      <c r="O1889" s="191" t="n">
        <v>1.1</v>
      </c>
      <c r="P1889" s="172" t="inlineStr">
        <is>
          <t>优先级</t>
        </is>
      </c>
      <c r="Q1889" s="175" t="n">
        <v>0.9</v>
      </c>
      <c r="R1889" s="192" t="n">
        <v>9</v>
      </c>
      <c r="S1889" s="172" t="inlineStr">
        <is>
          <t>AAA</t>
        </is>
      </c>
      <c r="T1889" s="175" t="n">
        <v>0.0165</v>
      </c>
      <c r="U1889" s="172" t="inlineStr">
        <is>
          <t>宝武财务</t>
        </is>
      </c>
      <c r="V1889" s="191" t="n">
        <v>0.35</v>
      </c>
      <c r="W1889" s="175" t="n">
        <v>0.0165</v>
      </c>
      <c r="X1889" s="172" t="inlineStr">
        <is>
          <t>宝武财务</t>
        </is>
      </c>
      <c r="Y1889" s="191" t="n">
        <v>0.35</v>
      </c>
    </row>
    <row r="1890">
      <c r="A1890" s="172" t="n">
        <v>102</v>
      </c>
      <c r="B1890" s="172" t="inlineStr">
        <is>
          <t>6月</t>
        </is>
      </c>
      <c r="C1890" s="172" t="inlineStr">
        <is>
          <t>企金</t>
        </is>
      </c>
      <c r="D1890" s="172" t="inlineStr">
        <is>
          <t>金采</t>
        </is>
      </c>
      <c r="E1890" s="172" t="inlineStr">
        <is>
          <t>金采8-5</t>
        </is>
      </c>
      <c r="F1890" s="172" t="inlineStr">
        <is>
          <t>上交所</t>
        </is>
      </c>
      <c r="G1890" s="172" t="inlineStr">
        <is>
          <t>华泰资管</t>
        </is>
      </c>
      <c r="H1890" s="172" t="inlineStr">
        <is>
          <t>华福证券</t>
        </is>
      </c>
      <c r="I1890" s="172" t="inlineStr">
        <is>
          <t>招行北分</t>
        </is>
      </c>
      <c r="J1890" s="172" t="n">
        <v>10</v>
      </c>
      <c r="K1890" s="172" t="inlineStr">
        <is>
          <t>7+12</t>
        </is>
      </c>
      <c r="L1890" s="202" t="n">
        <v>46198</v>
      </c>
      <c r="M1890" s="175" t="n">
        <v>0.0148</v>
      </c>
      <c r="N1890" s="176" t="n">
        <v>0.0191</v>
      </c>
      <c r="O1890" s="191" t="n">
        <v>1.1</v>
      </c>
      <c r="P1890" s="172" t="inlineStr">
        <is>
          <t>优先级</t>
        </is>
      </c>
      <c r="Q1890" s="175" t="n">
        <v>0.9</v>
      </c>
      <c r="R1890" s="192" t="n">
        <v>9</v>
      </c>
      <c r="S1890" s="172" t="inlineStr">
        <is>
          <t>AAA</t>
        </is>
      </c>
      <c r="T1890" s="175" t="n">
        <v>0.0165</v>
      </c>
      <c r="U1890" s="172" t="inlineStr">
        <is>
          <t>华泰资管</t>
        </is>
      </c>
      <c r="V1890" s="191" t="n">
        <v>0.1</v>
      </c>
      <c r="W1890" s="175" t="n">
        <v>0.0165</v>
      </c>
      <c r="X1890" s="172" t="inlineStr">
        <is>
          <t>华泰资管</t>
        </is>
      </c>
      <c r="Y1890" s="191" t="n">
        <v>0.1</v>
      </c>
    </row>
    <row r="1891">
      <c r="A1891" s="172" t="n">
        <v>102</v>
      </c>
      <c r="B1891" s="172" t="inlineStr">
        <is>
          <t>6月</t>
        </is>
      </c>
      <c r="C1891" s="172" t="inlineStr">
        <is>
          <t>企金</t>
        </is>
      </c>
      <c r="D1891" s="172" t="inlineStr">
        <is>
          <t>金采</t>
        </is>
      </c>
      <c r="E1891" s="172" t="inlineStr">
        <is>
          <t>金采8-5</t>
        </is>
      </c>
      <c r="F1891" s="172" t="inlineStr">
        <is>
          <t>上交所</t>
        </is>
      </c>
      <c r="G1891" s="172" t="inlineStr">
        <is>
          <t>华泰资管</t>
        </is>
      </c>
      <c r="H1891" s="172" t="inlineStr">
        <is>
          <t>华福证券</t>
        </is>
      </c>
      <c r="I1891" s="172" t="inlineStr">
        <is>
          <t>招行北分</t>
        </is>
      </c>
      <c r="J1891" s="172" t="n">
        <v>10</v>
      </c>
      <c r="K1891" s="172" t="inlineStr">
        <is>
          <t>7+12</t>
        </is>
      </c>
      <c r="L1891" s="202" t="n">
        <v>46198</v>
      </c>
      <c r="M1891" s="175" t="n">
        <v>0.0148</v>
      </c>
      <c r="N1891" s="176" t="n">
        <v>0.0191</v>
      </c>
      <c r="O1891" s="191" t="n">
        <v>1.1</v>
      </c>
      <c r="P1891" s="172" t="inlineStr">
        <is>
          <t>优先级</t>
        </is>
      </c>
      <c r="Q1891" s="175" t="n">
        <v>0.9</v>
      </c>
      <c r="R1891" s="192" t="n">
        <v>9</v>
      </c>
      <c r="S1891" s="172" t="inlineStr">
        <is>
          <t>AAA</t>
        </is>
      </c>
      <c r="T1891" s="175" t="n">
        <v>0.0165</v>
      </c>
      <c r="U1891" s="172" t="inlineStr">
        <is>
          <t>邦汇保理</t>
        </is>
      </c>
      <c r="V1891" s="191" t="n">
        <v>0.45</v>
      </c>
      <c r="W1891" s="172" t="n"/>
      <c r="X1891" s="172" t="n"/>
      <c r="Y1891" s="172" t="n"/>
    </row>
    <row r="1892">
      <c r="A1892" s="172" t="n">
        <v>102</v>
      </c>
      <c r="B1892" s="172" t="inlineStr">
        <is>
          <t>6月</t>
        </is>
      </c>
      <c r="C1892" s="172" t="inlineStr">
        <is>
          <t>企金</t>
        </is>
      </c>
      <c r="D1892" s="172" t="inlineStr">
        <is>
          <t>金采</t>
        </is>
      </c>
      <c r="E1892" s="172" t="inlineStr">
        <is>
          <t>金采8-5</t>
        </is>
      </c>
      <c r="F1892" s="172" t="inlineStr">
        <is>
          <t>上交所</t>
        </is>
      </c>
      <c r="G1892" s="172" t="inlineStr">
        <is>
          <t>华泰资管</t>
        </is>
      </c>
      <c r="H1892" s="172" t="inlineStr">
        <is>
          <t>华福证券</t>
        </is>
      </c>
      <c r="I1892" s="172" t="inlineStr">
        <is>
          <t>招行北分</t>
        </is>
      </c>
      <c r="J1892" s="172" t="n">
        <v>10</v>
      </c>
      <c r="K1892" s="172" t="inlineStr">
        <is>
          <t>7+12</t>
        </is>
      </c>
      <c r="L1892" s="200" t="n">
        <v>46198</v>
      </c>
      <c r="M1892" s="175" t="n">
        <v>0.0148</v>
      </c>
      <c r="N1892" s="176" t="n">
        <v>0.0191</v>
      </c>
      <c r="O1892" s="172" t="n">
        <v>1.1</v>
      </c>
      <c r="P1892" s="172" t="inlineStr">
        <is>
          <t>优先级</t>
        </is>
      </c>
      <c r="Q1892" s="175" t="n">
        <v>0.9</v>
      </c>
      <c r="R1892" s="192" t="n">
        <v>9</v>
      </c>
      <c r="S1892" s="172" t="inlineStr">
        <is>
          <t>AAA</t>
        </is>
      </c>
      <c r="T1892" s="175" t="n">
        <v>0.0165</v>
      </c>
      <c r="U1892" s="172" t="n"/>
      <c r="V1892" s="172" t="n"/>
      <c r="W1892" s="175" t="n">
        <v>0.015</v>
      </c>
      <c r="X1892" s="172" t="inlineStr">
        <is>
          <t>厦门汇正</t>
        </is>
      </c>
      <c r="Y1892" s="191" t="n">
        <v>0.45</v>
      </c>
    </row>
    <row r="1893">
      <c r="A1893" s="172" t="n">
        <v>102</v>
      </c>
      <c r="B1893" s="172" t="inlineStr">
        <is>
          <t>6月</t>
        </is>
      </c>
      <c r="C1893" s="172" t="inlineStr">
        <is>
          <t>企金</t>
        </is>
      </c>
      <c r="D1893" s="172" t="inlineStr">
        <is>
          <t>金采</t>
        </is>
      </c>
      <c r="E1893" s="172" t="inlineStr">
        <is>
          <t>金采8-5</t>
        </is>
      </c>
      <c r="F1893" s="172" t="inlineStr">
        <is>
          <t>上交所</t>
        </is>
      </c>
      <c r="G1893" s="172" t="inlineStr">
        <is>
          <t>华泰资管</t>
        </is>
      </c>
      <c r="H1893" s="172" t="inlineStr">
        <is>
          <t>华福证券</t>
        </is>
      </c>
      <c r="I1893" s="172" t="inlineStr">
        <is>
          <t>招行北分</t>
        </is>
      </c>
      <c r="J1893" s="172" t="n">
        <v>10</v>
      </c>
      <c r="K1893" s="172" t="inlineStr">
        <is>
          <t>7+12</t>
        </is>
      </c>
      <c r="L1893" s="200" t="n">
        <v>46198</v>
      </c>
      <c r="M1893" s="175" t="n">
        <v>0.0148</v>
      </c>
      <c r="N1893" s="176" t="n">
        <v>0.0191</v>
      </c>
      <c r="O1893" s="172" t="n">
        <v>1.1</v>
      </c>
      <c r="P1893" s="172" t="inlineStr">
        <is>
          <t>优先级</t>
        </is>
      </c>
      <c r="Q1893" s="175" t="n">
        <v>0.9</v>
      </c>
      <c r="R1893" s="192" t="n">
        <v>9</v>
      </c>
      <c r="S1893" s="172" t="inlineStr">
        <is>
          <t>AAA</t>
        </is>
      </c>
      <c r="T1893" s="175" t="n">
        <v>0.0165</v>
      </c>
      <c r="U1893" s="172" t="n"/>
      <c r="V1893" s="172" t="n"/>
      <c r="W1893" s="175" t="n">
        <v>0.017</v>
      </c>
      <c r="X1893" s="172" t="inlineStr">
        <is>
          <t>华福证券</t>
        </is>
      </c>
      <c r="Y1893" s="191" t="n">
        <v>1.35</v>
      </c>
    </row>
    <row r="1894">
      <c r="A1894" s="172" t="n">
        <v>102</v>
      </c>
      <c r="B1894" s="172" t="inlineStr">
        <is>
          <t>6月</t>
        </is>
      </c>
      <c r="C1894" s="172" t="inlineStr">
        <is>
          <t>企金</t>
        </is>
      </c>
      <c r="D1894" s="172" t="inlineStr">
        <is>
          <t>金采</t>
        </is>
      </c>
      <c r="E1894" s="172" t="inlineStr">
        <is>
          <t>金采8-5</t>
        </is>
      </c>
      <c r="F1894" s="172" t="inlineStr">
        <is>
          <t>上交所</t>
        </is>
      </c>
      <c r="G1894" s="172" t="inlineStr">
        <is>
          <t>华泰资管</t>
        </is>
      </c>
      <c r="H1894" s="172" t="inlineStr">
        <is>
          <t>华福证券</t>
        </is>
      </c>
      <c r="I1894" s="172" t="inlineStr">
        <is>
          <t>招行北分</t>
        </is>
      </c>
      <c r="J1894" s="172" t="n">
        <v>10</v>
      </c>
      <c r="K1894" s="172" t="inlineStr">
        <is>
          <t>7+12</t>
        </is>
      </c>
      <c r="L1894" s="200" t="n">
        <v>46198</v>
      </c>
      <c r="M1894" s="175" t="n">
        <v>0.0148</v>
      </c>
      <c r="N1894" s="176" t="n">
        <v>0.0191</v>
      </c>
      <c r="O1894" s="172" t="n">
        <v>1.1</v>
      </c>
      <c r="P1894" s="172" t="inlineStr">
        <is>
          <t>优先级</t>
        </is>
      </c>
      <c r="Q1894" s="175" t="n">
        <v>0.9</v>
      </c>
      <c r="R1894" s="192" t="n">
        <v>9</v>
      </c>
      <c r="S1894" s="172" t="inlineStr">
        <is>
          <t>AAA</t>
        </is>
      </c>
      <c r="T1894" s="175" t="n">
        <v>0.0165</v>
      </c>
      <c r="U1894" s="172" t="n"/>
      <c r="V1894" s="172" t="n"/>
      <c r="W1894" s="175" t="n">
        <v>0.02</v>
      </c>
      <c r="X1894" s="172" t="inlineStr">
        <is>
          <t>朗姿韩亚</t>
        </is>
      </c>
      <c r="Y1894" s="191" t="n">
        <v>0.5</v>
      </c>
    </row>
    <row r="1895">
      <c r="A1895" s="172" t="n">
        <v>102</v>
      </c>
      <c r="B1895" s="172" t="inlineStr">
        <is>
          <t>6月</t>
        </is>
      </c>
      <c r="C1895" s="172" t="inlineStr">
        <is>
          <t>企金</t>
        </is>
      </c>
      <c r="D1895" s="172" t="inlineStr">
        <is>
          <t>金采</t>
        </is>
      </c>
      <c r="E1895" s="172" t="inlineStr">
        <is>
          <t>金采8-5</t>
        </is>
      </c>
      <c r="F1895" s="172" t="inlineStr">
        <is>
          <t>上交所</t>
        </is>
      </c>
      <c r="G1895" s="172" t="inlineStr">
        <is>
          <t>华泰资管</t>
        </is>
      </c>
      <c r="H1895" s="172" t="inlineStr">
        <is>
          <t>华福证券</t>
        </is>
      </c>
      <c r="I1895" s="172" t="inlineStr">
        <is>
          <t>招行北分</t>
        </is>
      </c>
      <c r="J1895" s="172" t="n">
        <v>10</v>
      </c>
      <c r="K1895" s="172" t="inlineStr">
        <is>
          <t>7+12</t>
        </is>
      </c>
      <c r="L1895" s="200" t="n">
        <v>46198</v>
      </c>
      <c r="M1895" s="175" t="n">
        <v>0.0148</v>
      </c>
      <c r="N1895" s="176" t="n">
        <v>0.0191</v>
      </c>
      <c r="O1895" s="172" t="n">
        <v>1.1</v>
      </c>
      <c r="P1895" s="172" t="inlineStr">
        <is>
          <t>优先级</t>
        </is>
      </c>
      <c r="Q1895" s="175" t="n">
        <v>0.9</v>
      </c>
      <c r="R1895" s="192" t="n">
        <v>9</v>
      </c>
      <c r="S1895" s="172" t="inlineStr">
        <is>
          <t>AAA</t>
        </is>
      </c>
      <c r="T1895" s="175" t="n">
        <v>0.0165</v>
      </c>
      <c r="U1895" s="172" t="n"/>
      <c r="V1895" s="172" t="n"/>
      <c r="W1895" s="175" t="n">
        <v>0.024</v>
      </c>
      <c r="X1895" s="172" t="inlineStr">
        <is>
          <t>国联证券</t>
        </is>
      </c>
      <c r="Y1895" s="191" t="n">
        <v>1</v>
      </c>
    </row>
    <row r="1896">
      <c r="A1896" s="172" t="n">
        <v>102</v>
      </c>
      <c r="B1896" s="172" t="inlineStr">
        <is>
          <t>6月</t>
        </is>
      </c>
      <c r="C1896" s="172" t="inlineStr">
        <is>
          <t>企金</t>
        </is>
      </c>
      <c r="D1896" s="172" t="inlineStr">
        <is>
          <t>金采</t>
        </is>
      </c>
      <c r="E1896" s="172" t="inlineStr">
        <is>
          <t>金采8-5</t>
        </is>
      </c>
      <c r="F1896" s="172" t="inlineStr">
        <is>
          <t>上交所</t>
        </is>
      </c>
      <c r="G1896" s="172" t="inlineStr">
        <is>
          <t>华泰资管</t>
        </is>
      </c>
      <c r="H1896" s="172" t="inlineStr">
        <is>
          <t>华福证券</t>
        </is>
      </c>
      <c r="I1896" s="172" t="inlineStr">
        <is>
          <t>招行北分</t>
        </is>
      </c>
      <c r="J1896" s="172" t="n">
        <v>10</v>
      </c>
      <c r="K1896" s="172" t="inlineStr">
        <is>
          <t>7+12</t>
        </is>
      </c>
      <c r="L1896" s="200" t="n">
        <v>46198</v>
      </c>
      <c r="M1896" s="175" t="n">
        <v>0.0148</v>
      </c>
      <c r="N1896" s="176" t="n">
        <v>0.0191</v>
      </c>
      <c r="O1896" s="172" t="n">
        <v>1.1</v>
      </c>
      <c r="P1896" s="172" t="inlineStr">
        <is>
          <t>优先级</t>
        </is>
      </c>
      <c r="Q1896" s="175" t="n">
        <v>0.9</v>
      </c>
      <c r="R1896" s="192" t="n">
        <v>9</v>
      </c>
      <c r="S1896" s="172" t="inlineStr">
        <is>
          <t>AAA</t>
        </is>
      </c>
      <c r="T1896" s="175" t="n">
        <v>0.0165</v>
      </c>
      <c r="U1896" s="172" t="n"/>
      <c r="V1896" s="172" t="n"/>
      <c r="W1896" s="175" t="n">
        <v>0.024</v>
      </c>
      <c r="X1896" s="172" t="inlineStr">
        <is>
          <t>利曦基金</t>
        </is>
      </c>
      <c r="Y1896" s="191" t="n">
        <v>2</v>
      </c>
    </row>
    <row r="1897">
      <c r="A1897" s="172" t="n">
        <v>102</v>
      </c>
      <c r="B1897" s="172" t="inlineStr">
        <is>
          <t>6月</t>
        </is>
      </c>
      <c r="C1897" s="172" t="inlineStr">
        <is>
          <t>企金</t>
        </is>
      </c>
      <c r="D1897" s="172" t="inlineStr">
        <is>
          <t>金采</t>
        </is>
      </c>
      <c r="E1897" s="172" t="inlineStr">
        <is>
          <t>金采8-5</t>
        </is>
      </c>
      <c r="F1897" s="172" t="inlineStr">
        <is>
          <t>上交所</t>
        </is>
      </c>
      <c r="G1897" s="172" t="inlineStr">
        <is>
          <t>华泰资管</t>
        </is>
      </c>
      <c r="H1897" s="172" t="inlineStr">
        <is>
          <t>华福证券</t>
        </is>
      </c>
      <c r="I1897" s="172" t="inlineStr">
        <is>
          <t>招行北分</t>
        </is>
      </c>
      <c r="J1897" s="172" t="n">
        <v>10</v>
      </c>
      <c r="K1897" s="172" t="inlineStr">
        <is>
          <t>7+12</t>
        </is>
      </c>
      <c r="L1897" s="202" t="n">
        <v>46198</v>
      </c>
      <c r="M1897" s="175" t="n">
        <v>0.0148</v>
      </c>
      <c r="N1897" s="176" t="n">
        <v>0.0191</v>
      </c>
      <c r="O1897" s="191" t="n">
        <v>1.1</v>
      </c>
      <c r="P1897" s="172" t="inlineStr">
        <is>
          <t>中间级</t>
        </is>
      </c>
      <c r="Q1897" s="175" t="n">
        <v>0.05</v>
      </c>
      <c r="R1897" s="192" t="n">
        <v>0.5</v>
      </c>
      <c r="S1897" s="175" t="inlineStr">
        <is>
          <t>AA</t>
        </is>
      </c>
      <c r="T1897" s="175" t="n">
        <v>0.031</v>
      </c>
      <c r="U1897" s="172" t="inlineStr">
        <is>
          <t>邦汇保理</t>
        </is>
      </c>
      <c r="V1897" s="193" t="n">
        <v>0.025</v>
      </c>
      <c r="W1897" s="172" t="n"/>
      <c r="X1897" s="172" t="n"/>
      <c r="Y1897" s="172" t="n"/>
    </row>
    <row r="1898">
      <c r="A1898" s="172" t="n">
        <v>102</v>
      </c>
      <c r="B1898" s="172" t="inlineStr">
        <is>
          <t>6月</t>
        </is>
      </c>
      <c r="C1898" s="172" t="inlineStr">
        <is>
          <t>企金</t>
        </is>
      </c>
      <c r="D1898" s="172" t="inlineStr">
        <is>
          <t>金采</t>
        </is>
      </c>
      <c r="E1898" s="172" t="inlineStr">
        <is>
          <t>金采8-5</t>
        </is>
      </c>
      <c r="F1898" s="172" t="inlineStr">
        <is>
          <t>上交所</t>
        </is>
      </c>
      <c r="G1898" s="172" t="inlineStr">
        <is>
          <t>华泰资管</t>
        </is>
      </c>
      <c r="H1898" s="172" t="inlineStr">
        <is>
          <t>华福证券</t>
        </is>
      </c>
      <c r="I1898" s="172" t="inlineStr">
        <is>
          <t>招行北分</t>
        </is>
      </c>
      <c r="J1898" s="172" t="n">
        <v>10</v>
      </c>
      <c r="K1898" s="172" t="inlineStr">
        <is>
          <t>7+12</t>
        </is>
      </c>
      <c r="L1898" s="202" t="n">
        <v>46198</v>
      </c>
      <c r="M1898" s="175" t="n">
        <v>0.0148</v>
      </c>
      <c r="N1898" s="176" t="n">
        <v>0.0191</v>
      </c>
      <c r="O1898" s="191" t="n">
        <v>1.1</v>
      </c>
      <c r="P1898" s="172" t="inlineStr">
        <is>
          <t>中间级</t>
        </is>
      </c>
      <c r="Q1898" s="175" t="n">
        <v>0.05</v>
      </c>
      <c r="R1898" s="192" t="n">
        <v>0.5</v>
      </c>
      <c r="S1898" s="175" t="inlineStr">
        <is>
          <t>AA</t>
        </is>
      </c>
      <c r="T1898" s="175" t="n">
        <v>0.031</v>
      </c>
      <c r="U1898" s="172" t="inlineStr">
        <is>
          <t>利曦基金</t>
        </is>
      </c>
      <c r="V1898" s="191" t="n">
        <v>0.2</v>
      </c>
      <c r="W1898" s="172" t="n"/>
      <c r="X1898" s="172" t="n"/>
      <c r="Y1898" s="172" t="n"/>
    </row>
    <row r="1899">
      <c r="A1899" s="172" t="n">
        <v>102</v>
      </c>
      <c r="B1899" s="172" t="inlineStr">
        <is>
          <t>6月</t>
        </is>
      </c>
      <c r="C1899" s="172" t="inlineStr">
        <is>
          <t>企金</t>
        </is>
      </c>
      <c r="D1899" s="172" t="inlineStr">
        <is>
          <t>金采</t>
        </is>
      </c>
      <c r="E1899" s="172" t="inlineStr">
        <is>
          <t>金采8-5</t>
        </is>
      </c>
      <c r="F1899" s="172" t="inlineStr">
        <is>
          <t>上交所</t>
        </is>
      </c>
      <c r="G1899" s="172" t="inlineStr">
        <is>
          <t>华泰资管</t>
        </is>
      </c>
      <c r="H1899" s="172" t="inlineStr">
        <is>
          <t>华福证券</t>
        </is>
      </c>
      <c r="I1899" s="172" t="inlineStr">
        <is>
          <t>招行北分</t>
        </is>
      </c>
      <c r="J1899" s="172" t="n">
        <v>10</v>
      </c>
      <c r="K1899" s="172" t="inlineStr">
        <is>
          <t>7+12</t>
        </is>
      </c>
      <c r="L1899" s="202" t="n">
        <v>46198</v>
      </c>
      <c r="M1899" s="175" t="n">
        <v>0.0148</v>
      </c>
      <c r="N1899" s="176" t="n">
        <v>0.0191</v>
      </c>
      <c r="O1899" s="191" t="n">
        <v>1.1</v>
      </c>
      <c r="P1899" s="172" t="inlineStr">
        <is>
          <t>中间级</t>
        </is>
      </c>
      <c r="Q1899" s="175" t="n">
        <v>0.05</v>
      </c>
      <c r="R1899" s="192" t="n">
        <v>0.5</v>
      </c>
      <c r="S1899" s="175" t="inlineStr">
        <is>
          <t>AA</t>
        </is>
      </c>
      <c r="T1899" s="175" t="n">
        <v>0.031</v>
      </c>
      <c r="U1899" s="172" t="inlineStr">
        <is>
          <t>广发证券自营</t>
        </is>
      </c>
      <c r="V1899" s="193" t="n">
        <v>0.075</v>
      </c>
      <c r="W1899" s="172" t="n"/>
      <c r="X1899" s="172" t="n"/>
      <c r="Y1899" s="172" t="n"/>
    </row>
    <row r="1900">
      <c r="A1900" s="172" t="n">
        <v>102</v>
      </c>
      <c r="B1900" s="172" t="inlineStr">
        <is>
          <t>6月</t>
        </is>
      </c>
      <c r="C1900" s="172" t="inlineStr">
        <is>
          <t>企金</t>
        </is>
      </c>
      <c r="D1900" s="172" t="inlineStr">
        <is>
          <t>金采</t>
        </is>
      </c>
      <c r="E1900" s="172" t="inlineStr">
        <is>
          <t>金采8-5</t>
        </is>
      </c>
      <c r="F1900" s="172" t="inlineStr">
        <is>
          <t>上交所</t>
        </is>
      </c>
      <c r="G1900" s="172" t="inlineStr">
        <is>
          <t>华泰资管</t>
        </is>
      </c>
      <c r="H1900" s="172" t="inlineStr">
        <is>
          <t>华福证券</t>
        </is>
      </c>
      <c r="I1900" s="172" t="inlineStr">
        <is>
          <t>招行北分</t>
        </is>
      </c>
      <c r="J1900" s="172" t="n">
        <v>10</v>
      </c>
      <c r="K1900" s="172" t="inlineStr">
        <is>
          <t>7+12</t>
        </is>
      </c>
      <c r="L1900" s="202" t="n">
        <v>46198</v>
      </c>
      <c r="M1900" s="175" t="n">
        <v>0.0148</v>
      </c>
      <c r="N1900" s="176" t="n">
        <v>0.0191</v>
      </c>
      <c r="O1900" s="191" t="n">
        <v>1.1</v>
      </c>
      <c r="P1900" s="172" t="inlineStr">
        <is>
          <t>中间级</t>
        </is>
      </c>
      <c r="Q1900" s="175" t="n">
        <v>0.05</v>
      </c>
      <c r="R1900" s="192" t="n">
        <v>0.5</v>
      </c>
      <c r="S1900" s="175" t="inlineStr">
        <is>
          <t>AA</t>
        </is>
      </c>
      <c r="T1900" s="175" t="n">
        <v>0.031</v>
      </c>
      <c r="U1900" s="172" t="inlineStr">
        <is>
          <t>申万宏源自营</t>
        </is>
      </c>
      <c r="V1900" s="191" t="n">
        <v>0.08</v>
      </c>
      <c r="W1900" s="172" t="n"/>
      <c r="X1900" s="172" t="n"/>
      <c r="Y1900" s="172" t="n"/>
    </row>
    <row r="1901">
      <c r="A1901" s="172" t="n">
        <v>102</v>
      </c>
      <c r="B1901" s="172" t="inlineStr">
        <is>
          <t>6月</t>
        </is>
      </c>
      <c r="C1901" s="172" t="inlineStr">
        <is>
          <t>企金</t>
        </is>
      </c>
      <c r="D1901" s="172" t="inlineStr">
        <is>
          <t>金采</t>
        </is>
      </c>
      <c r="E1901" s="172" t="inlineStr">
        <is>
          <t>金采8-5</t>
        </is>
      </c>
      <c r="F1901" s="172" t="inlineStr">
        <is>
          <t>上交所</t>
        </is>
      </c>
      <c r="G1901" s="172" t="inlineStr">
        <is>
          <t>华泰资管</t>
        </is>
      </c>
      <c r="H1901" s="172" t="inlineStr">
        <is>
          <t>华福证券</t>
        </is>
      </c>
      <c r="I1901" s="172" t="inlineStr">
        <is>
          <t>招行北分</t>
        </is>
      </c>
      <c r="J1901" s="172" t="n">
        <v>10</v>
      </c>
      <c r="K1901" s="172" t="inlineStr">
        <is>
          <t>7+12</t>
        </is>
      </c>
      <c r="L1901" s="202" t="n">
        <v>46198</v>
      </c>
      <c r="M1901" s="175" t="n">
        <v>0.0148</v>
      </c>
      <c r="N1901" s="176" t="n">
        <v>0.0191</v>
      </c>
      <c r="O1901" s="191" t="n">
        <v>1.1</v>
      </c>
      <c r="P1901" s="172" t="inlineStr">
        <is>
          <t>中间级</t>
        </is>
      </c>
      <c r="Q1901" s="175" t="n">
        <v>0.05</v>
      </c>
      <c r="R1901" s="192" t="n">
        <v>0.5</v>
      </c>
      <c r="S1901" s="175" t="inlineStr">
        <is>
          <t>AA</t>
        </is>
      </c>
      <c r="T1901" s="175" t="n">
        <v>0.031</v>
      </c>
      <c r="U1901" s="172" t="inlineStr">
        <is>
          <t>朗姿韩亚</t>
        </is>
      </c>
      <c r="V1901" s="191" t="n">
        <v>0.12</v>
      </c>
      <c r="W1901" s="172" t="n"/>
      <c r="X1901" s="172" t="n"/>
      <c r="Y1901" s="172" t="n"/>
    </row>
    <row r="1902">
      <c r="A1902" s="172" t="n">
        <v>102</v>
      </c>
      <c r="B1902" s="172" t="inlineStr">
        <is>
          <t>6月</t>
        </is>
      </c>
      <c r="C1902" s="172" t="inlineStr">
        <is>
          <t>企金</t>
        </is>
      </c>
      <c r="D1902" s="172" t="inlineStr">
        <is>
          <t>金采</t>
        </is>
      </c>
      <c r="E1902" s="172" t="inlineStr">
        <is>
          <t>金采8-5</t>
        </is>
      </c>
      <c r="F1902" s="172" t="inlineStr">
        <is>
          <t>上交所</t>
        </is>
      </c>
      <c r="G1902" s="172" t="inlineStr">
        <is>
          <t>华泰资管</t>
        </is>
      </c>
      <c r="H1902" s="172" t="inlineStr">
        <is>
          <t>华福证券</t>
        </is>
      </c>
      <c r="I1902" s="172" t="inlineStr">
        <is>
          <t>招行北分</t>
        </is>
      </c>
      <c r="J1902" s="172" t="n">
        <v>10</v>
      </c>
      <c r="K1902" s="172" t="inlineStr">
        <is>
          <t>7+12</t>
        </is>
      </c>
      <c r="L1902" s="202" t="n">
        <v>46198</v>
      </c>
      <c r="M1902" s="175" t="n">
        <v>0.0148</v>
      </c>
      <c r="N1902" s="176" t="n">
        <v>0.0191</v>
      </c>
      <c r="O1902" s="191" t="n">
        <v>1.1</v>
      </c>
      <c r="P1902" s="172" t="inlineStr">
        <is>
          <t>次级</t>
        </is>
      </c>
      <c r="Q1902" s="175" t="n">
        <v>0.05</v>
      </c>
      <c r="R1902" s="192" t="n">
        <v>0.5</v>
      </c>
      <c r="S1902" s="175" t="inlineStr">
        <is>
          <t>无</t>
        </is>
      </c>
      <c r="T1902" s="175" t="n">
        <v>0.0455</v>
      </c>
      <c r="U1902" s="172" t="inlineStr">
        <is>
          <t>朗姿韩亚</t>
        </is>
      </c>
      <c r="V1902" s="191" t="n">
        <v>0.2</v>
      </c>
      <c r="W1902" s="172" t="n"/>
      <c r="X1902" s="172" t="n"/>
      <c r="Y1902" s="172" t="n"/>
    </row>
    <row r="1903">
      <c r="A1903" s="172" t="n">
        <v>102</v>
      </c>
      <c r="B1903" s="172" t="inlineStr">
        <is>
          <t>6月</t>
        </is>
      </c>
      <c r="C1903" s="172" t="inlineStr">
        <is>
          <t>企金</t>
        </is>
      </c>
      <c r="D1903" s="172" t="inlineStr">
        <is>
          <t>金采</t>
        </is>
      </c>
      <c r="E1903" s="172" t="inlineStr">
        <is>
          <t>金采8-5</t>
        </is>
      </c>
      <c r="F1903" s="172" t="inlineStr">
        <is>
          <t>上交所</t>
        </is>
      </c>
      <c r="G1903" s="172" t="inlineStr">
        <is>
          <t>华泰资管</t>
        </is>
      </c>
      <c r="H1903" s="172" t="inlineStr">
        <is>
          <t>华福证券</t>
        </is>
      </c>
      <c r="I1903" s="172" t="inlineStr">
        <is>
          <t>招行北分</t>
        </is>
      </c>
      <c r="J1903" s="172" t="n">
        <v>10</v>
      </c>
      <c r="K1903" s="172" t="inlineStr">
        <is>
          <t>7+12</t>
        </is>
      </c>
      <c r="L1903" s="202" t="n">
        <v>46198</v>
      </c>
      <c r="M1903" s="175" t="n">
        <v>0.0148</v>
      </c>
      <c r="N1903" s="176" t="n">
        <v>0.0191</v>
      </c>
      <c r="O1903" s="191" t="n">
        <v>1.1</v>
      </c>
      <c r="P1903" s="172" t="inlineStr">
        <is>
          <t>次级</t>
        </is>
      </c>
      <c r="Q1903" s="175" t="n">
        <v>0.05</v>
      </c>
      <c r="R1903" s="192" t="n">
        <v>0.5</v>
      </c>
      <c r="S1903" s="175" t="inlineStr">
        <is>
          <t>无</t>
        </is>
      </c>
      <c r="T1903" s="175" t="n">
        <v>0.0455</v>
      </c>
      <c r="U1903" s="172" t="inlineStr">
        <is>
          <t>中泰证券自营</t>
        </is>
      </c>
      <c r="V1903" s="191" t="n">
        <v>0.1</v>
      </c>
      <c r="W1903" s="172" t="n"/>
      <c r="X1903" s="172" t="n"/>
      <c r="Y1903" s="172" t="n"/>
    </row>
    <row r="1904">
      <c r="A1904" s="172" t="n">
        <v>102</v>
      </c>
      <c r="B1904" s="172" t="inlineStr">
        <is>
          <t>6月</t>
        </is>
      </c>
      <c r="C1904" s="172" t="inlineStr">
        <is>
          <t>企金</t>
        </is>
      </c>
      <c r="D1904" s="172" t="inlineStr">
        <is>
          <t>金采</t>
        </is>
      </c>
      <c r="E1904" s="172" t="inlineStr">
        <is>
          <t>金采8-5</t>
        </is>
      </c>
      <c r="F1904" s="172" t="inlineStr">
        <is>
          <t>上交所</t>
        </is>
      </c>
      <c r="G1904" s="172" t="inlineStr">
        <is>
          <t>华泰资管</t>
        </is>
      </c>
      <c r="H1904" s="172" t="inlineStr">
        <is>
          <t>华福证券</t>
        </is>
      </c>
      <c r="I1904" s="172" t="inlineStr">
        <is>
          <t>招行北分</t>
        </is>
      </c>
      <c r="J1904" s="172" t="n">
        <v>10</v>
      </c>
      <c r="K1904" s="172" t="inlineStr">
        <is>
          <t>7+12</t>
        </is>
      </c>
      <c r="L1904" s="202" t="n">
        <v>46198</v>
      </c>
      <c r="M1904" s="175" t="n">
        <v>0.0148</v>
      </c>
      <c r="N1904" s="176" t="n">
        <v>0.0191</v>
      </c>
      <c r="O1904" s="191" t="n">
        <v>1.1</v>
      </c>
      <c r="P1904" s="172" t="inlineStr">
        <is>
          <t>次级</t>
        </is>
      </c>
      <c r="Q1904" s="175" t="n">
        <v>0.05</v>
      </c>
      <c r="R1904" s="192" t="n">
        <v>0.5</v>
      </c>
      <c r="S1904" s="175" t="inlineStr">
        <is>
          <t>无</t>
        </is>
      </c>
      <c r="T1904" s="175" t="n">
        <v>0.0455</v>
      </c>
      <c r="U1904" s="172" t="inlineStr">
        <is>
          <t>国联证券自营</t>
        </is>
      </c>
      <c r="V1904" s="193" t="n">
        <v>0.175</v>
      </c>
      <c r="W1904" s="172" t="n"/>
      <c r="X1904" s="172" t="n"/>
      <c r="Y1904" s="172" t="n"/>
    </row>
    <row r="1905">
      <c r="A1905" s="172" t="n">
        <v>102</v>
      </c>
      <c r="B1905" s="172" t="inlineStr">
        <is>
          <t>6月</t>
        </is>
      </c>
      <c r="C1905" s="172" t="inlineStr">
        <is>
          <t>企金</t>
        </is>
      </c>
      <c r="D1905" s="172" t="inlineStr">
        <is>
          <t>金采</t>
        </is>
      </c>
      <c r="E1905" s="172" t="inlineStr">
        <is>
          <t>金采8-5</t>
        </is>
      </c>
      <c r="F1905" s="172" t="inlineStr">
        <is>
          <t>上交所</t>
        </is>
      </c>
      <c r="G1905" s="172" t="inlineStr">
        <is>
          <t>华泰资管</t>
        </is>
      </c>
      <c r="H1905" s="172" t="inlineStr">
        <is>
          <t>华福证券</t>
        </is>
      </c>
      <c r="I1905" s="172" t="inlineStr">
        <is>
          <t>招行北分</t>
        </is>
      </c>
      <c r="J1905" s="172" t="n">
        <v>10</v>
      </c>
      <c r="K1905" s="172" t="inlineStr">
        <is>
          <t>7+12</t>
        </is>
      </c>
      <c r="L1905" s="202" t="n">
        <v>46198</v>
      </c>
      <c r="M1905" s="175" t="n">
        <v>0.0148</v>
      </c>
      <c r="N1905" s="176" t="n">
        <v>0.0191</v>
      </c>
      <c r="O1905" s="191" t="n">
        <v>1.1</v>
      </c>
      <c r="P1905" s="172" t="inlineStr">
        <is>
          <t>次级</t>
        </is>
      </c>
      <c r="Q1905" s="175" t="n">
        <v>0.05</v>
      </c>
      <c r="R1905" s="192" t="n">
        <v>0.5</v>
      </c>
      <c r="S1905" s="175" t="inlineStr">
        <is>
          <t>无</t>
        </is>
      </c>
      <c r="T1905" s="175" t="n">
        <v>0.0455</v>
      </c>
      <c r="U1905" s="172" t="inlineStr">
        <is>
          <t>邦汇保理</t>
        </is>
      </c>
      <c r="V1905" s="193" t="n">
        <v>0.025</v>
      </c>
      <c r="W1905" s="172" t="n"/>
      <c r="X1905" s="172" t="n"/>
      <c r="Y1905" s="172" t="n"/>
    </row>
    <row r="1906">
      <c r="A1906" s="172" t="n">
        <v>103</v>
      </c>
      <c r="B1906" s="172" t="inlineStr">
        <is>
          <t>6月</t>
        </is>
      </c>
      <c r="C1906" s="172" t="inlineStr">
        <is>
          <t>企金</t>
        </is>
      </c>
      <c r="D1906" s="172" t="inlineStr">
        <is>
          <t>信托企业主贷</t>
        </is>
      </c>
      <c r="E1906" s="172" t="inlineStr">
        <is>
          <t>启赢3-3</t>
        </is>
      </c>
      <c r="F1906" s="172" t="inlineStr">
        <is>
          <t>银行间</t>
        </is>
      </c>
      <c r="G1906" s="172" t="inlineStr">
        <is>
          <t>中信建投</t>
        </is>
      </c>
      <c r="H1906" s="172" t="inlineStr">
        <is>
          <t>国泰海通/中信证券/光大证券</t>
        </is>
      </c>
      <c r="I1906" s="172" t="inlineStr">
        <is>
          <t>工银天津</t>
        </is>
      </c>
      <c r="J1906" s="172" t="n">
        <v>15</v>
      </c>
      <c r="K1906" s="172" t="inlineStr">
        <is>
          <t>9+24</t>
        </is>
      </c>
      <c r="L1906" s="202" t="n">
        <v>46198</v>
      </c>
      <c r="M1906" s="175" t="n">
        <v>0.0148</v>
      </c>
      <c r="N1906" s="176" t="n">
        <v>0.0199</v>
      </c>
      <c r="O1906" s="191" t="n">
        <v>1.73</v>
      </c>
      <c r="P1906" s="172" t="inlineStr">
        <is>
          <t>优先A</t>
        </is>
      </c>
      <c r="Q1906" s="175" t="n">
        <v>0.83</v>
      </c>
      <c r="R1906" s="192">
        <f>Q1257*J1257</f>
        <v/>
      </c>
      <c r="S1906" s="172" t="inlineStr">
        <is>
          <t>AAA</t>
        </is>
      </c>
      <c r="T1906" s="175" t="n">
        <v>0.0168</v>
      </c>
      <c r="U1906" s="172" t="inlineStr">
        <is>
          <t>渝农商理财</t>
        </is>
      </c>
      <c r="V1906" s="191" t="n">
        <v>2.93</v>
      </c>
      <c r="W1906" s="175" t="n">
        <v>0.016</v>
      </c>
      <c r="X1906" s="172" t="inlineStr">
        <is>
          <t>渝农商理财</t>
        </is>
      </c>
      <c r="Y1906" s="191" t="n">
        <v>1.06</v>
      </c>
    </row>
    <row r="1907">
      <c r="A1907" s="172" t="n">
        <v>103</v>
      </c>
      <c r="B1907" s="172" t="inlineStr">
        <is>
          <t>6月</t>
        </is>
      </c>
      <c r="C1907" s="172" t="inlineStr">
        <is>
          <t>企金</t>
        </is>
      </c>
      <c r="D1907" s="172" t="inlineStr">
        <is>
          <t>信托企业主贷</t>
        </is>
      </c>
      <c r="E1907" s="172" t="inlineStr">
        <is>
          <t>启赢3-3</t>
        </is>
      </c>
      <c r="F1907" s="172" t="inlineStr">
        <is>
          <t>银行间</t>
        </is>
      </c>
      <c r="G1907" s="172" t="inlineStr">
        <is>
          <t>中信建投</t>
        </is>
      </c>
      <c r="H1907" s="172" t="inlineStr">
        <is>
          <t>国泰海通/中信证券/光大证券</t>
        </is>
      </c>
      <c r="I1907" s="172" t="inlineStr">
        <is>
          <t>工银天津</t>
        </is>
      </c>
      <c r="J1907" s="172" t="n">
        <v>15</v>
      </c>
      <c r="K1907" s="172" t="inlineStr">
        <is>
          <t>9+24</t>
        </is>
      </c>
      <c r="L1907" s="200" t="n">
        <v>46198</v>
      </c>
      <c r="M1907" s="175" t="n">
        <v>0.0148</v>
      </c>
      <c r="N1907" s="176" t="n">
        <v>0.0199</v>
      </c>
      <c r="O1907" s="172" t="n">
        <v>1.73</v>
      </c>
      <c r="P1907" s="172" t="inlineStr">
        <is>
          <t>优先A</t>
        </is>
      </c>
      <c r="Q1907" s="175" t="n">
        <v>0.83</v>
      </c>
      <c r="R1907" s="172">
        <f>Q1257*J1257</f>
        <v/>
      </c>
      <c r="S1907" s="172" t="inlineStr">
        <is>
          <t>AAA</t>
        </is>
      </c>
      <c r="T1907" s="175" t="n">
        <v>0.0168</v>
      </c>
      <c r="U1907" s="172" t="n"/>
      <c r="V1907" s="172" t="n"/>
      <c r="W1907" s="175" t="n">
        <v>0.0165</v>
      </c>
      <c r="X1907" s="172" t="inlineStr">
        <is>
          <t>渝农商理财</t>
        </is>
      </c>
      <c r="Y1907" s="191" t="n">
        <v>1.87</v>
      </c>
    </row>
    <row r="1908">
      <c r="A1908" s="172" t="n">
        <v>103</v>
      </c>
      <c r="B1908" s="172" t="inlineStr">
        <is>
          <t>6月</t>
        </is>
      </c>
      <c r="C1908" s="172" t="inlineStr">
        <is>
          <t>企金</t>
        </is>
      </c>
      <c r="D1908" s="172" t="inlineStr">
        <is>
          <t>信托企业主贷</t>
        </is>
      </c>
      <c r="E1908" s="172" t="inlineStr">
        <is>
          <t>启赢3-3</t>
        </is>
      </c>
      <c r="F1908" s="172" t="inlineStr">
        <is>
          <t>银行间</t>
        </is>
      </c>
      <c r="G1908" s="172" t="inlineStr">
        <is>
          <t>中信建投</t>
        </is>
      </c>
      <c r="H1908" s="172" t="inlineStr">
        <is>
          <t>国泰海通/中信证券/光大证券</t>
        </is>
      </c>
      <c r="I1908" s="172" t="inlineStr">
        <is>
          <t>工银天津</t>
        </is>
      </c>
      <c r="J1908" s="172" t="n">
        <v>15</v>
      </c>
      <c r="K1908" s="172" t="inlineStr">
        <is>
          <t>9+24</t>
        </is>
      </c>
      <c r="L1908" s="200" t="n">
        <v>46198</v>
      </c>
      <c r="M1908" s="175" t="n">
        <v>0.0148</v>
      </c>
      <c r="N1908" s="176" t="n">
        <v>0.0199</v>
      </c>
      <c r="O1908" s="172" t="n">
        <v>1.73</v>
      </c>
      <c r="P1908" s="172" t="inlineStr">
        <is>
          <t>优先A</t>
        </is>
      </c>
      <c r="Q1908" s="175" t="n">
        <v>0.83</v>
      </c>
      <c r="R1908" s="172">
        <f>Q1257*J1257</f>
        <v/>
      </c>
      <c r="S1908" s="172" t="inlineStr">
        <is>
          <t>AAA</t>
        </is>
      </c>
      <c r="T1908" s="175" t="n">
        <v>0.0168</v>
      </c>
      <c r="U1908" s="172" t="n"/>
      <c r="V1908" s="172" t="n"/>
      <c r="W1908" s="175" t="n">
        <v>0.017</v>
      </c>
      <c r="X1908" s="172" t="inlineStr">
        <is>
          <t>渝农商理财</t>
        </is>
      </c>
      <c r="Y1908" s="191" t="n">
        <v>0.3</v>
      </c>
    </row>
    <row r="1909">
      <c r="A1909" s="172" t="n">
        <v>103</v>
      </c>
      <c r="B1909" s="172" t="inlineStr">
        <is>
          <t>6月</t>
        </is>
      </c>
      <c r="C1909" s="172" t="inlineStr">
        <is>
          <t>企金</t>
        </is>
      </c>
      <c r="D1909" s="172" t="inlineStr">
        <is>
          <t>信托企业主贷</t>
        </is>
      </c>
      <c r="E1909" s="172" t="inlineStr">
        <is>
          <t>启赢3-3</t>
        </is>
      </c>
      <c r="F1909" s="172" t="inlineStr">
        <is>
          <t>银行间</t>
        </is>
      </c>
      <c r="G1909" s="172" t="inlineStr">
        <is>
          <t>中信建投</t>
        </is>
      </c>
      <c r="H1909" s="172" t="inlineStr">
        <is>
          <t>国泰海通/中信证券/光大证券</t>
        </is>
      </c>
      <c r="I1909" s="172" t="inlineStr">
        <is>
          <t>工银天津</t>
        </is>
      </c>
      <c r="J1909" s="172" t="n">
        <v>15</v>
      </c>
      <c r="K1909" s="172" t="inlineStr">
        <is>
          <t>9+24</t>
        </is>
      </c>
      <c r="L1909" s="200" t="n">
        <v>46198</v>
      </c>
      <c r="M1909" s="175" t="n">
        <v>0.0148</v>
      </c>
      <c r="N1909" s="176" t="n">
        <v>0.0199</v>
      </c>
      <c r="O1909" s="172" t="n">
        <v>1.73</v>
      </c>
      <c r="P1909" s="172" t="inlineStr">
        <is>
          <t>优先A</t>
        </is>
      </c>
      <c r="Q1909" s="175" t="n">
        <v>0.83</v>
      </c>
      <c r="R1909" s="172">
        <f>Q1257*J1257</f>
        <v/>
      </c>
      <c r="S1909" s="172" t="inlineStr">
        <is>
          <t>AAA</t>
        </is>
      </c>
      <c r="T1909" s="175" t="n">
        <v>0.0168</v>
      </c>
      <c r="U1909" s="172" t="n"/>
      <c r="V1909" s="172" t="n"/>
      <c r="W1909" s="175" t="n">
        <v>0.0175</v>
      </c>
      <c r="X1909" s="172" t="inlineStr">
        <is>
          <t>渝农商理财</t>
        </is>
      </c>
      <c r="Y1909" s="191" t="n">
        <v>0.5</v>
      </c>
    </row>
    <row r="1910">
      <c r="A1910" s="172" t="n">
        <v>103</v>
      </c>
      <c r="B1910" s="172" t="inlineStr">
        <is>
          <t>6月</t>
        </is>
      </c>
      <c r="C1910" s="172" t="inlineStr">
        <is>
          <t>企金</t>
        </is>
      </c>
      <c r="D1910" s="172" t="inlineStr">
        <is>
          <t>信托企业主贷</t>
        </is>
      </c>
      <c r="E1910" s="172" t="inlineStr">
        <is>
          <t>启赢3-3</t>
        </is>
      </c>
      <c r="F1910" s="172" t="inlineStr">
        <is>
          <t>银行间</t>
        </is>
      </c>
      <c r="G1910" s="172" t="inlineStr">
        <is>
          <t>中信建投</t>
        </is>
      </c>
      <c r="H1910" s="172" t="inlineStr">
        <is>
          <t>国泰海通/中信证券/光大证券</t>
        </is>
      </c>
      <c r="I1910" s="172" t="inlineStr">
        <is>
          <t>工银天津</t>
        </is>
      </c>
      <c r="J1910" s="172" t="n">
        <v>15</v>
      </c>
      <c r="K1910" s="172" t="inlineStr">
        <is>
          <t>9+24</t>
        </is>
      </c>
      <c r="L1910" s="202" t="n">
        <v>46198</v>
      </c>
      <c r="M1910" s="175" t="n">
        <v>0.0148</v>
      </c>
      <c r="N1910" s="176" t="n">
        <v>0.0199</v>
      </c>
      <c r="O1910" s="191" t="n">
        <v>1.73</v>
      </c>
      <c r="P1910" s="172" t="inlineStr">
        <is>
          <t>优先A</t>
        </is>
      </c>
      <c r="Q1910" s="175" t="n">
        <v>0.83</v>
      </c>
      <c r="R1910" s="192">
        <f>Q1257*J1257</f>
        <v/>
      </c>
      <c r="S1910" s="172" t="inlineStr">
        <is>
          <t>AAA</t>
        </is>
      </c>
      <c r="T1910" s="175" t="n">
        <v>0.0168</v>
      </c>
      <c r="U1910" s="172" t="inlineStr">
        <is>
          <t>中邮理财</t>
        </is>
      </c>
      <c r="V1910" s="191" t="n">
        <v>2.7</v>
      </c>
      <c r="W1910" s="175" t="n">
        <v>0.0165</v>
      </c>
      <c r="X1910" s="172" t="inlineStr">
        <is>
          <t>中邮理财</t>
        </is>
      </c>
      <c r="Y1910" s="191" t="n">
        <v>1.7</v>
      </c>
    </row>
    <row r="1911">
      <c r="A1911" s="172" t="n">
        <v>103</v>
      </c>
      <c r="B1911" s="172" t="inlineStr">
        <is>
          <t>6月</t>
        </is>
      </c>
      <c r="C1911" s="172" t="inlineStr">
        <is>
          <t>企金</t>
        </is>
      </c>
      <c r="D1911" s="172" t="inlineStr">
        <is>
          <t>信托企业主贷</t>
        </is>
      </c>
      <c r="E1911" s="172" t="inlineStr">
        <is>
          <t>启赢3-3</t>
        </is>
      </c>
      <c r="F1911" s="172" t="inlineStr">
        <is>
          <t>银行间</t>
        </is>
      </c>
      <c r="G1911" s="172" t="inlineStr">
        <is>
          <t>中信建投</t>
        </is>
      </c>
      <c r="H1911" s="172" t="inlineStr">
        <is>
          <t>国泰海通/中信证券/光大证券</t>
        </is>
      </c>
      <c r="I1911" s="172" t="inlineStr">
        <is>
          <t>工银天津</t>
        </is>
      </c>
      <c r="J1911" s="172" t="n">
        <v>15</v>
      </c>
      <c r="K1911" s="172" t="inlineStr">
        <is>
          <t>9+24</t>
        </is>
      </c>
      <c r="L1911" s="200" t="n">
        <v>46198</v>
      </c>
      <c r="M1911" s="175" t="n">
        <v>0.0148</v>
      </c>
      <c r="N1911" s="176" t="n">
        <v>0.0199</v>
      </c>
      <c r="O1911" s="172" t="n">
        <v>1.73</v>
      </c>
      <c r="P1911" s="172" t="inlineStr">
        <is>
          <t>优先A</t>
        </is>
      </c>
      <c r="Q1911" s="175" t="n">
        <v>0.83</v>
      </c>
      <c r="R1911" s="172">
        <f>Q1257*J1257</f>
        <v/>
      </c>
      <c r="S1911" s="172" t="inlineStr">
        <is>
          <t>AAA</t>
        </is>
      </c>
      <c r="T1911" s="175" t="n">
        <v>0.0168</v>
      </c>
      <c r="U1911" s="172" t="n"/>
      <c r="V1911" s="172" t="n"/>
      <c r="W1911" s="175" t="n">
        <v>0.0167</v>
      </c>
      <c r="X1911" s="172" t="inlineStr">
        <is>
          <t>中邮理财</t>
        </is>
      </c>
      <c r="Y1911" s="191" t="n">
        <v>1</v>
      </c>
    </row>
    <row r="1912">
      <c r="A1912" s="172" t="n">
        <v>103</v>
      </c>
      <c r="B1912" s="172" t="inlineStr">
        <is>
          <t>6月</t>
        </is>
      </c>
      <c r="C1912" s="172" t="inlineStr">
        <is>
          <t>企金</t>
        </is>
      </c>
      <c r="D1912" s="172" t="inlineStr">
        <is>
          <t>信托企业主贷</t>
        </is>
      </c>
      <c r="E1912" s="172" t="inlineStr">
        <is>
          <t>启赢3-3</t>
        </is>
      </c>
      <c r="F1912" s="172" t="inlineStr">
        <is>
          <t>银行间</t>
        </is>
      </c>
      <c r="G1912" s="172" t="inlineStr">
        <is>
          <t>中信建投</t>
        </is>
      </c>
      <c r="H1912" s="172" t="inlineStr">
        <is>
          <t>国泰海通/中信证券/光大证券</t>
        </is>
      </c>
      <c r="I1912" s="172" t="inlineStr">
        <is>
          <t>工银天津</t>
        </is>
      </c>
      <c r="J1912" s="172" t="n">
        <v>15</v>
      </c>
      <c r="K1912" s="172" t="inlineStr">
        <is>
          <t>9+24</t>
        </is>
      </c>
      <c r="L1912" s="200" t="n">
        <v>46198</v>
      </c>
      <c r="M1912" s="175" t="n">
        <v>0.0148</v>
      </c>
      <c r="N1912" s="176" t="n">
        <v>0.0199</v>
      </c>
      <c r="O1912" s="172" t="n">
        <v>1.73</v>
      </c>
      <c r="P1912" s="172" t="inlineStr">
        <is>
          <t>优先A</t>
        </is>
      </c>
      <c r="Q1912" s="175" t="n">
        <v>0.83</v>
      </c>
      <c r="R1912" s="172">
        <f>Q1257*J1257</f>
        <v/>
      </c>
      <c r="S1912" s="172" t="inlineStr">
        <is>
          <t>AAA</t>
        </is>
      </c>
      <c r="T1912" s="175" t="n">
        <v>0.0168</v>
      </c>
      <c r="U1912" s="172" t="n"/>
      <c r="V1912" s="172" t="n"/>
      <c r="W1912" s="175" t="n">
        <v>0.0169</v>
      </c>
      <c r="X1912" s="172" t="inlineStr">
        <is>
          <t>中邮理财</t>
        </is>
      </c>
      <c r="Y1912" s="191" t="n">
        <v>1.035</v>
      </c>
    </row>
    <row r="1913">
      <c r="A1913" s="172" t="n">
        <v>103</v>
      </c>
      <c r="B1913" s="172" t="inlineStr">
        <is>
          <t>6月</t>
        </is>
      </c>
      <c r="C1913" s="172" t="inlineStr">
        <is>
          <t>企金</t>
        </is>
      </c>
      <c r="D1913" s="172" t="inlineStr">
        <is>
          <t>信托企业主贷</t>
        </is>
      </c>
      <c r="E1913" s="172" t="inlineStr">
        <is>
          <t>启赢3-3</t>
        </is>
      </c>
      <c r="F1913" s="172" t="inlineStr">
        <is>
          <t>银行间</t>
        </is>
      </c>
      <c r="G1913" s="172" t="inlineStr">
        <is>
          <t>中信建投</t>
        </is>
      </c>
      <c r="H1913" s="172" t="inlineStr">
        <is>
          <t>国泰海通/中信证券/光大证券</t>
        </is>
      </c>
      <c r="I1913" s="172" t="inlineStr">
        <is>
          <t>工银天津</t>
        </is>
      </c>
      <c r="J1913" s="172" t="n">
        <v>15</v>
      </c>
      <c r="K1913" s="172" t="inlineStr">
        <is>
          <t>9+24</t>
        </is>
      </c>
      <c r="L1913" s="202" t="n">
        <v>46198</v>
      </c>
      <c r="M1913" s="175" t="n">
        <v>0.0148</v>
      </c>
      <c r="N1913" s="176" t="n">
        <v>0.0199</v>
      </c>
      <c r="O1913" s="191" t="n">
        <v>1.73</v>
      </c>
      <c r="P1913" s="172" t="inlineStr">
        <is>
          <t>优先A</t>
        </is>
      </c>
      <c r="Q1913" s="175" t="n">
        <v>0.83</v>
      </c>
      <c r="R1913" s="192">
        <f>Q1257*J1257</f>
        <v/>
      </c>
      <c r="S1913" s="172" t="inlineStr">
        <is>
          <t>AAA</t>
        </is>
      </c>
      <c r="T1913" s="175" t="n">
        <v>0.0168</v>
      </c>
      <c r="U1913" s="172" t="inlineStr">
        <is>
          <t>交银理财</t>
        </is>
      </c>
      <c r="V1913" s="191" t="n">
        <v>2.4</v>
      </c>
      <c r="W1913" s="175" t="n">
        <v>0.016</v>
      </c>
      <c r="X1913" s="172" t="inlineStr">
        <is>
          <t>交银理财</t>
        </is>
      </c>
      <c r="Y1913" s="191" t="n">
        <v>0.5</v>
      </c>
    </row>
    <row r="1914">
      <c r="A1914" s="172" t="n">
        <v>103</v>
      </c>
      <c r="B1914" s="172" t="inlineStr">
        <is>
          <t>6月</t>
        </is>
      </c>
      <c r="C1914" s="172" t="inlineStr">
        <is>
          <t>企金</t>
        </is>
      </c>
      <c r="D1914" s="172" t="inlineStr">
        <is>
          <t>信托企业主贷</t>
        </is>
      </c>
      <c r="E1914" s="172" t="inlineStr">
        <is>
          <t>启赢3-3</t>
        </is>
      </c>
      <c r="F1914" s="172" t="inlineStr">
        <is>
          <t>银行间</t>
        </is>
      </c>
      <c r="G1914" s="172" t="inlineStr">
        <is>
          <t>中信建投</t>
        </is>
      </c>
      <c r="H1914" s="172" t="inlineStr">
        <is>
          <t>国泰海通/中信证券/光大证券</t>
        </is>
      </c>
      <c r="I1914" s="172" t="inlineStr">
        <is>
          <t>工银天津</t>
        </is>
      </c>
      <c r="J1914" s="172" t="n">
        <v>15</v>
      </c>
      <c r="K1914" s="172" t="inlineStr">
        <is>
          <t>9+24</t>
        </is>
      </c>
      <c r="L1914" s="200" t="n">
        <v>46198</v>
      </c>
      <c r="M1914" s="175" t="n">
        <v>0.0148</v>
      </c>
      <c r="N1914" s="176" t="n">
        <v>0.0199</v>
      </c>
      <c r="O1914" s="172" t="n">
        <v>1.73</v>
      </c>
      <c r="P1914" s="172" t="inlineStr">
        <is>
          <t>优先A</t>
        </is>
      </c>
      <c r="Q1914" s="175" t="n">
        <v>0.83</v>
      </c>
      <c r="R1914" s="172">
        <f>Q1257*J1257</f>
        <v/>
      </c>
      <c r="S1914" s="172" t="inlineStr">
        <is>
          <t>AAA</t>
        </is>
      </c>
      <c r="T1914" s="175" t="n">
        <v>0.0168</v>
      </c>
      <c r="U1914" s="172" t="n"/>
      <c r="V1914" s="172" t="n"/>
      <c r="W1914" s="175" t="n">
        <v>0.0165</v>
      </c>
      <c r="X1914" s="172" t="inlineStr">
        <is>
          <t>交银理财</t>
        </is>
      </c>
      <c r="Y1914" s="191" t="n">
        <v>1.9</v>
      </c>
    </row>
    <row r="1915">
      <c r="A1915" s="172" t="n">
        <v>103</v>
      </c>
      <c r="B1915" s="172" t="inlineStr">
        <is>
          <t>6月</t>
        </is>
      </c>
      <c r="C1915" s="172" t="inlineStr">
        <is>
          <t>企金</t>
        </is>
      </c>
      <c r="D1915" s="172" t="inlineStr">
        <is>
          <t>信托企业主贷</t>
        </is>
      </c>
      <c r="E1915" s="172" t="inlineStr">
        <is>
          <t>启赢3-3</t>
        </is>
      </c>
      <c r="F1915" s="172" t="inlineStr">
        <is>
          <t>银行间</t>
        </is>
      </c>
      <c r="G1915" s="172" t="inlineStr">
        <is>
          <t>中信建投</t>
        </is>
      </c>
      <c r="H1915" s="172" t="inlineStr">
        <is>
          <t>国泰海通/中信证券/光大证券</t>
        </is>
      </c>
      <c r="I1915" s="172" t="inlineStr">
        <is>
          <t>工银天津</t>
        </is>
      </c>
      <c r="J1915" s="172" t="n">
        <v>15</v>
      </c>
      <c r="K1915" s="172" t="inlineStr">
        <is>
          <t>9+24</t>
        </is>
      </c>
      <c r="L1915" s="202" t="n">
        <v>46198</v>
      </c>
      <c r="M1915" s="175" t="n">
        <v>0.0148</v>
      </c>
      <c r="N1915" s="176" t="n">
        <v>0.0199</v>
      </c>
      <c r="O1915" s="191" t="n">
        <v>1.73</v>
      </c>
      <c r="P1915" s="172" t="inlineStr">
        <is>
          <t>优先A</t>
        </is>
      </c>
      <c r="Q1915" s="175" t="n">
        <v>0.83</v>
      </c>
      <c r="R1915" s="192">
        <f>Q1257*J1257</f>
        <v/>
      </c>
      <c r="S1915" s="172" t="inlineStr">
        <is>
          <t>AAA</t>
        </is>
      </c>
      <c r="T1915" s="175" t="n">
        <v>0.0168</v>
      </c>
      <c r="U1915" s="172" t="inlineStr">
        <is>
          <t>中信证券资管</t>
        </is>
      </c>
      <c r="V1915" s="191" t="n">
        <v>1.5</v>
      </c>
      <c r="W1915" s="175" t="n">
        <v>0.0168</v>
      </c>
      <c r="X1915" s="172" t="inlineStr">
        <is>
          <t>中信证券资管</t>
        </is>
      </c>
      <c r="Y1915" s="191" t="n">
        <v>1.5</v>
      </c>
    </row>
    <row r="1916">
      <c r="A1916" s="172" t="n">
        <v>103</v>
      </c>
      <c r="B1916" s="172" t="inlineStr">
        <is>
          <t>6月</t>
        </is>
      </c>
      <c r="C1916" s="172" t="inlineStr">
        <is>
          <t>企金</t>
        </is>
      </c>
      <c r="D1916" s="172" t="inlineStr">
        <is>
          <t>信托企业主贷</t>
        </is>
      </c>
      <c r="E1916" s="172" t="inlineStr">
        <is>
          <t>启赢3-3</t>
        </is>
      </c>
      <c r="F1916" s="172" t="inlineStr">
        <is>
          <t>银行间</t>
        </is>
      </c>
      <c r="G1916" s="172" t="inlineStr">
        <is>
          <t>中信建投</t>
        </is>
      </c>
      <c r="H1916" s="172" t="inlineStr">
        <is>
          <t>国泰海通/中信证券/光大证券</t>
        </is>
      </c>
      <c r="I1916" s="172" t="inlineStr">
        <is>
          <t>工银天津</t>
        </is>
      </c>
      <c r="J1916" s="172" t="n">
        <v>15</v>
      </c>
      <c r="K1916" s="172" t="inlineStr">
        <is>
          <t>9+24</t>
        </is>
      </c>
      <c r="L1916" s="200" t="n">
        <v>46198</v>
      </c>
      <c r="M1916" s="175" t="n">
        <v>0.0148</v>
      </c>
      <c r="N1916" s="176" t="n">
        <v>0.0199</v>
      </c>
      <c r="O1916" s="172" t="n">
        <v>1.73</v>
      </c>
      <c r="P1916" s="172" t="inlineStr">
        <is>
          <t>优先A</t>
        </is>
      </c>
      <c r="Q1916" s="175" t="n">
        <v>0.83</v>
      </c>
      <c r="R1916" s="172">
        <f>Q1257*J1257</f>
        <v/>
      </c>
      <c r="S1916" s="172" t="inlineStr">
        <is>
          <t>AAA</t>
        </is>
      </c>
      <c r="T1916" s="175" t="n">
        <v>0.0168</v>
      </c>
      <c r="U1916" s="172" t="n"/>
      <c r="V1916" s="172" t="n"/>
      <c r="W1916" s="175" t="n">
        <v>0.0169</v>
      </c>
      <c r="X1916" s="172" t="inlineStr">
        <is>
          <t>中信证券资管</t>
        </is>
      </c>
      <c r="Y1916" s="191" t="n">
        <v>0.5</v>
      </c>
    </row>
    <row r="1917">
      <c r="A1917" s="172" t="n">
        <v>103</v>
      </c>
      <c r="B1917" s="172" t="inlineStr">
        <is>
          <t>6月</t>
        </is>
      </c>
      <c r="C1917" s="172" t="inlineStr">
        <is>
          <t>企金</t>
        </is>
      </c>
      <c r="D1917" s="172" t="inlineStr">
        <is>
          <t>信托企业主贷</t>
        </is>
      </c>
      <c r="E1917" s="172" t="inlineStr">
        <is>
          <t>启赢3-3</t>
        </is>
      </c>
      <c r="F1917" s="172" t="inlineStr">
        <is>
          <t>银行间</t>
        </is>
      </c>
      <c r="G1917" s="172" t="inlineStr">
        <is>
          <t>中信建投</t>
        </is>
      </c>
      <c r="H1917" s="172" t="inlineStr">
        <is>
          <t>国泰海通/中信证券/光大证券</t>
        </is>
      </c>
      <c r="I1917" s="172" t="inlineStr">
        <is>
          <t>工银天津</t>
        </is>
      </c>
      <c r="J1917" s="172" t="n">
        <v>15</v>
      </c>
      <c r="K1917" s="172" t="inlineStr">
        <is>
          <t>9+24</t>
        </is>
      </c>
      <c r="L1917" s="202" t="n">
        <v>46198</v>
      </c>
      <c r="M1917" s="175" t="n">
        <v>0.0148</v>
      </c>
      <c r="N1917" s="176" t="n">
        <v>0.0199</v>
      </c>
      <c r="O1917" s="191" t="n">
        <v>1.73</v>
      </c>
      <c r="P1917" s="172" t="inlineStr">
        <is>
          <t>优先A</t>
        </is>
      </c>
      <c r="Q1917" s="175" t="n">
        <v>0.83</v>
      </c>
      <c r="R1917" s="192">
        <f>Q1257*J1257</f>
        <v/>
      </c>
      <c r="S1917" s="172" t="inlineStr">
        <is>
          <t>AAA</t>
        </is>
      </c>
      <c r="T1917" s="175" t="n">
        <v>0.0168</v>
      </c>
      <c r="U1917" s="172" t="inlineStr">
        <is>
          <t>易方达基金</t>
        </is>
      </c>
      <c r="V1917" s="191" t="n">
        <v>1</v>
      </c>
      <c r="W1917" s="175" t="n">
        <v>0.0168</v>
      </c>
      <c r="X1917" s="172" t="inlineStr">
        <is>
          <t>易方达基金</t>
        </is>
      </c>
      <c r="Y1917" s="191" t="n">
        <v>1</v>
      </c>
    </row>
    <row r="1918">
      <c r="A1918" s="172" t="n">
        <v>103</v>
      </c>
      <c r="B1918" s="172" t="inlineStr">
        <is>
          <t>6月</t>
        </is>
      </c>
      <c r="C1918" s="172" t="inlineStr">
        <is>
          <t>企金</t>
        </is>
      </c>
      <c r="D1918" s="172" t="inlineStr">
        <is>
          <t>信托企业主贷</t>
        </is>
      </c>
      <c r="E1918" s="172" t="inlineStr">
        <is>
          <t>启赢3-3</t>
        </is>
      </c>
      <c r="F1918" s="172" t="inlineStr">
        <is>
          <t>银行间</t>
        </is>
      </c>
      <c r="G1918" s="172" t="inlineStr">
        <is>
          <t>中信建投</t>
        </is>
      </c>
      <c r="H1918" s="172" t="inlineStr">
        <is>
          <t>国泰海通/中信证券/光大证券</t>
        </is>
      </c>
      <c r="I1918" s="172" t="inlineStr">
        <is>
          <t>工银天津</t>
        </is>
      </c>
      <c r="J1918" s="172" t="n">
        <v>15</v>
      </c>
      <c r="K1918" s="172" t="inlineStr">
        <is>
          <t>9+24</t>
        </is>
      </c>
      <c r="L1918" s="200" t="n">
        <v>46198</v>
      </c>
      <c r="M1918" s="175" t="n">
        <v>0.0148</v>
      </c>
      <c r="N1918" s="176" t="n">
        <v>0.0199</v>
      </c>
      <c r="O1918" s="172" t="n">
        <v>1.73</v>
      </c>
      <c r="P1918" s="172" t="inlineStr">
        <is>
          <t>优先A</t>
        </is>
      </c>
      <c r="Q1918" s="175" t="n">
        <v>0.83</v>
      </c>
      <c r="R1918" s="172">
        <f>Q1257*J1257</f>
        <v/>
      </c>
      <c r="S1918" s="172" t="inlineStr">
        <is>
          <t>AAA</t>
        </is>
      </c>
      <c r="T1918" s="175" t="n">
        <v>0.0168</v>
      </c>
      <c r="U1918" s="172" t="n"/>
      <c r="V1918" s="172" t="n"/>
      <c r="W1918" s="175" t="n">
        <v>0.0169</v>
      </c>
      <c r="X1918" s="172" t="inlineStr">
        <is>
          <t>易方达基金</t>
        </is>
      </c>
      <c r="Y1918" s="191" t="n">
        <v>0.5</v>
      </c>
    </row>
    <row r="1919">
      <c r="A1919" s="172" t="n">
        <v>103</v>
      </c>
      <c r="B1919" s="172" t="inlineStr">
        <is>
          <t>6月</t>
        </is>
      </c>
      <c r="C1919" s="172" t="inlineStr">
        <is>
          <t>企金</t>
        </is>
      </c>
      <c r="D1919" s="172" t="inlineStr">
        <is>
          <t>信托企业主贷</t>
        </is>
      </c>
      <c r="E1919" s="172" t="inlineStr">
        <is>
          <t>启赢3-3</t>
        </is>
      </c>
      <c r="F1919" s="172" t="inlineStr">
        <is>
          <t>银行间</t>
        </is>
      </c>
      <c r="G1919" s="172" t="inlineStr">
        <is>
          <t>中信建投</t>
        </is>
      </c>
      <c r="H1919" s="172" t="inlineStr">
        <is>
          <t>国泰海通/中信证券/光大证券</t>
        </is>
      </c>
      <c r="I1919" s="172" t="inlineStr">
        <is>
          <t>工银天津</t>
        </is>
      </c>
      <c r="J1919" s="172" t="n">
        <v>15</v>
      </c>
      <c r="K1919" s="172" t="inlineStr">
        <is>
          <t>9+24</t>
        </is>
      </c>
      <c r="L1919" s="200" t="n">
        <v>46198</v>
      </c>
      <c r="M1919" s="175" t="n">
        <v>0.0148</v>
      </c>
      <c r="N1919" s="176" t="n">
        <v>0.0199</v>
      </c>
      <c r="O1919" s="172" t="n">
        <v>1.73</v>
      </c>
      <c r="P1919" s="172" t="inlineStr">
        <is>
          <t>优先A</t>
        </is>
      </c>
      <c r="Q1919" s="175" t="n">
        <v>0.83</v>
      </c>
      <c r="R1919" s="172">
        <f>Q1257*J1257</f>
        <v/>
      </c>
      <c r="S1919" s="172" t="inlineStr">
        <is>
          <t>AAA</t>
        </is>
      </c>
      <c r="T1919" s="175" t="n">
        <v>0.0168</v>
      </c>
      <c r="U1919" s="172" t="n"/>
      <c r="V1919" s="172" t="n"/>
      <c r="W1919" s="175" t="n">
        <v>0.0172</v>
      </c>
      <c r="X1919" s="172" t="inlineStr">
        <is>
          <t>易方达基金</t>
        </is>
      </c>
      <c r="Y1919" s="191" t="n">
        <v>0.5</v>
      </c>
    </row>
    <row r="1920">
      <c r="A1920" s="172" t="n">
        <v>103</v>
      </c>
      <c r="B1920" s="172" t="inlineStr">
        <is>
          <t>6月</t>
        </is>
      </c>
      <c r="C1920" s="172" t="inlineStr">
        <is>
          <t>企金</t>
        </is>
      </c>
      <c r="D1920" s="172" t="inlineStr">
        <is>
          <t>信托企业主贷</t>
        </is>
      </c>
      <c r="E1920" s="172" t="inlineStr">
        <is>
          <t>启赢3-3</t>
        </is>
      </c>
      <c r="F1920" s="172" t="inlineStr">
        <is>
          <t>银行间</t>
        </is>
      </c>
      <c r="G1920" s="172" t="inlineStr">
        <is>
          <t>中信建投</t>
        </is>
      </c>
      <c r="H1920" s="172" t="inlineStr">
        <is>
          <t>国泰海通/中信证券/光大证券</t>
        </is>
      </c>
      <c r="I1920" s="172" t="inlineStr">
        <is>
          <t>工银天津</t>
        </is>
      </c>
      <c r="J1920" s="172" t="n">
        <v>15</v>
      </c>
      <c r="K1920" s="172" t="inlineStr">
        <is>
          <t>9+24</t>
        </is>
      </c>
      <c r="L1920" s="200" t="n">
        <v>46198</v>
      </c>
      <c r="M1920" s="175" t="n">
        <v>0.0148</v>
      </c>
      <c r="N1920" s="176" t="n">
        <v>0.0199</v>
      </c>
      <c r="O1920" s="172" t="n">
        <v>1.73</v>
      </c>
      <c r="P1920" s="172" t="inlineStr">
        <is>
          <t>优先A</t>
        </is>
      </c>
      <c r="Q1920" s="175" t="n">
        <v>0.83</v>
      </c>
      <c r="R1920" s="172">
        <f>Q1257*J1257</f>
        <v/>
      </c>
      <c r="S1920" s="172" t="inlineStr">
        <is>
          <t>AAA</t>
        </is>
      </c>
      <c r="T1920" s="175" t="n">
        <v>0.0168</v>
      </c>
      <c r="U1920" s="172" t="n"/>
      <c r="V1920" s="172" t="n"/>
      <c r="W1920" s="175" t="n">
        <v>0.0175</v>
      </c>
      <c r="X1920" s="172" t="inlineStr">
        <is>
          <t>易方达基金</t>
        </is>
      </c>
      <c r="Y1920" s="191" t="n">
        <v>0.2</v>
      </c>
    </row>
    <row r="1921">
      <c r="A1921" s="172" t="n">
        <v>103</v>
      </c>
      <c r="B1921" s="172" t="inlineStr">
        <is>
          <t>6月</t>
        </is>
      </c>
      <c r="C1921" s="172" t="inlineStr">
        <is>
          <t>企金</t>
        </is>
      </c>
      <c r="D1921" s="172" t="inlineStr">
        <is>
          <t>信托企业主贷</t>
        </is>
      </c>
      <c r="E1921" s="172" t="inlineStr">
        <is>
          <t>启赢3-3</t>
        </is>
      </c>
      <c r="F1921" s="172" t="inlineStr">
        <is>
          <t>银行间</t>
        </is>
      </c>
      <c r="G1921" s="172" t="inlineStr">
        <is>
          <t>中信建投</t>
        </is>
      </c>
      <c r="H1921" s="172" t="inlineStr">
        <is>
          <t>国泰海通/中信证券/光大证券</t>
        </is>
      </c>
      <c r="I1921" s="172" t="inlineStr">
        <is>
          <t>工银天津</t>
        </is>
      </c>
      <c r="J1921" s="172" t="n">
        <v>15</v>
      </c>
      <c r="K1921" s="172" t="inlineStr">
        <is>
          <t>9+24</t>
        </is>
      </c>
      <c r="L1921" s="202" t="n">
        <v>46198</v>
      </c>
      <c r="M1921" s="175" t="n">
        <v>0.0148</v>
      </c>
      <c r="N1921" s="176" t="n">
        <v>0.0199</v>
      </c>
      <c r="O1921" s="191" t="n">
        <v>1.73</v>
      </c>
      <c r="P1921" s="172" t="inlineStr">
        <is>
          <t>优先A</t>
        </is>
      </c>
      <c r="Q1921" s="175" t="n">
        <v>0.83</v>
      </c>
      <c r="R1921" s="192">
        <f>Q1257*J1257</f>
        <v/>
      </c>
      <c r="S1921" s="172" t="inlineStr">
        <is>
          <t>AAA</t>
        </is>
      </c>
      <c r="T1921" s="175" t="n">
        <v>0.0168</v>
      </c>
      <c r="U1921" s="172" t="inlineStr">
        <is>
          <t>建信信托</t>
        </is>
      </c>
      <c r="V1921" s="191" t="n">
        <v>1</v>
      </c>
      <c r="W1921" s="175" t="n">
        <v>0.0165</v>
      </c>
      <c r="X1921" s="172" t="inlineStr">
        <is>
          <t>建信信托</t>
        </is>
      </c>
      <c r="Y1921" s="191" t="n">
        <v>1</v>
      </c>
    </row>
    <row r="1922">
      <c r="A1922" s="172" t="n">
        <v>103</v>
      </c>
      <c r="B1922" s="172" t="inlineStr">
        <is>
          <t>6月</t>
        </is>
      </c>
      <c r="C1922" s="172" t="inlineStr">
        <is>
          <t>企金</t>
        </is>
      </c>
      <c r="D1922" s="172" t="inlineStr">
        <is>
          <t>信托企业主贷</t>
        </is>
      </c>
      <c r="E1922" s="172" t="inlineStr">
        <is>
          <t>启赢3-3</t>
        </is>
      </c>
      <c r="F1922" s="172" t="inlineStr">
        <is>
          <t>银行间</t>
        </is>
      </c>
      <c r="G1922" s="172" t="inlineStr">
        <is>
          <t>中信建投</t>
        </is>
      </c>
      <c r="H1922" s="172" t="inlineStr">
        <is>
          <t>国泰海通/中信证券/光大证券</t>
        </is>
      </c>
      <c r="I1922" s="172" t="inlineStr">
        <is>
          <t>工银天津</t>
        </is>
      </c>
      <c r="J1922" s="172" t="n">
        <v>15</v>
      </c>
      <c r="K1922" s="172" t="inlineStr">
        <is>
          <t>9+24</t>
        </is>
      </c>
      <c r="L1922" s="202" t="n">
        <v>46198</v>
      </c>
      <c r="M1922" s="175" t="n">
        <v>0.0148</v>
      </c>
      <c r="N1922" s="176" t="n">
        <v>0.0199</v>
      </c>
      <c r="O1922" s="191" t="n">
        <v>1.73</v>
      </c>
      <c r="P1922" s="172" t="inlineStr">
        <is>
          <t>优先A</t>
        </is>
      </c>
      <c r="Q1922" s="175" t="n">
        <v>0.83</v>
      </c>
      <c r="R1922" s="192">
        <f>Q1257*J1257</f>
        <v/>
      </c>
      <c r="S1922" s="172" t="inlineStr">
        <is>
          <t>AAA</t>
        </is>
      </c>
      <c r="T1922" s="175" t="n">
        <v>0.0168</v>
      </c>
      <c r="U1922" s="172" t="inlineStr">
        <is>
          <t>沛轩投资</t>
        </is>
      </c>
      <c r="V1922" s="191" t="n">
        <v>0.52</v>
      </c>
      <c r="W1922" s="175" t="n">
        <v>0.0165</v>
      </c>
      <c r="X1922" s="172" t="inlineStr">
        <is>
          <t>沛轩投资</t>
        </is>
      </c>
      <c r="Y1922" s="191" t="n">
        <v>0.52</v>
      </c>
    </row>
    <row r="1923">
      <c r="A1923" s="172" t="n">
        <v>103</v>
      </c>
      <c r="B1923" s="172" t="inlineStr">
        <is>
          <t>6月</t>
        </is>
      </c>
      <c r="C1923" s="172" t="inlineStr">
        <is>
          <t>企金</t>
        </is>
      </c>
      <c r="D1923" s="172" t="inlineStr">
        <is>
          <t>信托企业主贷</t>
        </is>
      </c>
      <c r="E1923" s="172" t="inlineStr">
        <is>
          <t>启赢3-3</t>
        </is>
      </c>
      <c r="F1923" s="172" t="inlineStr">
        <is>
          <t>银行间</t>
        </is>
      </c>
      <c r="G1923" s="172" t="inlineStr">
        <is>
          <t>中信建投</t>
        </is>
      </c>
      <c r="H1923" s="172" t="inlineStr">
        <is>
          <t>国泰海通/中信证券/光大证券</t>
        </is>
      </c>
      <c r="I1923" s="172" t="inlineStr">
        <is>
          <t>工银天津</t>
        </is>
      </c>
      <c r="J1923" s="172" t="n">
        <v>15</v>
      </c>
      <c r="K1923" s="172" t="inlineStr">
        <is>
          <t>9+24</t>
        </is>
      </c>
      <c r="L1923" s="202" t="n">
        <v>46198</v>
      </c>
      <c r="M1923" s="175" t="n">
        <v>0.0148</v>
      </c>
      <c r="N1923" s="176" t="n">
        <v>0.0199</v>
      </c>
      <c r="O1923" s="191" t="n">
        <v>1.73</v>
      </c>
      <c r="P1923" s="172" t="inlineStr">
        <is>
          <t>优先A</t>
        </is>
      </c>
      <c r="Q1923" s="175" t="n">
        <v>0.83</v>
      </c>
      <c r="R1923" s="192">
        <f>Q1257*J1257</f>
        <v/>
      </c>
      <c r="S1923" s="172" t="inlineStr">
        <is>
          <t>AAA</t>
        </is>
      </c>
      <c r="T1923" s="175" t="n">
        <v>0.0168</v>
      </c>
      <c r="U1923" s="172" t="inlineStr">
        <is>
          <t>中金自营</t>
        </is>
      </c>
      <c r="V1923" s="191" t="n">
        <v>0.4</v>
      </c>
      <c r="W1923" s="175" t="n">
        <v>0.0168</v>
      </c>
      <c r="X1923" s="172" t="inlineStr">
        <is>
          <t>中金自营</t>
        </is>
      </c>
      <c r="Y1923" s="191" t="n">
        <v>0.4</v>
      </c>
    </row>
    <row r="1924">
      <c r="A1924" s="172" t="n">
        <v>103</v>
      </c>
      <c r="B1924" s="172" t="inlineStr">
        <is>
          <t>6月</t>
        </is>
      </c>
      <c r="C1924" s="172" t="inlineStr">
        <is>
          <t>企金</t>
        </is>
      </c>
      <c r="D1924" s="172" t="inlineStr">
        <is>
          <t>信托企业主贷</t>
        </is>
      </c>
      <c r="E1924" s="172" t="inlineStr">
        <is>
          <t>启赢3-3</t>
        </is>
      </c>
      <c r="F1924" s="172" t="inlineStr">
        <is>
          <t>银行间</t>
        </is>
      </c>
      <c r="G1924" s="172" t="inlineStr">
        <is>
          <t>中信建投</t>
        </is>
      </c>
      <c r="H1924" s="172" t="inlineStr">
        <is>
          <t>国泰海通/中信证券/光大证券</t>
        </is>
      </c>
      <c r="I1924" s="172" t="inlineStr">
        <is>
          <t>工银天津</t>
        </is>
      </c>
      <c r="J1924" s="172" t="n">
        <v>15</v>
      </c>
      <c r="K1924" s="172" t="inlineStr">
        <is>
          <t>9+24</t>
        </is>
      </c>
      <c r="L1924" s="200" t="n">
        <v>46198</v>
      </c>
      <c r="M1924" s="175" t="n">
        <v>0.0148</v>
      </c>
      <c r="N1924" s="176" t="n">
        <v>0.0199</v>
      </c>
      <c r="O1924" s="172" t="n">
        <v>1.73</v>
      </c>
      <c r="P1924" s="172" t="inlineStr">
        <is>
          <t>优先A</t>
        </is>
      </c>
      <c r="Q1924" s="175" t="n">
        <v>0.83</v>
      </c>
      <c r="R1924" s="172">
        <f>Q1257*J1257</f>
        <v/>
      </c>
      <c r="S1924" s="172" t="inlineStr">
        <is>
          <t>AAA</t>
        </is>
      </c>
      <c r="T1924" s="175" t="n">
        <v>0.0168</v>
      </c>
      <c r="U1924" s="172" t="n"/>
      <c r="V1924" s="172" t="n"/>
      <c r="W1924" s="175" t="n">
        <v>0.017</v>
      </c>
      <c r="X1924" s="172" t="inlineStr">
        <is>
          <t>中金自营</t>
        </is>
      </c>
      <c r="Y1924" s="191" t="n">
        <v>0.4</v>
      </c>
    </row>
    <row r="1925">
      <c r="A1925" s="172" t="n">
        <v>103</v>
      </c>
      <c r="B1925" s="172" t="inlineStr">
        <is>
          <t>6月</t>
        </is>
      </c>
      <c r="C1925" s="172" t="inlineStr">
        <is>
          <t>企金</t>
        </is>
      </c>
      <c r="D1925" s="172" t="inlineStr">
        <is>
          <t>信托企业主贷</t>
        </is>
      </c>
      <c r="E1925" s="172" t="inlineStr">
        <is>
          <t>启赢3-3</t>
        </is>
      </c>
      <c r="F1925" s="172" t="inlineStr">
        <is>
          <t>银行间</t>
        </is>
      </c>
      <c r="G1925" s="172" t="inlineStr">
        <is>
          <t>中信建投</t>
        </is>
      </c>
      <c r="H1925" s="172" t="inlineStr">
        <is>
          <t>国泰海通/中信证券/光大证券</t>
        </is>
      </c>
      <c r="I1925" s="172" t="inlineStr">
        <is>
          <t>工银天津</t>
        </is>
      </c>
      <c r="J1925" s="172" t="n">
        <v>15</v>
      </c>
      <c r="K1925" s="172" t="inlineStr">
        <is>
          <t>9+24</t>
        </is>
      </c>
      <c r="L1925" s="200" t="n">
        <v>46198</v>
      </c>
      <c r="M1925" s="175" t="n">
        <v>0.0148</v>
      </c>
      <c r="N1925" s="176" t="n">
        <v>0.0199</v>
      </c>
      <c r="O1925" s="172" t="n">
        <v>1.73</v>
      </c>
      <c r="P1925" s="172" t="inlineStr">
        <is>
          <t>优先A</t>
        </is>
      </c>
      <c r="Q1925" s="175" t="n">
        <v>0.83</v>
      </c>
      <c r="R1925" s="172">
        <f>Q1257*J1257</f>
        <v/>
      </c>
      <c r="S1925" s="172" t="inlineStr">
        <is>
          <t>AAA</t>
        </is>
      </c>
      <c r="T1925" s="175" t="n">
        <v>0.0168</v>
      </c>
      <c r="U1925" s="172" t="n"/>
      <c r="V1925" s="172" t="n"/>
      <c r="W1925" s="175" t="n">
        <v>0.017</v>
      </c>
      <c r="X1925" s="172" t="inlineStr">
        <is>
          <t>建投衍生品投顾</t>
        </is>
      </c>
      <c r="Y1925" s="191" t="n">
        <v>1</v>
      </c>
    </row>
    <row r="1926">
      <c r="A1926" s="172" t="n">
        <v>103</v>
      </c>
      <c r="B1926" s="172" t="inlineStr">
        <is>
          <t>6月</t>
        </is>
      </c>
      <c r="C1926" s="172" t="inlineStr">
        <is>
          <t>企金</t>
        </is>
      </c>
      <c r="D1926" s="172" t="inlineStr">
        <is>
          <t>信托企业主贷</t>
        </is>
      </c>
      <c r="E1926" s="172" t="inlineStr">
        <is>
          <t>启赢3-3</t>
        </is>
      </c>
      <c r="F1926" s="172" t="inlineStr">
        <is>
          <t>银行间</t>
        </is>
      </c>
      <c r="G1926" s="172" t="inlineStr">
        <is>
          <t>中信建投</t>
        </is>
      </c>
      <c r="H1926" s="172" t="inlineStr">
        <is>
          <t>国泰海通/中信证券/光大证券</t>
        </is>
      </c>
      <c r="I1926" s="172" t="inlineStr">
        <is>
          <t>工银天津</t>
        </is>
      </c>
      <c r="J1926" s="172" t="n">
        <v>15</v>
      </c>
      <c r="K1926" s="172" t="inlineStr">
        <is>
          <t>9+24</t>
        </is>
      </c>
      <c r="L1926" s="200" t="n">
        <v>46198</v>
      </c>
      <c r="M1926" s="175" t="n">
        <v>0.0148</v>
      </c>
      <c r="N1926" s="176" t="n">
        <v>0.0199</v>
      </c>
      <c r="O1926" s="172" t="n">
        <v>1.73</v>
      </c>
      <c r="P1926" s="172" t="inlineStr">
        <is>
          <t>优先A</t>
        </is>
      </c>
      <c r="Q1926" s="175" t="n">
        <v>0.83</v>
      </c>
      <c r="R1926" s="172">
        <f>Q1257*J1257</f>
        <v/>
      </c>
      <c r="S1926" s="172" t="inlineStr">
        <is>
          <t>AAA</t>
        </is>
      </c>
      <c r="T1926" s="175" t="n">
        <v>0.0168</v>
      </c>
      <c r="U1926" s="172" t="n"/>
      <c r="V1926" s="172" t="n"/>
      <c r="W1926" s="175" t="n">
        <v>0.02</v>
      </c>
      <c r="X1926" s="172" t="inlineStr">
        <is>
          <t>信达证券</t>
        </is>
      </c>
      <c r="Y1926" s="191" t="n">
        <v>0.8</v>
      </c>
    </row>
    <row r="1927">
      <c r="A1927" s="172" t="n">
        <v>103</v>
      </c>
      <c r="B1927" s="172" t="inlineStr">
        <is>
          <t>6月</t>
        </is>
      </c>
      <c r="C1927" s="172" t="inlineStr">
        <is>
          <t>企金</t>
        </is>
      </c>
      <c r="D1927" s="172" t="inlineStr">
        <is>
          <t>信托企业主贷</t>
        </is>
      </c>
      <c r="E1927" s="172" t="inlineStr">
        <is>
          <t>启赢3-3</t>
        </is>
      </c>
      <c r="F1927" s="172" t="inlineStr">
        <is>
          <t>银行间</t>
        </is>
      </c>
      <c r="G1927" s="172" t="inlineStr">
        <is>
          <t>中信建投</t>
        </is>
      </c>
      <c r="H1927" s="172" t="inlineStr">
        <is>
          <t>国泰海通/中信证券/光大证券</t>
        </is>
      </c>
      <c r="I1927" s="172" t="inlineStr">
        <is>
          <t>工银天津</t>
        </is>
      </c>
      <c r="J1927" s="172" t="n">
        <v>15</v>
      </c>
      <c r="K1927" s="172" t="inlineStr">
        <is>
          <t>9+24</t>
        </is>
      </c>
      <c r="L1927" s="200" t="n">
        <v>46198</v>
      </c>
      <c r="M1927" s="175" t="n">
        <v>0.0148</v>
      </c>
      <c r="N1927" s="176" t="n">
        <v>0.0199</v>
      </c>
      <c r="O1927" s="172" t="n">
        <v>1.73</v>
      </c>
      <c r="P1927" s="172" t="inlineStr">
        <is>
          <t>优先A</t>
        </is>
      </c>
      <c r="Q1927" s="175" t="n">
        <v>0.83</v>
      </c>
      <c r="R1927" s="172">
        <f>Q1257*J1257</f>
        <v/>
      </c>
      <c r="S1927" s="172" t="inlineStr">
        <is>
          <t>AAA</t>
        </is>
      </c>
      <c r="T1927" s="175" t="n">
        <v>0.0168</v>
      </c>
      <c r="U1927" s="172" t="n"/>
      <c r="V1927" s="172" t="n"/>
      <c r="W1927" s="175" t="n">
        <v>0.024</v>
      </c>
      <c r="X1927" s="172" t="inlineStr">
        <is>
          <t>建投机构部</t>
        </is>
      </c>
      <c r="Y1927" s="191" t="n">
        <v>0.5</v>
      </c>
    </row>
    <row r="1928">
      <c r="A1928" s="172" t="n">
        <v>103</v>
      </c>
      <c r="B1928" s="172" t="inlineStr">
        <is>
          <t>6月</t>
        </is>
      </c>
      <c r="C1928" s="172" t="inlineStr">
        <is>
          <t>企金</t>
        </is>
      </c>
      <c r="D1928" s="172" t="inlineStr">
        <is>
          <t>信托企业主贷</t>
        </is>
      </c>
      <c r="E1928" s="172" t="inlineStr">
        <is>
          <t>启赢3-3</t>
        </is>
      </c>
      <c r="F1928" s="172" t="inlineStr">
        <is>
          <t>银行间</t>
        </is>
      </c>
      <c r="G1928" s="172" t="inlineStr">
        <is>
          <t>中信建投</t>
        </is>
      </c>
      <c r="H1928" s="172" t="inlineStr">
        <is>
          <t>国泰海通/中信证券/光大证券</t>
        </is>
      </c>
      <c r="I1928" s="172" t="inlineStr">
        <is>
          <t>工银天津</t>
        </is>
      </c>
      <c r="J1928" s="172" t="n">
        <v>15</v>
      </c>
      <c r="K1928" s="172" t="inlineStr">
        <is>
          <t>9+24</t>
        </is>
      </c>
      <c r="L1928" s="200" t="n">
        <v>46198</v>
      </c>
      <c r="M1928" s="175" t="n">
        <v>0.0148</v>
      </c>
      <c r="N1928" s="176" t="n">
        <v>0.0199</v>
      </c>
      <c r="O1928" s="172" t="n">
        <v>1.73</v>
      </c>
      <c r="P1928" s="172" t="inlineStr">
        <is>
          <t>优先A</t>
        </is>
      </c>
      <c r="Q1928" s="175" t="n">
        <v>0.83</v>
      </c>
      <c r="R1928" s="172">
        <f>Q1257*J1257</f>
        <v/>
      </c>
      <c r="S1928" s="172" t="inlineStr">
        <is>
          <t>AAA</t>
        </is>
      </c>
      <c r="T1928" s="175" t="n">
        <v>0.0168</v>
      </c>
      <c r="U1928" s="172" t="n"/>
      <c r="V1928" s="172" t="n"/>
      <c r="W1928" s="175" t="n">
        <v>0.024</v>
      </c>
      <c r="X1928" s="172" t="inlineStr">
        <is>
          <t>建投衍生品自营</t>
        </is>
      </c>
      <c r="Y1928" s="191" t="n">
        <v>1.8</v>
      </c>
    </row>
    <row r="1929">
      <c r="A1929" s="172" t="n">
        <v>103</v>
      </c>
      <c r="B1929" s="172" t="inlineStr">
        <is>
          <t>6月</t>
        </is>
      </c>
      <c r="C1929" s="172" t="inlineStr">
        <is>
          <t>企金</t>
        </is>
      </c>
      <c r="D1929" s="172" t="inlineStr">
        <is>
          <t>信托企业主贷</t>
        </is>
      </c>
      <c r="E1929" s="172" t="inlineStr">
        <is>
          <t>启赢3-3</t>
        </is>
      </c>
      <c r="F1929" s="172" t="inlineStr">
        <is>
          <t>银行间</t>
        </is>
      </c>
      <c r="G1929" s="172" t="inlineStr">
        <is>
          <t>中信建投</t>
        </is>
      </c>
      <c r="H1929" s="172" t="inlineStr">
        <is>
          <t>国泰海通/中信证券/光大证券</t>
        </is>
      </c>
      <c r="I1929" s="172" t="inlineStr">
        <is>
          <t>工银天津</t>
        </is>
      </c>
      <c r="J1929" s="172" t="n">
        <v>15</v>
      </c>
      <c r="K1929" s="172" t="inlineStr">
        <is>
          <t>9+24</t>
        </is>
      </c>
      <c r="L1929" s="200" t="n">
        <v>46198</v>
      </c>
      <c r="M1929" s="175" t="n">
        <v>0.0148</v>
      </c>
      <c r="N1929" s="176" t="n">
        <v>0.0199</v>
      </c>
      <c r="O1929" s="172" t="n">
        <v>1.73</v>
      </c>
      <c r="P1929" s="172" t="inlineStr">
        <is>
          <t>优先A</t>
        </is>
      </c>
      <c r="Q1929" s="175" t="n">
        <v>0.83</v>
      </c>
      <c r="R1929" s="172">
        <f>Q1257*J1257</f>
        <v/>
      </c>
      <c r="S1929" s="172" t="inlineStr">
        <is>
          <t>AAA</t>
        </is>
      </c>
      <c r="T1929" s="175" t="n">
        <v>0.0168</v>
      </c>
      <c r="U1929" s="172" t="n"/>
      <c r="V1929" s="172" t="n"/>
      <c r="W1929" s="175" t="n">
        <v>0.024</v>
      </c>
      <c r="X1929" s="172" t="inlineStr">
        <is>
          <t>华宝资管</t>
        </is>
      </c>
      <c r="Y1929" s="191" t="n">
        <v>1</v>
      </c>
    </row>
    <row r="1930">
      <c r="A1930" s="172" t="n">
        <v>103</v>
      </c>
      <c r="B1930" s="172" t="inlineStr">
        <is>
          <t>6月</t>
        </is>
      </c>
      <c r="C1930" s="172" t="inlineStr">
        <is>
          <t>企金</t>
        </is>
      </c>
      <c r="D1930" s="172" t="inlineStr">
        <is>
          <t>信托企业主贷</t>
        </is>
      </c>
      <c r="E1930" s="172" t="inlineStr">
        <is>
          <t>启赢3-3</t>
        </is>
      </c>
      <c r="F1930" s="172" t="inlineStr">
        <is>
          <t>银行间</t>
        </is>
      </c>
      <c r="G1930" s="172" t="inlineStr">
        <is>
          <t>中信建投</t>
        </is>
      </c>
      <c r="H1930" s="172" t="inlineStr">
        <is>
          <t>国泰海通/中信证券/光大证券</t>
        </is>
      </c>
      <c r="I1930" s="172" t="inlineStr">
        <is>
          <t>工银天津</t>
        </is>
      </c>
      <c r="J1930" s="172" t="n">
        <v>15</v>
      </c>
      <c r="K1930" s="172" t="inlineStr">
        <is>
          <t>9+24</t>
        </is>
      </c>
      <c r="L1930" s="202" t="n">
        <v>46198</v>
      </c>
      <c r="M1930" s="175" t="n">
        <v>0.0148</v>
      </c>
      <c r="N1930" s="176" t="n">
        <v>0.0199</v>
      </c>
      <c r="O1930" s="191" t="n">
        <v>1.73</v>
      </c>
      <c r="P1930" s="172" t="inlineStr">
        <is>
          <t>优先B</t>
        </is>
      </c>
      <c r="Q1930" s="175" t="n">
        <v>0.05</v>
      </c>
      <c r="R1930" s="192">
        <f>J1257*Q1265</f>
        <v/>
      </c>
      <c r="S1930" s="175" t="inlineStr">
        <is>
          <t>AA+</t>
        </is>
      </c>
      <c r="T1930" s="175" t="n">
        <v>0.018</v>
      </c>
      <c r="U1930" s="172" t="inlineStr">
        <is>
          <t>建信信托</t>
        </is>
      </c>
      <c r="V1930" s="191" t="n">
        <v>0.3</v>
      </c>
      <c r="W1930" s="175" t="n">
        <v>0.018</v>
      </c>
      <c r="X1930" s="172" t="inlineStr">
        <is>
          <t>建信信托</t>
        </is>
      </c>
      <c r="Y1930" s="191" t="n">
        <v>0.3</v>
      </c>
    </row>
    <row r="1931">
      <c r="A1931" s="172" t="n">
        <v>103</v>
      </c>
      <c r="B1931" s="172" t="inlineStr">
        <is>
          <t>6月</t>
        </is>
      </c>
      <c r="C1931" s="172" t="inlineStr">
        <is>
          <t>企金</t>
        </is>
      </c>
      <c r="D1931" s="172" t="inlineStr">
        <is>
          <t>信托企业主贷</t>
        </is>
      </c>
      <c r="E1931" s="172" t="inlineStr">
        <is>
          <t>启赢3-3</t>
        </is>
      </c>
      <c r="F1931" s="172" t="inlineStr">
        <is>
          <t>银行间</t>
        </is>
      </c>
      <c r="G1931" s="172" t="inlineStr">
        <is>
          <t>中信建投</t>
        </is>
      </c>
      <c r="H1931" s="172" t="inlineStr">
        <is>
          <t>国泰海通/中信证券/光大证券</t>
        </is>
      </c>
      <c r="I1931" s="172" t="inlineStr">
        <is>
          <t>工银天津</t>
        </is>
      </c>
      <c r="J1931" s="172" t="n">
        <v>15</v>
      </c>
      <c r="K1931" s="172" t="inlineStr">
        <is>
          <t>9+24</t>
        </is>
      </c>
      <c r="L1931" s="202" t="n">
        <v>46198</v>
      </c>
      <c r="M1931" s="175" t="n">
        <v>0.0148</v>
      </c>
      <c r="N1931" s="176" t="n">
        <v>0.0199</v>
      </c>
      <c r="O1931" s="191" t="n">
        <v>1.73</v>
      </c>
      <c r="P1931" s="172" t="inlineStr">
        <is>
          <t>优先B</t>
        </is>
      </c>
      <c r="Q1931" s="175" t="n">
        <v>0.05</v>
      </c>
      <c r="R1931" s="192">
        <f>J1257*Q1265</f>
        <v/>
      </c>
      <c r="S1931" s="175" t="inlineStr">
        <is>
          <t>AA+</t>
        </is>
      </c>
      <c r="T1931" s="175" t="n">
        <v>0.018</v>
      </c>
      <c r="U1931" s="172" t="inlineStr">
        <is>
          <t>交银理财</t>
        </is>
      </c>
      <c r="V1931" s="191" t="n">
        <v>0.22</v>
      </c>
      <c r="W1931" s="175" t="n">
        <v>0.017</v>
      </c>
      <c r="X1931" s="172" t="inlineStr">
        <is>
          <t>交银理财</t>
        </is>
      </c>
      <c r="Y1931" s="191" t="n">
        <v>0.22</v>
      </c>
    </row>
    <row r="1932">
      <c r="A1932" s="172" t="n">
        <v>103</v>
      </c>
      <c r="B1932" s="172" t="inlineStr">
        <is>
          <t>6月</t>
        </is>
      </c>
      <c r="C1932" s="172" t="inlineStr">
        <is>
          <t>企金</t>
        </is>
      </c>
      <c r="D1932" s="172" t="inlineStr">
        <is>
          <t>信托企业主贷</t>
        </is>
      </c>
      <c r="E1932" s="172" t="inlineStr">
        <is>
          <t>启赢3-3</t>
        </is>
      </c>
      <c r="F1932" s="172" t="inlineStr">
        <is>
          <t>银行间</t>
        </is>
      </c>
      <c r="G1932" s="172" t="inlineStr">
        <is>
          <t>中信建投</t>
        </is>
      </c>
      <c r="H1932" s="172" t="inlineStr">
        <is>
          <t>国泰海通/中信证券/光大证券</t>
        </is>
      </c>
      <c r="I1932" s="172" t="inlineStr">
        <is>
          <t>工银天津</t>
        </is>
      </c>
      <c r="J1932" s="172" t="n">
        <v>15</v>
      </c>
      <c r="K1932" s="172" t="inlineStr">
        <is>
          <t>9+24</t>
        </is>
      </c>
      <c r="L1932" s="202" t="n">
        <v>46198</v>
      </c>
      <c r="M1932" s="175" t="n">
        <v>0.0148</v>
      </c>
      <c r="N1932" s="176" t="n">
        <v>0.0199</v>
      </c>
      <c r="O1932" s="191" t="n">
        <v>1.73</v>
      </c>
      <c r="P1932" s="172" t="inlineStr">
        <is>
          <t>优先B</t>
        </is>
      </c>
      <c r="Q1932" s="175" t="n">
        <v>0.05</v>
      </c>
      <c r="R1932" s="192">
        <f>J1257*Q1265</f>
        <v/>
      </c>
      <c r="S1932" s="175" t="inlineStr">
        <is>
          <t>AA+</t>
        </is>
      </c>
      <c r="T1932" s="175" t="n">
        <v>0.018</v>
      </c>
      <c r="U1932" s="172" t="inlineStr">
        <is>
          <t>中信证券资管</t>
        </is>
      </c>
      <c r="V1932" s="191" t="n">
        <v>0.18</v>
      </c>
      <c r="W1932" s="175" t="n">
        <v>0.0174</v>
      </c>
      <c r="X1932" s="172" t="inlineStr">
        <is>
          <t>中信证券资管</t>
        </is>
      </c>
      <c r="Y1932" s="191" t="n">
        <v>0.18</v>
      </c>
    </row>
    <row r="1933">
      <c r="A1933" s="172" t="n">
        <v>103</v>
      </c>
      <c r="B1933" s="172" t="inlineStr">
        <is>
          <t>6月</t>
        </is>
      </c>
      <c r="C1933" s="172" t="inlineStr">
        <is>
          <t>企金</t>
        </is>
      </c>
      <c r="D1933" s="172" t="inlineStr">
        <is>
          <t>信托企业主贷</t>
        </is>
      </c>
      <c r="E1933" s="172" t="inlineStr">
        <is>
          <t>启赢3-3</t>
        </is>
      </c>
      <c r="F1933" s="172" t="inlineStr">
        <is>
          <t>银行间</t>
        </is>
      </c>
      <c r="G1933" s="172" t="inlineStr">
        <is>
          <t>中信建投</t>
        </is>
      </c>
      <c r="H1933" s="172" t="inlineStr">
        <is>
          <t>国泰海通/中信证券/光大证券</t>
        </is>
      </c>
      <c r="I1933" s="172" t="inlineStr">
        <is>
          <t>工银天津</t>
        </is>
      </c>
      <c r="J1933" s="172" t="n">
        <v>15</v>
      </c>
      <c r="K1933" s="172" t="inlineStr">
        <is>
          <t>9+24</t>
        </is>
      </c>
      <c r="L1933" s="200" t="n">
        <v>46198</v>
      </c>
      <c r="M1933" s="175" t="n">
        <v>0.0148</v>
      </c>
      <c r="N1933" s="176" t="n">
        <v>0.0199</v>
      </c>
      <c r="O1933" s="172" t="n">
        <v>1.73</v>
      </c>
      <c r="P1933" s="172" t="inlineStr">
        <is>
          <t>优先B</t>
        </is>
      </c>
      <c r="Q1933" s="175" t="n">
        <v>0.05</v>
      </c>
      <c r="R1933" s="172">
        <f>J1257*Q1265</f>
        <v/>
      </c>
      <c r="S1933" s="172" t="inlineStr">
        <is>
          <t>AA+</t>
        </is>
      </c>
      <c r="T1933" s="175" t="n">
        <v>0.018</v>
      </c>
      <c r="U1933" s="172" t="n"/>
      <c r="V1933" s="172" t="n"/>
      <c r="W1933" s="175" t="n">
        <v>0.02</v>
      </c>
      <c r="X1933" s="172" t="inlineStr">
        <is>
          <t>中信证券资管</t>
        </is>
      </c>
      <c r="Y1933" s="191" t="n">
        <v>0.1</v>
      </c>
    </row>
    <row r="1934">
      <c r="A1934" s="172" t="n">
        <v>103</v>
      </c>
      <c r="B1934" s="172" t="inlineStr">
        <is>
          <t>6月</t>
        </is>
      </c>
      <c r="C1934" s="172" t="inlineStr">
        <is>
          <t>企金</t>
        </is>
      </c>
      <c r="D1934" s="172" t="inlineStr">
        <is>
          <t>信托企业主贷</t>
        </is>
      </c>
      <c r="E1934" s="172" t="inlineStr">
        <is>
          <t>启赢3-3</t>
        </is>
      </c>
      <c r="F1934" s="172" t="inlineStr">
        <is>
          <t>银行间</t>
        </is>
      </c>
      <c r="G1934" s="172" t="inlineStr">
        <is>
          <t>中信建投</t>
        </is>
      </c>
      <c r="H1934" s="172" t="inlineStr">
        <is>
          <t>国泰海通/中信证券/光大证券</t>
        </is>
      </c>
      <c r="I1934" s="172" t="inlineStr">
        <is>
          <t>工银天津</t>
        </is>
      </c>
      <c r="J1934" s="172" t="n">
        <v>15</v>
      </c>
      <c r="K1934" s="172" t="inlineStr">
        <is>
          <t>9+24</t>
        </is>
      </c>
      <c r="L1934" s="202" t="n">
        <v>46198</v>
      </c>
      <c r="M1934" s="175" t="n">
        <v>0.0148</v>
      </c>
      <c r="N1934" s="176" t="n">
        <v>0.0199</v>
      </c>
      <c r="O1934" s="191" t="n">
        <v>1.73</v>
      </c>
      <c r="P1934" s="172" t="inlineStr">
        <is>
          <t>优先B</t>
        </is>
      </c>
      <c r="Q1934" s="175" t="n">
        <v>0.05</v>
      </c>
      <c r="R1934" s="192">
        <f>J1257*Q1265</f>
        <v/>
      </c>
      <c r="S1934" s="175" t="inlineStr">
        <is>
          <t>AA+</t>
        </is>
      </c>
      <c r="T1934" s="175" t="n">
        <v>0.018</v>
      </c>
      <c r="U1934" s="172" t="inlineStr">
        <is>
          <t>中信建投投行</t>
        </is>
      </c>
      <c r="V1934" s="191" t="n">
        <v>0.05</v>
      </c>
      <c r="W1934" s="175" t="n">
        <v>0.018</v>
      </c>
      <c r="X1934" s="172" t="inlineStr">
        <is>
          <t>中信建投</t>
        </is>
      </c>
      <c r="Y1934" s="191" t="n">
        <v>0.05</v>
      </c>
    </row>
    <row r="1935">
      <c r="A1935" s="172" t="n">
        <v>103</v>
      </c>
      <c r="B1935" s="172" t="inlineStr">
        <is>
          <t>6月</t>
        </is>
      </c>
      <c r="C1935" s="172" t="inlineStr">
        <is>
          <t>企金</t>
        </is>
      </c>
      <c r="D1935" s="172" t="inlineStr">
        <is>
          <t>信托企业主贷</t>
        </is>
      </c>
      <c r="E1935" s="172" t="inlineStr">
        <is>
          <t>启赢3-3</t>
        </is>
      </c>
      <c r="F1935" s="172" t="inlineStr">
        <is>
          <t>银行间</t>
        </is>
      </c>
      <c r="G1935" s="172" t="inlineStr">
        <is>
          <t>中信建投</t>
        </is>
      </c>
      <c r="H1935" s="172" t="inlineStr">
        <is>
          <t>国泰海通/中信证券/光大证券</t>
        </is>
      </c>
      <c r="I1935" s="172" t="inlineStr">
        <is>
          <t>工银天津</t>
        </is>
      </c>
      <c r="J1935" s="172" t="n">
        <v>15</v>
      </c>
      <c r="K1935" s="172" t="inlineStr">
        <is>
          <t>9+24</t>
        </is>
      </c>
      <c r="L1935" s="200" t="n">
        <v>46198</v>
      </c>
      <c r="M1935" s="175" t="n">
        <v>0.0148</v>
      </c>
      <c r="N1935" s="176" t="n">
        <v>0.0199</v>
      </c>
      <c r="O1935" s="172" t="n">
        <v>1.73</v>
      </c>
      <c r="P1935" s="172" t="inlineStr">
        <is>
          <t>优先B</t>
        </is>
      </c>
      <c r="Q1935" s="175" t="n">
        <v>0.05</v>
      </c>
      <c r="R1935" s="172">
        <f>J1257*Q1265</f>
        <v/>
      </c>
      <c r="S1935" s="172" t="inlineStr">
        <is>
          <t>AA+</t>
        </is>
      </c>
      <c r="T1935" s="175" t="n">
        <v>0.018</v>
      </c>
      <c r="U1935" s="172" t="n"/>
      <c r="V1935" s="172" t="n"/>
      <c r="W1935" s="175" t="n">
        <v>0.019</v>
      </c>
      <c r="X1935" s="172" t="inlineStr">
        <is>
          <t>中金自营</t>
        </is>
      </c>
      <c r="Y1935" s="191" t="n">
        <v>0.3</v>
      </c>
    </row>
    <row r="1936">
      <c r="A1936" s="172" t="n">
        <v>103</v>
      </c>
      <c r="B1936" s="172" t="inlineStr">
        <is>
          <t>6月</t>
        </is>
      </c>
      <c r="C1936" s="172" t="inlineStr">
        <is>
          <t>企金</t>
        </is>
      </c>
      <c r="D1936" s="172" t="inlineStr">
        <is>
          <t>信托企业主贷</t>
        </is>
      </c>
      <c r="E1936" s="172" t="inlineStr">
        <is>
          <t>启赢3-3</t>
        </is>
      </c>
      <c r="F1936" s="172" t="inlineStr">
        <is>
          <t>银行间</t>
        </is>
      </c>
      <c r="G1936" s="172" t="inlineStr">
        <is>
          <t>中信建投</t>
        </is>
      </c>
      <c r="H1936" s="172" t="inlineStr">
        <is>
          <t>国泰海通/中信证券/光大证券</t>
        </is>
      </c>
      <c r="I1936" s="172" t="inlineStr">
        <is>
          <t>工银天津</t>
        </is>
      </c>
      <c r="J1936" s="172" t="n">
        <v>15</v>
      </c>
      <c r="K1936" s="172" t="inlineStr">
        <is>
          <t>9+24</t>
        </is>
      </c>
      <c r="L1936" s="202" t="n">
        <v>46198</v>
      </c>
      <c r="M1936" s="175" t="n">
        <v>0.0148</v>
      </c>
      <c r="N1936" s="176" t="n">
        <v>0.0199</v>
      </c>
      <c r="O1936" s="191" t="n">
        <v>1.73</v>
      </c>
      <c r="P1936" s="172" t="inlineStr">
        <is>
          <t>中间级</t>
        </is>
      </c>
      <c r="Q1936" s="175" t="n">
        <v>0.07000000000000001</v>
      </c>
      <c r="R1936" s="192">
        <f>J1257*Q1269</f>
        <v/>
      </c>
      <c r="S1936" s="175" t="inlineStr">
        <is>
          <t>AA-</t>
        </is>
      </c>
      <c r="T1936" s="175" t="n">
        <v>0.031</v>
      </c>
      <c r="U1936" s="172" t="inlineStr">
        <is>
          <t>中金投顾</t>
        </is>
      </c>
      <c r="V1936" s="191" t="n">
        <v>0.35</v>
      </c>
      <c r="W1936" s="172" t="n"/>
      <c r="X1936" s="172" t="n"/>
      <c r="Y1936" s="172" t="n"/>
    </row>
    <row r="1937">
      <c r="A1937" s="172" t="n">
        <v>103</v>
      </c>
      <c r="B1937" s="172" t="inlineStr">
        <is>
          <t>6月</t>
        </is>
      </c>
      <c r="C1937" s="172" t="inlineStr">
        <is>
          <t>企金</t>
        </is>
      </c>
      <c r="D1937" s="172" t="inlineStr">
        <is>
          <t>信托企业主贷</t>
        </is>
      </c>
      <c r="E1937" s="172" t="inlineStr">
        <is>
          <t>启赢3-3</t>
        </is>
      </c>
      <c r="F1937" s="172" t="inlineStr">
        <is>
          <t>银行间</t>
        </is>
      </c>
      <c r="G1937" s="172" t="inlineStr">
        <is>
          <t>中信建投</t>
        </is>
      </c>
      <c r="H1937" s="172" t="inlineStr">
        <is>
          <t>国泰海通/中信证券/光大证券</t>
        </is>
      </c>
      <c r="I1937" s="172" t="inlineStr">
        <is>
          <t>工银天津</t>
        </is>
      </c>
      <c r="J1937" s="172" t="n">
        <v>15</v>
      </c>
      <c r="K1937" s="172" t="inlineStr">
        <is>
          <t>9+24</t>
        </is>
      </c>
      <c r="L1937" s="202" t="n">
        <v>46198</v>
      </c>
      <c r="M1937" s="175" t="n">
        <v>0.0148</v>
      </c>
      <c r="N1937" s="176" t="n">
        <v>0.0199</v>
      </c>
      <c r="O1937" s="191" t="n">
        <v>1.73</v>
      </c>
      <c r="P1937" s="172" t="inlineStr">
        <is>
          <t>中间级</t>
        </is>
      </c>
      <c r="Q1937" s="175" t="n">
        <v>0.07000000000000001</v>
      </c>
      <c r="R1937" s="192">
        <f>J1257*Q1269</f>
        <v/>
      </c>
      <c r="S1937" s="175" t="inlineStr">
        <is>
          <t>AA-</t>
        </is>
      </c>
      <c r="T1937" s="175" t="n">
        <v>0.031</v>
      </c>
      <c r="U1937" s="172" t="inlineStr">
        <is>
          <t>建信信托</t>
        </is>
      </c>
      <c r="V1937" s="191" t="n">
        <v>0.3</v>
      </c>
      <c r="W1937" s="172" t="n"/>
      <c r="X1937" s="172" t="n"/>
      <c r="Y1937" s="172" t="n"/>
    </row>
    <row r="1938">
      <c r="A1938" s="172" t="n">
        <v>103</v>
      </c>
      <c r="B1938" s="172" t="inlineStr">
        <is>
          <t>6月</t>
        </is>
      </c>
      <c r="C1938" s="172" t="inlineStr">
        <is>
          <t>企金</t>
        </is>
      </c>
      <c r="D1938" s="172" t="inlineStr">
        <is>
          <t>信托企业主贷</t>
        </is>
      </c>
      <c r="E1938" s="172" t="inlineStr">
        <is>
          <t>启赢3-3</t>
        </is>
      </c>
      <c r="F1938" s="172" t="inlineStr">
        <is>
          <t>银行间</t>
        </is>
      </c>
      <c r="G1938" s="172" t="inlineStr">
        <is>
          <t>中信建投</t>
        </is>
      </c>
      <c r="H1938" s="172" t="inlineStr">
        <is>
          <t>国泰海通/中信证券/光大证券</t>
        </is>
      </c>
      <c r="I1938" s="172" t="inlineStr">
        <is>
          <t>工银天津</t>
        </is>
      </c>
      <c r="J1938" s="172" t="n">
        <v>15</v>
      </c>
      <c r="K1938" s="172" t="inlineStr">
        <is>
          <t>9+24</t>
        </is>
      </c>
      <c r="L1938" s="202" t="n">
        <v>46198</v>
      </c>
      <c r="M1938" s="175" t="n">
        <v>0.0148</v>
      </c>
      <c r="N1938" s="176" t="n">
        <v>0.0199</v>
      </c>
      <c r="O1938" s="191" t="n">
        <v>1.73</v>
      </c>
      <c r="P1938" s="172" t="inlineStr">
        <is>
          <t>中间级</t>
        </is>
      </c>
      <c r="Q1938" s="175" t="n">
        <v>0.07000000000000001</v>
      </c>
      <c r="R1938" s="192">
        <f>J1257*Q1269</f>
        <v/>
      </c>
      <c r="S1938" s="175" t="inlineStr">
        <is>
          <t>AA-</t>
        </is>
      </c>
      <c r="T1938" s="175" t="n">
        <v>0.031</v>
      </c>
      <c r="U1938" s="172" t="inlineStr">
        <is>
          <t>西部证券自营</t>
        </is>
      </c>
      <c r="V1938" s="191" t="n">
        <v>0.2</v>
      </c>
      <c r="W1938" s="172" t="n"/>
      <c r="X1938" s="172" t="n"/>
      <c r="Y1938" s="172" t="n"/>
    </row>
    <row r="1939">
      <c r="A1939" s="172" t="n">
        <v>103</v>
      </c>
      <c r="B1939" s="172" t="inlineStr">
        <is>
          <t>6月</t>
        </is>
      </c>
      <c r="C1939" s="172" t="inlineStr">
        <is>
          <t>企金</t>
        </is>
      </c>
      <c r="D1939" s="172" t="inlineStr">
        <is>
          <t>信托企业主贷</t>
        </is>
      </c>
      <c r="E1939" s="172" t="inlineStr">
        <is>
          <t>启赢3-3</t>
        </is>
      </c>
      <c r="F1939" s="172" t="inlineStr">
        <is>
          <t>银行间</t>
        </is>
      </c>
      <c r="G1939" s="172" t="inlineStr">
        <is>
          <t>中信建投</t>
        </is>
      </c>
      <c r="H1939" s="172" t="inlineStr">
        <is>
          <t>国泰海通/中信证券/光大证券</t>
        </is>
      </c>
      <c r="I1939" s="172" t="inlineStr">
        <is>
          <t>工银天津</t>
        </is>
      </c>
      <c r="J1939" s="172" t="n">
        <v>15</v>
      </c>
      <c r="K1939" s="172" t="inlineStr">
        <is>
          <t>9+24</t>
        </is>
      </c>
      <c r="L1939" s="202" t="n">
        <v>46198</v>
      </c>
      <c r="M1939" s="175" t="n">
        <v>0.0148</v>
      </c>
      <c r="N1939" s="176" t="n">
        <v>0.0199</v>
      </c>
      <c r="O1939" s="191" t="n">
        <v>1.73</v>
      </c>
      <c r="P1939" s="172" t="inlineStr">
        <is>
          <t>中间级</t>
        </is>
      </c>
      <c r="Q1939" s="175" t="n">
        <v>0.07000000000000001</v>
      </c>
      <c r="R1939" s="192">
        <f>J1257*Q1269</f>
        <v/>
      </c>
      <c r="S1939" s="175" t="inlineStr">
        <is>
          <t>AA-</t>
        </is>
      </c>
      <c r="T1939" s="175" t="n">
        <v>0.031</v>
      </c>
      <c r="U1939" s="172" t="inlineStr">
        <is>
          <t>朗姿韩亚</t>
        </is>
      </c>
      <c r="V1939" s="191" t="n">
        <v>0.2</v>
      </c>
      <c r="W1939" s="172" t="n"/>
      <c r="X1939" s="172" t="n"/>
      <c r="Y1939" s="172" t="n"/>
    </row>
    <row r="1940">
      <c r="A1940" s="172" t="n">
        <v>103</v>
      </c>
      <c r="B1940" s="172" t="inlineStr">
        <is>
          <t>6月</t>
        </is>
      </c>
      <c r="C1940" s="172" t="inlineStr">
        <is>
          <t>企金</t>
        </is>
      </c>
      <c r="D1940" s="172" t="inlineStr">
        <is>
          <t>信托企业主贷</t>
        </is>
      </c>
      <c r="E1940" s="172" t="inlineStr">
        <is>
          <t>启赢3-3</t>
        </is>
      </c>
      <c r="F1940" s="172" t="inlineStr">
        <is>
          <t>银行间</t>
        </is>
      </c>
      <c r="G1940" s="172" t="inlineStr">
        <is>
          <t>中信建投</t>
        </is>
      </c>
      <c r="H1940" s="172" t="inlineStr">
        <is>
          <t>国泰海通/中信证券/光大证券</t>
        </is>
      </c>
      <c r="I1940" s="172" t="inlineStr">
        <is>
          <t>工银天津</t>
        </is>
      </c>
      <c r="J1940" s="172" t="n">
        <v>15</v>
      </c>
      <c r="K1940" s="172" t="inlineStr">
        <is>
          <t>9+24</t>
        </is>
      </c>
      <c r="L1940" s="202" t="n">
        <v>46198</v>
      </c>
      <c r="M1940" s="175" t="n">
        <v>0.0148</v>
      </c>
      <c r="N1940" s="176" t="n">
        <v>0.0199</v>
      </c>
      <c r="O1940" s="191" t="n">
        <v>1.73</v>
      </c>
      <c r="P1940" s="172" t="inlineStr">
        <is>
          <t>次级</t>
        </is>
      </c>
      <c r="Q1940" s="175" t="n">
        <v>0.05</v>
      </c>
      <c r="R1940" s="192">
        <f>J1257*Q1273</f>
        <v/>
      </c>
      <c r="S1940" s="175" t="inlineStr">
        <is>
          <t>无</t>
        </is>
      </c>
      <c r="T1940" s="175" t="n">
        <v>0.0515</v>
      </c>
      <c r="U1940" s="172" t="inlineStr">
        <is>
          <t>国信证券自营</t>
        </is>
      </c>
      <c r="V1940" s="193" t="n">
        <v>0.275</v>
      </c>
      <c r="W1940" s="172" t="n"/>
      <c r="X1940" s="172" t="n"/>
      <c r="Y1940" s="172" t="n"/>
    </row>
    <row r="1941">
      <c r="A1941" s="172" t="n">
        <v>103</v>
      </c>
      <c r="B1941" s="172" t="inlineStr">
        <is>
          <t>6月</t>
        </is>
      </c>
      <c r="C1941" s="172" t="inlineStr">
        <is>
          <t>企金</t>
        </is>
      </c>
      <c r="D1941" s="172" t="inlineStr">
        <is>
          <t>信托企业主贷</t>
        </is>
      </c>
      <c r="E1941" s="172" t="inlineStr">
        <is>
          <t>启赢3-3</t>
        </is>
      </c>
      <c r="F1941" s="172" t="inlineStr">
        <is>
          <t>银行间</t>
        </is>
      </c>
      <c r="G1941" s="172" t="inlineStr">
        <is>
          <t>中信建投</t>
        </is>
      </c>
      <c r="H1941" s="172" t="inlineStr">
        <is>
          <t>国泰海通/中信证券/光大证券</t>
        </is>
      </c>
      <c r="I1941" s="172" t="inlineStr">
        <is>
          <t>工银天津</t>
        </is>
      </c>
      <c r="J1941" s="172" t="n">
        <v>15</v>
      </c>
      <c r="K1941" s="172" t="inlineStr">
        <is>
          <t>9+24</t>
        </is>
      </c>
      <c r="L1941" s="202" t="n">
        <v>46198</v>
      </c>
      <c r="M1941" s="175" t="n">
        <v>0.0148</v>
      </c>
      <c r="N1941" s="176" t="n">
        <v>0.0199</v>
      </c>
      <c r="O1941" s="191" t="n">
        <v>1.73</v>
      </c>
      <c r="P1941" s="172" t="inlineStr">
        <is>
          <t>次级</t>
        </is>
      </c>
      <c r="Q1941" s="175" t="n">
        <v>0.05</v>
      </c>
      <c r="R1941" s="192">
        <f>J1257*Q1273</f>
        <v/>
      </c>
      <c r="S1941" s="175" t="inlineStr">
        <is>
          <t>无</t>
        </is>
      </c>
      <c r="T1941" s="175" t="n">
        <v>0.0515</v>
      </c>
      <c r="U1941" s="172" t="inlineStr">
        <is>
          <t>华泰证券自营</t>
        </is>
      </c>
      <c r="V1941" s="191" t="n">
        <v>0.11</v>
      </c>
      <c r="W1941" s="172" t="n"/>
      <c r="X1941" s="172" t="n"/>
      <c r="Y1941" s="172" t="n"/>
    </row>
    <row r="1942">
      <c r="A1942" s="172" t="n">
        <v>103</v>
      </c>
      <c r="B1942" s="172" t="inlineStr">
        <is>
          <t>6月</t>
        </is>
      </c>
      <c r="C1942" s="172" t="inlineStr">
        <is>
          <t>企金</t>
        </is>
      </c>
      <c r="D1942" s="172" t="inlineStr">
        <is>
          <t>信托企业主贷</t>
        </is>
      </c>
      <c r="E1942" s="172" t="inlineStr">
        <is>
          <t>启赢3-3</t>
        </is>
      </c>
      <c r="F1942" s="172" t="inlineStr">
        <is>
          <t>银行间</t>
        </is>
      </c>
      <c r="G1942" s="172" t="inlineStr">
        <is>
          <t>中信建投</t>
        </is>
      </c>
      <c r="H1942" s="172" t="inlineStr">
        <is>
          <t>国泰海通/中信证券/光大证券</t>
        </is>
      </c>
      <c r="I1942" s="172" t="inlineStr">
        <is>
          <t>工银天津</t>
        </is>
      </c>
      <c r="J1942" s="172" t="n">
        <v>15</v>
      </c>
      <c r="K1942" s="172" t="inlineStr">
        <is>
          <t>9+24</t>
        </is>
      </c>
      <c r="L1942" s="202" t="n">
        <v>46198</v>
      </c>
      <c r="M1942" s="175" t="n">
        <v>0.0148</v>
      </c>
      <c r="N1942" s="176" t="n">
        <v>0.0199</v>
      </c>
      <c r="O1942" s="191" t="n">
        <v>1.73</v>
      </c>
      <c r="P1942" s="172" t="inlineStr">
        <is>
          <t>次级</t>
        </is>
      </c>
      <c r="Q1942" s="175" t="n">
        <v>0.05</v>
      </c>
      <c r="R1942" s="192">
        <f>J1257*Q1273</f>
        <v/>
      </c>
      <c r="S1942" s="175" t="inlineStr">
        <is>
          <t>无</t>
        </is>
      </c>
      <c r="T1942" s="175" t="n">
        <v>0.0515</v>
      </c>
      <c r="U1942" s="172" t="inlineStr">
        <is>
          <t>国泰海通自营</t>
        </is>
      </c>
      <c r="V1942" s="193" t="n">
        <v>0.255</v>
      </c>
      <c r="W1942" s="172" t="n"/>
      <c r="X1942" s="172" t="n"/>
      <c r="Y1942" s="172" t="n"/>
    </row>
    <row r="1943">
      <c r="A1943" s="172" t="n">
        <v>103</v>
      </c>
      <c r="B1943" s="172" t="inlineStr">
        <is>
          <t>6月</t>
        </is>
      </c>
      <c r="C1943" s="172" t="inlineStr">
        <is>
          <t>企金</t>
        </is>
      </c>
      <c r="D1943" s="172" t="inlineStr">
        <is>
          <t>信托企业主贷</t>
        </is>
      </c>
      <c r="E1943" s="172" t="inlineStr">
        <is>
          <t>启赢3-3</t>
        </is>
      </c>
      <c r="F1943" s="172" t="inlineStr">
        <is>
          <t>银行间</t>
        </is>
      </c>
      <c r="G1943" s="172" t="inlineStr">
        <is>
          <t>中信建投</t>
        </is>
      </c>
      <c r="H1943" s="172" t="inlineStr">
        <is>
          <t>国泰海通/中信证券/光大证券</t>
        </is>
      </c>
      <c r="I1943" s="172" t="inlineStr">
        <is>
          <t>工银天津</t>
        </is>
      </c>
      <c r="J1943" s="172" t="n">
        <v>15</v>
      </c>
      <c r="K1943" s="172" t="inlineStr">
        <is>
          <t>9+24</t>
        </is>
      </c>
      <c r="L1943" s="202" t="n">
        <v>46198</v>
      </c>
      <c r="M1943" s="175" t="n">
        <v>0.0148</v>
      </c>
      <c r="N1943" s="176" t="n">
        <v>0.0199</v>
      </c>
      <c r="O1943" s="191" t="n">
        <v>1.73</v>
      </c>
      <c r="P1943" s="172" t="inlineStr">
        <is>
          <t>次级</t>
        </is>
      </c>
      <c r="Q1943" s="175" t="n">
        <v>0.05</v>
      </c>
      <c r="R1943" s="192">
        <f>J1257*Q1273</f>
        <v/>
      </c>
      <c r="S1943" s="175" t="inlineStr">
        <is>
          <t>无</t>
        </is>
      </c>
      <c r="T1943" s="175" t="n">
        <v>0.0515</v>
      </c>
      <c r="U1943" s="172" t="inlineStr">
        <is>
          <t>华兴证券自营</t>
        </is>
      </c>
      <c r="V1943" s="191" t="n">
        <v>0.11</v>
      </c>
      <c r="W1943" s="172" t="n"/>
      <c r="X1943" s="172" t="n"/>
      <c r="Y1943" s="172" t="n"/>
    </row>
    <row r="1944">
      <c r="A1944" s="172" t="n">
        <v>104</v>
      </c>
      <c r="B1944" s="173" t="inlineStr">
        <is>
          <t>6月</t>
        </is>
      </c>
      <c r="C1944" s="173" t="inlineStr">
        <is>
          <t>消金</t>
        </is>
      </c>
      <c r="D1944" s="173" t="inlineStr">
        <is>
          <t>汽车融资租赁</t>
        </is>
      </c>
      <c r="E1944" s="173" t="inlineStr">
        <is>
          <t>尚乘1-2</t>
        </is>
      </c>
      <c r="F1944" s="173" t="inlineStr">
        <is>
          <t>上交所</t>
        </is>
      </c>
      <c r="G1944" s="173" t="inlineStr">
        <is>
          <t>国泰海通</t>
        </is>
      </c>
      <c r="H1944" s="173" t="inlineStr">
        <is>
          <t>兴业证券</t>
        </is>
      </c>
      <c r="I1944" s="173" t="inlineStr">
        <is>
          <t>青岛银行</t>
        </is>
      </c>
      <c r="J1944" s="172" t="n">
        <v>6.5</v>
      </c>
      <c r="K1944" s="173" t="inlineStr">
        <is>
          <t>0+49</t>
        </is>
      </c>
      <c r="L1944" s="202" t="n">
        <v>46198</v>
      </c>
      <c r="M1944" s="175" t="n">
        <v>0.0148</v>
      </c>
      <c r="N1944" s="176" t="n">
        <v>0.02775</v>
      </c>
      <c r="O1944" s="172" t="n">
        <v>1.95</v>
      </c>
      <c r="P1944" s="177" t="inlineStr">
        <is>
          <t>优先A1</t>
        </is>
      </c>
      <c r="Q1944" s="178" t="n">
        <v>0.3615</v>
      </c>
      <c r="R1944" s="179" t="n">
        <v>2.35</v>
      </c>
      <c r="S1944" s="177" t="inlineStr">
        <is>
          <t>AAA</t>
        </is>
      </c>
      <c r="T1944" s="178" t="n">
        <v>0.017</v>
      </c>
      <c r="U1944" s="177" t="inlineStr">
        <is>
          <t>石嘴山银行</t>
        </is>
      </c>
      <c r="V1944" s="192" t="n">
        <v>0.2</v>
      </c>
      <c r="W1944" s="175" t="n">
        <v>0.017</v>
      </c>
      <c r="X1944" s="172" t="inlineStr">
        <is>
          <t>石嘴山银行</t>
        </is>
      </c>
      <c r="Y1944" s="191" t="n">
        <v>0.2</v>
      </c>
    </row>
    <row r="1945">
      <c r="A1945" s="172" t="n">
        <v>104</v>
      </c>
      <c r="B1945" s="173" t="inlineStr">
        <is>
          <t>6月</t>
        </is>
      </c>
      <c r="C1945" s="173" t="inlineStr">
        <is>
          <t>消金</t>
        </is>
      </c>
      <c r="D1945" s="173" t="inlineStr">
        <is>
          <t>汽车融资租赁</t>
        </is>
      </c>
      <c r="E1945" s="173" t="inlineStr">
        <is>
          <t>尚乘1-2</t>
        </is>
      </c>
      <c r="F1945" s="173" t="inlineStr">
        <is>
          <t>上交所</t>
        </is>
      </c>
      <c r="G1945" s="173" t="inlineStr">
        <is>
          <t>国泰海通</t>
        </is>
      </c>
      <c r="H1945" s="173" t="inlineStr">
        <is>
          <t>兴业证券</t>
        </is>
      </c>
      <c r="I1945" s="173" t="inlineStr">
        <is>
          <t>青岛银行</t>
        </is>
      </c>
      <c r="J1945" s="172" t="n">
        <v>6.5</v>
      </c>
      <c r="K1945" s="173" t="inlineStr">
        <is>
          <t>0+49</t>
        </is>
      </c>
      <c r="L1945" s="202" t="n">
        <v>46198</v>
      </c>
      <c r="M1945" s="175" t="n">
        <v>0.0148</v>
      </c>
      <c r="N1945" s="176" t="n">
        <v>0.02775</v>
      </c>
      <c r="O1945" s="172" t="n">
        <v>1.95</v>
      </c>
      <c r="P1945" s="172" t="inlineStr">
        <is>
          <t>优先A1</t>
        </is>
      </c>
      <c r="Q1945" s="178" t="n">
        <v>0.3615</v>
      </c>
      <c r="R1945" s="179" t="n">
        <v>2.35</v>
      </c>
      <c r="S1945" s="177" t="inlineStr">
        <is>
          <t>AAA</t>
        </is>
      </c>
      <c r="T1945" s="178" t="n">
        <v>0.017</v>
      </c>
      <c r="U1945" s="172" t="inlineStr">
        <is>
          <t>京东租赁</t>
        </is>
      </c>
      <c r="V1945" s="192" t="n">
        <v>0.12</v>
      </c>
      <c r="W1945" s="172" t="n"/>
      <c r="X1945" s="172" t="n"/>
      <c r="Y1945" s="172" t="n"/>
    </row>
    <row r="1946">
      <c r="A1946" s="172" t="n">
        <v>104</v>
      </c>
      <c r="B1946" s="173" t="inlineStr">
        <is>
          <t>6月</t>
        </is>
      </c>
      <c r="C1946" s="173" t="inlineStr">
        <is>
          <t>消金</t>
        </is>
      </c>
      <c r="D1946" s="173" t="inlineStr">
        <is>
          <t>汽车融资租赁</t>
        </is>
      </c>
      <c r="E1946" s="173" t="inlineStr">
        <is>
          <t>尚乘1-2</t>
        </is>
      </c>
      <c r="F1946" s="173" t="inlineStr">
        <is>
          <t>上交所</t>
        </is>
      </c>
      <c r="G1946" s="173" t="inlineStr">
        <is>
          <t>国泰海通</t>
        </is>
      </c>
      <c r="H1946" s="173" t="inlineStr">
        <is>
          <t>兴业证券</t>
        </is>
      </c>
      <c r="I1946" s="173" t="inlineStr">
        <is>
          <t>青岛银行</t>
        </is>
      </c>
      <c r="J1946" s="172" t="n">
        <v>6.5</v>
      </c>
      <c r="K1946" s="173" t="inlineStr">
        <is>
          <t>0+49</t>
        </is>
      </c>
      <c r="L1946" s="202" t="n">
        <v>46198</v>
      </c>
      <c r="M1946" s="175" t="n">
        <v>0.0148</v>
      </c>
      <c r="N1946" s="176" t="n">
        <v>0.02775</v>
      </c>
      <c r="O1946" s="172" t="n">
        <v>1.95</v>
      </c>
      <c r="P1946" s="172" t="inlineStr">
        <is>
          <t>优先A1</t>
        </is>
      </c>
      <c r="Q1946" s="178" t="n">
        <v>0.3615</v>
      </c>
      <c r="R1946" s="179" t="n">
        <v>2.35</v>
      </c>
      <c r="S1946" s="177" t="inlineStr">
        <is>
          <t>AAA</t>
        </is>
      </c>
      <c r="T1946" s="178" t="n">
        <v>0.017</v>
      </c>
      <c r="U1946" s="177" t="inlineStr">
        <is>
          <t>青岛银行</t>
        </is>
      </c>
      <c r="V1946" s="192" t="n">
        <v>0.6</v>
      </c>
      <c r="W1946" s="175" t="n">
        <v>0.017</v>
      </c>
      <c r="X1946" s="172" t="inlineStr">
        <is>
          <t>青岛银行</t>
        </is>
      </c>
      <c r="Y1946" s="191" t="n">
        <v>0.7</v>
      </c>
    </row>
    <row r="1947">
      <c r="A1947" s="172" t="n">
        <v>104</v>
      </c>
      <c r="B1947" s="173" t="inlineStr">
        <is>
          <t>6月</t>
        </is>
      </c>
      <c r="C1947" s="173" t="inlineStr">
        <is>
          <t>消金</t>
        </is>
      </c>
      <c r="D1947" s="173" t="inlineStr">
        <is>
          <t>汽车融资租赁</t>
        </is>
      </c>
      <c r="E1947" s="173" t="inlineStr">
        <is>
          <t>尚乘1-2</t>
        </is>
      </c>
      <c r="F1947" s="173" t="inlineStr">
        <is>
          <t>上交所</t>
        </is>
      </c>
      <c r="G1947" s="173" t="inlineStr">
        <is>
          <t>国泰海通</t>
        </is>
      </c>
      <c r="H1947" s="173" t="inlineStr">
        <is>
          <t>兴业证券</t>
        </is>
      </c>
      <c r="I1947" s="173" t="inlineStr">
        <is>
          <t>青岛银行</t>
        </is>
      </c>
      <c r="J1947" s="172" t="n">
        <v>6.5</v>
      </c>
      <c r="K1947" s="173" t="inlineStr">
        <is>
          <t>0+49</t>
        </is>
      </c>
      <c r="L1947" s="202" t="n">
        <v>46198</v>
      </c>
      <c r="M1947" s="175" t="n">
        <v>0.0148</v>
      </c>
      <c r="N1947" s="176" t="n">
        <v>0.02775</v>
      </c>
      <c r="O1947" s="172" t="n">
        <v>1.95</v>
      </c>
      <c r="P1947" s="172" t="inlineStr">
        <is>
          <t>优先A1</t>
        </is>
      </c>
      <c r="Q1947" s="178" t="n">
        <v>0.3615</v>
      </c>
      <c r="R1947" s="179" t="n">
        <v>2.35</v>
      </c>
      <c r="S1947" s="177" t="inlineStr">
        <is>
          <t>AAA</t>
        </is>
      </c>
      <c r="T1947" s="178" t="n">
        <v>0.017</v>
      </c>
      <c r="U1947" s="177" t="inlineStr">
        <is>
          <t>中信投顾</t>
        </is>
      </c>
      <c r="V1947" s="192" t="n">
        <v>0.23</v>
      </c>
      <c r="W1947" s="175" t="n">
        <v>0.017</v>
      </c>
      <c r="X1947" s="172" t="inlineStr">
        <is>
          <t>中信投顾</t>
        </is>
      </c>
      <c r="Y1947" s="191" t="n">
        <v>0.23</v>
      </c>
    </row>
    <row r="1948">
      <c r="A1948" s="172" t="n">
        <v>104</v>
      </c>
      <c r="B1948" s="173" t="inlineStr">
        <is>
          <t>6月</t>
        </is>
      </c>
      <c r="C1948" s="173" t="inlineStr">
        <is>
          <t>消金</t>
        </is>
      </c>
      <c r="D1948" s="173" t="inlineStr">
        <is>
          <t>汽车融资租赁</t>
        </is>
      </c>
      <c r="E1948" s="173" t="inlineStr">
        <is>
          <t>尚乘1-2</t>
        </is>
      </c>
      <c r="F1948" s="173" t="inlineStr">
        <is>
          <t>上交所</t>
        </is>
      </c>
      <c r="G1948" s="173" t="inlineStr">
        <is>
          <t>国泰海通</t>
        </is>
      </c>
      <c r="H1948" s="173" t="inlineStr">
        <is>
          <t>兴业证券</t>
        </is>
      </c>
      <c r="I1948" s="173" t="inlineStr">
        <is>
          <t>青岛银行</t>
        </is>
      </c>
      <c r="J1948" s="172" t="n">
        <v>6.5</v>
      </c>
      <c r="K1948" s="173" t="inlineStr">
        <is>
          <t>0+49</t>
        </is>
      </c>
      <c r="L1948" s="202" t="n">
        <v>46198</v>
      </c>
      <c r="M1948" s="175" t="n">
        <v>0.0148</v>
      </c>
      <c r="N1948" s="176" t="n">
        <v>0.02775</v>
      </c>
      <c r="O1948" s="172" t="n">
        <v>1.95</v>
      </c>
      <c r="P1948" s="172" t="inlineStr">
        <is>
          <t>优先A1</t>
        </is>
      </c>
      <c r="Q1948" s="178" t="n">
        <v>0.3615</v>
      </c>
      <c r="R1948" s="179" t="n">
        <v>2.35</v>
      </c>
      <c r="S1948" s="177" t="inlineStr">
        <is>
          <t>AAA</t>
        </is>
      </c>
      <c r="T1948" s="178" t="n">
        <v>0.017</v>
      </c>
      <c r="U1948" s="177" t="inlineStr">
        <is>
          <t>华夏理财</t>
        </is>
      </c>
      <c r="V1948" s="192" t="n">
        <v>0.6</v>
      </c>
      <c r="W1948" s="175" t="n">
        <v>0.017</v>
      </c>
      <c r="X1948" s="172" t="inlineStr">
        <is>
          <t>华夏理财</t>
        </is>
      </c>
      <c r="Y1948" s="191" t="n">
        <v>0.7</v>
      </c>
    </row>
    <row r="1949">
      <c r="A1949" s="172" t="n">
        <v>104</v>
      </c>
      <c r="B1949" s="173" t="inlineStr">
        <is>
          <t>6月</t>
        </is>
      </c>
      <c r="C1949" s="173" t="inlineStr">
        <is>
          <t>消金</t>
        </is>
      </c>
      <c r="D1949" s="173" t="inlineStr">
        <is>
          <t>汽车融资租赁</t>
        </is>
      </c>
      <c r="E1949" s="173" t="inlineStr">
        <is>
          <t>尚乘1-2</t>
        </is>
      </c>
      <c r="F1949" s="173" t="inlineStr">
        <is>
          <t>上交所</t>
        </is>
      </c>
      <c r="G1949" s="173" t="inlineStr">
        <is>
          <t>国泰海通</t>
        </is>
      </c>
      <c r="H1949" s="173" t="inlineStr">
        <is>
          <t>兴业证券</t>
        </is>
      </c>
      <c r="I1949" s="173" t="inlineStr">
        <is>
          <t>青岛银行</t>
        </is>
      </c>
      <c r="J1949" s="172" t="n">
        <v>6.5</v>
      </c>
      <c r="K1949" s="173" t="inlineStr">
        <is>
          <t>0+49</t>
        </is>
      </c>
      <c r="L1949" s="202" t="n">
        <v>46198</v>
      </c>
      <c r="M1949" s="175" t="n">
        <v>0.0148</v>
      </c>
      <c r="N1949" s="176" t="n">
        <v>0.02775</v>
      </c>
      <c r="O1949" s="172" t="n">
        <v>1.95</v>
      </c>
      <c r="P1949" s="172" t="inlineStr">
        <is>
          <t>优先A1</t>
        </is>
      </c>
      <c r="Q1949" s="178" t="n">
        <v>0.3615</v>
      </c>
      <c r="R1949" s="179" t="n">
        <v>2.35</v>
      </c>
      <c r="S1949" s="177" t="inlineStr">
        <is>
          <t>AAA</t>
        </is>
      </c>
      <c r="T1949" s="178" t="n">
        <v>0.017</v>
      </c>
      <c r="U1949" s="177" t="inlineStr">
        <is>
          <t>中邮理财</t>
        </is>
      </c>
      <c r="V1949" s="192" t="n">
        <v>0.6</v>
      </c>
      <c r="W1949" s="175" t="n">
        <v>0.017</v>
      </c>
      <c r="X1949" s="172" t="inlineStr">
        <is>
          <t>中邮理财</t>
        </is>
      </c>
      <c r="Y1949" s="191" t="n">
        <v>0.705</v>
      </c>
    </row>
    <row r="1950">
      <c r="A1950" s="172" t="n">
        <v>104</v>
      </c>
      <c r="B1950" s="172" t="inlineStr">
        <is>
          <t>6月</t>
        </is>
      </c>
      <c r="C1950" s="172" t="inlineStr">
        <is>
          <t>消金</t>
        </is>
      </c>
      <c r="D1950" s="172" t="inlineStr">
        <is>
          <t>汽车融资租赁</t>
        </is>
      </c>
      <c r="E1950" s="172" t="inlineStr">
        <is>
          <t>尚乘1-2</t>
        </is>
      </c>
      <c r="F1950" s="172" t="inlineStr">
        <is>
          <t>上交所</t>
        </is>
      </c>
      <c r="G1950" s="172" t="inlineStr">
        <is>
          <t>国泰海通</t>
        </is>
      </c>
      <c r="H1950" s="172" t="inlineStr">
        <is>
          <t>兴业证券</t>
        </is>
      </c>
      <c r="I1950" s="172" t="inlineStr">
        <is>
          <t>青岛银行</t>
        </is>
      </c>
      <c r="J1950" s="172" t="n">
        <v>6.5</v>
      </c>
      <c r="K1950" s="172" t="inlineStr">
        <is>
          <t>0+49</t>
        </is>
      </c>
      <c r="L1950" s="208" t="n">
        <v>46198</v>
      </c>
      <c r="M1950" s="175" t="n">
        <v>0.0148</v>
      </c>
      <c r="N1950" s="176" t="n">
        <v>0.02775</v>
      </c>
      <c r="O1950" s="172" t="n">
        <v>1.95</v>
      </c>
      <c r="P1950" s="172" t="inlineStr">
        <is>
          <t>优先A1</t>
        </is>
      </c>
      <c r="Q1950" s="175" t="n">
        <v>0.3615</v>
      </c>
      <c r="R1950" s="192" t="n">
        <v>2.35</v>
      </c>
      <c r="S1950" s="172" t="inlineStr">
        <is>
          <t>AAA</t>
        </is>
      </c>
      <c r="T1950" s="175" t="n">
        <v>0.017</v>
      </c>
      <c r="U1950" s="172" t="n"/>
      <c r="V1950" s="172" t="n"/>
      <c r="W1950" s="175" t="n">
        <v>0.0179</v>
      </c>
      <c r="X1950" s="172" t="inlineStr">
        <is>
          <t>汇华理财</t>
        </is>
      </c>
      <c r="Y1950" s="191" t="n">
        <v>0.3</v>
      </c>
    </row>
    <row r="1951">
      <c r="A1951" s="172" t="n">
        <v>104</v>
      </c>
      <c r="B1951" s="172" t="inlineStr">
        <is>
          <t>6月</t>
        </is>
      </c>
      <c r="C1951" s="172" t="inlineStr">
        <is>
          <t>消金</t>
        </is>
      </c>
      <c r="D1951" s="172" t="inlineStr">
        <is>
          <t>汽车融资租赁</t>
        </is>
      </c>
      <c r="E1951" s="172" t="inlineStr">
        <is>
          <t>尚乘1-2</t>
        </is>
      </c>
      <c r="F1951" s="172" t="inlineStr">
        <is>
          <t>上交所</t>
        </is>
      </c>
      <c r="G1951" s="172" t="inlineStr">
        <is>
          <t>国泰海通</t>
        </is>
      </c>
      <c r="H1951" s="172" t="inlineStr">
        <is>
          <t>兴业证券</t>
        </is>
      </c>
      <c r="I1951" s="172" t="inlineStr">
        <is>
          <t>青岛银行</t>
        </is>
      </c>
      <c r="J1951" s="172" t="n">
        <v>6.5</v>
      </c>
      <c r="K1951" s="172" t="inlineStr">
        <is>
          <t>0+49</t>
        </is>
      </c>
      <c r="L1951" s="208" t="n">
        <v>46198</v>
      </c>
      <c r="M1951" s="175" t="n">
        <v>0.0148</v>
      </c>
      <c r="N1951" s="176" t="n">
        <v>0.02775</v>
      </c>
      <c r="O1951" s="172" t="n">
        <v>1.95</v>
      </c>
      <c r="P1951" s="172" t="inlineStr">
        <is>
          <t>优先A1</t>
        </is>
      </c>
      <c r="Q1951" s="175" t="n">
        <v>0.3615</v>
      </c>
      <c r="R1951" s="192" t="n">
        <v>2.35</v>
      </c>
      <c r="S1951" s="172" t="inlineStr">
        <is>
          <t>AAA</t>
        </is>
      </c>
      <c r="T1951" s="175" t="n">
        <v>0.017</v>
      </c>
      <c r="U1951" s="172" t="n"/>
      <c r="V1951" s="172" t="n"/>
      <c r="W1951" s="175" t="n">
        <v>0.0179</v>
      </c>
      <c r="X1951" s="172" t="inlineStr">
        <is>
          <t>申万投顾</t>
        </is>
      </c>
      <c r="Y1951" s="191" t="n">
        <v>0.2</v>
      </c>
    </row>
    <row r="1952">
      <c r="A1952" s="172" t="n">
        <v>104</v>
      </c>
      <c r="B1952" s="172" t="inlineStr">
        <is>
          <t>6月</t>
        </is>
      </c>
      <c r="C1952" s="172" t="inlineStr">
        <is>
          <t>消金</t>
        </is>
      </c>
      <c r="D1952" s="172" t="inlineStr">
        <is>
          <t>汽车融资租赁</t>
        </is>
      </c>
      <c r="E1952" s="172" t="inlineStr">
        <is>
          <t>尚乘1-2</t>
        </is>
      </c>
      <c r="F1952" s="172" t="inlineStr">
        <is>
          <t>上交所</t>
        </is>
      </c>
      <c r="G1952" s="172" t="inlineStr">
        <is>
          <t>国泰海通</t>
        </is>
      </c>
      <c r="H1952" s="172" t="inlineStr">
        <is>
          <t>兴业证券</t>
        </is>
      </c>
      <c r="I1952" s="172" t="inlineStr">
        <is>
          <t>青岛银行</t>
        </is>
      </c>
      <c r="J1952" s="172" t="n">
        <v>6.5</v>
      </c>
      <c r="K1952" s="172" t="inlineStr">
        <is>
          <t>0+49</t>
        </is>
      </c>
      <c r="L1952" s="208" t="n">
        <v>46198</v>
      </c>
      <c r="M1952" s="175" t="n">
        <v>0.0148</v>
      </c>
      <c r="N1952" s="176" t="n">
        <v>0.02775</v>
      </c>
      <c r="O1952" s="172" t="n">
        <v>1.95</v>
      </c>
      <c r="P1952" s="172" t="inlineStr">
        <is>
          <t>优先A1</t>
        </is>
      </c>
      <c r="Q1952" s="175" t="n">
        <v>0.3615</v>
      </c>
      <c r="R1952" s="192" t="n">
        <v>2.35</v>
      </c>
      <c r="S1952" s="172" t="inlineStr">
        <is>
          <t>AAA</t>
        </is>
      </c>
      <c r="T1952" s="175" t="n">
        <v>0.017</v>
      </c>
      <c r="U1952" s="172" t="n"/>
      <c r="V1952" s="172" t="n"/>
      <c r="W1952" s="175" t="n">
        <v>0.027</v>
      </c>
      <c r="X1952" s="172" t="inlineStr">
        <is>
          <t>财通资管</t>
        </is>
      </c>
      <c r="Y1952" s="191" t="n">
        <v>0.7</v>
      </c>
    </row>
    <row r="1953">
      <c r="A1953" s="172" t="n">
        <v>104</v>
      </c>
      <c r="B1953" s="173" t="inlineStr">
        <is>
          <t>6月</t>
        </is>
      </c>
      <c r="C1953" s="173" t="inlineStr">
        <is>
          <t>消金</t>
        </is>
      </c>
      <c r="D1953" s="173" t="inlineStr">
        <is>
          <t>汽车融资租赁</t>
        </is>
      </c>
      <c r="E1953" s="173" t="inlineStr">
        <is>
          <t>尚乘1-2</t>
        </is>
      </c>
      <c r="F1953" s="173" t="inlineStr">
        <is>
          <t>上交所</t>
        </is>
      </c>
      <c r="G1953" s="173" t="inlineStr">
        <is>
          <t>国泰海通</t>
        </is>
      </c>
      <c r="H1953" s="173" t="inlineStr">
        <is>
          <t>兴业证券</t>
        </is>
      </c>
      <c r="I1953" s="173" t="inlineStr">
        <is>
          <t>青岛银行</t>
        </is>
      </c>
      <c r="J1953" s="172" t="n">
        <v>6.5</v>
      </c>
      <c r="K1953" s="173" t="inlineStr">
        <is>
          <t>0+49</t>
        </is>
      </c>
      <c r="L1953" s="202" t="n">
        <v>46198</v>
      </c>
      <c r="M1953" s="175" t="n">
        <v>0.0148</v>
      </c>
      <c r="N1953" s="176" t="n">
        <v>0.02775</v>
      </c>
      <c r="O1953" s="172" t="n">
        <v>1.95</v>
      </c>
      <c r="P1953" s="177" t="inlineStr">
        <is>
          <t>优先A2</t>
        </is>
      </c>
      <c r="Q1953" s="178" t="n">
        <v>0.3923</v>
      </c>
      <c r="R1953" s="179" t="n">
        <v>2.55</v>
      </c>
      <c r="S1953" s="177" t="inlineStr">
        <is>
          <t>AAA</t>
        </is>
      </c>
      <c r="T1953" s="178" t="n">
        <v>0.019</v>
      </c>
      <c r="U1953" s="177" t="inlineStr">
        <is>
          <t>重庆富民银行</t>
        </is>
      </c>
      <c r="V1953" s="192" t="n">
        <v>0.23</v>
      </c>
      <c r="W1953" s="175" t="n">
        <v>0.019</v>
      </c>
      <c r="X1953" s="172" t="inlineStr">
        <is>
          <t>富民银行</t>
        </is>
      </c>
      <c r="Y1953" s="191" t="n">
        <v>0.24</v>
      </c>
    </row>
    <row r="1954">
      <c r="A1954" s="172" t="n">
        <v>104</v>
      </c>
      <c r="B1954" s="173" t="inlineStr">
        <is>
          <t>6月</t>
        </is>
      </c>
      <c r="C1954" s="173" t="inlineStr">
        <is>
          <t>消金</t>
        </is>
      </c>
      <c r="D1954" s="173" t="inlineStr">
        <is>
          <t>汽车融资租赁</t>
        </is>
      </c>
      <c r="E1954" s="173" t="inlineStr">
        <is>
          <t>尚乘1-2</t>
        </is>
      </c>
      <c r="F1954" s="173" t="inlineStr">
        <is>
          <t>上交所</t>
        </is>
      </c>
      <c r="G1954" s="173" t="inlineStr">
        <is>
          <t>国泰海通</t>
        </is>
      </c>
      <c r="H1954" s="173" t="inlineStr">
        <is>
          <t>兴业证券</t>
        </is>
      </c>
      <c r="I1954" s="173" t="inlineStr">
        <is>
          <t>青岛银行</t>
        </is>
      </c>
      <c r="J1954" s="172" t="n">
        <v>6.5</v>
      </c>
      <c r="K1954" s="173" t="inlineStr">
        <is>
          <t>0+49</t>
        </is>
      </c>
      <c r="L1954" s="202" t="n">
        <v>46198</v>
      </c>
      <c r="M1954" s="175" t="n">
        <v>0.0148</v>
      </c>
      <c r="N1954" s="176" t="n">
        <v>0.02775</v>
      </c>
      <c r="O1954" s="172" t="n">
        <v>1.95</v>
      </c>
      <c r="P1954" s="172" t="inlineStr">
        <is>
          <t>优先A2</t>
        </is>
      </c>
      <c r="Q1954" s="178" t="n">
        <v>0.3923</v>
      </c>
      <c r="R1954" s="179" t="n">
        <v>2.55</v>
      </c>
      <c r="S1954" s="177" t="inlineStr">
        <is>
          <t>AAA</t>
        </is>
      </c>
      <c r="T1954" s="178" t="n">
        <v>0.019</v>
      </c>
      <c r="U1954" s="177" t="inlineStr">
        <is>
          <t>石嘴山银行</t>
        </is>
      </c>
      <c r="V1954" s="192" t="n">
        <v>0.47</v>
      </c>
      <c r="W1954" s="175" t="n">
        <v>0.019</v>
      </c>
      <c r="X1954" s="172" t="inlineStr">
        <is>
          <t>石嘴山银行</t>
        </is>
      </c>
      <c r="Y1954" s="191" t="n">
        <v>0.5</v>
      </c>
    </row>
    <row r="1955">
      <c r="A1955" s="172" t="n">
        <v>104</v>
      </c>
      <c r="B1955" s="173" t="inlineStr">
        <is>
          <t>6月</t>
        </is>
      </c>
      <c r="C1955" s="173" t="inlineStr">
        <is>
          <t>消金</t>
        </is>
      </c>
      <c r="D1955" s="173" t="inlineStr">
        <is>
          <t>汽车融资租赁</t>
        </is>
      </c>
      <c r="E1955" s="173" t="inlineStr">
        <is>
          <t>尚乘1-2</t>
        </is>
      </c>
      <c r="F1955" s="173" t="inlineStr">
        <is>
          <t>上交所</t>
        </is>
      </c>
      <c r="G1955" s="173" t="inlineStr">
        <is>
          <t>国泰海通</t>
        </is>
      </c>
      <c r="H1955" s="173" t="inlineStr">
        <is>
          <t>兴业证券</t>
        </is>
      </c>
      <c r="I1955" s="173" t="inlineStr">
        <is>
          <t>青岛银行</t>
        </is>
      </c>
      <c r="J1955" s="172" t="n">
        <v>6.5</v>
      </c>
      <c r="K1955" s="173" t="inlineStr">
        <is>
          <t>0+49</t>
        </is>
      </c>
      <c r="L1955" s="202" t="n">
        <v>46198</v>
      </c>
      <c r="M1955" s="175" t="n">
        <v>0.0148</v>
      </c>
      <c r="N1955" s="176" t="n">
        <v>0.02775</v>
      </c>
      <c r="O1955" s="172" t="n">
        <v>1.95</v>
      </c>
      <c r="P1955" s="172" t="inlineStr">
        <is>
          <t>优先A2</t>
        </is>
      </c>
      <c r="Q1955" s="178" t="n">
        <v>0.3923</v>
      </c>
      <c r="R1955" s="179" t="n">
        <v>2.55</v>
      </c>
      <c r="S1955" s="177" t="inlineStr">
        <is>
          <t>AAA</t>
        </is>
      </c>
      <c r="T1955" s="178" t="n">
        <v>0.019</v>
      </c>
      <c r="U1955" s="177" t="inlineStr">
        <is>
          <t>京东租赁</t>
        </is>
      </c>
      <c r="V1955" s="192" t="n">
        <v>0.13</v>
      </c>
      <c r="W1955" s="172" t="n"/>
      <c r="X1955" s="172" t="n"/>
      <c r="Y1955" s="172" t="n"/>
    </row>
    <row r="1956">
      <c r="A1956" s="172" t="n">
        <v>104</v>
      </c>
      <c r="B1956" s="173" t="inlineStr">
        <is>
          <t>6月</t>
        </is>
      </c>
      <c r="C1956" s="173" t="inlineStr">
        <is>
          <t>消金</t>
        </is>
      </c>
      <c r="D1956" s="173" t="inlineStr">
        <is>
          <t>汽车融资租赁</t>
        </is>
      </c>
      <c r="E1956" s="173" t="inlineStr">
        <is>
          <t>尚乘1-2</t>
        </is>
      </c>
      <c r="F1956" s="173" t="inlineStr">
        <is>
          <t>上交所</t>
        </is>
      </c>
      <c r="G1956" s="173" t="inlineStr">
        <is>
          <t>国泰海通</t>
        </is>
      </c>
      <c r="H1956" s="173" t="inlineStr">
        <is>
          <t>兴业证券</t>
        </is>
      </c>
      <c r="I1956" s="173" t="inlineStr">
        <is>
          <t>青岛银行</t>
        </is>
      </c>
      <c r="J1956" s="172" t="n">
        <v>6.5</v>
      </c>
      <c r="K1956" s="173" t="inlineStr">
        <is>
          <t>0+49</t>
        </is>
      </c>
      <c r="L1956" s="202" t="n">
        <v>46198</v>
      </c>
      <c r="M1956" s="175" t="n">
        <v>0.0148</v>
      </c>
      <c r="N1956" s="176" t="n">
        <v>0.02775</v>
      </c>
      <c r="O1956" s="172" t="n">
        <v>1.95</v>
      </c>
      <c r="P1956" s="172" t="inlineStr">
        <is>
          <t>优先A2</t>
        </is>
      </c>
      <c r="Q1956" s="178" t="n">
        <v>0.3923</v>
      </c>
      <c r="R1956" s="179" t="n">
        <v>2.55</v>
      </c>
      <c r="S1956" s="177" t="inlineStr">
        <is>
          <t>AAA</t>
        </is>
      </c>
      <c r="T1956" s="178" t="n">
        <v>0.019</v>
      </c>
      <c r="U1956" s="177" t="inlineStr">
        <is>
          <t>紫金信托</t>
        </is>
      </c>
      <c r="V1956" s="192" t="n">
        <v>0.28</v>
      </c>
      <c r="W1956" s="175" t="n">
        <v>0.019</v>
      </c>
      <c r="X1956" s="172" t="inlineStr">
        <is>
          <t>紫金信托</t>
        </is>
      </c>
      <c r="Y1956" s="191" t="n">
        <v>0.3</v>
      </c>
    </row>
    <row r="1957">
      <c r="A1957" s="172" t="n">
        <v>104</v>
      </c>
      <c r="B1957" s="173" t="inlineStr">
        <is>
          <t>6月</t>
        </is>
      </c>
      <c r="C1957" s="173" t="inlineStr">
        <is>
          <t>消金</t>
        </is>
      </c>
      <c r="D1957" s="173" t="inlineStr">
        <is>
          <t>汽车融资租赁</t>
        </is>
      </c>
      <c r="E1957" s="173" t="inlineStr">
        <is>
          <t>尚乘1-2</t>
        </is>
      </c>
      <c r="F1957" s="173" t="inlineStr">
        <is>
          <t>上交所</t>
        </is>
      </c>
      <c r="G1957" s="173" t="inlineStr">
        <is>
          <t>国泰海通</t>
        </is>
      </c>
      <c r="H1957" s="173" t="inlineStr">
        <is>
          <t>兴业证券</t>
        </is>
      </c>
      <c r="I1957" s="173" t="inlineStr">
        <is>
          <t>青岛银行</t>
        </is>
      </c>
      <c r="J1957" s="172" t="n">
        <v>6.5</v>
      </c>
      <c r="K1957" s="173" t="inlineStr">
        <is>
          <t>0+49</t>
        </is>
      </c>
      <c r="L1957" s="202" t="n">
        <v>46198</v>
      </c>
      <c r="M1957" s="175" t="n">
        <v>0.0148</v>
      </c>
      <c r="N1957" s="176" t="n">
        <v>0.02775</v>
      </c>
      <c r="O1957" s="172" t="n">
        <v>1.95</v>
      </c>
      <c r="P1957" s="172" t="inlineStr">
        <is>
          <t>优先A2</t>
        </is>
      </c>
      <c r="Q1957" s="178" t="n">
        <v>0.3923</v>
      </c>
      <c r="R1957" s="179" t="n">
        <v>2.55</v>
      </c>
      <c r="S1957" s="177" t="inlineStr">
        <is>
          <t>AAA</t>
        </is>
      </c>
      <c r="T1957" s="178" t="n">
        <v>0.019</v>
      </c>
      <c r="U1957" s="177" t="inlineStr">
        <is>
          <t>中金财富</t>
        </is>
      </c>
      <c r="V1957" s="192" t="n">
        <v>0.35</v>
      </c>
      <c r="W1957" s="175" t="n">
        <v>0.019</v>
      </c>
      <c r="X1957" s="172" t="inlineStr">
        <is>
          <t>中金财富</t>
        </is>
      </c>
      <c r="Y1957" s="191" t="n">
        <v>0.35</v>
      </c>
    </row>
    <row r="1958">
      <c r="A1958" s="172" t="n">
        <v>104</v>
      </c>
      <c r="B1958" s="173" t="inlineStr">
        <is>
          <t>6月</t>
        </is>
      </c>
      <c r="C1958" s="173" t="inlineStr">
        <is>
          <t>消金</t>
        </is>
      </c>
      <c r="D1958" s="173" t="inlineStr">
        <is>
          <t>汽车融资租赁</t>
        </is>
      </c>
      <c r="E1958" s="173" t="inlineStr">
        <is>
          <t>尚乘1-2</t>
        </is>
      </c>
      <c r="F1958" s="173" t="inlineStr">
        <is>
          <t>上交所</t>
        </is>
      </c>
      <c r="G1958" s="173" t="inlineStr">
        <is>
          <t>国泰海通</t>
        </is>
      </c>
      <c r="H1958" s="173" t="inlineStr">
        <is>
          <t>兴业证券</t>
        </is>
      </c>
      <c r="I1958" s="173" t="inlineStr">
        <is>
          <t>青岛银行</t>
        </is>
      </c>
      <c r="J1958" s="172" t="n">
        <v>6.5</v>
      </c>
      <c r="K1958" s="173" t="inlineStr">
        <is>
          <t>0+49</t>
        </is>
      </c>
      <c r="L1958" s="202" t="n">
        <v>46198</v>
      </c>
      <c r="M1958" s="175" t="n">
        <v>0.0148</v>
      </c>
      <c r="N1958" s="176" t="n">
        <v>0.02775</v>
      </c>
      <c r="O1958" s="172" t="n">
        <v>1.95</v>
      </c>
      <c r="P1958" s="172" t="inlineStr">
        <is>
          <t>优先A2</t>
        </is>
      </c>
      <c r="Q1958" s="178" t="n">
        <v>0.3923</v>
      </c>
      <c r="R1958" s="179" t="n">
        <v>2.55</v>
      </c>
      <c r="S1958" s="177" t="inlineStr">
        <is>
          <t>AAA</t>
        </is>
      </c>
      <c r="T1958" s="178" t="n">
        <v>0.019</v>
      </c>
      <c r="U1958" s="177" t="inlineStr">
        <is>
          <t>青岛银行</t>
        </is>
      </c>
      <c r="V1958" s="192" t="n">
        <v>0.7</v>
      </c>
      <c r="W1958" s="175" t="n">
        <v>0.019</v>
      </c>
      <c r="X1958" s="172" t="inlineStr">
        <is>
          <t>青岛银行</t>
        </is>
      </c>
      <c r="Y1958" s="191" t="n">
        <v>0.76</v>
      </c>
    </row>
    <row r="1959">
      <c r="A1959" s="172" t="n">
        <v>104</v>
      </c>
      <c r="B1959" s="173" t="inlineStr">
        <is>
          <t>6月</t>
        </is>
      </c>
      <c r="C1959" s="173" t="inlineStr">
        <is>
          <t>消金</t>
        </is>
      </c>
      <c r="D1959" s="173" t="inlineStr">
        <is>
          <t>汽车融资租赁</t>
        </is>
      </c>
      <c r="E1959" s="173" t="inlineStr">
        <is>
          <t>尚乘1-2</t>
        </is>
      </c>
      <c r="F1959" s="173" t="inlineStr">
        <is>
          <t>上交所</t>
        </is>
      </c>
      <c r="G1959" s="173" t="inlineStr">
        <is>
          <t>国泰海通</t>
        </is>
      </c>
      <c r="H1959" s="173" t="inlineStr">
        <is>
          <t>兴业证券</t>
        </is>
      </c>
      <c r="I1959" s="173" t="inlineStr">
        <is>
          <t>青岛银行</t>
        </is>
      </c>
      <c r="J1959" s="172" t="n">
        <v>6.5</v>
      </c>
      <c r="K1959" s="173" t="inlineStr">
        <is>
          <t>0+49</t>
        </is>
      </c>
      <c r="L1959" s="202" t="n">
        <v>46198</v>
      </c>
      <c r="M1959" s="175" t="n">
        <v>0.0148</v>
      </c>
      <c r="N1959" s="176" t="n">
        <v>0.02775</v>
      </c>
      <c r="O1959" s="172" t="n">
        <v>1.95</v>
      </c>
      <c r="P1959" s="172" t="inlineStr">
        <is>
          <t>优先A2</t>
        </is>
      </c>
      <c r="Q1959" s="178" t="n">
        <v>0.3923</v>
      </c>
      <c r="R1959" s="179" t="n">
        <v>2.55</v>
      </c>
      <c r="S1959" s="177" t="inlineStr">
        <is>
          <t>AAA</t>
        </is>
      </c>
      <c r="T1959" s="178" t="n">
        <v>0.019</v>
      </c>
      <c r="U1959" s="177" t="inlineStr">
        <is>
          <t>中信证券投顾</t>
        </is>
      </c>
      <c r="V1959" s="192" t="n">
        <v>0.25</v>
      </c>
      <c r="W1959" s="172" t="n"/>
      <c r="X1959" s="172" t="n"/>
      <c r="Y1959" s="172" t="n"/>
    </row>
    <row r="1960">
      <c r="A1960" s="172" t="n">
        <v>104</v>
      </c>
      <c r="B1960" s="173" t="inlineStr">
        <is>
          <t>6月</t>
        </is>
      </c>
      <c r="C1960" s="173" t="inlineStr">
        <is>
          <t>消金</t>
        </is>
      </c>
      <c r="D1960" s="173" t="inlineStr">
        <is>
          <t>汽车融资租赁</t>
        </is>
      </c>
      <c r="E1960" s="173" t="inlineStr">
        <is>
          <t>尚乘1-2</t>
        </is>
      </c>
      <c r="F1960" s="173" t="inlineStr">
        <is>
          <t>上交所</t>
        </is>
      </c>
      <c r="G1960" s="173" t="inlineStr">
        <is>
          <t>国泰海通</t>
        </is>
      </c>
      <c r="H1960" s="173" t="inlineStr">
        <is>
          <t>兴业证券</t>
        </is>
      </c>
      <c r="I1960" s="173" t="inlineStr">
        <is>
          <t>青岛银行</t>
        </is>
      </c>
      <c r="J1960" s="172" t="n">
        <v>6.5</v>
      </c>
      <c r="K1960" s="173" t="inlineStr">
        <is>
          <t>0+49</t>
        </is>
      </c>
      <c r="L1960" s="202" t="n">
        <v>46198</v>
      </c>
      <c r="M1960" s="175" t="n">
        <v>0.0148</v>
      </c>
      <c r="N1960" s="176" t="n">
        <v>0.02775</v>
      </c>
      <c r="O1960" s="172" t="n">
        <v>1.95</v>
      </c>
      <c r="P1960" s="172" t="inlineStr">
        <is>
          <t>优先A2</t>
        </is>
      </c>
      <c r="Q1960" s="178" t="n">
        <v>0.3923</v>
      </c>
      <c r="R1960" s="179" t="n">
        <v>2.55</v>
      </c>
      <c r="S1960" s="177" t="inlineStr">
        <is>
          <t>AAA</t>
        </is>
      </c>
      <c r="T1960" s="178" t="n">
        <v>0.019</v>
      </c>
      <c r="U1960" s="177" t="inlineStr">
        <is>
          <t>广发证券资管</t>
        </is>
      </c>
      <c r="V1960" s="192" t="n">
        <v>0.14</v>
      </c>
      <c r="W1960" s="172" t="n"/>
      <c r="X1960" s="172" t="n"/>
      <c r="Y1960" s="172" t="n"/>
    </row>
    <row r="1961">
      <c r="A1961" s="172" t="n">
        <v>104</v>
      </c>
      <c r="B1961" s="172" t="inlineStr">
        <is>
          <t>6月</t>
        </is>
      </c>
      <c r="C1961" s="172" t="inlineStr">
        <is>
          <t>消金</t>
        </is>
      </c>
      <c r="D1961" s="172" t="inlineStr">
        <is>
          <t>汽车融资租赁</t>
        </is>
      </c>
      <c r="E1961" s="172" t="inlineStr">
        <is>
          <t>尚乘1-2</t>
        </is>
      </c>
      <c r="F1961" s="172" t="inlineStr">
        <is>
          <t>上交所</t>
        </is>
      </c>
      <c r="G1961" s="172" t="inlineStr">
        <is>
          <t>国泰海通</t>
        </is>
      </c>
      <c r="H1961" s="172" t="inlineStr">
        <is>
          <t>兴业证券</t>
        </is>
      </c>
      <c r="I1961" s="172" t="inlineStr">
        <is>
          <t>青岛银行</t>
        </is>
      </c>
      <c r="J1961" s="172" t="n">
        <v>6.5</v>
      </c>
      <c r="K1961" s="172" t="inlineStr">
        <is>
          <t>0+49</t>
        </is>
      </c>
      <c r="L1961" s="208" t="n">
        <v>46198</v>
      </c>
      <c r="M1961" s="175" t="n">
        <v>0.0148</v>
      </c>
      <c r="N1961" s="176" t="n">
        <v>0.02775</v>
      </c>
      <c r="O1961" s="172" t="n">
        <v>1.95</v>
      </c>
      <c r="P1961" s="172" t="inlineStr">
        <is>
          <t>优先A2</t>
        </is>
      </c>
      <c r="Q1961" s="175" t="n">
        <v>0.3923</v>
      </c>
      <c r="R1961" s="192" t="n">
        <v>2.55</v>
      </c>
      <c r="S1961" s="172" t="inlineStr">
        <is>
          <t>AAA</t>
        </is>
      </c>
      <c r="T1961" s="175" t="n">
        <v>0.019</v>
      </c>
      <c r="U1961" s="172" t="n"/>
      <c r="V1961" s="172" t="n"/>
      <c r="W1961" s="175" t="n">
        <v>0.019</v>
      </c>
      <c r="X1961" s="172" t="inlineStr">
        <is>
          <t>中信投顾</t>
        </is>
      </c>
      <c r="Y1961" s="191" t="n">
        <v>0.26</v>
      </c>
    </row>
    <row r="1962">
      <c r="A1962" s="172" t="n">
        <v>104</v>
      </c>
      <c r="B1962" s="172" t="inlineStr">
        <is>
          <t>6月</t>
        </is>
      </c>
      <c r="C1962" s="172" t="inlineStr">
        <is>
          <t>消金</t>
        </is>
      </c>
      <c r="D1962" s="172" t="inlineStr">
        <is>
          <t>汽车融资租赁</t>
        </is>
      </c>
      <c r="E1962" s="172" t="inlineStr">
        <is>
          <t>尚乘1-2</t>
        </is>
      </c>
      <c r="F1962" s="172" t="inlineStr">
        <is>
          <t>上交所</t>
        </is>
      </c>
      <c r="G1962" s="172" t="inlineStr">
        <is>
          <t>国泰海通</t>
        </is>
      </c>
      <c r="H1962" s="172" t="inlineStr">
        <is>
          <t>兴业证券</t>
        </is>
      </c>
      <c r="I1962" s="172" t="inlineStr">
        <is>
          <t>青岛银行</t>
        </is>
      </c>
      <c r="J1962" s="172" t="n">
        <v>6.5</v>
      </c>
      <c r="K1962" s="172" t="inlineStr">
        <is>
          <t>0+49</t>
        </is>
      </c>
      <c r="L1962" s="208" t="n">
        <v>46198</v>
      </c>
      <c r="M1962" s="175" t="n">
        <v>0.0148</v>
      </c>
      <c r="N1962" s="176" t="n">
        <v>0.02775</v>
      </c>
      <c r="O1962" s="172" t="n">
        <v>1.95</v>
      </c>
      <c r="P1962" s="172" t="inlineStr">
        <is>
          <t>优先A2</t>
        </is>
      </c>
      <c r="Q1962" s="175" t="n">
        <v>0.3923</v>
      </c>
      <c r="R1962" s="192" t="n">
        <v>2.55</v>
      </c>
      <c r="S1962" s="172" t="inlineStr">
        <is>
          <t>AAA</t>
        </is>
      </c>
      <c r="T1962" s="175" t="n">
        <v>0.019</v>
      </c>
      <c r="U1962" s="172" t="n"/>
      <c r="V1962" s="172" t="n"/>
      <c r="W1962" s="175" t="n">
        <v>0.019</v>
      </c>
      <c r="X1962" s="172" t="inlineStr">
        <is>
          <t>广发资管</t>
        </is>
      </c>
      <c r="Y1962" s="191" t="n">
        <v>0.2</v>
      </c>
    </row>
    <row r="1963">
      <c r="A1963" s="172" t="n">
        <v>104</v>
      </c>
      <c r="B1963" s="172" t="inlineStr">
        <is>
          <t>6月</t>
        </is>
      </c>
      <c r="C1963" s="172" t="inlineStr">
        <is>
          <t>消金</t>
        </is>
      </c>
      <c r="D1963" s="172" t="inlineStr">
        <is>
          <t>汽车融资租赁</t>
        </is>
      </c>
      <c r="E1963" s="172" t="inlineStr">
        <is>
          <t>尚乘1-2</t>
        </is>
      </c>
      <c r="F1963" s="172" t="inlineStr">
        <is>
          <t>上交所</t>
        </is>
      </c>
      <c r="G1963" s="172" t="inlineStr">
        <is>
          <t>国泰海通</t>
        </is>
      </c>
      <c r="H1963" s="172" t="inlineStr">
        <is>
          <t>兴业证券</t>
        </is>
      </c>
      <c r="I1963" s="172" t="inlineStr">
        <is>
          <t>青岛银行</t>
        </is>
      </c>
      <c r="J1963" s="172" t="n">
        <v>6.5</v>
      </c>
      <c r="K1963" s="172" t="inlineStr">
        <is>
          <t>0+49</t>
        </is>
      </c>
      <c r="L1963" s="208" t="n">
        <v>46198</v>
      </c>
      <c r="M1963" s="175" t="n">
        <v>0.0148</v>
      </c>
      <c r="N1963" s="176" t="n">
        <v>0.02775</v>
      </c>
      <c r="O1963" s="172" t="n">
        <v>1.95</v>
      </c>
      <c r="P1963" s="172" t="inlineStr">
        <is>
          <t>优先A2</t>
        </is>
      </c>
      <c r="Q1963" s="175" t="n">
        <v>0.3923</v>
      </c>
      <c r="R1963" s="192" t="n">
        <v>2.55</v>
      </c>
      <c r="S1963" s="172" t="inlineStr">
        <is>
          <t>AAA</t>
        </is>
      </c>
      <c r="T1963" s="175" t="n">
        <v>0.019</v>
      </c>
      <c r="U1963" s="172" t="n"/>
      <c r="V1963" s="172" t="n"/>
      <c r="W1963" s="175" t="n">
        <v>0.029</v>
      </c>
      <c r="X1963" s="172" t="inlineStr">
        <is>
          <t>财通资管</t>
        </is>
      </c>
      <c r="Y1963" s="191" t="n">
        <v>0.33</v>
      </c>
    </row>
    <row r="1964">
      <c r="A1964" s="172" t="n">
        <v>104</v>
      </c>
      <c r="B1964" s="173" t="inlineStr">
        <is>
          <t>6月</t>
        </is>
      </c>
      <c r="C1964" s="173" t="inlineStr">
        <is>
          <t>消金</t>
        </is>
      </c>
      <c r="D1964" s="173" t="inlineStr">
        <is>
          <t>汽车融资租赁</t>
        </is>
      </c>
      <c r="E1964" s="173" t="inlineStr">
        <is>
          <t>尚乘1-2</t>
        </is>
      </c>
      <c r="F1964" s="173" t="inlineStr">
        <is>
          <t>上交所</t>
        </is>
      </c>
      <c r="G1964" s="173" t="inlineStr">
        <is>
          <t>国泰海通</t>
        </is>
      </c>
      <c r="H1964" s="173" t="inlineStr">
        <is>
          <t>兴业证券</t>
        </is>
      </c>
      <c r="I1964" s="173" t="inlineStr">
        <is>
          <t>青岛银行</t>
        </is>
      </c>
      <c r="J1964" s="172" t="n">
        <v>6.5</v>
      </c>
      <c r="K1964" s="173" t="inlineStr">
        <is>
          <t>0+49</t>
        </is>
      </c>
      <c r="L1964" s="202" t="n">
        <v>46198</v>
      </c>
      <c r="M1964" s="175" t="n">
        <v>0.0148</v>
      </c>
      <c r="N1964" s="176" t="n">
        <v>0.02775</v>
      </c>
      <c r="O1964" s="172" t="n">
        <v>1.95</v>
      </c>
      <c r="P1964" s="177" t="inlineStr">
        <is>
          <t>优先B</t>
        </is>
      </c>
      <c r="Q1964" s="178" t="inlineStr">
        <is>
          <t>12.31%，</t>
        </is>
      </c>
      <c r="R1964" s="179" t="n">
        <v>0.8</v>
      </c>
      <c r="S1964" s="177" t="inlineStr">
        <is>
          <t>AA+</t>
        </is>
      </c>
      <c r="T1964" s="178" t="n">
        <v>0.031</v>
      </c>
      <c r="U1964" s="177" t="inlineStr">
        <is>
          <t>重庆富民银行</t>
        </is>
      </c>
      <c r="V1964" s="192" t="n">
        <v>0.16</v>
      </c>
      <c r="W1964" s="172" t="n"/>
      <c r="X1964" s="172" t="n"/>
      <c r="Y1964" s="172" t="n"/>
    </row>
    <row r="1965">
      <c r="A1965" s="172" t="n">
        <v>104</v>
      </c>
      <c r="B1965" s="173" t="inlineStr">
        <is>
          <t>6月</t>
        </is>
      </c>
      <c r="C1965" s="173" t="inlineStr">
        <is>
          <t>消金</t>
        </is>
      </c>
      <c r="D1965" s="173" t="inlineStr">
        <is>
          <t>汽车融资租赁</t>
        </is>
      </c>
      <c r="E1965" s="173" t="inlineStr">
        <is>
          <t>尚乘1-2</t>
        </is>
      </c>
      <c r="F1965" s="173" t="inlineStr">
        <is>
          <t>上交所</t>
        </is>
      </c>
      <c r="G1965" s="173" t="inlineStr">
        <is>
          <t>国泰海通</t>
        </is>
      </c>
      <c r="H1965" s="173" t="inlineStr">
        <is>
          <t>兴业证券</t>
        </is>
      </c>
      <c r="I1965" s="173" t="inlineStr">
        <is>
          <t>青岛银行</t>
        </is>
      </c>
      <c r="J1965" s="172" t="n">
        <v>6.5</v>
      </c>
      <c r="K1965" s="173" t="inlineStr">
        <is>
          <t>0+49</t>
        </is>
      </c>
      <c r="L1965" s="202" t="n">
        <v>46198</v>
      </c>
      <c r="M1965" s="175" t="n">
        <v>0.0148</v>
      </c>
      <c r="N1965" s="176" t="n">
        <v>0.02775</v>
      </c>
      <c r="O1965" s="172" t="n">
        <v>1.95</v>
      </c>
      <c r="P1965" s="172" t="inlineStr">
        <is>
          <t>优先B</t>
        </is>
      </c>
      <c r="Q1965" s="178" t="inlineStr">
        <is>
          <t>12.31%，</t>
        </is>
      </c>
      <c r="R1965" s="179" t="n">
        <v>0.8</v>
      </c>
      <c r="S1965" s="177" t="inlineStr">
        <is>
          <t>AA+</t>
        </is>
      </c>
      <c r="T1965" s="178" t="n">
        <v>0.031</v>
      </c>
      <c r="U1965" s="177" t="inlineStr">
        <is>
          <t>中金投顾</t>
        </is>
      </c>
      <c r="V1965" s="192" t="n">
        <v>0.2</v>
      </c>
      <c r="W1965" s="172" t="n"/>
      <c r="X1965" s="172" t="n"/>
      <c r="Y1965" s="172" t="n"/>
    </row>
    <row r="1966">
      <c r="A1966" s="172" t="n">
        <v>104</v>
      </c>
      <c r="B1966" s="173" t="inlineStr">
        <is>
          <t>6月</t>
        </is>
      </c>
      <c r="C1966" s="173" t="inlineStr">
        <is>
          <t>消金</t>
        </is>
      </c>
      <c r="D1966" s="173" t="inlineStr">
        <is>
          <t>汽车融资租赁</t>
        </is>
      </c>
      <c r="E1966" s="173" t="inlineStr">
        <is>
          <t>尚乘1-2</t>
        </is>
      </c>
      <c r="F1966" s="173" t="inlineStr">
        <is>
          <t>上交所</t>
        </is>
      </c>
      <c r="G1966" s="173" t="inlineStr">
        <is>
          <t>国泰海通</t>
        </is>
      </c>
      <c r="H1966" s="173" t="inlineStr">
        <is>
          <t>兴业证券</t>
        </is>
      </c>
      <c r="I1966" s="173" t="inlineStr">
        <is>
          <t>青岛银行</t>
        </is>
      </c>
      <c r="J1966" s="172" t="n">
        <v>6.5</v>
      </c>
      <c r="K1966" s="173" t="inlineStr">
        <is>
          <t>0+49</t>
        </is>
      </c>
      <c r="L1966" s="202" t="n">
        <v>46198</v>
      </c>
      <c r="M1966" s="175" t="n">
        <v>0.0148</v>
      </c>
      <c r="N1966" s="176" t="n">
        <v>0.02775</v>
      </c>
      <c r="O1966" s="172" t="n">
        <v>1.95</v>
      </c>
      <c r="P1966" s="172" t="inlineStr">
        <is>
          <t>优先B</t>
        </is>
      </c>
      <c r="Q1966" s="178" t="inlineStr">
        <is>
          <t>12.31%，</t>
        </is>
      </c>
      <c r="R1966" s="179" t="n">
        <v>0.8</v>
      </c>
      <c r="S1966" s="177" t="inlineStr">
        <is>
          <t>AA+</t>
        </is>
      </c>
      <c r="T1966" s="178" t="n">
        <v>0.031</v>
      </c>
      <c r="U1966" s="177" t="inlineStr">
        <is>
          <t>广发证券资管</t>
        </is>
      </c>
      <c r="V1966" s="192" t="n">
        <v>0.1</v>
      </c>
      <c r="W1966" s="172" t="n"/>
      <c r="X1966" s="172" t="n"/>
      <c r="Y1966" s="172" t="n"/>
    </row>
    <row r="1967">
      <c r="A1967" s="172" t="n">
        <v>104</v>
      </c>
      <c r="B1967" s="173" t="inlineStr">
        <is>
          <t>6月</t>
        </is>
      </c>
      <c r="C1967" s="173" t="inlineStr">
        <is>
          <t>消金</t>
        </is>
      </c>
      <c r="D1967" s="173" t="inlineStr">
        <is>
          <t>汽车融资租赁</t>
        </is>
      </c>
      <c r="E1967" s="173" t="inlineStr">
        <is>
          <t>尚乘1-2</t>
        </is>
      </c>
      <c r="F1967" s="173" t="inlineStr">
        <is>
          <t>上交所</t>
        </is>
      </c>
      <c r="G1967" s="173" t="inlineStr">
        <is>
          <t>国泰海通</t>
        </is>
      </c>
      <c r="H1967" s="173" t="inlineStr">
        <is>
          <t>兴业证券</t>
        </is>
      </c>
      <c r="I1967" s="173" t="inlineStr">
        <is>
          <t>青岛银行</t>
        </is>
      </c>
      <c r="J1967" s="172" t="n">
        <v>6.5</v>
      </c>
      <c r="K1967" s="173" t="inlineStr">
        <is>
          <t>0+49</t>
        </is>
      </c>
      <c r="L1967" s="202" t="n">
        <v>46198</v>
      </c>
      <c r="M1967" s="175" t="n">
        <v>0.0148</v>
      </c>
      <c r="N1967" s="176" t="n">
        <v>0.02775</v>
      </c>
      <c r="O1967" s="172" t="n">
        <v>1.95</v>
      </c>
      <c r="P1967" s="172" t="inlineStr">
        <is>
          <t>优先B</t>
        </is>
      </c>
      <c r="Q1967" s="178" t="inlineStr">
        <is>
          <t>12.31%，</t>
        </is>
      </c>
      <c r="R1967" s="179" t="n">
        <v>0.8</v>
      </c>
      <c r="S1967" s="177" t="inlineStr">
        <is>
          <t>AA+</t>
        </is>
      </c>
      <c r="T1967" s="178" t="n">
        <v>0.031</v>
      </c>
      <c r="U1967" s="177" t="inlineStr">
        <is>
          <t>南海农商资管</t>
        </is>
      </c>
      <c r="V1967" s="192" t="n">
        <v>0.1</v>
      </c>
      <c r="W1967" s="172" t="n"/>
      <c r="X1967" s="172" t="n"/>
      <c r="Y1967" s="172" t="n"/>
    </row>
    <row r="1968">
      <c r="A1968" s="172" t="n">
        <v>104</v>
      </c>
      <c r="B1968" s="173" t="inlineStr">
        <is>
          <t>6月</t>
        </is>
      </c>
      <c r="C1968" s="173" t="inlineStr">
        <is>
          <t>消金</t>
        </is>
      </c>
      <c r="D1968" s="173" t="inlineStr">
        <is>
          <t>汽车融资租赁</t>
        </is>
      </c>
      <c r="E1968" s="173" t="inlineStr">
        <is>
          <t>尚乘1-2</t>
        </is>
      </c>
      <c r="F1968" s="173" t="inlineStr">
        <is>
          <t>上交所</t>
        </is>
      </c>
      <c r="G1968" s="173" t="inlineStr">
        <is>
          <t>国泰海通</t>
        </is>
      </c>
      <c r="H1968" s="173" t="inlineStr">
        <is>
          <t>兴业证券</t>
        </is>
      </c>
      <c r="I1968" s="173" t="inlineStr">
        <is>
          <t>青岛银行</t>
        </is>
      </c>
      <c r="J1968" s="172" t="n">
        <v>6.5</v>
      </c>
      <c r="K1968" s="173" t="inlineStr">
        <is>
          <t>0+49</t>
        </is>
      </c>
      <c r="L1968" s="202" t="n">
        <v>46198</v>
      </c>
      <c r="M1968" s="175" t="n">
        <v>0.0148</v>
      </c>
      <c r="N1968" s="176" t="n">
        <v>0.02775</v>
      </c>
      <c r="O1968" s="172" t="n">
        <v>1.95</v>
      </c>
      <c r="P1968" s="172" t="inlineStr">
        <is>
          <t>优先B</t>
        </is>
      </c>
      <c r="Q1968" s="178" t="inlineStr">
        <is>
          <t>12.31%，</t>
        </is>
      </c>
      <c r="R1968" s="179" t="n">
        <v>0.8</v>
      </c>
      <c r="S1968" s="177" t="inlineStr">
        <is>
          <t>AA+</t>
        </is>
      </c>
      <c r="T1968" s="178" t="n">
        <v>0.031</v>
      </c>
      <c r="U1968" s="177" t="inlineStr">
        <is>
          <t>紫金信托</t>
        </is>
      </c>
      <c r="V1968" s="192" t="n">
        <v>0.2</v>
      </c>
      <c r="W1968" s="172" t="n"/>
      <c r="X1968" s="172" t="n"/>
      <c r="Y1968" s="172" t="n"/>
    </row>
    <row r="1969">
      <c r="A1969" s="172" t="n">
        <v>104</v>
      </c>
      <c r="B1969" s="173" t="inlineStr">
        <is>
          <t>6月</t>
        </is>
      </c>
      <c r="C1969" s="173" t="inlineStr">
        <is>
          <t>消金</t>
        </is>
      </c>
      <c r="D1969" s="173" t="inlineStr">
        <is>
          <t>汽车融资租赁</t>
        </is>
      </c>
      <c r="E1969" s="173" t="inlineStr">
        <is>
          <t>尚乘1-2</t>
        </is>
      </c>
      <c r="F1969" s="173" t="inlineStr">
        <is>
          <t>上交所</t>
        </is>
      </c>
      <c r="G1969" s="173" t="inlineStr">
        <is>
          <t>国泰海通</t>
        </is>
      </c>
      <c r="H1969" s="173" t="inlineStr">
        <is>
          <t>兴业证券</t>
        </is>
      </c>
      <c r="I1969" s="173" t="inlineStr">
        <is>
          <t>青岛银行</t>
        </is>
      </c>
      <c r="J1969" s="172" t="n">
        <v>6.5</v>
      </c>
      <c r="K1969" s="173" t="inlineStr">
        <is>
          <t>0+49</t>
        </is>
      </c>
      <c r="L1969" s="202" t="n">
        <v>46198</v>
      </c>
      <c r="M1969" s="175" t="n">
        <v>0.0148</v>
      </c>
      <c r="N1969" s="176" t="n">
        <v>0.02775</v>
      </c>
      <c r="O1969" s="172" t="n">
        <v>1.95</v>
      </c>
      <c r="P1969" s="172" t="inlineStr">
        <is>
          <t>优先B</t>
        </is>
      </c>
      <c r="Q1969" s="178" t="inlineStr">
        <is>
          <t>12.31%，</t>
        </is>
      </c>
      <c r="R1969" s="179" t="n">
        <v>0.8</v>
      </c>
      <c r="S1969" s="177" t="inlineStr">
        <is>
          <t>AA+</t>
        </is>
      </c>
      <c r="T1969" s="178" t="n">
        <v>0.031</v>
      </c>
      <c r="U1969" s="177" t="inlineStr">
        <is>
          <t>京东租赁</t>
        </is>
      </c>
      <c r="V1969" s="192" t="n">
        <v>0.04</v>
      </c>
      <c r="W1969" s="172" t="n"/>
      <c r="X1969" s="172" t="n"/>
      <c r="Y1969" s="172" t="n"/>
    </row>
    <row r="1970">
      <c r="A1970" s="172" t="n">
        <v>104</v>
      </c>
      <c r="B1970" s="173" t="inlineStr">
        <is>
          <t>6月</t>
        </is>
      </c>
      <c r="C1970" s="173" t="inlineStr">
        <is>
          <t>消金</t>
        </is>
      </c>
      <c r="D1970" s="173" t="inlineStr">
        <is>
          <t>汽车融资租赁</t>
        </is>
      </c>
      <c r="E1970" s="173" t="inlineStr">
        <is>
          <t>尚乘1-2</t>
        </is>
      </c>
      <c r="F1970" s="173" t="inlineStr">
        <is>
          <t>上交所</t>
        </is>
      </c>
      <c r="G1970" s="173" t="inlineStr">
        <is>
          <t>国泰海通</t>
        </is>
      </c>
      <c r="H1970" s="173" t="inlineStr">
        <is>
          <t>兴业证券</t>
        </is>
      </c>
      <c r="I1970" s="173" t="inlineStr">
        <is>
          <t>青岛银行</t>
        </is>
      </c>
      <c r="J1970" s="172" t="n">
        <v>6.5</v>
      </c>
      <c r="K1970" s="173" t="inlineStr">
        <is>
          <t>0+49</t>
        </is>
      </c>
      <c r="L1970" s="202" t="n">
        <v>46198</v>
      </c>
      <c r="M1970" s="175" t="n">
        <v>0.0148</v>
      </c>
      <c r="N1970" s="176" t="n">
        <v>0.02775</v>
      </c>
      <c r="O1970" s="172" t="n">
        <v>1.95</v>
      </c>
      <c r="P1970" s="177" t="inlineStr">
        <is>
          <t>次级</t>
        </is>
      </c>
      <c r="Q1970" s="178" t="n">
        <v>0.1231</v>
      </c>
      <c r="R1970" s="179" t="n">
        <v>0.8</v>
      </c>
      <c r="S1970" s="177" t="inlineStr">
        <is>
          <t>无</t>
        </is>
      </c>
      <c r="T1970" s="178" t="n">
        <v>0.052</v>
      </c>
      <c r="U1970" s="177" t="inlineStr">
        <is>
          <t>东家铂睿</t>
        </is>
      </c>
      <c r="V1970" s="192" t="n">
        <v>0.2</v>
      </c>
      <c r="W1970" s="172" t="n"/>
      <c r="X1970" s="172" t="n"/>
      <c r="Y1970" s="172" t="n"/>
    </row>
    <row r="1971">
      <c r="A1971" s="172" t="n">
        <v>104</v>
      </c>
      <c r="B1971" s="173" t="inlineStr">
        <is>
          <t>6月</t>
        </is>
      </c>
      <c r="C1971" s="173" t="inlineStr">
        <is>
          <t>消金</t>
        </is>
      </c>
      <c r="D1971" s="173" t="inlineStr">
        <is>
          <t>汽车融资租赁</t>
        </is>
      </c>
      <c r="E1971" s="173" t="inlineStr">
        <is>
          <t>尚乘1-2</t>
        </is>
      </c>
      <c r="F1971" s="173" t="inlineStr">
        <is>
          <t>上交所</t>
        </is>
      </c>
      <c r="G1971" s="173" t="inlineStr">
        <is>
          <t>国泰海通</t>
        </is>
      </c>
      <c r="H1971" s="173" t="inlineStr">
        <is>
          <t>兴业证券</t>
        </is>
      </c>
      <c r="I1971" s="173" t="inlineStr">
        <is>
          <t>青岛银行</t>
        </is>
      </c>
      <c r="J1971" s="172" t="n">
        <v>6.5</v>
      </c>
      <c r="K1971" s="173" t="inlineStr">
        <is>
          <t>0+49</t>
        </is>
      </c>
      <c r="L1971" s="202" t="n">
        <v>46198</v>
      </c>
      <c r="M1971" s="175" t="n">
        <v>0.0148</v>
      </c>
      <c r="N1971" s="176" t="n">
        <v>0.02775</v>
      </c>
      <c r="O1971" s="172" t="n">
        <v>1.95</v>
      </c>
      <c r="P1971" s="172" t="inlineStr">
        <is>
          <t>次级</t>
        </is>
      </c>
      <c r="Q1971" s="178" t="n">
        <v>0.1231</v>
      </c>
      <c r="R1971" s="179" t="n">
        <v>0.8</v>
      </c>
      <c r="S1971" s="177" t="inlineStr">
        <is>
          <t>无</t>
        </is>
      </c>
      <c r="T1971" s="178" t="n">
        <v>0.052</v>
      </c>
      <c r="U1971" s="177" t="inlineStr">
        <is>
          <t>朗资韩亚</t>
        </is>
      </c>
      <c r="V1971" s="192" t="n">
        <v>0.46</v>
      </c>
      <c r="W1971" s="172" t="n"/>
      <c r="X1971" s="172" t="n"/>
      <c r="Y1971" s="172" t="n"/>
    </row>
    <row r="1972">
      <c r="A1972" s="172" t="n">
        <v>104</v>
      </c>
      <c r="B1972" s="173" t="inlineStr">
        <is>
          <t>6月</t>
        </is>
      </c>
      <c r="C1972" s="173" t="inlineStr">
        <is>
          <t>消金</t>
        </is>
      </c>
      <c r="D1972" s="173" t="inlineStr">
        <is>
          <t>汽车融资租赁</t>
        </is>
      </c>
      <c r="E1972" s="173" t="inlineStr">
        <is>
          <t>尚乘1-2</t>
        </is>
      </c>
      <c r="F1972" s="173" t="inlineStr">
        <is>
          <t>上交所</t>
        </is>
      </c>
      <c r="G1972" s="173" t="inlineStr">
        <is>
          <t>国泰海通</t>
        </is>
      </c>
      <c r="H1972" s="173" t="inlineStr">
        <is>
          <t>兴业证券</t>
        </is>
      </c>
      <c r="I1972" s="173" t="inlineStr">
        <is>
          <t>青岛银行</t>
        </is>
      </c>
      <c r="J1972" s="172" t="n">
        <v>6.5</v>
      </c>
      <c r="K1972" s="173" t="inlineStr">
        <is>
          <t>0+49</t>
        </is>
      </c>
      <c r="L1972" s="202" t="n">
        <v>46198</v>
      </c>
      <c r="M1972" s="175" t="n">
        <v>0.0148</v>
      </c>
      <c r="N1972" s="176" t="n">
        <v>0.02775</v>
      </c>
      <c r="O1972" s="172" t="n">
        <v>1.95</v>
      </c>
      <c r="P1972" s="172" t="inlineStr">
        <is>
          <t>次级</t>
        </is>
      </c>
      <c r="Q1972" s="178" t="n">
        <v>0.1231</v>
      </c>
      <c r="R1972" s="179" t="n">
        <v>0.8</v>
      </c>
      <c r="S1972" s="177" t="inlineStr">
        <is>
          <t>无</t>
        </is>
      </c>
      <c r="T1972" s="178" t="n">
        <v>0.052</v>
      </c>
      <c r="U1972" s="177" t="inlineStr">
        <is>
          <t>思达星汇</t>
        </is>
      </c>
      <c r="V1972" s="192" t="n">
        <v>0.1</v>
      </c>
      <c r="W1972" s="172" t="n"/>
      <c r="X1972" s="172" t="n"/>
      <c r="Y1972" s="172" t="n"/>
    </row>
    <row r="1973">
      <c r="A1973" s="172" t="n">
        <v>104</v>
      </c>
      <c r="B1973" s="173" t="inlineStr">
        <is>
          <t>6月</t>
        </is>
      </c>
      <c r="C1973" s="173" t="inlineStr">
        <is>
          <t>消金</t>
        </is>
      </c>
      <c r="D1973" s="173" t="inlineStr">
        <is>
          <t>汽车融资租赁</t>
        </is>
      </c>
      <c r="E1973" s="173" t="inlineStr">
        <is>
          <t>尚乘1-2</t>
        </is>
      </c>
      <c r="F1973" s="173" t="inlineStr">
        <is>
          <t>上交所</t>
        </is>
      </c>
      <c r="G1973" s="173" t="inlineStr">
        <is>
          <t>国泰海通</t>
        </is>
      </c>
      <c r="H1973" s="173" t="inlineStr">
        <is>
          <t>兴业证券</t>
        </is>
      </c>
      <c r="I1973" s="173" t="inlineStr">
        <is>
          <t>青岛银行</t>
        </is>
      </c>
      <c r="J1973" s="172" t="n">
        <v>6.5</v>
      </c>
      <c r="K1973" s="173" t="inlineStr">
        <is>
          <t>0+49</t>
        </is>
      </c>
      <c r="L1973" s="202" t="n">
        <v>46198</v>
      </c>
      <c r="M1973" s="175" t="n">
        <v>0.0148</v>
      </c>
      <c r="N1973" s="176" t="n">
        <v>0.02775</v>
      </c>
      <c r="O1973" s="172" t="n">
        <v>1.95</v>
      </c>
      <c r="P1973" s="172" t="inlineStr">
        <is>
          <t>次级</t>
        </is>
      </c>
      <c r="Q1973" s="178" t="n">
        <v>0.1231</v>
      </c>
      <c r="R1973" s="179" t="n">
        <v>0.8</v>
      </c>
      <c r="S1973" s="177" t="inlineStr">
        <is>
          <t>无</t>
        </is>
      </c>
      <c r="T1973" s="178" t="n">
        <v>0.052</v>
      </c>
      <c r="U1973" s="177" t="inlineStr">
        <is>
          <t>京东租赁</t>
        </is>
      </c>
      <c r="V1973" s="192" t="n">
        <v>0.04</v>
      </c>
      <c r="W1973" s="172" t="n"/>
      <c r="X1973" s="172" t="n"/>
      <c r="Y1973" s="172" t="n"/>
    </row>
    <row r="1974">
      <c r="A1974" s="172" t="n">
        <v>105</v>
      </c>
      <c r="B1974" s="173" t="inlineStr">
        <is>
          <t>6月</t>
        </is>
      </c>
      <c r="C1974" s="173" t="inlineStr">
        <is>
          <t>消金</t>
        </is>
      </c>
      <c r="D1974" s="173" t="inlineStr">
        <is>
          <t>信托白条</t>
        </is>
      </c>
      <c r="E1974" s="173" t="inlineStr">
        <is>
          <t>钰泽5-1</t>
        </is>
      </c>
      <c r="F1974" s="173" t="inlineStr">
        <is>
          <t>非标</t>
        </is>
      </c>
      <c r="G1974" s="173" t="inlineStr">
        <is>
          <t>西藏信托</t>
        </is>
      </c>
      <c r="H1974" s="173" t="inlineStr">
        <is>
          <t>-</t>
        </is>
      </c>
      <c r="I1974" s="173" t="inlineStr">
        <is>
          <t>中行北分</t>
        </is>
      </c>
      <c r="J1974" s="172" t="n">
        <v>6</v>
      </c>
      <c r="K1974" s="173" t="inlineStr">
        <is>
          <t>6+18</t>
        </is>
      </c>
      <c r="L1974" s="202" t="n">
        <v>46198</v>
      </c>
      <c r="M1974" s="175" t="n">
        <v>0.0148</v>
      </c>
      <c r="N1974" s="176" t="n">
        <v>0.02905</v>
      </c>
      <c r="O1974" s="172" t="inlineStr">
        <is>
          <t>-</t>
        </is>
      </c>
      <c r="P1974" s="177" t="inlineStr">
        <is>
          <t>平层</t>
        </is>
      </c>
      <c r="Q1974" s="178" t="inlineStr">
        <is>
          <t>-</t>
        </is>
      </c>
      <c r="R1974" s="192" t="n">
        <v>6</v>
      </c>
      <c r="S1974" s="177" t="inlineStr">
        <is>
          <t>无</t>
        </is>
      </c>
      <c r="T1974" s="178" t="n">
        <v>0.026</v>
      </c>
      <c r="U1974" s="177" t="inlineStr">
        <is>
          <t>中邮理财</t>
        </is>
      </c>
      <c r="V1974" s="191" t="n">
        <v>6</v>
      </c>
      <c r="W1974" s="172" t="n"/>
      <c r="X1974" s="172" t="n"/>
      <c r="Y1974" s="172" t="n"/>
    </row>
    <row r="1975">
      <c r="A1975" s="172" t="n">
        <v>106</v>
      </c>
      <c r="B1975" s="173" t="inlineStr">
        <is>
          <t>6月</t>
        </is>
      </c>
      <c r="C1975" s="173" t="inlineStr">
        <is>
          <t>消金</t>
        </is>
      </c>
      <c r="D1975" s="173" t="inlineStr">
        <is>
          <t>信托白条</t>
        </is>
      </c>
      <c r="E1975" s="173" t="inlineStr">
        <is>
          <t>钰泽5-2</t>
        </is>
      </c>
      <c r="F1975" s="173" t="inlineStr">
        <is>
          <t>非标</t>
        </is>
      </c>
      <c r="G1975" s="173" t="inlineStr">
        <is>
          <t>西藏信托</t>
        </is>
      </c>
      <c r="H1975" s="173" t="inlineStr">
        <is>
          <t>-</t>
        </is>
      </c>
      <c r="I1975" s="173" t="inlineStr">
        <is>
          <t>中行北分</t>
        </is>
      </c>
      <c r="J1975" s="172" t="n">
        <v>8.1</v>
      </c>
      <c r="K1975" s="173" t="inlineStr">
        <is>
          <t>6+18</t>
        </is>
      </c>
      <c r="L1975" s="202" t="n">
        <v>46199</v>
      </c>
      <c r="M1975" s="175" t="n">
        <v>0.0148</v>
      </c>
      <c r="N1975" s="176" t="n">
        <v>0.02905</v>
      </c>
      <c r="O1975" s="172" t="inlineStr">
        <is>
          <t>-</t>
        </is>
      </c>
      <c r="P1975" s="177" t="inlineStr">
        <is>
          <t>平层</t>
        </is>
      </c>
      <c r="Q1975" s="178" t="inlineStr">
        <is>
          <t>-</t>
        </is>
      </c>
      <c r="R1975" s="192" t="n">
        <v>8.1</v>
      </c>
      <c r="S1975" s="177" t="inlineStr">
        <is>
          <t>无</t>
        </is>
      </c>
      <c r="T1975" s="178" t="n">
        <v>0.026</v>
      </c>
      <c r="U1975" s="177" t="inlineStr">
        <is>
          <t>中邮理财</t>
        </is>
      </c>
      <c r="V1975" s="191" t="n">
        <v>8.1</v>
      </c>
      <c r="W1975" s="172" t="n"/>
      <c r="X1975" s="172" t="n"/>
      <c r="Y1975" s="172" t="n"/>
    </row>
    <row r="1976">
      <c r="A1976" s="172" t="n">
        <v>107</v>
      </c>
      <c r="B1976" s="172" t="inlineStr">
        <is>
          <t>6月</t>
        </is>
      </c>
      <c r="C1976" s="173" t="inlineStr">
        <is>
          <t>消金</t>
        </is>
      </c>
      <c r="D1976" s="173" t="inlineStr">
        <is>
          <t>金条&amp;白取混发</t>
        </is>
      </c>
      <c r="E1976" s="173" t="inlineStr">
        <is>
          <t>东樾4号夏樾（4-2）</t>
        </is>
      </c>
      <c r="F1976" s="173" t="inlineStr">
        <is>
          <t>银行间</t>
        </is>
      </c>
      <c r="G1976" s="173" t="inlineStr">
        <is>
          <t>招商证券</t>
        </is>
      </c>
      <c r="H1976" s="173" t="inlineStr">
        <is>
          <t>国泰海通/光大证券/中信证券/国信证券</t>
        </is>
      </c>
      <c r="I1976" s="173" t="inlineStr">
        <is>
          <t>中行北分</t>
        </is>
      </c>
      <c r="J1976" s="172" t="n">
        <v>10</v>
      </c>
      <c r="K1976" s="173" t="inlineStr">
        <is>
          <t>12+10+12</t>
        </is>
      </c>
      <c r="L1976" s="202" t="n">
        <v>46199</v>
      </c>
      <c r="M1976" s="175" t="n">
        <v>0.0148</v>
      </c>
      <c r="N1976" s="176" t="n">
        <v>0.02131</v>
      </c>
      <c r="O1976" s="172" t="n">
        <v>1.5</v>
      </c>
      <c r="P1976" s="177" t="inlineStr">
        <is>
          <t>优先A</t>
        </is>
      </c>
      <c r="Q1976" s="178" t="n">
        <v>0.9</v>
      </c>
      <c r="R1976" s="179">
        <f>Q1303*J1303</f>
        <v/>
      </c>
      <c r="S1976" s="177" t="inlineStr">
        <is>
          <t>AAA</t>
        </is>
      </c>
      <c r="T1976" s="178" t="n">
        <v>0.0165</v>
      </c>
      <c r="U1976" s="177" t="inlineStr">
        <is>
          <t>光大证券投行</t>
        </is>
      </c>
      <c r="V1976" s="192" t="n">
        <v>0.4</v>
      </c>
      <c r="W1976" s="175" t="n">
        <v>0.0165</v>
      </c>
      <c r="X1976" s="172" t="inlineStr">
        <is>
          <t>光大证券</t>
        </is>
      </c>
      <c r="Y1976" s="191" t="n">
        <v>0.5</v>
      </c>
    </row>
    <row r="1977">
      <c r="A1977" s="172" t="n">
        <v>107</v>
      </c>
      <c r="B1977" s="172" t="inlineStr">
        <is>
          <t>6月</t>
        </is>
      </c>
      <c r="C1977" s="172" t="inlineStr">
        <is>
          <t>消金</t>
        </is>
      </c>
      <c r="D1977" s="172" t="inlineStr">
        <is>
          <t>金条&amp;白取混发</t>
        </is>
      </c>
      <c r="E1977" s="172" t="inlineStr">
        <is>
          <t>东樾4号夏樾（4-2）</t>
        </is>
      </c>
      <c r="F1977" s="172" t="inlineStr">
        <is>
          <t>银行间</t>
        </is>
      </c>
      <c r="G1977" s="172" t="inlineStr">
        <is>
          <t>招商证券</t>
        </is>
      </c>
      <c r="H1977" s="172" t="inlineStr">
        <is>
          <t>国泰海通/光大证券/中信证券/国信证券</t>
        </is>
      </c>
      <c r="I1977" s="172" t="inlineStr">
        <is>
          <t>中行北分</t>
        </is>
      </c>
      <c r="J1977" s="172" t="n">
        <v>10</v>
      </c>
      <c r="K1977" s="172" t="inlineStr">
        <is>
          <t>12+10+12</t>
        </is>
      </c>
      <c r="L1977" s="208" t="n">
        <v>46199</v>
      </c>
      <c r="M1977" s="175" t="n">
        <v>0.0148</v>
      </c>
      <c r="N1977" s="176" t="n">
        <v>0.02131</v>
      </c>
      <c r="O1977" s="172" t="n">
        <v>1.5</v>
      </c>
      <c r="P1977" s="172" t="inlineStr">
        <is>
          <t>优先A</t>
        </is>
      </c>
      <c r="Q1977" s="175" t="n">
        <v>0.9</v>
      </c>
      <c r="R1977" s="172">
        <f>Q1303*J1303</f>
        <v/>
      </c>
      <c r="S1977" s="172" t="inlineStr">
        <is>
          <t>AAA</t>
        </is>
      </c>
      <c r="T1977" s="175" t="n">
        <v>0.0165</v>
      </c>
      <c r="U1977" s="172" t="n"/>
      <c r="V1977" s="172" t="n"/>
      <c r="W1977" s="175" t="n">
        <v>0.024</v>
      </c>
      <c r="X1977" s="172" t="inlineStr">
        <is>
          <t>光大证券</t>
        </is>
      </c>
      <c r="Y1977" s="191" t="n">
        <v>0.5</v>
      </c>
    </row>
    <row r="1978">
      <c r="A1978" s="172" t="n">
        <v>107</v>
      </c>
      <c r="B1978" s="172" t="inlineStr">
        <is>
          <t>6月</t>
        </is>
      </c>
      <c r="C1978" s="173" t="inlineStr">
        <is>
          <t>消金</t>
        </is>
      </c>
      <c r="D1978" s="173" t="inlineStr">
        <is>
          <t>金条&amp;白取混发</t>
        </is>
      </c>
      <c r="E1978" s="173" t="inlineStr">
        <is>
          <t>东樾4号夏樾（4-2）</t>
        </is>
      </c>
      <c r="F1978" s="173" t="inlineStr">
        <is>
          <t>银行间</t>
        </is>
      </c>
      <c r="G1978" s="173" t="inlineStr">
        <is>
          <t>招商证券</t>
        </is>
      </c>
      <c r="H1978" s="173" t="inlineStr">
        <is>
          <t>国泰海通/光大证券/中信证券/国信证券</t>
        </is>
      </c>
      <c r="I1978" s="173" t="inlineStr">
        <is>
          <t>中行北分</t>
        </is>
      </c>
      <c r="J1978" s="172" t="n">
        <v>10</v>
      </c>
      <c r="K1978" s="173" t="inlineStr">
        <is>
          <t>12+10+12</t>
        </is>
      </c>
      <c r="L1978" s="202" t="n">
        <v>46199</v>
      </c>
      <c r="M1978" s="175" t="n">
        <v>0.0148</v>
      </c>
      <c r="N1978" s="176" t="n">
        <v>0.02131</v>
      </c>
      <c r="O1978" s="172" t="n">
        <v>1.5</v>
      </c>
      <c r="P1978" s="172" t="inlineStr">
        <is>
          <t>优先A</t>
        </is>
      </c>
      <c r="Q1978" s="178" t="n">
        <v>0.9</v>
      </c>
      <c r="R1978" s="179">
        <f>Q1303*J1303</f>
        <v/>
      </c>
      <c r="S1978" s="177" t="inlineStr">
        <is>
          <t>AAA</t>
        </is>
      </c>
      <c r="T1978" s="178" t="n">
        <v>0.0165</v>
      </c>
      <c r="U1978" s="177" t="inlineStr">
        <is>
          <t>国泰海通投行</t>
        </is>
      </c>
      <c r="V1978" s="192" t="n">
        <v>0.4</v>
      </c>
      <c r="W1978" s="175" t="n">
        <v>0.0165</v>
      </c>
      <c r="X1978" s="172" t="inlineStr">
        <is>
          <t>国泰海通</t>
        </is>
      </c>
      <c r="Y1978" s="191" t="n">
        <v>1</v>
      </c>
    </row>
    <row r="1979">
      <c r="A1979" s="172" t="n">
        <v>107</v>
      </c>
      <c r="B1979" s="172" t="inlineStr">
        <is>
          <t>6月</t>
        </is>
      </c>
      <c r="C1979" s="173" t="inlineStr">
        <is>
          <t>消金</t>
        </is>
      </c>
      <c r="D1979" s="173" t="inlineStr">
        <is>
          <t>金条&amp;白取混发</t>
        </is>
      </c>
      <c r="E1979" s="173" t="inlineStr">
        <is>
          <t>东樾4号夏樾（4-2）</t>
        </is>
      </c>
      <c r="F1979" s="173" t="inlineStr">
        <is>
          <t>银行间</t>
        </is>
      </c>
      <c r="G1979" s="173" t="inlineStr">
        <is>
          <t>招商证券</t>
        </is>
      </c>
      <c r="H1979" s="173" t="inlineStr">
        <is>
          <t>国泰海通/光大证券/中信证券/国信证券</t>
        </is>
      </c>
      <c r="I1979" s="173" t="inlineStr">
        <is>
          <t>中行北分</t>
        </is>
      </c>
      <c r="J1979" s="172" t="n">
        <v>10</v>
      </c>
      <c r="K1979" s="173" t="inlineStr">
        <is>
          <t>12+10+12</t>
        </is>
      </c>
      <c r="L1979" s="202" t="n">
        <v>46199</v>
      </c>
      <c r="M1979" s="175" t="n">
        <v>0.0148</v>
      </c>
      <c r="N1979" s="176" t="n">
        <v>0.02131</v>
      </c>
      <c r="O1979" s="172" t="n">
        <v>1.5</v>
      </c>
      <c r="P1979" s="172" t="inlineStr">
        <is>
          <t>优先A</t>
        </is>
      </c>
      <c r="Q1979" s="178" t="n">
        <v>0.9</v>
      </c>
      <c r="R1979" s="179">
        <f>Q1303*J1303</f>
        <v/>
      </c>
      <c r="S1979" s="177" t="inlineStr">
        <is>
          <t>AAA</t>
        </is>
      </c>
      <c r="T1979" s="178" t="n">
        <v>0.0165</v>
      </c>
      <c r="U1979" s="177" t="inlineStr">
        <is>
          <t>国信证券投行</t>
        </is>
      </c>
      <c r="V1979" s="192" t="n">
        <v>0.4</v>
      </c>
      <c r="W1979" s="175" t="n">
        <v>0.0165</v>
      </c>
      <c r="X1979" s="172" t="inlineStr">
        <is>
          <t>国信证券</t>
        </is>
      </c>
      <c r="Y1979" s="191" t="n">
        <v>1.3</v>
      </c>
    </row>
    <row r="1980">
      <c r="A1980" s="172" t="n">
        <v>107</v>
      </c>
      <c r="B1980" s="172" t="inlineStr">
        <is>
          <t>6月</t>
        </is>
      </c>
      <c r="C1980" s="173" t="inlineStr">
        <is>
          <t>消金</t>
        </is>
      </c>
      <c r="D1980" s="173" t="inlineStr">
        <is>
          <t>金条&amp;白取混发</t>
        </is>
      </c>
      <c r="E1980" s="173" t="inlineStr">
        <is>
          <t>东樾4号夏樾（4-2）</t>
        </is>
      </c>
      <c r="F1980" s="173" t="inlineStr">
        <is>
          <t>银行间</t>
        </is>
      </c>
      <c r="G1980" s="173" t="inlineStr">
        <is>
          <t>招商证券</t>
        </is>
      </c>
      <c r="H1980" s="173" t="inlineStr">
        <is>
          <t>国泰海通/光大证券/中信证券/国信证券</t>
        </is>
      </c>
      <c r="I1980" s="173" t="inlineStr">
        <is>
          <t>中行北分</t>
        </is>
      </c>
      <c r="J1980" s="172" t="n">
        <v>10</v>
      </c>
      <c r="K1980" s="173" t="inlineStr">
        <is>
          <t>12+10+12</t>
        </is>
      </c>
      <c r="L1980" s="202" t="n">
        <v>46199</v>
      </c>
      <c r="M1980" s="175" t="n">
        <v>0.0148</v>
      </c>
      <c r="N1980" s="176" t="n">
        <v>0.02131</v>
      </c>
      <c r="O1980" s="172" t="n">
        <v>1.5</v>
      </c>
      <c r="P1980" s="172" t="inlineStr">
        <is>
          <t>优先A</t>
        </is>
      </c>
      <c r="Q1980" s="178" t="n">
        <v>0.9</v>
      </c>
      <c r="R1980" s="179">
        <f>Q1303*J1303</f>
        <v/>
      </c>
      <c r="S1980" s="177" t="inlineStr">
        <is>
          <t>AAA</t>
        </is>
      </c>
      <c r="T1980" s="178" t="n">
        <v>0.0165</v>
      </c>
      <c r="U1980" s="177" t="inlineStr">
        <is>
          <t>交银理财</t>
        </is>
      </c>
      <c r="V1980" s="192" t="n">
        <v>1.5</v>
      </c>
      <c r="W1980" s="175" t="n">
        <v>0.016</v>
      </c>
      <c r="X1980" s="172" t="inlineStr">
        <is>
          <t>交银理财</t>
        </is>
      </c>
      <c r="Y1980" s="191" t="n">
        <v>0.5</v>
      </c>
    </row>
    <row r="1981">
      <c r="A1981" s="172" t="n">
        <v>107</v>
      </c>
      <c r="B1981" s="172" t="inlineStr">
        <is>
          <t>6月</t>
        </is>
      </c>
      <c r="C1981" s="172" t="inlineStr">
        <is>
          <t>消金</t>
        </is>
      </c>
      <c r="D1981" s="172" t="inlineStr">
        <is>
          <t>金条&amp;白取混发</t>
        </is>
      </c>
      <c r="E1981" s="172" t="inlineStr">
        <is>
          <t>东樾4号夏樾（4-2）</t>
        </is>
      </c>
      <c r="F1981" s="172" t="inlineStr">
        <is>
          <t>银行间</t>
        </is>
      </c>
      <c r="G1981" s="172" t="inlineStr">
        <is>
          <t>招商证券</t>
        </is>
      </c>
      <c r="H1981" s="172" t="inlineStr">
        <is>
          <t>国泰海通/光大证券/中信证券/国信证券</t>
        </is>
      </c>
      <c r="I1981" s="172" t="inlineStr">
        <is>
          <t>中行北分</t>
        </is>
      </c>
      <c r="J1981" s="172" t="n">
        <v>10</v>
      </c>
      <c r="K1981" s="172" t="inlineStr">
        <is>
          <t>12+10+12</t>
        </is>
      </c>
      <c r="L1981" s="208" t="n">
        <v>46199</v>
      </c>
      <c r="M1981" s="175" t="n">
        <v>0.0148</v>
      </c>
      <c r="N1981" s="176" t="n">
        <v>0.02131</v>
      </c>
      <c r="O1981" s="172" t="n">
        <v>1.5</v>
      </c>
      <c r="P1981" s="172" t="inlineStr">
        <is>
          <t>优先A</t>
        </is>
      </c>
      <c r="Q1981" s="175" t="n">
        <v>0.9</v>
      </c>
      <c r="R1981" s="172">
        <f>Q1303*J1303</f>
        <v/>
      </c>
      <c r="S1981" s="172" t="inlineStr">
        <is>
          <t>AAA</t>
        </is>
      </c>
      <c r="T1981" s="175" t="n">
        <v>0.0165</v>
      </c>
      <c r="U1981" s="172" t="n"/>
      <c r="V1981" s="172" t="n"/>
      <c r="W1981" s="175" t="n">
        <v>0.0165</v>
      </c>
      <c r="X1981" s="172" t="inlineStr">
        <is>
          <t>交银理财</t>
        </is>
      </c>
      <c r="Y1981" s="191" t="n">
        <v>1</v>
      </c>
    </row>
    <row r="1982">
      <c r="A1982" s="172" t="n">
        <v>107</v>
      </c>
      <c r="B1982" s="172" t="inlineStr">
        <is>
          <t>6月</t>
        </is>
      </c>
      <c r="C1982" s="173" t="inlineStr">
        <is>
          <t>消金</t>
        </is>
      </c>
      <c r="D1982" s="173" t="inlineStr">
        <is>
          <t>金条&amp;白取混发</t>
        </is>
      </c>
      <c r="E1982" s="173" t="inlineStr">
        <is>
          <t>东樾4号夏樾（4-2）</t>
        </is>
      </c>
      <c r="F1982" s="173" t="inlineStr">
        <is>
          <t>银行间</t>
        </is>
      </c>
      <c r="G1982" s="173" t="inlineStr">
        <is>
          <t>招商证券</t>
        </is>
      </c>
      <c r="H1982" s="173" t="inlineStr">
        <is>
          <t>国泰海通/光大证券/中信证券/国信证券</t>
        </is>
      </c>
      <c r="I1982" s="173" t="inlineStr">
        <is>
          <t>中行北分</t>
        </is>
      </c>
      <c r="J1982" s="172" t="n">
        <v>10</v>
      </c>
      <c r="K1982" s="173" t="inlineStr">
        <is>
          <t>12+10+12</t>
        </is>
      </c>
      <c r="L1982" s="202" t="n">
        <v>46199</v>
      </c>
      <c r="M1982" s="175" t="n">
        <v>0.0148</v>
      </c>
      <c r="N1982" s="176" t="n">
        <v>0.02131</v>
      </c>
      <c r="O1982" s="172" t="n">
        <v>1.5</v>
      </c>
      <c r="P1982" s="172" t="inlineStr">
        <is>
          <t>优先A</t>
        </is>
      </c>
      <c r="Q1982" s="178" t="n">
        <v>0.9</v>
      </c>
      <c r="R1982" s="179">
        <f>Q1303*J1303</f>
        <v/>
      </c>
      <c r="S1982" s="177" t="inlineStr">
        <is>
          <t>AAA</t>
        </is>
      </c>
      <c r="T1982" s="178" t="n">
        <v>0.0165</v>
      </c>
      <c r="U1982" s="177" t="inlineStr">
        <is>
          <t>利曦基金</t>
        </is>
      </c>
      <c r="V1982" s="192" t="n">
        <v>0.5</v>
      </c>
      <c r="W1982" s="175" t="n">
        <v>0.0165</v>
      </c>
      <c r="X1982" s="172" t="inlineStr">
        <is>
          <t>利曦私募基金</t>
        </is>
      </c>
      <c r="Y1982" s="191" t="n">
        <v>0.5</v>
      </c>
    </row>
    <row r="1983">
      <c r="A1983" s="172" t="n">
        <v>107</v>
      </c>
      <c r="B1983" s="172" t="inlineStr">
        <is>
          <t>6月</t>
        </is>
      </c>
      <c r="C1983" s="172" t="inlineStr">
        <is>
          <t>消金</t>
        </is>
      </c>
      <c r="D1983" s="172" t="inlineStr">
        <is>
          <t>金条&amp;白取混发</t>
        </is>
      </c>
      <c r="E1983" s="172" t="inlineStr">
        <is>
          <t>东樾4号夏樾（4-2）</t>
        </is>
      </c>
      <c r="F1983" s="172" t="inlineStr">
        <is>
          <t>银行间</t>
        </is>
      </c>
      <c r="G1983" s="172" t="inlineStr">
        <is>
          <t>招商证券</t>
        </is>
      </c>
      <c r="H1983" s="172" t="inlineStr">
        <is>
          <t>国泰海通/光大证券/中信证券/国信证券</t>
        </is>
      </c>
      <c r="I1983" s="172" t="inlineStr">
        <is>
          <t>中行北分</t>
        </is>
      </c>
      <c r="J1983" s="172" t="n">
        <v>10</v>
      </c>
      <c r="K1983" s="172" t="inlineStr">
        <is>
          <t>12+10+12</t>
        </is>
      </c>
      <c r="L1983" s="208" t="n">
        <v>46199</v>
      </c>
      <c r="M1983" s="175" t="n">
        <v>0.0148</v>
      </c>
      <c r="N1983" s="176" t="n">
        <v>0.02131</v>
      </c>
      <c r="O1983" s="172" t="n">
        <v>1.5</v>
      </c>
      <c r="P1983" s="172" t="inlineStr">
        <is>
          <t>优先A</t>
        </is>
      </c>
      <c r="Q1983" s="175" t="n">
        <v>0.9</v>
      </c>
      <c r="R1983" s="172">
        <f>Q1303*J1303</f>
        <v/>
      </c>
      <c r="S1983" s="172" t="inlineStr">
        <is>
          <t>AAA</t>
        </is>
      </c>
      <c r="T1983" s="175" t="n">
        <v>0.0165</v>
      </c>
      <c r="U1983" s="172" t="n"/>
      <c r="V1983" s="172" t="n"/>
      <c r="W1983" s="175" t="n">
        <v>0.024</v>
      </c>
      <c r="X1983" s="172" t="inlineStr">
        <is>
          <t>利曦私募基金</t>
        </is>
      </c>
      <c r="Y1983" s="191" t="n">
        <v>1</v>
      </c>
    </row>
    <row r="1984">
      <c r="A1984" s="172" t="n">
        <v>107</v>
      </c>
      <c r="B1984" s="172" t="inlineStr">
        <is>
          <t>6月</t>
        </is>
      </c>
      <c r="C1984" s="173" t="inlineStr">
        <is>
          <t>消金</t>
        </is>
      </c>
      <c r="D1984" s="173" t="inlineStr">
        <is>
          <t>金条&amp;白取混发</t>
        </is>
      </c>
      <c r="E1984" s="173" t="inlineStr">
        <is>
          <t>东樾4号夏樾（4-2）</t>
        </is>
      </c>
      <c r="F1984" s="173" t="inlineStr">
        <is>
          <t>银行间</t>
        </is>
      </c>
      <c r="G1984" s="173" t="inlineStr">
        <is>
          <t>招商证券</t>
        </is>
      </c>
      <c r="H1984" s="173" t="inlineStr">
        <is>
          <t>国泰海通/光大证券/中信证券/国信证券</t>
        </is>
      </c>
      <c r="I1984" s="173" t="inlineStr">
        <is>
          <t>中行北分</t>
        </is>
      </c>
      <c r="J1984" s="172" t="n">
        <v>10</v>
      </c>
      <c r="K1984" s="173" t="inlineStr">
        <is>
          <t>12+10+12</t>
        </is>
      </c>
      <c r="L1984" s="202" t="n">
        <v>46199</v>
      </c>
      <c r="M1984" s="175" t="n">
        <v>0.0148</v>
      </c>
      <c r="N1984" s="176" t="n">
        <v>0.02131</v>
      </c>
      <c r="O1984" s="172" t="n">
        <v>1.5</v>
      </c>
      <c r="P1984" s="172" t="inlineStr">
        <is>
          <t>优先A</t>
        </is>
      </c>
      <c r="Q1984" s="178" t="n">
        <v>0.9</v>
      </c>
      <c r="R1984" s="179">
        <f>Q1303*J1303</f>
        <v/>
      </c>
      <c r="S1984" s="177" t="inlineStr">
        <is>
          <t>AAA</t>
        </is>
      </c>
      <c r="T1984" s="178" t="n">
        <v>0.0165</v>
      </c>
      <c r="U1984" s="177" t="inlineStr">
        <is>
          <t>申万宏源自营</t>
        </is>
      </c>
      <c r="V1984" s="192" t="n">
        <v>0.5</v>
      </c>
      <c r="W1984" s="175" t="n">
        <v>0.0165</v>
      </c>
      <c r="X1984" s="172" t="inlineStr">
        <is>
          <t>申万宏源-北京</t>
        </is>
      </c>
      <c r="Y1984" s="191" t="n">
        <v>0.5</v>
      </c>
    </row>
    <row r="1985">
      <c r="A1985" s="172" t="n">
        <v>107</v>
      </c>
      <c r="B1985" s="172" t="inlineStr">
        <is>
          <t>6月</t>
        </is>
      </c>
      <c r="C1985" s="173" t="inlineStr">
        <is>
          <t>消金</t>
        </is>
      </c>
      <c r="D1985" s="173" t="inlineStr">
        <is>
          <t>金条&amp;白取混发</t>
        </is>
      </c>
      <c r="E1985" s="173" t="inlineStr">
        <is>
          <t>东樾4号夏樾（4-2）</t>
        </is>
      </c>
      <c r="F1985" s="173" t="inlineStr">
        <is>
          <t>银行间</t>
        </is>
      </c>
      <c r="G1985" s="173" t="inlineStr">
        <is>
          <t>招商证券</t>
        </is>
      </c>
      <c r="H1985" s="173" t="inlineStr">
        <is>
          <t>国泰海通/光大证券/中信证券/国信证券</t>
        </is>
      </c>
      <c r="I1985" s="173" t="inlineStr">
        <is>
          <t>中行北分</t>
        </is>
      </c>
      <c r="J1985" s="172" t="n">
        <v>10</v>
      </c>
      <c r="K1985" s="173" t="inlineStr">
        <is>
          <t>12+10+12</t>
        </is>
      </c>
      <c r="L1985" s="202" t="n">
        <v>46199</v>
      </c>
      <c r="M1985" s="175" t="n">
        <v>0.0148</v>
      </c>
      <c r="N1985" s="176" t="n">
        <v>0.02131</v>
      </c>
      <c r="O1985" s="172" t="n">
        <v>1.5</v>
      </c>
      <c r="P1985" s="172" t="inlineStr">
        <is>
          <t>优先A</t>
        </is>
      </c>
      <c r="Q1985" s="178" t="n">
        <v>0.9</v>
      </c>
      <c r="R1985" s="179">
        <f>Q1303*J1303</f>
        <v/>
      </c>
      <c r="S1985" s="177" t="inlineStr">
        <is>
          <t>AAA</t>
        </is>
      </c>
      <c r="T1985" s="178" t="n">
        <v>0.0165</v>
      </c>
      <c r="U1985" s="177" t="inlineStr">
        <is>
          <t>招商证券投行</t>
        </is>
      </c>
      <c r="V1985" s="192" t="n">
        <v>0.7</v>
      </c>
      <c r="W1985" s="175" t="n">
        <v>0.0165</v>
      </c>
      <c r="X1985" s="172" t="inlineStr">
        <is>
          <t>招商证券</t>
        </is>
      </c>
      <c r="Y1985" s="191" t="n">
        <v>1</v>
      </c>
    </row>
    <row r="1986">
      <c r="A1986" s="172" t="n">
        <v>107</v>
      </c>
      <c r="B1986" s="172" t="inlineStr">
        <is>
          <t>6月</t>
        </is>
      </c>
      <c r="C1986" s="173" t="inlineStr">
        <is>
          <t>消金</t>
        </is>
      </c>
      <c r="D1986" s="173" t="inlineStr">
        <is>
          <t>金条&amp;白取混发</t>
        </is>
      </c>
      <c r="E1986" s="173" t="inlineStr">
        <is>
          <t>东樾4号夏樾（4-2）</t>
        </is>
      </c>
      <c r="F1986" s="173" t="inlineStr">
        <is>
          <t>银行间</t>
        </is>
      </c>
      <c r="G1986" s="173" t="inlineStr">
        <is>
          <t>招商证券</t>
        </is>
      </c>
      <c r="H1986" s="173" t="inlineStr">
        <is>
          <t>国泰海通/光大证券/中信证券/国信证券</t>
        </is>
      </c>
      <c r="I1986" s="173" t="inlineStr">
        <is>
          <t>中行北分</t>
        </is>
      </c>
      <c r="J1986" s="172" t="n">
        <v>10</v>
      </c>
      <c r="K1986" s="173" t="inlineStr">
        <is>
          <t>12+10+12</t>
        </is>
      </c>
      <c r="L1986" s="202" t="n">
        <v>46199</v>
      </c>
      <c r="M1986" s="175" t="n">
        <v>0.0148</v>
      </c>
      <c r="N1986" s="176" t="n">
        <v>0.02131</v>
      </c>
      <c r="O1986" s="172" t="n">
        <v>1.5</v>
      </c>
      <c r="P1986" s="172" t="inlineStr">
        <is>
          <t>优先A</t>
        </is>
      </c>
      <c r="Q1986" s="178" t="n">
        <v>0.9</v>
      </c>
      <c r="R1986" s="179">
        <f>Q1303*J1303</f>
        <v/>
      </c>
      <c r="S1986" s="177" t="inlineStr">
        <is>
          <t>AAA</t>
        </is>
      </c>
      <c r="T1986" s="178" t="n">
        <v>0.0165</v>
      </c>
      <c r="U1986" s="177" t="inlineStr">
        <is>
          <t>中金投顾</t>
        </is>
      </c>
      <c r="V1986" s="192" t="n">
        <v>0.5</v>
      </c>
      <c r="W1986" s="175" t="n">
        <v>0.0165</v>
      </c>
      <c r="X1986" s="172" t="inlineStr">
        <is>
          <t>中金投顾</t>
        </is>
      </c>
      <c r="Y1986" s="191" t="n">
        <v>0.5</v>
      </c>
    </row>
    <row r="1987">
      <c r="A1987" s="172" t="n">
        <v>107</v>
      </c>
      <c r="B1987" s="172" t="inlineStr">
        <is>
          <t>6月</t>
        </is>
      </c>
      <c r="C1987" s="173" t="inlineStr">
        <is>
          <t>消金</t>
        </is>
      </c>
      <c r="D1987" s="173" t="inlineStr">
        <is>
          <t>金条&amp;白取混发</t>
        </is>
      </c>
      <c r="E1987" s="173" t="inlineStr">
        <is>
          <t>东樾4号夏樾（4-2）</t>
        </is>
      </c>
      <c r="F1987" s="173" t="inlineStr">
        <is>
          <t>银行间</t>
        </is>
      </c>
      <c r="G1987" s="173" t="inlineStr">
        <is>
          <t>招商证券</t>
        </is>
      </c>
      <c r="H1987" s="173" t="inlineStr">
        <is>
          <t>国泰海通/光大证券/中信证券/国信证券</t>
        </is>
      </c>
      <c r="I1987" s="173" t="inlineStr">
        <is>
          <t>中行北分</t>
        </is>
      </c>
      <c r="J1987" s="172" t="n">
        <v>10</v>
      </c>
      <c r="K1987" s="173" t="inlineStr">
        <is>
          <t>12+10+12</t>
        </is>
      </c>
      <c r="L1987" s="202" t="n">
        <v>46199</v>
      </c>
      <c r="M1987" s="175" t="n">
        <v>0.0148</v>
      </c>
      <c r="N1987" s="176" t="n">
        <v>0.02131</v>
      </c>
      <c r="O1987" s="172" t="n">
        <v>1.5</v>
      </c>
      <c r="P1987" s="172" t="inlineStr">
        <is>
          <t>优先A</t>
        </is>
      </c>
      <c r="Q1987" s="178" t="n">
        <v>0.9</v>
      </c>
      <c r="R1987" s="179">
        <f>Q1303*J1303</f>
        <v/>
      </c>
      <c r="S1987" s="177" t="inlineStr">
        <is>
          <t>AAA</t>
        </is>
      </c>
      <c r="T1987" s="178" t="n">
        <v>0.0165</v>
      </c>
      <c r="U1987" s="177" t="inlineStr">
        <is>
          <t>中信证券投行</t>
        </is>
      </c>
      <c r="V1987" s="192" t="n">
        <v>0.4</v>
      </c>
      <c r="W1987" s="175" t="n">
        <v>0.0165</v>
      </c>
      <c r="X1987" s="172" t="inlineStr">
        <is>
          <t>中信证券</t>
        </is>
      </c>
      <c r="Y1987" s="191" t="n">
        <v>1</v>
      </c>
    </row>
    <row r="1988">
      <c r="A1988" s="172" t="n">
        <v>107</v>
      </c>
      <c r="B1988" s="172" t="inlineStr">
        <is>
          <t>6月</t>
        </is>
      </c>
      <c r="C1988" s="173" t="inlineStr">
        <is>
          <t>消金</t>
        </is>
      </c>
      <c r="D1988" s="173" t="inlineStr">
        <is>
          <t>金条&amp;白取混发</t>
        </is>
      </c>
      <c r="E1988" s="173" t="inlineStr">
        <is>
          <t>东樾4号夏樾（4-2）</t>
        </is>
      </c>
      <c r="F1988" s="173" t="inlineStr">
        <is>
          <t>银行间</t>
        </is>
      </c>
      <c r="G1988" s="173" t="inlineStr">
        <is>
          <t>招商证券</t>
        </is>
      </c>
      <c r="H1988" s="173" t="inlineStr">
        <is>
          <t>国泰海通/光大证券/中信证券/国信证券</t>
        </is>
      </c>
      <c r="I1988" s="173" t="inlineStr">
        <is>
          <t>中行北分</t>
        </is>
      </c>
      <c r="J1988" s="172" t="n">
        <v>10</v>
      </c>
      <c r="K1988" s="173" t="inlineStr">
        <is>
          <t>12+10+12</t>
        </is>
      </c>
      <c r="L1988" s="202" t="n">
        <v>46199</v>
      </c>
      <c r="M1988" s="175" t="n">
        <v>0.0148</v>
      </c>
      <c r="N1988" s="176" t="n">
        <v>0.02131</v>
      </c>
      <c r="O1988" s="172" t="n">
        <v>1.5</v>
      </c>
      <c r="P1988" s="172" t="inlineStr">
        <is>
          <t>优先A</t>
        </is>
      </c>
      <c r="Q1988" s="178" t="n">
        <v>0.9</v>
      </c>
      <c r="R1988" s="179">
        <f>Q1303*J1303</f>
        <v/>
      </c>
      <c r="S1988" s="177" t="inlineStr">
        <is>
          <t>AAA</t>
        </is>
      </c>
      <c r="T1988" s="178" t="n">
        <v>0.0165</v>
      </c>
      <c r="U1988" s="177" t="inlineStr">
        <is>
          <t>中邮理财</t>
        </is>
      </c>
      <c r="V1988" s="192" t="n">
        <v>1.7</v>
      </c>
      <c r="W1988" s="175" t="n">
        <v>0.0165</v>
      </c>
      <c r="X1988" s="172" t="inlineStr">
        <is>
          <t>中邮理财</t>
        </is>
      </c>
      <c r="Y1988" s="191" t="n">
        <v>1.7</v>
      </c>
    </row>
    <row r="1989">
      <c r="A1989" s="172" t="n">
        <v>107</v>
      </c>
      <c r="B1989" s="172" t="inlineStr">
        <is>
          <t>6月</t>
        </is>
      </c>
      <c r="C1989" s="172" t="inlineStr">
        <is>
          <t>消金</t>
        </is>
      </c>
      <c r="D1989" s="172" t="inlineStr">
        <is>
          <t>金条&amp;白取混发</t>
        </is>
      </c>
      <c r="E1989" s="172" t="inlineStr">
        <is>
          <t>东樾4号夏樾（4-2）</t>
        </is>
      </c>
      <c r="F1989" s="172" t="inlineStr">
        <is>
          <t>银行间</t>
        </is>
      </c>
      <c r="G1989" s="172" t="inlineStr">
        <is>
          <t>招商证券</t>
        </is>
      </c>
      <c r="H1989" s="172" t="inlineStr">
        <is>
          <t>国泰海通/光大证券/中信证券/国信证券</t>
        </is>
      </c>
      <c r="I1989" s="172" t="inlineStr">
        <is>
          <t>中行北分</t>
        </is>
      </c>
      <c r="J1989" s="172" t="n">
        <v>10</v>
      </c>
      <c r="K1989" s="172" t="inlineStr">
        <is>
          <t>12+10+12</t>
        </is>
      </c>
      <c r="L1989" s="208" t="n">
        <v>46199</v>
      </c>
      <c r="M1989" s="175" t="n">
        <v>0.0148</v>
      </c>
      <c r="N1989" s="176" t="n">
        <v>0.02131</v>
      </c>
      <c r="O1989" s="172" t="n">
        <v>1.5</v>
      </c>
      <c r="P1989" s="172" t="inlineStr">
        <is>
          <t>优先A</t>
        </is>
      </c>
      <c r="Q1989" s="175" t="n">
        <v>0.9</v>
      </c>
      <c r="R1989" s="172">
        <f>Q1303*J1303</f>
        <v/>
      </c>
      <c r="S1989" s="172" t="inlineStr">
        <is>
          <t>AAA</t>
        </is>
      </c>
      <c r="T1989" s="175" t="n">
        <v>0.0165</v>
      </c>
      <c r="U1989" s="172" t="n"/>
      <c r="V1989" s="172" t="n"/>
      <c r="W1989" s="175" t="n">
        <v>0.0168</v>
      </c>
      <c r="X1989" s="172" t="inlineStr">
        <is>
          <t>中邮理财</t>
        </is>
      </c>
      <c r="Y1989" s="191" t="n">
        <v>1</v>
      </c>
    </row>
    <row r="1990">
      <c r="A1990" s="172" t="n">
        <v>107</v>
      </c>
      <c r="B1990" s="172" t="inlineStr">
        <is>
          <t>6月</t>
        </is>
      </c>
      <c r="C1990" s="173" t="inlineStr">
        <is>
          <t>消金</t>
        </is>
      </c>
      <c r="D1990" s="173" t="inlineStr">
        <is>
          <t>金条&amp;白取混发</t>
        </is>
      </c>
      <c r="E1990" s="173" t="inlineStr">
        <is>
          <t>东樾4号夏樾（4-2）</t>
        </is>
      </c>
      <c r="F1990" s="173" t="inlineStr">
        <is>
          <t>银行间</t>
        </is>
      </c>
      <c r="G1990" s="173" t="inlineStr">
        <is>
          <t>招商证券</t>
        </is>
      </c>
      <c r="H1990" s="173" t="inlineStr">
        <is>
          <t>国泰海通/光大证券/中信证券/国信证券</t>
        </is>
      </c>
      <c r="I1990" s="173" t="inlineStr">
        <is>
          <t>中行北分</t>
        </is>
      </c>
      <c r="J1990" s="172" t="n">
        <v>10</v>
      </c>
      <c r="K1990" s="173" t="inlineStr">
        <is>
          <t>12+10+12</t>
        </is>
      </c>
      <c r="L1990" s="202" t="n">
        <v>46199</v>
      </c>
      <c r="M1990" s="175" t="n">
        <v>0.0148</v>
      </c>
      <c r="N1990" s="176" t="n">
        <v>0.02131</v>
      </c>
      <c r="O1990" s="172" t="n">
        <v>1.5</v>
      </c>
      <c r="P1990" s="172" t="inlineStr">
        <is>
          <t>优先A</t>
        </is>
      </c>
      <c r="Q1990" s="178" t="n">
        <v>0.9</v>
      </c>
      <c r="R1990" s="179">
        <f>Q1303*J1303</f>
        <v/>
      </c>
      <c r="S1990" s="177" t="inlineStr">
        <is>
          <t>AAA</t>
        </is>
      </c>
      <c r="T1990" s="178" t="n">
        <v>0.0165</v>
      </c>
      <c r="U1990" s="177" t="inlineStr">
        <is>
          <t>招银理财</t>
        </is>
      </c>
      <c r="V1990" s="192" t="n">
        <v>2</v>
      </c>
      <c r="W1990" s="175" t="n">
        <v>0.0159</v>
      </c>
      <c r="X1990" s="172" t="inlineStr">
        <is>
          <t>招银理财</t>
        </is>
      </c>
      <c r="Y1990" s="191" t="n">
        <v>2</v>
      </c>
    </row>
    <row r="1991">
      <c r="A1991" s="172" t="n">
        <v>107</v>
      </c>
      <c r="B1991" s="172" t="inlineStr">
        <is>
          <t>6月</t>
        </is>
      </c>
      <c r="C1991" s="172" t="inlineStr">
        <is>
          <t>消金</t>
        </is>
      </c>
      <c r="D1991" s="172" t="inlineStr">
        <is>
          <t>金条&amp;白取混发</t>
        </is>
      </c>
      <c r="E1991" s="172" t="inlineStr">
        <is>
          <t>东樾4号夏樾（4-2）</t>
        </is>
      </c>
      <c r="F1991" s="172" t="inlineStr">
        <is>
          <t>银行间</t>
        </is>
      </c>
      <c r="G1991" s="172" t="inlineStr">
        <is>
          <t>招商证券</t>
        </is>
      </c>
      <c r="H1991" s="172" t="inlineStr">
        <is>
          <t>国泰海通/光大证券/中信证券/国信证券</t>
        </is>
      </c>
      <c r="I1991" s="172" t="inlineStr">
        <is>
          <t>中行北分</t>
        </is>
      </c>
      <c r="J1991" s="172" t="n">
        <v>10</v>
      </c>
      <c r="K1991" s="172" t="inlineStr">
        <is>
          <t>12+10+12</t>
        </is>
      </c>
      <c r="L1991" s="208" t="n">
        <v>46199</v>
      </c>
      <c r="M1991" s="175" t="n">
        <v>0.0148</v>
      </c>
      <c r="N1991" s="176" t="n">
        <v>0.02131</v>
      </c>
      <c r="O1991" s="172" t="n">
        <v>1.5</v>
      </c>
      <c r="P1991" s="172" t="inlineStr">
        <is>
          <t>优先A</t>
        </is>
      </c>
      <c r="Q1991" s="175" t="n">
        <v>0.9</v>
      </c>
      <c r="R1991" s="172">
        <f>Q1303*J1303</f>
        <v/>
      </c>
      <c r="S1991" s="172" t="inlineStr">
        <is>
          <t>AAA</t>
        </is>
      </c>
      <c r="T1991" s="175" t="n">
        <v>0.0165</v>
      </c>
      <c r="U1991" s="172" t="n"/>
      <c r="V1991" s="172" t="n"/>
      <c r="W1991" s="175" t="n">
        <v>0.017</v>
      </c>
      <c r="X1991" s="172" t="inlineStr">
        <is>
          <t>中金自营</t>
        </is>
      </c>
      <c r="Y1991" s="191" t="n">
        <v>0.8</v>
      </c>
    </row>
    <row r="1992">
      <c r="A1992" s="172" t="n">
        <v>107</v>
      </c>
      <c r="B1992" s="172" t="inlineStr">
        <is>
          <t>6月</t>
        </is>
      </c>
      <c r="C1992" s="172" t="inlineStr">
        <is>
          <t>消金</t>
        </is>
      </c>
      <c r="D1992" s="172" t="inlineStr">
        <is>
          <t>金条&amp;白取混发</t>
        </is>
      </c>
      <c r="E1992" s="172" t="inlineStr">
        <is>
          <t>东樾4号夏樾（4-2）</t>
        </is>
      </c>
      <c r="F1992" s="172" t="inlineStr">
        <is>
          <t>银行间</t>
        </is>
      </c>
      <c r="G1992" s="172" t="inlineStr">
        <is>
          <t>招商证券</t>
        </is>
      </c>
      <c r="H1992" s="172" t="inlineStr">
        <is>
          <t>国泰海通/光大证券/中信证券/国信证券</t>
        </is>
      </c>
      <c r="I1992" s="172" t="inlineStr">
        <is>
          <t>中行北分</t>
        </is>
      </c>
      <c r="J1992" s="172" t="n">
        <v>10</v>
      </c>
      <c r="K1992" s="172" t="inlineStr">
        <is>
          <t>12+10+12</t>
        </is>
      </c>
      <c r="L1992" s="208" t="n">
        <v>46199</v>
      </c>
      <c r="M1992" s="175" t="n">
        <v>0.0148</v>
      </c>
      <c r="N1992" s="176" t="n">
        <v>0.02131</v>
      </c>
      <c r="O1992" s="172" t="n">
        <v>1.5</v>
      </c>
      <c r="P1992" s="172" t="inlineStr">
        <is>
          <t>优先A</t>
        </is>
      </c>
      <c r="Q1992" s="175" t="n">
        <v>0.9</v>
      </c>
      <c r="R1992" s="172">
        <f>Q1303*J1303</f>
        <v/>
      </c>
      <c r="S1992" s="172" t="inlineStr">
        <is>
          <t>AAA</t>
        </is>
      </c>
      <c r="T1992" s="175" t="n">
        <v>0.0165</v>
      </c>
      <c r="U1992" s="172" t="n"/>
      <c r="V1992" s="172" t="n"/>
      <c r="W1992" s="175" t="n">
        <v>0.017</v>
      </c>
      <c r="X1992" s="172" t="inlineStr">
        <is>
          <t>广银理财</t>
        </is>
      </c>
      <c r="Y1992" s="191" t="n">
        <v>0.5</v>
      </c>
    </row>
    <row r="1993">
      <c r="A1993" s="172" t="n">
        <v>107</v>
      </c>
      <c r="B1993" s="172" t="inlineStr">
        <is>
          <t>6月</t>
        </is>
      </c>
      <c r="C1993" s="173" t="inlineStr">
        <is>
          <t>消金</t>
        </is>
      </c>
      <c r="D1993" s="173" t="inlineStr">
        <is>
          <t>金条&amp;白取混发</t>
        </is>
      </c>
      <c r="E1993" s="173" t="inlineStr">
        <is>
          <t>东樾4号夏樾（4-2）</t>
        </is>
      </c>
      <c r="F1993" s="173" t="inlineStr">
        <is>
          <t>银行间</t>
        </is>
      </c>
      <c r="G1993" s="173" t="inlineStr">
        <is>
          <t>招商证券</t>
        </is>
      </c>
      <c r="H1993" s="173" t="inlineStr">
        <is>
          <t>国泰海通/光大证券/中信证券/国信证券</t>
        </is>
      </c>
      <c r="I1993" s="173" t="inlineStr">
        <is>
          <t>中行北分</t>
        </is>
      </c>
      <c r="J1993" s="172" t="n">
        <v>10</v>
      </c>
      <c r="K1993" s="173" t="inlineStr">
        <is>
          <t>12+10+12</t>
        </is>
      </c>
      <c r="L1993" s="202" t="n">
        <v>46199</v>
      </c>
      <c r="M1993" s="175" t="n">
        <v>0.0148</v>
      </c>
      <c r="N1993" s="176" t="n">
        <v>0.02131</v>
      </c>
      <c r="O1993" s="172" t="n">
        <v>1.5</v>
      </c>
      <c r="P1993" s="177" t="inlineStr">
        <is>
          <t>优先B</t>
        </is>
      </c>
      <c r="Q1993" s="178" t="n">
        <v>0.03</v>
      </c>
      <c r="R1993" s="179">
        <f>J1303*Q1314</f>
        <v/>
      </c>
      <c r="S1993" s="177" t="inlineStr">
        <is>
          <t>AA+</t>
        </is>
      </c>
      <c r="T1993" s="178" t="n">
        <v>0.0175</v>
      </c>
      <c r="U1993" s="177" t="inlineStr">
        <is>
          <t>东方财富证券</t>
        </is>
      </c>
      <c r="V1993" s="192" t="n">
        <v>0.2</v>
      </c>
      <c r="W1993" s="175" t="n">
        <v>0.0175</v>
      </c>
      <c r="X1993" s="172" t="inlineStr">
        <is>
          <t>东方财富证券</t>
        </is>
      </c>
      <c r="Y1993" s="191" t="n">
        <v>0.2</v>
      </c>
    </row>
    <row r="1994">
      <c r="A1994" s="172" t="n">
        <v>107</v>
      </c>
      <c r="B1994" s="172" t="inlineStr">
        <is>
          <t>6月</t>
        </is>
      </c>
      <c r="C1994" s="173" t="inlineStr">
        <is>
          <t>消金</t>
        </is>
      </c>
      <c r="D1994" s="173" t="inlineStr">
        <is>
          <t>金条&amp;白取混发</t>
        </is>
      </c>
      <c r="E1994" s="173" t="inlineStr">
        <is>
          <t>东樾4号夏樾（4-2）</t>
        </is>
      </c>
      <c r="F1994" s="173" t="inlineStr">
        <is>
          <t>银行间</t>
        </is>
      </c>
      <c r="G1994" s="173" t="inlineStr">
        <is>
          <t>招商证券</t>
        </is>
      </c>
      <c r="H1994" s="173" t="inlineStr">
        <is>
          <t>国泰海通/光大证券/中信证券/国信证券</t>
        </is>
      </c>
      <c r="I1994" s="173" t="inlineStr">
        <is>
          <t>中行北分</t>
        </is>
      </c>
      <c r="J1994" s="172" t="n">
        <v>10</v>
      </c>
      <c r="K1994" s="173" t="inlineStr">
        <is>
          <t>12+10+12</t>
        </is>
      </c>
      <c r="L1994" s="202" t="n">
        <v>46199</v>
      </c>
      <c r="M1994" s="175" t="n">
        <v>0.0148</v>
      </c>
      <c r="N1994" s="176" t="n">
        <v>0.02131</v>
      </c>
      <c r="O1994" s="172" t="n">
        <v>1.5</v>
      </c>
      <c r="P1994" s="172" t="inlineStr">
        <is>
          <t>优先B</t>
        </is>
      </c>
      <c r="Q1994" s="178" t="n">
        <v>0.03</v>
      </c>
      <c r="R1994" s="179">
        <f>J1303*Q1314</f>
        <v/>
      </c>
      <c r="S1994" s="177" t="inlineStr">
        <is>
          <t>AA+</t>
        </is>
      </c>
      <c r="T1994" s="178" t="n">
        <v>0.0175</v>
      </c>
      <c r="U1994" s="177" t="inlineStr">
        <is>
          <t>交银理财</t>
        </is>
      </c>
      <c r="V1994" s="192" t="n">
        <v>0.09</v>
      </c>
      <c r="W1994" s="175" t="n">
        <v>0.017</v>
      </c>
      <c r="X1994" s="172" t="inlineStr">
        <is>
          <t>交银理财</t>
        </is>
      </c>
      <c r="Y1994" s="191" t="n">
        <v>0.09</v>
      </c>
    </row>
    <row r="1995">
      <c r="A1995" s="172" t="n">
        <v>107</v>
      </c>
      <c r="B1995" s="172" t="inlineStr">
        <is>
          <t>6月</t>
        </is>
      </c>
      <c r="C1995" s="173" t="inlineStr">
        <is>
          <t>消金</t>
        </is>
      </c>
      <c r="D1995" s="173" t="inlineStr">
        <is>
          <t>金条&amp;白取混发</t>
        </is>
      </c>
      <c r="E1995" s="173" t="inlineStr">
        <is>
          <t>东樾4号夏樾（4-2）</t>
        </is>
      </c>
      <c r="F1995" s="173" t="inlineStr">
        <is>
          <t>银行间</t>
        </is>
      </c>
      <c r="G1995" s="173" t="inlineStr">
        <is>
          <t>招商证券</t>
        </is>
      </c>
      <c r="H1995" s="173" t="inlineStr">
        <is>
          <t>国泰海通/光大证券/中信证券/国信证券</t>
        </is>
      </c>
      <c r="I1995" s="173" t="inlineStr">
        <is>
          <t>中行北分</t>
        </is>
      </c>
      <c r="J1995" s="172" t="n">
        <v>10</v>
      </c>
      <c r="K1995" s="173" t="inlineStr">
        <is>
          <t>12+10+12</t>
        </is>
      </c>
      <c r="L1995" s="202" t="n">
        <v>46199</v>
      </c>
      <c r="M1995" s="175" t="n">
        <v>0.0148</v>
      </c>
      <c r="N1995" s="176" t="n">
        <v>0.02131</v>
      </c>
      <c r="O1995" s="172" t="n">
        <v>1.5</v>
      </c>
      <c r="P1995" s="172" t="inlineStr">
        <is>
          <t>优先B</t>
        </is>
      </c>
      <c r="Q1995" s="178" t="n">
        <v>0.03</v>
      </c>
      <c r="R1995" s="179">
        <f>J1303*Q1314</f>
        <v/>
      </c>
      <c r="S1995" s="177" t="inlineStr">
        <is>
          <t>AA+</t>
        </is>
      </c>
      <c r="T1995" s="178" t="n">
        <v>0.0175</v>
      </c>
      <c r="U1995" s="177" t="inlineStr">
        <is>
          <t>中信建投衍生品</t>
        </is>
      </c>
      <c r="V1995" s="192" t="n">
        <v>0.01</v>
      </c>
      <c r="W1995" s="175" t="n">
        <v>0.0175</v>
      </c>
      <c r="X1995" s="172" t="inlineStr">
        <is>
          <t>中信建投-衍生品</t>
        </is>
      </c>
      <c r="Y1995" s="191" t="n">
        <v>0.01</v>
      </c>
    </row>
    <row r="1996">
      <c r="A1996" s="172" t="n">
        <v>107</v>
      </c>
      <c r="B1996" s="172" t="inlineStr">
        <is>
          <t>6月</t>
        </is>
      </c>
      <c r="C1996" s="172" t="inlineStr">
        <is>
          <t>消金</t>
        </is>
      </c>
      <c r="D1996" s="172" t="inlineStr">
        <is>
          <t>金条&amp;白取混发</t>
        </is>
      </c>
      <c r="E1996" s="172" t="inlineStr">
        <is>
          <t>东樾4号夏樾（4-2）</t>
        </is>
      </c>
      <c r="F1996" s="172" t="inlineStr">
        <is>
          <t>银行间</t>
        </is>
      </c>
      <c r="G1996" s="172" t="inlineStr">
        <is>
          <t>招商证券</t>
        </is>
      </c>
      <c r="H1996" s="172" t="inlineStr">
        <is>
          <t>国泰海通/光大证券/中信证券/国信证券</t>
        </is>
      </c>
      <c r="I1996" s="172" t="inlineStr">
        <is>
          <t>中行北分</t>
        </is>
      </c>
      <c r="J1996" s="172" t="n">
        <v>10</v>
      </c>
      <c r="K1996" s="172" t="inlineStr">
        <is>
          <t>12+10+12</t>
        </is>
      </c>
      <c r="L1996" s="208" t="n">
        <v>46199</v>
      </c>
      <c r="M1996" s="175" t="n">
        <v>0.0148</v>
      </c>
      <c r="N1996" s="176" t="n">
        <v>0.02131</v>
      </c>
      <c r="O1996" s="172" t="n">
        <v>1.5</v>
      </c>
      <c r="P1996" s="172" t="inlineStr">
        <is>
          <t>优先B</t>
        </is>
      </c>
      <c r="Q1996" s="175" t="n">
        <v>0.03</v>
      </c>
      <c r="R1996" s="172">
        <f>J1303*Q1314</f>
        <v/>
      </c>
      <c r="S1996" s="172" t="inlineStr">
        <is>
          <t>AA+</t>
        </is>
      </c>
      <c r="T1996" s="175" t="n">
        <v>0.0175</v>
      </c>
      <c r="U1996" s="172" t="n"/>
      <c r="V1996" s="172" t="n"/>
      <c r="W1996" s="175" t="n">
        <v>0.02</v>
      </c>
      <c r="X1996" s="172" t="inlineStr">
        <is>
          <t>中金自营</t>
        </is>
      </c>
      <c r="Y1996" s="191" t="n">
        <v>0.2</v>
      </c>
    </row>
    <row r="1997">
      <c r="A1997" s="172" t="n">
        <v>107</v>
      </c>
      <c r="B1997" s="172" t="inlineStr">
        <is>
          <t>6月</t>
        </is>
      </c>
      <c r="C1997" s="173" t="inlineStr">
        <is>
          <t>消金</t>
        </is>
      </c>
      <c r="D1997" s="173" t="inlineStr">
        <is>
          <t>金条&amp;白取混发</t>
        </is>
      </c>
      <c r="E1997" s="173" t="inlineStr">
        <is>
          <t>东樾4号夏樾（4-2）</t>
        </is>
      </c>
      <c r="F1997" s="173" t="inlineStr">
        <is>
          <t>银行间</t>
        </is>
      </c>
      <c r="G1997" s="173" t="inlineStr">
        <is>
          <t>招商证券</t>
        </is>
      </c>
      <c r="H1997" s="173" t="inlineStr">
        <is>
          <t>国泰海通/光大证券/中信证券/国信证券</t>
        </is>
      </c>
      <c r="I1997" s="173" t="inlineStr">
        <is>
          <t>中行北分</t>
        </is>
      </c>
      <c r="J1997" s="172" t="n">
        <v>10</v>
      </c>
      <c r="K1997" s="173" t="inlineStr">
        <is>
          <t>12+10+12</t>
        </is>
      </c>
      <c r="L1997" s="202" t="n">
        <v>46199</v>
      </c>
      <c r="M1997" s="175" t="n">
        <v>0.0148</v>
      </c>
      <c r="N1997" s="176" t="n">
        <v>0.02131</v>
      </c>
      <c r="O1997" s="172" t="n">
        <v>1.5</v>
      </c>
      <c r="P1997" s="177" t="inlineStr">
        <is>
          <t>中间级</t>
        </is>
      </c>
      <c r="Q1997" s="178" t="n">
        <v>0.02</v>
      </c>
      <c r="R1997" s="179">
        <f>Q1317*J1303</f>
        <v/>
      </c>
      <c r="S1997" s="177" t="inlineStr">
        <is>
          <t>A+</t>
        </is>
      </c>
      <c r="T1997" s="178" t="n">
        <v>0.031</v>
      </c>
      <c r="U1997" s="177" t="inlineStr">
        <is>
          <t>汇华理财</t>
        </is>
      </c>
      <c r="V1997" s="192" t="n">
        <v>0.04</v>
      </c>
      <c r="W1997" s="172" t="n"/>
      <c r="X1997" s="172" t="n"/>
      <c r="Y1997" s="172" t="n"/>
    </row>
    <row r="1998">
      <c r="A1998" s="172" t="n">
        <v>107</v>
      </c>
      <c r="B1998" s="172" t="inlineStr">
        <is>
          <t>6月</t>
        </is>
      </c>
      <c r="C1998" s="173" t="inlineStr">
        <is>
          <t>消金</t>
        </is>
      </c>
      <c r="D1998" s="173" t="inlineStr">
        <is>
          <t>金条&amp;白取混发</t>
        </is>
      </c>
      <c r="E1998" s="173" t="inlineStr">
        <is>
          <t>东樾4号夏樾（4-2）</t>
        </is>
      </c>
      <c r="F1998" s="173" t="inlineStr">
        <is>
          <t>银行间</t>
        </is>
      </c>
      <c r="G1998" s="173" t="inlineStr">
        <is>
          <t>招商证券</t>
        </is>
      </c>
      <c r="H1998" s="173" t="inlineStr">
        <is>
          <t>国泰海通/光大证券/中信证券/国信证券</t>
        </is>
      </c>
      <c r="I1998" s="173" t="inlineStr">
        <is>
          <t>中行北分</t>
        </is>
      </c>
      <c r="J1998" s="172" t="n">
        <v>10</v>
      </c>
      <c r="K1998" s="173" t="inlineStr">
        <is>
          <t>12+10+12</t>
        </is>
      </c>
      <c r="L1998" s="202" t="n">
        <v>46199</v>
      </c>
      <c r="M1998" s="175" t="n">
        <v>0.0148</v>
      </c>
      <c r="N1998" s="176" t="n">
        <v>0.02131</v>
      </c>
      <c r="O1998" s="172" t="n">
        <v>1.5</v>
      </c>
      <c r="P1998" s="172" t="inlineStr">
        <is>
          <t>中间级</t>
        </is>
      </c>
      <c r="Q1998" s="178" t="n">
        <v>0.02</v>
      </c>
      <c r="R1998" s="179">
        <f>Q1317*J1303</f>
        <v/>
      </c>
      <c r="S1998" s="177" t="inlineStr">
        <is>
          <t>A+</t>
        </is>
      </c>
      <c r="T1998" s="178" t="n">
        <v>0.031</v>
      </c>
      <c r="U1998" s="177" t="inlineStr">
        <is>
          <t>利曦基金</t>
        </is>
      </c>
      <c r="V1998" s="192" t="n">
        <v>0.16</v>
      </c>
      <c r="W1998" s="172" t="n"/>
      <c r="X1998" s="172" t="n"/>
      <c r="Y1998" s="172" t="n"/>
    </row>
    <row r="1999">
      <c r="A1999" s="172" t="n">
        <v>107</v>
      </c>
      <c r="B1999" s="172" t="inlineStr">
        <is>
          <t>6月</t>
        </is>
      </c>
      <c r="C1999" s="173" t="inlineStr">
        <is>
          <t>消金</t>
        </is>
      </c>
      <c r="D1999" s="173" t="inlineStr">
        <is>
          <t>金条&amp;白取混发</t>
        </is>
      </c>
      <c r="E1999" s="173" t="inlineStr">
        <is>
          <t>东樾4号夏樾（4-2）</t>
        </is>
      </c>
      <c r="F1999" s="173" t="inlineStr">
        <is>
          <t>银行间</t>
        </is>
      </c>
      <c r="G1999" s="173" t="inlineStr">
        <is>
          <t>招商证券</t>
        </is>
      </c>
      <c r="H1999" s="173" t="inlineStr">
        <is>
          <t>国泰海通/光大证券/中信证券/国信证券</t>
        </is>
      </c>
      <c r="I1999" s="173" t="inlineStr">
        <is>
          <t>中行北分</t>
        </is>
      </c>
      <c r="J1999" s="172" t="n">
        <v>10</v>
      </c>
      <c r="K1999" s="173" t="inlineStr">
        <is>
          <t>12+10+12</t>
        </is>
      </c>
      <c r="L1999" s="202" t="n">
        <v>46199</v>
      </c>
      <c r="M1999" s="175" t="n">
        <v>0.0148</v>
      </c>
      <c r="N1999" s="176" t="n">
        <v>0.02131</v>
      </c>
      <c r="O1999" s="172" t="n">
        <v>1.5</v>
      </c>
      <c r="P1999" s="177" t="inlineStr">
        <is>
          <t>受益权</t>
        </is>
      </c>
      <c r="Q1999" s="178" t="n">
        <v>0.05</v>
      </c>
      <c r="R1999" s="179">
        <f>Q1319*J1303</f>
        <v/>
      </c>
      <c r="S1999" s="177" t="inlineStr">
        <is>
          <t>无</t>
        </is>
      </c>
      <c r="T1999" s="178" t="n">
        <v>0.0495</v>
      </c>
      <c r="U1999" s="177" t="inlineStr">
        <is>
          <t>中信建投衍生品</t>
        </is>
      </c>
      <c r="V1999" s="192" t="n">
        <v>0.2</v>
      </c>
      <c r="W1999" s="172" t="n"/>
      <c r="X1999" s="172" t="n"/>
      <c r="Y1999" s="172" t="n"/>
    </row>
    <row r="2000">
      <c r="A2000" s="172" t="n">
        <v>107</v>
      </c>
      <c r="B2000" s="172" t="inlineStr">
        <is>
          <t>6月</t>
        </is>
      </c>
      <c r="C2000" s="173" t="inlineStr">
        <is>
          <t>消金</t>
        </is>
      </c>
      <c r="D2000" s="173" t="inlineStr">
        <is>
          <t>金条&amp;白取混发</t>
        </is>
      </c>
      <c r="E2000" s="173" t="inlineStr">
        <is>
          <t>东樾4号夏樾（4-2）</t>
        </is>
      </c>
      <c r="F2000" s="173" t="inlineStr">
        <is>
          <t>银行间</t>
        </is>
      </c>
      <c r="G2000" s="173" t="inlineStr">
        <is>
          <t>招商证券</t>
        </is>
      </c>
      <c r="H2000" s="173" t="inlineStr">
        <is>
          <t>国泰海通/光大证券/中信证券/国信证券</t>
        </is>
      </c>
      <c r="I2000" s="173" t="inlineStr">
        <is>
          <t>中行北分</t>
        </is>
      </c>
      <c r="J2000" s="172" t="n">
        <v>10</v>
      </c>
      <c r="K2000" s="173" t="inlineStr">
        <is>
          <t>12+10+12</t>
        </is>
      </c>
      <c r="L2000" s="202" t="n">
        <v>46199</v>
      </c>
      <c r="M2000" s="175" t="n">
        <v>0.0148</v>
      </c>
      <c r="N2000" s="176" t="n">
        <v>0.02131</v>
      </c>
      <c r="O2000" s="172" t="n">
        <v>1.5</v>
      </c>
      <c r="P2000" s="172" t="inlineStr">
        <is>
          <t>受益权</t>
        </is>
      </c>
      <c r="Q2000" s="178" t="n">
        <v>0.05</v>
      </c>
      <c r="R2000" s="179">
        <f>Q1319*J1303</f>
        <v/>
      </c>
      <c r="S2000" s="177" t="inlineStr">
        <is>
          <t>无</t>
        </is>
      </c>
      <c r="T2000" s="178" t="n">
        <v>0.0495</v>
      </c>
      <c r="U2000" s="177" t="inlineStr">
        <is>
          <t>国泰海通自营</t>
        </is>
      </c>
      <c r="V2000" s="192" t="n">
        <v>0.2</v>
      </c>
      <c r="W2000" s="172" t="n"/>
      <c r="X2000" s="172" t="n"/>
      <c r="Y2000" s="172" t="n"/>
    </row>
    <row r="2001">
      <c r="A2001" s="172" t="n">
        <v>107</v>
      </c>
      <c r="B2001" s="172" t="inlineStr">
        <is>
          <t>6月</t>
        </is>
      </c>
      <c r="C2001" s="173" t="inlineStr">
        <is>
          <t>消金</t>
        </is>
      </c>
      <c r="D2001" s="173" t="inlineStr">
        <is>
          <t>金条&amp;白取混发</t>
        </is>
      </c>
      <c r="E2001" s="173" t="inlineStr">
        <is>
          <t>东樾4号夏樾（4-2）</t>
        </is>
      </c>
      <c r="F2001" s="173" t="inlineStr">
        <is>
          <t>银行间</t>
        </is>
      </c>
      <c r="G2001" s="173" t="inlineStr">
        <is>
          <t>招商证券</t>
        </is>
      </c>
      <c r="H2001" s="173" t="inlineStr">
        <is>
          <t>国泰海通/光大证券/中信证券/国信证券</t>
        </is>
      </c>
      <c r="I2001" s="173" t="inlineStr">
        <is>
          <t>中行北分</t>
        </is>
      </c>
      <c r="J2001" s="172" t="n">
        <v>10</v>
      </c>
      <c r="K2001" s="173" t="inlineStr">
        <is>
          <t>12+10+12</t>
        </is>
      </c>
      <c r="L2001" s="202" t="n">
        <v>46199</v>
      </c>
      <c r="M2001" s="175" t="n">
        <v>0.0148</v>
      </c>
      <c r="N2001" s="176" t="n">
        <v>0.02131</v>
      </c>
      <c r="O2001" s="172" t="n">
        <v>1.5</v>
      </c>
      <c r="P2001" s="172" t="inlineStr">
        <is>
          <t>受益权</t>
        </is>
      </c>
      <c r="Q2001" s="178" t="n">
        <v>0.05</v>
      </c>
      <c r="R2001" s="179">
        <f>Q1319*J1303</f>
        <v/>
      </c>
      <c r="S2001" s="177" t="inlineStr">
        <is>
          <t>无</t>
        </is>
      </c>
      <c r="T2001" s="178" t="n">
        <v>0.0495</v>
      </c>
      <c r="U2001" s="177" t="inlineStr">
        <is>
          <t>中信建投机构部</t>
        </is>
      </c>
      <c r="V2001" s="192" t="n">
        <v>0.1</v>
      </c>
      <c r="W2001" s="172" t="n"/>
      <c r="X2001" s="172" t="n"/>
      <c r="Y2001" s="172" t="n"/>
    </row>
    <row r="2002">
      <c r="A2002" s="172" t="n">
        <v>108</v>
      </c>
      <c r="B2002" s="173" t="inlineStr">
        <is>
          <t>6月</t>
        </is>
      </c>
      <c r="C2002" s="173" t="inlineStr">
        <is>
          <t>消金</t>
        </is>
      </c>
      <c r="D2002" s="173" t="inlineStr">
        <is>
          <t>信托白条</t>
        </is>
      </c>
      <c r="E2002" s="173" t="inlineStr">
        <is>
          <t>钰泽6号</t>
        </is>
      </c>
      <c r="F2002" s="173" t="inlineStr">
        <is>
          <t>非标</t>
        </is>
      </c>
      <c r="G2002" s="173" t="inlineStr">
        <is>
          <t>西藏信托</t>
        </is>
      </c>
      <c r="H2002" s="173" t="inlineStr">
        <is>
          <t>-</t>
        </is>
      </c>
      <c r="I2002" s="173" t="inlineStr">
        <is>
          <t>中行北分</t>
        </is>
      </c>
      <c r="J2002" s="207" t="n">
        <v>7.9</v>
      </c>
      <c r="K2002" s="173" t="inlineStr">
        <is>
          <t>11+1</t>
        </is>
      </c>
      <c r="L2002" s="202" t="n">
        <v>46202</v>
      </c>
      <c r="M2002" s="175" t="n">
        <v>0.0148</v>
      </c>
      <c r="N2002" s="176" t="n">
        <v>0.02905</v>
      </c>
      <c r="O2002" s="172" t="inlineStr">
        <is>
          <t>-</t>
        </is>
      </c>
      <c r="P2002" s="177" t="inlineStr">
        <is>
          <t>平层</t>
        </is>
      </c>
      <c r="Q2002" s="172" t="inlineStr">
        <is>
          <t>-</t>
        </is>
      </c>
      <c r="R2002" s="192" t="n">
        <v>7.9</v>
      </c>
      <c r="S2002" s="177" t="inlineStr">
        <is>
          <t>无</t>
        </is>
      </c>
      <c r="T2002" s="178" t="n">
        <v>0.026</v>
      </c>
      <c r="U2002" s="177" t="inlineStr">
        <is>
          <t>中银理财</t>
        </is>
      </c>
      <c r="V2002" s="207" t="n">
        <v>7.9</v>
      </c>
      <c r="W2002" s="172" t="n"/>
      <c r="X2002" s="172" t="n"/>
      <c r="Y2002" s="172" t="n"/>
    </row>
    <row r="2003">
      <c r="A2003" s="172" t="n">
        <v>109</v>
      </c>
      <c r="B2003" s="173" t="inlineStr">
        <is>
          <t>6月</t>
        </is>
      </c>
      <c r="C2003" s="173" t="inlineStr">
        <is>
          <t>消金</t>
        </is>
      </c>
      <c r="D2003" s="173" t="inlineStr">
        <is>
          <t>信托企业主贷</t>
        </is>
      </c>
      <c r="E2003" s="173" t="inlineStr">
        <is>
          <t>锦实1号</t>
        </is>
      </c>
      <c r="F2003" s="173" t="inlineStr">
        <is>
          <t>非标</t>
        </is>
      </c>
      <c r="G2003" s="173" t="inlineStr">
        <is>
          <t>天津信托</t>
        </is>
      </c>
      <c r="H2003" s="173" t="inlineStr">
        <is>
          <t>-</t>
        </is>
      </c>
      <c r="I2003" s="173" t="inlineStr">
        <is>
          <t>南京银行</t>
        </is>
      </c>
      <c r="J2003" s="207" t="n">
        <v>6</v>
      </c>
      <c r="K2003" s="173" t="inlineStr">
        <is>
          <t>10+2</t>
        </is>
      </c>
      <c r="L2003" s="202" t="n">
        <v>46202</v>
      </c>
      <c r="M2003" s="175" t="n">
        <v>0.0148</v>
      </c>
      <c r="N2003" s="176" t="n">
        <v>0.02805</v>
      </c>
      <c r="O2003" s="172" t="inlineStr">
        <is>
          <t>-</t>
        </is>
      </c>
      <c r="P2003" s="177" t="inlineStr">
        <is>
          <t>平层</t>
        </is>
      </c>
      <c r="Q2003" s="172" t="inlineStr">
        <is>
          <t>-</t>
        </is>
      </c>
      <c r="R2003" s="192" t="n">
        <v>6</v>
      </c>
      <c r="S2003" s="177" t="inlineStr">
        <is>
          <t>无</t>
        </is>
      </c>
      <c r="T2003" s="178" t="n">
        <v>0.025</v>
      </c>
      <c r="U2003" s="177" t="inlineStr">
        <is>
          <t>南银理财</t>
        </is>
      </c>
      <c r="V2003" s="207" t="n">
        <v>6</v>
      </c>
      <c r="W2003" s="172" t="n"/>
      <c r="X2003" s="172" t="n"/>
      <c r="Y2003" s="172" t="n"/>
    </row>
    <row r="2004">
      <c r="A2004" s="172" t="n">
        <v>110</v>
      </c>
      <c r="B2004" s="173" t="inlineStr">
        <is>
          <t>6月</t>
        </is>
      </c>
      <c r="C2004" s="173" t="inlineStr">
        <is>
          <t>消金</t>
        </is>
      </c>
      <c r="D2004" s="173" t="inlineStr">
        <is>
          <t>信托白条</t>
        </is>
      </c>
      <c r="E2004" s="173" t="inlineStr">
        <is>
          <t>格昱28号</t>
        </is>
      </c>
      <c r="F2004" s="173" t="inlineStr">
        <is>
          <t>非标</t>
        </is>
      </c>
      <c r="G2004" s="173" t="inlineStr">
        <is>
          <t>华鑫信托</t>
        </is>
      </c>
      <c r="H2004" s="173" t="inlineStr">
        <is>
          <t>-</t>
        </is>
      </c>
      <c r="I2004" s="173" t="inlineStr">
        <is>
          <t>上银浦东分行</t>
        </is>
      </c>
      <c r="J2004" s="207" t="n">
        <v>5</v>
      </c>
      <c r="K2004" s="173" t="inlineStr">
        <is>
          <t>11+1</t>
        </is>
      </c>
      <c r="L2004" s="202" t="n">
        <v>46203</v>
      </c>
      <c r="M2004" s="175" t="n">
        <v>0.0148</v>
      </c>
      <c r="N2004" s="176" t="n">
        <v>0.03105</v>
      </c>
      <c r="O2004" s="172" t="inlineStr">
        <is>
          <t>-</t>
        </is>
      </c>
      <c r="P2004" s="177" t="inlineStr">
        <is>
          <t>平层</t>
        </is>
      </c>
      <c r="Q2004" s="172" t="inlineStr">
        <is>
          <t>-</t>
        </is>
      </c>
      <c r="R2004" s="192" t="n">
        <v>5</v>
      </c>
      <c r="S2004" s="177" t="inlineStr">
        <is>
          <t>无</t>
        </is>
      </c>
      <c r="T2004" s="178" t="n">
        <v>0.028</v>
      </c>
      <c r="U2004" s="177" t="inlineStr">
        <is>
          <t>上银理财</t>
        </is>
      </c>
      <c r="V2004" s="207" t="n">
        <v>5</v>
      </c>
      <c r="W2004" s="172" t="n"/>
      <c r="X2004" s="172" t="n"/>
      <c r="Y2004" s="172" t="n"/>
    </row>
    <row r="2005">
      <c r="A2005" s="172" t="n">
        <v>111</v>
      </c>
      <c r="B2005" s="172" t="inlineStr">
        <is>
          <t>6月</t>
        </is>
      </c>
      <c r="C2005" s="172" t="inlineStr">
        <is>
          <t>消金</t>
        </is>
      </c>
      <c r="D2005" s="172" t="inlineStr">
        <is>
          <t>金条&amp;白取&amp;白条混发</t>
        </is>
      </c>
      <c r="E2005" s="172" t="inlineStr">
        <is>
          <t>天玑52-2号</t>
        </is>
      </c>
      <c r="F2005" s="172" t="inlineStr">
        <is>
          <t>结构化非标</t>
        </is>
      </c>
      <c r="G2005" s="172" t="inlineStr">
        <is>
          <t>国民信托</t>
        </is>
      </c>
      <c r="H2005" s="172" t="inlineStr">
        <is>
          <t>-</t>
        </is>
      </c>
      <c r="I2005" s="172" t="inlineStr">
        <is>
          <t>招行北分</t>
        </is>
      </c>
      <c r="J2005" s="172" t="n">
        <v>13</v>
      </c>
      <c r="K2005" s="172" t="inlineStr">
        <is>
          <t>11+13</t>
        </is>
      </c>
      <c r="L2005" s="202" t="n">
        <v>46203</v>
      </c>
      <c r="M2005" s="175" t="n">
        <v>0.0148</v>
      </c>
      <c r="N2005" s="176" t="n">
        <v>0.03098</v>
      </c>
      <c r="O2005" s="191" t="inlineStr">
        <is>
          <t>-</t>
        </is>
      </c>
      <c r="P2005" s="172" t="inlineStr">
        <is>
          <t>结构化平层</t>
        </is>
      </c>
      <c r="Q2005" s="175" t="n">
        <v>0.75</v>
      </c>
      <c r="R2005" s="192" t="n">
        <v>9.75</v>
      </c>
      <c r="S2005" s="172" t="inlineStr">
        <is>
          <t>无</t>
        </is>
      </c>
      <c r="T2005" s="175" t="n">
        <v>0.0249</v>
      </c>
      <c r="U2005" s="172" t="inlineStr">
        <is>
          <t>花旗银行</t>
        </is>
      </c>
      <c r="V2005" s="172" t="n">
        <v>9.75</v>
      </c>
      <c r="W2005" s="172" t="n"/>
      <c r="X2005" s="172" t="n"/>
      <c r="Y2005" s="172" t="n"/>
    </row>
    <row r="2006">
      <c r="A2006" s="172" t="n">
        <v>111</v>
      </c>
      <c r="B2006" s="172" t="inlineStr">
        <is>
          <t>6月</t>
        </is>
      </c>
      <c r="C2006" s="172" t="inlineStr">
        <is>
          <t>消金</t>
        </is>
      </c>
      <c r="D2006" s="172" t="inlineStr">
        <is>
          <t>金条&amp;白取&amp;白条混发</t>
        </is>
      </c>
      <c r="E2006" s="172" t="inlineStr">
        <is>
          <t>天玑52-2号</t>
        </is>
      </c>
      <c r="F2006" s="172" t="inlineStr">
        <is>
          <t>结构化非标</t>
        </is>
      </c>
      <c r="G2006" s="172" t="inlineStr">
        <is>
          <t>国民信托</t>
        </is>
      </c>
      <c r="H2006" s="172" t="inlineStr">
        <is>
          <t>-</t>
        </is>
      </c>
      <c r="I2006" s="172" t="inlineStr">
        <is>
          <t>招行北分</t>
        </is>
      </c>
      <c r="J2006" s="172" t="n">
        <v>13</v>
      </c>
      <c r="K2006" s="172" t="inlineStr">
        <is>
          <t>11+13</t>
        </is>
      </c>
      <c r="L2006" s="202" t="n">
        <v>46203</v>
      </c>
      <c r="M2006" s="175" t="n">
        <v>0.0148</v>
      </c>
      <c r="N2006" s="176" t="n">
        <v>0.03098</v>
      </c>
      <c r="O2006" s="191" t="inlineStr">
        <is>
          <t>-</t>
        </is>
      </c>
      <c r="P2006" s="172" t="inlineStr">
        <is>
          <t>结构化平层</t>
        </is>
      </c>
      <c r="Q2006" s="175" t="n">
        <v>0.25</v>
      </c>
      <c r="R2006" s="192" t="n">
        <v>3.25</v>
      </c>
      <c r="S2006" s="172" t="inlineStr">
        <is>
          <t>无</t>
        </is>
      </c>
      <c r="T2006" s="175" t="n">
        <v>0.037</v>
      </c>
      <c r="U2006" s="172" t="inlineStr">
        <is>
          <t>中金自营</t>
        </is>
      </c>
      <c r="V2006" s="191" t="n">
        <v>0.8</v>
      </c>
      <c r="W2006" s="172" t="n"/>
      <c r="X2006" s="172" t="n"/>
      <c r="Y2006" s="172" t="n"/>
    </row>
    <row r="2007">
      <c r="A2007" s="172" t="n">
        <v>111</v>
      </c>
      <c r="B2007" s="172" t="inlineStr">
        <is>
          <t>6月</t>
        </is>
      </c>
      <c r="C2007" s="172" t="inlineStr">
        <is>
          <t>消金</t>
        </is>
      </c>
      <c r="D2007" s="172" t="inlineStr">
        <is>
          <t>金条&amp;白取&amp;白条混发</t>
        </is>
      </c>
      <c r="E2007" s="172" t="inlineStr">
        <is>
          <t>天玑52-2号</t>
        </is>
      </c>
      <c r="F2007" s="172" t="inlineStr">
        <is>
          <t>结构化非标</t>
        </is>
      </c>
      <c r="G2007" s="172" t="inlineStr">
        <is>
          <t>国民信托</t>
        </is>
      </c>
      <c r="H2007" s="172" t="inlineStr">
        <is>
          <t>-</t>
        </is>
      </c>
      <c r="I2007" s="172" t="inlineStr">
        <is>
          <t>招行北分</t>
        </is>
      </c>
      <c r="J2007" s="172" t="n">
        <v>13</v>
      </c>
      <c r="K2007" s="172" t="inlineStr">
        <is>
          <t>11+13</t>
        </is>
      </c>
      <c r="L2007" s="202" t="n">
        <v>46203</v>
      </c>
      <c r="M2007" s="175" t="n">
        <v>0.0148</v>
      </c>
      <c r="N2007" s="176" t="n">
        <v>0.03098</v>
      </c>
      <c r="O2007" s="191" t="inlineStr">
        <is>
          <t>-</t>
        </is>
      </c>
      <c r="P2007" s="172" t="inlineStr">
        <is>
          <t>结构化平层</t>
        </is>
      </c>
      <c r="Q2007" s="175" t="n">
        <v>0.25</v>
      </c>
      <c r="R2007" s="192" t="n">
        <v>3.25</v>
      </c>
      <c r="S2007" s="172" t="inlineStr">
        <is>
          <t>无</t>
        </is>
      </c>
      <c r="T2007" s="175" t="n">
        <v>0.037</v>
      </c>
      <c r="U2007" s="172" t="inlineStr">
        <is>
          <t>中信建投机构部</t>
        </is>
      </c>
      <c r="V2007" s="172" t="n">
        <v>1.25</v>
      </c>
      <c r="W2007" s="172" t="n"/>
      <c r="X2007" s="172" t="n"/>
      <c r="Y2007" s="172" t="n"/>
    </row>
    <row r="2008">
      <c r="A2008" s="172" t="n">
        <v>111</v>
      </c>
      <c r="B2008" s="172" t="inlineStr">
        <is>
          <t>6月</t>
        </is>
      </c>
      <c r="C2008" s="172" t="inlineStr">
        <is>
          <t>消金</t>
        </is>
      </c>
      <c r="D2008" s="172" t="inlineStr">
        <is>
          <t>金条&amp;白取&amp;白条混发</t>
        </is>
      </c>
      <c r="E2008" s="172" t="inlineStr">
        <is>
          <t>天玑52-2号</t>
        </is>
      </c>
      <c r="F2008" s="172" t="inlineStr">
        <is>
          <t>结构化非标</t>
        </is>
      </c>
      <c r="G2008" s="172" t="inlineStr">
        <is>
          <t>国民信托</t>
        </is>
      </c>
      <c r="H2008" s="172" t="inlineStr">
        <is>
          <t>-</t>
        </is>
      </c>
      <c r="I2008" s="172" t="inlineStr">
        <is>
          <t>招行北分</t>
        </is>
      </c>
      <c r="J2008" s="172" t="n">
        <v>13</v>
      </c>
      <c r="K2008" s="172" t="inlineStr">
        <is>
          <t>11+13</t>
        </is>
      </c>
      <c r="L2008" s="202" t="n">
        <v>46203</v>
      </c>
      <c r="M2008" s="175" t="n">
        <v>0.0148</v>
      </c>
      <c r="N2008" s="176" t="n">
        <v>0.03098</v>
      </c>
      <c r="O2008" s="191" t="inlineStr">
        <is>
          <t>-</t>
        </is>
      </c>
      <c r="P2008" s="172" t="inlineStr">
        <is>
          <t>结构化平层</t>
        </is>
      </c>
      <c r="Q2008" s="175" t="n">
        <v>0.25</v>
      </c>
      <c r="R2008" s="192" t="n">
        <v>3.25</v>
      </c>
      <c r="S2008" s="172" t="inlineStr">
        <is>
          <t>无</t>
        </is>
      </c>
      <c r="T2008" s="175" t="n">
        <v>0.037</v>
      </c>
      <c r="U2008" s="172" t="inlineStr">
        <is>
          <t>中信证券自营</t>
        </is>
      </c>
      <c r="V2008" s="191" t="n">
        <v>1.2</v>
      </c>
      <c r="W2008" s="172" t="n"/>
      <c r="X2008" s="172" t="n"/>
      <c r="Y2008" s="172" t="n"/>
    </row>
    <row r="2009">
      <c r="A2009" s="172" t="n">
        <v>112</v>
      </c>
      <c r="B2009" s="172" t="inlineStr">
        <is>
          <t>6月</t>
        </is>
      </c>
      <c r="C2009" s="172" t="inlineStr">
        <is>
          <t>消金</t>
        </is>
      </c>
      <c r="D2009" s="172" t="inlineStr">
        <is>
          <t>金条&amp;白取&amp;白条混发</t>
        </is>
      </c>
      <c r="E2009" s="172" t="inlineStr">
        <is>
          <t>云虹31号</t>
        </is>
      </c>
      <c r="F2009" s="172" t="inlineStr">
        <is>
          <t>结构化非标</t>
        </is>
      </c>
      <c r="G2009" s="172" t="inlineStr">
        <is>
          <t>外贸信托</t>
        </is>
      </c>
      <c r="H2009" s="172" t="inlineStr">
        <is>
          <t>-</t>
        </is>
      </c>
      <c r="I2009" s="172" t="inlineStr">
        <is>
          <t>建行北分</t>
        </is>
      </c>
      <c r="J2009" s="172" t="n">
        <v>9</v>
      </c>
      <c r="K2009" s="172" t="inlineStr">
        <is>
          <t>11+24</t>
        </is>
      </c>
      <c r="L2009" s="202" t="n">
        <v>46203</v>
      </c>
      <c r="M2009" s="175" t="n">
        <v>0.0148</v>
      </c>
      <c r="N2009" s="176" t="n">
        <v>0.03055</v>
      </c>
      <c r="O2009" s="191" t="inlineStr">
        <is>
          <t>-</t>
        </is>
      </c>
      <c r="P2009" s="172" t="inlineStr">
        <is>
          <t>结构化平层</t>
        </is>
      </c>
      <c r="Q2009" s="175" t="n">
        <v>0.75</v>
      </c>
      <c r="R2009" s="192" t="n">
        <v>6.75</v>
      </c>
      <c r="S2009" s="172" t="inlineStr">
        <is>
          <t>无</t>
        </is>
      </c>
      <c r="T2009" s="175" t="n">
        <v>0.024</v>
      </c>
      <c r="U2009" s="172" t="inlineStr">
        <is>
          <t>汇丰银行</t>
        </is>
      </c>
      <c r="V2009" s="172" t="n">
        <v>6.75</v>
      </c>
      <c r="W2009" s="172" t="n"/>
      <c r="X2009" s="172" t="n"/>
      <c r="Y2009" s="172" t="n"/>
    </row>
    <row r="2010">
      <c r="A2010" s="172" t="n">
        <v>112</v>
      </c>
      <c r="B2010" s="172" t="inlineStr">
        <is>
          <t>6月</t>
        </is>
      </c>
      <c r="C2010" s="172" t="inlineStr">
        <is>
          <t>消金</t>
        </is>
      </c>
      <c r="D2010" s="172" t="inlineStr">
        <is>
          <t>金条&amp;白取&amp;白条混发</t>
        </is>
      </c>
      <c r="E2010" s="172" t="inlineStr">
        <is>
          <t>云虹31号</t>
        </is>
      </c>
      <c r="F2010" s="172" t="inlineStr">
        <is>
          <t>结构化非标</t>
        </is>
      </c>
      <c r="G2010" s="172" t="inlineStr">
        <is>
          <t>外贸信托</t>
        </is>
      </c>
      <c r="H2010" s="172" t="inlineStr">
        <is>
          <t>-</t>
        </is>
      </c>
      <c r="I2010" s="172" t="inlineStr">
        <is>
          <t>建行北分</t>
        </is>
      </c>
      <c r="J2010" s="172" t="n">
        <v>9</v>
      </c>
      <c r="K2010" s="172" t="inlineStr">
        <is>
          <t>11+24</t>
        </is>
      </c>
      <c r="L2010" s="202" t="n">
        <v>46203</v>
      </c>
      <c r="M2010" s="175" t="n">
        <v>0.0148</v>
      </c>
      <c r="N2010" s="176" t="n">
        <v>0.03055</v>
      </c>
      <c r="O2010" s="191" t="inlineStr">
        <is>
          <t>-</t>
        </is>
      </c>
      <c r="P2010" s="172" t="inlineStr">
        <is>
          <t>结构化平层</t>
        </is>
      </c>
      <c r="Q2010" s="175" t="n">
        <v>0.25</v>
      </c>
      <c r="R2010" s="192" t="n">
        <v>2.25</v>
      </c>
      <c r="S2010" s="172" t="inlineStr">
        <is>
          <t>无</t>
        </is>
      </c>
      <c r="T2010" s="175" t="n">
        <v>0.038</v>
      </c>
      <c r="U2010" s="172" t="inlineStr">
        <is>
          <t>中金自营</t>
        </is>
      </c>
      <c r="V2010" s="172" t="n">
        <v>1.125</v>
      </c>
      <c r="W2010" s="172" t="n"/>
      <c r="X2010" s="172" t="n"/>
      <c r="Y2010" s="172" t="n"/>
    </row>
    <row r="2011">
      <c r="A2011" s="172" t="n">
        <v>112</v>
      </c>
      <c r="B2011" s="172" t="inlineStr">
        <is>
          <t>6月</t>
        </is>
      </c>
      <c r="C2011" s="172" t="inlineStr">
        <is>
          <t>消金</t>
        </is>
      </c>
      <c r="D2011" s="172" t="inlineStr">
        <is>
          <t>金条&amp;白取&amp;白条混发</t>
        </is>
      </c>
      <c r="E2011" s="172" t="inlineStr">
        <is>
          <t>云虹31号</t>
        </is>
      </c>
      <c r="F2011" s="172" t="inlineStr">
        <is>
          <t>结构化非标</t>
        </is>
      </c>
      <c r="G2011" s="172" t="inlineStr">
        <is>
          <t>外贸信托</t>
        </is>
      </c>
      <c r="H2011" s="172" t="inlineStr">
        <is>
          <t>-</t>
        </is>
      </c>
      <c r="I2011" s="172" t="inlineStr">
        <is>
          <t>建行北分</t>
        </is>
      </c>
      <c r="J2011" s="172" t="n">
        <v>9</v>
      </c>
      <c r="K2011" s="172" t="inlineStr">
        <is>
          <t>11+24</t>
        </is>
      </c>
      <c r="L2011" s="202" t="n">
        <v>46203</v>
      </c>
      <c r="M2011" s="175" t="n">
        <v>0.0148</v>
      </c>
      <c r="N2011" s="176" t="n">
        <v>0.03055</v>
      </c>
      <c r="O2011" s="191" t="inlineStr">
        <is>
          <t>-</t>
        </is>
      </c>
      <c r="P2011" s="172" t="inlineStr">
        <is>
          <t>结构化平层</t>
        </is>
      </c>
      <c r="Q2011" s="175" t="n">
        <v>0.25</v>
      </c>
      <c r="R2011" s="192" t="n">
        <v>2.25</v>
      </c>
      <c r="S2011" s="172" t="inlineStr">
        <is>
          <t>无</t>
        </is>
      </c>
      <c r="T2011" s="175" t="n">
        <v>0.038</v>
      </c>
      <c r="U2011" s="172" t="inlineStr">
        <is>
          <t>中信建投投顾</t>
        </is>
      </c>
      <c r="V2011" s="172" t="n">
        <v>1.125</v>
      </c>
      <c r="W2011" s="172" t="n"/>
      <c r="X2011" s="172" t="n"/>
      <c r="Y2011" s="172" t="n"/>
    </row>
    <row r="2012">
      <c r="A2012" s="172" t="n">
        <v>113</v>
      </c>
      <c r="B2012" s="173" t="inlineStr">
        <is>
          <t>7月</t>
        </is>
      </c>
      <c r="C2012" s="173" t="inlineStr">
        <is>
          <t>消金</t>
        </is>
      </c>
      <c r="D2012" s="173" t="inlineStr">
        <is>
          <t>信托金条</t>
        </is>
      </c>
      <c r="E2012" s="173" t="inlineStr">
        <is>
          <t>格昱29号</t>
        </is>
      </c>
      <c r="F2012" s="173" t="inlineStr">
        <is>
          <t>非标</t>
        </is>
      </c>
      <c r="G2012" s="173" t="inlineStr">
        <is>
          <t>华鑫信托</t>
        </is>
      </c>
      <c r="H2012" s="173" t="inlineStr">
        <is>
          <t>-</t>
        </is>
      </c>
      <c r="I2012" s="173" t="inlineStr">
        <is>
          <t>南银北分</t>
        </is>
      </c>
      <c r="J2012" s="207" t="n">
        <v>5</v>
      </c>
      <c r="K2012" s="173" t="inlineStr">
        <is>
          <t>11+1</t>
        </is>
      </c>
      <c r="L2012" s="202" t="n">
        <v>46204</v>
      </c>
      <c r="M2012" s="175" t="n">
        <v>0.0146</v>
      </c>
      <c r="N2012" s="176" t="n">
        <v>0.02805</v>
      </c>
      <c r="O2012" s="172" t="inlineStr">
        <is>
          <t>-</t>
        </is>
      </c>
      <c r="P2012" s="177" t="inlineStr">
        <is>
          <t>平层</t>
        </is>
      </c>
      <c r="Q2012" s="172" t="inlineStr">
        <is>
          <t>-</t>
        </is>
      </c>
      <c r="R2012" s="192" t="n">
        <v>5</v>
      </c>
      <c r="S2012" s="177" t="inlineStr">
        <is>
          <t>无</t>
        </is>
      </c>
      <c r="T2012" s="178" t="n">
        <v>0.025</v>
      </c>
      <c r="U2012" s="177" t="inlineStr">
        <is>
          <t>南银理财</t>
        </is>
      </c>
      <c r="V2012" s="207" t="n">
        <v>5</v>
      </c>
      <c r="W2012" s="172" t="n"/>
      <c r="X2012" s="172" t="n"/>
      <c r="Y2012" s="172" t="n"/>
    </row>
    <row r="2013">
      <c r="A2013" s="172" t="n">
        <v>114</v>
      </c>
      <c r="B2013" s="173" t="inlineStr">
        <is>
          <t>7月</t>
        </is>
      </c>
      <c r="C2013" s="173" t="inlineStr">
        <is>
          <t>消金</t>
        </is>
      </c>
      <c r="D2013" s="173" t="inlineStr">
        <is>
          <t>金条&amp;白取&amp;白条混发</t>
        </is>
      </c>
      <c r="E2013" s="173" t="inlineStr">
        <is>
          <t>云虹32号</t>
        </is>
      </c>
      <c r="F2013" s="173" t="inlineStr">
        <is>
          <t>非标</t>
        </is>
      </c>
      <c r="G2013" s="173" t="inlineStr">
        <is>
          <t>外贸信托</t>
        </is>
      </c>
      <c r="H2013" s="173" t="inlineStr">
        <is>
          <t>-</t>
        </is>
      </c>
      <c r="I2013" s="173" t="inlineStr">
        <is>
          <t>南银北分</t>
        </is>
      </c>
      <c r="J2013" s="207" t="n">
        <v>5</v>
      </c>
      <c r="K2013" s="173" t="inlineStr">
        <is>
          <t>6+6</t>
        </is>
      </c>
      <c r="L2013" s="202" t="n">
        <v>46204</v>
      </c>
      <c r="M2013" s="175" t="n">
        <v>0.0146</v>
      </c>
      <c r="N2013" s="176" t="n">
        <v>0.02805</v>
      </c>
      <c r="O2013" s="172" t="inlineStr">
        <is>
          <t>-</t>
        </is>
      </c>
      <c r="P2013" s="177" t="inlineStr">
        <is>
          <t>平层</t>
        </is>
      </c>
      <c r="Q2013" s="172" t="inlineStr">
        <is>
          <t>-</t>
        </is>
      </c>
      <c r="R2013" s="192" t="n">
        <v>5</v>
      </c>
      <c r="S2013" s="177" t="inlineStr">
        <is>
          <t>无</t>
        </is>
      </c>
      <c r="T2013" s="178" t="n">
        <v>0.025</v>
      </c>
      <c r="U2013" s="177" t="inlineStr">
        <is>
          <t>南银理财</t>
        </is>
      </c>
      <c r="V2013" s="207" t="n">
        <v>5</v>
      </c>
      <c r="W2013" s="172" t="n"/>
      <c r="X2013" s="176" t="n"/>
      <c r="Y2013" s="172" t="n"/>
    </row>
    <row r="2014">
      <c r="A2014" s="172" t="n">
        <v>115</v>
      </c>
      <c r="B2014" s="173" t="inlineStr">
        <is>
          <t>7月</t>
        </is>
      </c>
      <c r="C2014" s="173" t="inlineStr">
        <is>
          <t>消金</t>
        </is>
      </c>
      <c r="D2014" s="173" t="inlineStr">
        <is>
          <t>赊销白条</t>
        </is>
      </c>
      <c r="E2014" s="173" t="inlineStr">
        <is>
          <t>东裕4号仲裕（续发）</t>
        </is>
      </c>
      <c r="F2014" s="173" t="inlineStr">
        <is>
          <t>银行间</t>
        </is>
      </c>
      <c r="G2014" s="173" t="inlineStr">
        <is>
          <t>国泰海通</t>
        </is>
      </c>
      <c r="H2014" s="173" t="inlineStr">
        <is>
          <t>杭州银行/江苏银行/中信证券/招商证券</t>
        </is>
      </c>
      <c r="I2014" s="173" t="inlineStr">
        <is>
          <t>兴业北分</t>
        </is>
      </c>
      <c r="J2014" s="172" t="n">
        <v>9.449999999999999</v>
      </c>
      <c r="K2014" s="173" t="inlineStr">
        <is>
          <t>9+3</t>
        </is>
      </c>
      <c r="L2014" s="202" t="n">
        <v>46209</v>
      </c>
      <c r="M2014" s="175" t="n">
        <v>0.0146</v>
      </c>
      <c r="N2014" s="176" t="n">
        <v>0.0195</v>
      </c>
      <c r="O2014" s="191" t="n">
        <v>2.43</v>
      </c>
      <c r="P2014" s="177" t="inlineStr">
        <is>
          <t>优先级</t>
        </is>
      </c>
      <c r="Q2014" s="178" t="n">
        <v>0.9</v>
      </c>
      <c r="R2014" s="179" t="n">
        <v>9</v>
      </c>
      <c r="S2014" s="177" t="inlineStr">
        <is>
          <t>AAA</t>
        </is>
      </c>
      <c r="T2014" s="178" t="n">
        <v>0.0159</v>
      </c>
      <c r="U2014" s="177" t="inlineStr">
        <is>
          <t>招银理财</t>
        </is>
      </c>
      <c r="V2014" s="192" t="n">
        <v>2.7</v>
      </c>
      <c r="W2014" s="175" t="n">
        <v>0.0157</v>
      </c>
      <c r="X2014" s="172" t="inlineStr">
        <is>
          <t>招银理财</t>
        </is>
      </c>
      <c r="Y2014" s="191" t="n">
        <v>2.7</v>
      </c>
    </row>
    <row r="2015">
      <c r="A2015" s="172" t="n">
        <v>115</v>
      </c>
      <c r="B2015" s="173" t="inlineStr">
        <is>
          <t>7月</t>
        </is>
      </c>
      <c r="C2015" s="173" t="inlineStr">
        <is>
          <t>消金</t>
        </is>
      </c>
      <c r="D2015" s="173" t="inlineStr">
        <is>
          <t>赊销白条</t>
        </is>
      </c>
      <c r="E2015" s="173" t="inlineStr">
        <is>
          <t>东裕4号仲裕（续发）</t>
        </is>
      </c>
      <c r="F2015" s="173" t="inlineStr">
        <is>
          <t>银行间</t>
        </is>
      </c>
      <c r="G2015" s="173" t="inlineStr">
        <is>
          <t>国泰海通</t>
        </is>
      </c>
      <c r="H2015" s="173" t="inlineStr">
        <is>
          <t>杭州银行/江苏银行/中信证券/招商证券</t>
        </is>
      </c>
      <c r="I2015" s="173" t="inlineStr">
        <is>
          <t>兴业北分</t>
        </is>
      </c>
      <c r="J2015" s="172" t="n">
        <v>9.449999999999999</v>
      </c>
      <c r="K2015" s="173" t="inlineStr">
        <is>
          <t>9+3</t>
        </is>
      </c>
      <c r="L2015" s="202" t="n">
        <v>46209</v>
      </c>
      <c r="M2015" s="175" t="n">
        <v>0.0146</v>
      </c>
      <c r="N2015" s="176" t="n">
        <v>0.0195</v>
      </c>
      <c r="O2015" s="191" t="n">
        <v>2.43</v>
      </c>
      <c r="P2015" s="172" t="inlineStr">
        <is>
          <t>优先级</t>
        </is>
      </c>
      <c r="Q2015" s="178" t="n">
        <v>0.9</v>
      </c>
      <c r="R2015" s="179" t="n">
        <v>9</v>
      </c>
      <c r="S2015" s="177" t="inlineStr">
        <is>
          <t>AAA</t>
        </is>
      </c>
      <c r="T2015" s="178" t="n">
        <v>0.0159</v>
      </c>
      <c r="U2015" s="177" t="inlineStr">
        <is>
          <t>工银理财</t>
        </is>
      </c>
      <c r="V2015" s="192" t="n">
        <v>2.5</v>
      </c>
      <c r="W2015" s="175" t="n">
        <v>0.0158</v>
      </c>
      <c r="X2015" s="172" t="inlineStr">
        <is>
          <t>工银理财</t>
        </is>
      </c>
      <c r="Y2015" s="191" t="n">
        <v>2.5</v>
      </c>
    </row>
    <row r="2016">
      <c r="A2016" s="172" t="n">
        <v>115</v>
      </c>
      <c r="B2016" s="173" t="inlineStr">
        <is>
          <t>7月</t>
        </is>
      </c>
      <c r="C2016" s="173" t="inlineStr">
        <is>
          <t>消金</t>
        </is>
      </c>
      <c r="D2016" s="173" t="inlineStr">
        <is>
          <t>赊销白条</t>
        </is>
      </c>
      <c r="E2016" s="173" t="inlineStr">
        <is>
          <t>东裕4号仲裕（续发）</t>
        </is>
      </c>
      <c r="F2016" s="173" t="inlineStr">
        <is>
          <t>银行间</t>
        </is>
      </c>
      <c r="G2016" s="173" t="inlineStr">
        <is>
          <t>国泰海通</t>
        </is>
      </c>
      <c r="H2016" s="173" t="inlineStr">
        <is>
          <t>杭州银行/江苏银行/中信证券/招商证券</t>
        </is>
      </c>
      <c r="I2016" s="173" t="inlineStr">
        <is>
          <t>兴业北分</t>
        </is>
      </c>
      <c r="J2016" s="172" t="n">
        <v>9.449999999999999</v>
      </c>
      <c r="K2016" s="173" t="inlineStr">
        <is>
          <t>9+3</t>
        </is>
      </c>
      <c r="L2016" s="202" t="n">
        <v>46209</v>
      </c>
      <c r="M2016" s="175" t="n">
        <v>0.0146</v>
      </c>
      <c r="N2016" s="176" t="n">
        <v>0.0195</v>
      </c>
      <c r="O2016" s="191" t="n">
        <v>2.43</v>
      </c>
      <c r="P2016" s="172" t="inlineStr">
        <is>
          <t>优先级</t>
        </is>
      </c>
      <c r="Q2016" s="178" t="n">
        <v>0.9</v>
      </c>
      <c r="R2016" s="179" t="n">
        <v>9</v>
      </c>
      <c r="S2016" s="177" t="inlineStr">
        <is>
          <t>AAA</t>
        </is>
      </c>
      <c r="T2016" s="178" t="n">
        <v>0.0159</v>
      </c>
      <c r="U2016" s="177" t="inlineStr">
        <is>
          <t>江苏银行</t>
        </is>
      </c>
      <c r="V2016" s="192" t="n">
        <v>1.8</v>
      </c>
      <c r="W2016" s="175" t="n">
        <v>0.015</v>
      </c>
      <c r="X2016" s="172" t="inlineStr">
        <is>
          <t>江苏银行</t>
        </is>
      </c>
      <c r="Y2016" s="191" t="n">
        <v>1.8</v>
      </c>
    </row>
    <row r="2017">
      <c r="A2017" s="172" t="n">
        <v>115</v>
      </c>
      <c r="B2017" s="173" t="inlineStr">
        <is>
          <t>7月</t>
        </is>
      </c>
      <c r="C2017" s="173" t="inlineStr">
        <is>
          <t>消金</t>
        </is>
      </c>
      <c r="D2017" s="173" t="inlineStr">
        <is>
          <t>赊销白条</t>
        </is>
      </c>
      <c r="E2017" s="173" t="inlineStr">
        <is>
          <t>东裕4号仲裕（续发）</t>
        </is>
      </c>
      <c r="F2017" s="173" t="inlineStr">
        <is>
          <t>银行间</t>
        </is>
      </c>
      <c r="G2017" s="173" t="inlineStr">
        <is>
          <t>国泰海通</t>
        </is>
      </c>
      <c r="H2017" s="173" t="inlineStr">
        <is>
          <t>杭州银行/江苏银行/中信证券/招商证券</t>
        </is>
      </c>
      <c r="I2017" s="173" t="inlineStr">
        <is>
          <t>兴业北分</t>
        </is>
      </c>
      <c r="J2017" s="172" t="n">
        <v>9.449999999999999</v>
      </c>
      <c r="K2017" s="173" t="inlineStr">
        <is>
          <t>9+3</t>
        </is>
      </c>
      <c r="L2017" s="202" t="n">
        <v>46209</v>
      </c>
      <c r="M2017" s="175" t="n">
        <v>0.0146</v>
      </c>
      <c r="N2017" s="176" t="n">
        <v>0.0195</v>
      </c>
      <c r="O2017" s="191" t="n">
        <v>2.43</v>
      </c>
      <c r="P2017" s="172" t="inlineStr">
        <is>
          <t>优先级</t>
        </is>
      </c>
      <c r="Q2017" s="178" t="n">
        <v>0.9</v>
      </c>
      <c r="R2017" s="179" t="n">
        <v>9</v>
      </c>
      <c r="S2017" s="177" t="inlineStr">
        <is>
          <t>AAA</t>
        </is>
      </c>
      <c r="T2017" s="178" t="n">
        <v>0.0159</v>
      </c>
      <c r="U2017" s="177" t="inlineStr">
        <is>
          <t>中银理财</t>
        </is>
      </c>
      <c r="V2017" s="192" t="n">
        <v>1.1</v>
      </c>
      <c r="W2017" s="175" t="n">
        <v>0.0155</v>
      </c>
      <c r="X2017" s="172" t="inlineStr">
        <is>
          <t>中银理财</t>
        </is>
      </c>
      <c r="Y2017" s="191" t="n">
        <v>0.5</v>
      </c>
    </row>
    <row r="2018">
      <c r="A2018" s="172" t="n">
        <v>115</v>
      </c>
      <c r="B2018" s="172" t="inlineStr">
        <is>
          <t>7月</t>
        </is>
      </c>
      <c r="C2018" s="172" t="inlineStr">
        <is>
          <t>消金</t>
        </is>
      </c>
      <c r="D2018" s="172" t="inlineStr">
        <is>
          <t>赊销白条</t>
        </is>
      </c>
      <c r="E2018" s="172" t="inlineStr">
        <is>
          <t>东裕4号仲裕（续发）</t>
        </is>
      </c>
      <c r="F2018" s="172" t="inlineStr">
        <is>
          <t>银行间</t>
        </is>
      </c>
      <c r="G2018" s="172" t="inlineStr">
        <is>
          <t>国泰海通</t>
        </is>
      </c>
      <c r="H2018" s="172" t="inlineStr">
        <is>
          <t>杭州银行/江苏银行/中信证券/招商证券</t>
        </is>
      </c>
      <c r="I2018" s="172" t="inlineStr">
        <is>
          <t>兴业北分</t>
        </is>
      </c>
      <c r="J2018" s="172" t="n">
        <v>9.449999999999999</v>
      </c>
      <c r="K2018" s="172" t="inlineStr">
        <is>
          <t>9+3</t>
        </is>
      </c>
      <c r="L2018" s="208" t="n">
        <v>46209</v>
      </c>
      <c r="M2018" s="175" t="n">
        <v>0.0146</v>
      </c>
      <c r="N2018" s="176" t="n">
        <v>0.0195</v>
      </c>
      <c r="O2018" s="172" t="n">
        <v>2.43</v>
      </c>
      <c r="P2018" s="172" t="inlineStr">
        <is>
          <t>优先级</t>
        </is>
      </c>
      <c r="Q2018" s="175" t="n">
        <v>0.9</v>
      </c>
      <c r="R2018" s="192" t="n">
        <v>9</v>
      </c>
      <c r="S2018" s="172" t="inlineStr">
        <is>
          <t>AAA</t>
        </is>
      </c>
      <c r="T2018" s="175" t="n">
        <v>0.0159</v>
      </c>
      <c r="U2018" s="172" t="n"/>
      <c r="V2018" s="172" t="n"/>
      <c r="W2018" s="175" t="n">
        <v>0.0159</v>
      </c>
      <c r="X2018" s="172" t="inlineStr">
        <is>
          <t>中银理财</t>
        </is>
      </c>
      <c r="Y2018" s="191" t="n">
        <v>1</v>
      </c>
    </row>
    <row r="2019">
      <c r="A2019" s="172" t="n">
        <v>115</v>
      </c>
      <c r="B2019" s="172" t="inlineStr">
        <is>
          <t>7月</t>
        </is>
      </c>
      <c r="C2019" s="172" t="inlineStr">
        <is>
          <t>消金</t>
        </is>
      </c>
      <c r="D2019" s="172" t="inlineStr">
        <is>
          <t>赊销白条</t>
        </is>
      </c>
      <c r="E2019" s="172" t="inlineStr">
        <is>
          <t>东裕4号仲裕（续发）</t>
        </is>
      </c>
      <c r="F2019" s="172" t="inlineStr">
        <is>
          <t>银行间</t>
        </is>
      </c>
      <c r="G2019" s="172" t="inlineStr">
        <is>
          <t>国泰海通</t>
        </is>
      </c>
      <c r="H2019" s="172" t="inlineStr">
        <is>
          <t>杭州银行/江苏银行/中信证券/招商证券</t>
        </is>
      </c>
      <c r="I2019" s="172" t="inlineStr">
        <is>
          <t>兴业北分</t>
        </is>
      </c>
      <c r="J2019" s="172" t="n">
        <v>9.449999999999999</v>
      </c>
      <c r="K2019" s="172" t="inlineStr">
        <is>
          <t>9+3</t>
        </is>
      </c>
      <c r="L2019" s="208" t="n">
        <v>46209</v>
      </c>
      <c r="M2019" s="175" t="n">
        <v>0.0146</v>
      </c>
      <c r="N2019" s="176" t="n">
        <v>0.0195</v>
      </c>
      <c r="O2019" s="172" t="n">
        <v>2.43</v>
      </c>
      <c r="P2019" s="172" t="inlineStr">
        <is>
          <t>优先级</t>
        </is>
      </c>
      <c r="Q2019" s="175" t="n">
        <v>0.9</v>
      </c>
      <c r="R2019" s="192" t="n">
        <v>9</v>
      </c>
      <c r="S2019" s="172" t="inlineStr">
        <is>
          <t>AAA</t>
        </is>
      </c>
      <c r="T2019" s="175" t="n">
        <v>0.0159</v>
      </c>
      <c r="U2019" s="172" t="n"/>
      <c r="V2019" s="172" t="n"/>
      <c r="W2019" s="175" t="n">
        <v>0.016</v>
      </c>
      <c r="X2019" s="172" t="inlineStr">
        <is>
          <t>中银理财</t>
        </is>
      </c>
      <c r="Y2019" s="191" t="n">
        <v>1.2</v>
      </c>
    </row>
    <row r="2020">
      <c r="A2020" s="172" t="n">
        <v>115</v>
      </c>
      <c r="B2020" s="173" t="inlineStr">
        <is>
          <t>7月</t>
        </is>
      </c>
      <c r="C2020" s="173" t="inlineStr">
        <is>
          <t>消金</t>
        </is>
      </c>
      <c r="D2020" s="173" t="inlineStr">
        <is>
          <t>赊销白条</t>
        </is>
      </c>
      <c r="E2020" s="173" t="inlineStr">
        <is>
          <t>东裕4号仲裕（续发）</t>
        </is>
      </c>
      <c r="F2020" s="173" t="inlineStr">
        <is>
          <t>银行间</t>
        </is>
      </c>
      <c r="G2020" s="173" t="inlineStr">
        <is>
          <t>国泰海通</t>
        </is>
      </c>
      <c r="H2020" s="173" t="inlineStr">
        <is>
          <t>杭州银行/江苏银行/中信证券/招商证券</t>
        </is>
      </c>
      <c r="I2020" s="173" t="inlineStr">
        <is>
          <t>兴业北分</t>
        </is>
      </c>
      <c r="J2020" s="172" t="n">
        <v>9.449999999999999</v>
      </c>
      <c r="K2020" s="173" t="inlineStr">
        <is>
          <t>9+3</t>
        </is>
      </c>
      <c r="L2020" s="202" t="n">
        <v>46209</v>
      </c>
      <c r="M2020" s="175" t="n">
        <v>0.0146</v>
      </c>
      <c r="N2020" s="176" t="n">
        <v>0.0195</v>
      </c>
      <c r="O2020" s="191" t="n">
        <v>2.43</v>
      </c>
      <c r="P2020" s="172" t="inlineStr">
        <is>
          <t>优先级</t>
        </is>
      </c>
      <c r="Q2020" s="178" t="n">
        <v>0.9</v>
      </c>
      <c r="R2020" s="179" t="n">
        <v>9</v>
      </c>
      <c r="S2020" s="177" t="inlineStr">
        <is>
          <t>AAA</t>
        </is>
      </c>
      <c r="T2020" s="178" t="n">
        <v>0.0159</v>
      </c>
      <c r="U2020" s="177" t="inlineStr">
        <is>
          <t>杭州银行</t>
        </is>
      </c>
      <c r="V2020" s="192" t="n">
        <v>0.4</v>
      </c>
      <c r="W2020" s="175" t="n">
        <v>0.0159</v>
      </c>
      <c r="X2020" s="172" t="inlineStr">
        <is>
          <t>杭州银行</t>
        </is>
      </c>
      <c r="Y2020" s="191" t="n">
        <v>0.8</v>
      </c>
    </row>
    <row r="2021">
      <c r="A2021" s="172" t="n">
        <v>115</v>
      </c>
      <c r="B2021" s="172" t="inlineStr">
        <is>
          <t>7月</t>
        </is>
      </c>
      <c r="C2021" s="172" t="inlineStr">
        <is>
          <t>消金</t>
        </is>
      </c>
      <c r="D2021" s="172" t="inlineStr">
        <is>
          <t>赊销白条</t>
        </is>
      </c>
      <c r="E2021" s="172" t="inlineStr">
        <is>
          <t>东裕4号仲裕（续发）</t>
        </is>
      </c>
      <c r="F2021" s="172" t="inlineStr">
        <is>
          <t>银行间</t>
        </is>
      </c>
      <c r="G2021" s="172" t="inlineStr">
        <is>
          <t>国泰海通</t>
        </is>
      </c>
      <c r="H2021" s="172" t="inlineStr">
        <is>
          <t>杭州银行/江苏银行/中信证券/招商证券</t>
        </is>
      </c>
      <c r="I2021" s="172" t="inlineStr">
        <is>
          <t>兴业北分</t>
        </is>
      </c>
      <c r="J2021" s="172" t="n">
        <v>9.449999999999999</v>
      </c>
      <c r="K2021" s="172" t="inlineStr">
        <is>
          <t>9+3</t>
        </is>
      </c>
      <c r="L2021" s="208" t="n">
        <v>46209</v>
      </c>
      <c r="M2021" s="175" t="n">
        <v>0.0146</v>
      </c>
      <c r="N2021" s="176" t="n">
        <v>0.0195</v>
      </c>
      <c r="O2021" s="172" t="n">
        <v>2.43</v>
      </c>
      <c r="P2021" s="172" t="inlineStr">
        <is>
          <t>优先级</t>
        </is>
      </c>
      <c r="Q2021" s="175" t="n">
        <v>0.9</v>
      </c>
      <c r="R2021" s="192" t="n">
        <v>9</v>
      </c>
      <c r="S2021" s="172" t="inlineStr">
        <is>
          <t>AAA</t>
        </is>
      </c>
      <c r="T2021" s="175" t="n">
        <v>0.0159</v>
      </c>
      <c r="U2021" s="172" t="n"/>
      <c r="V2021" s="172" t="n"/>
      <c r="W2021" s="175" t="n">
        <v>0.016</v>
      </c>
      <c r="X2021" s="172" t="inlineStr">
        <is>
          <t>杭州银行</t>
        </is>
      </c>
      <c r="Y2021" s="191" t="n">
        <v>0.55</v>
      </c>
    </row>
    <row r="2022">
      <c r="A2022" s="172" t="n">
        <v>115</v>
      </c>
      <c r="B2022" s="173" t="inlineStr">
        <is>
          <t>7月</t>
        </is>
      </c>
      <c r="C2022" s="173" t="inlineStr">
        <is>
          <t>消金</t>
        </is>
      </c>
      <c r="D2022" s="173" t="inlineStr">
        <is>
          <t>赊销白条</t>
        </is>
      </c>
      <c r="E2022" s="173" t="inlineStr">
        <is>
          <t>东裕4号仲裕（续发）</t>
        </is>
      </c>
      <c r="F2022" s="173" t="inlineStr">
        <is>
          <t>银行间</t>
        </is>
      </c>
      <c r="G2022" s="173" t="inlineStr">
        <is>
          <t>国泰海通</t>
        </is>
      </c>
      <c r="H2022" s="173" t="inlineStr">
        <is>
          <t>杭州银行/江苏银行/中信证券/招商证券</t>
        </is>
      </c>
      <c r="I2022" s="173" t="inlineStr">
        <is>
          <t>兴业北分</t>
        </is>
      </c>
      <c r="J2022" s="172" t="n">
        <v>9.449999999999999</v>
      </c>
      <c r="K2022" s="173" t="inlineStr">
        <is>
          <t>9+3</t>
        </is>
      </c>
      <c r="L2022" s="202" t="n">
        <v>46209</v>
      </c>
      <c r="M2022" s="175" t="n">
        <v>0.0146</v>
      </c>
      <c r="N2022" s="176" t="n">
        <v>0.0195</v>
      </c>
      <c r="O2022" s="191" t="n">
        <v>2.43</v>
      </c>
      <c r="P2022" s="172" t="inlineStr">
        <is>
          <t>优先级</t>
        </is>
      </c>
      <c r="Q2022" s="178" t="n">
        <v>0.9</v>
      </c>
      <c r="R2022" s="179" t="n">
        <v>9</v>
      </c>
      <c r="S2022" s="177" t="inlineStr">
        <is>
          <t>AAA</t>
        </is>
      </c>
      <c r="T2022" s="178" t="n">
        <v>0.0159</v>
      </c>
      <c r="U2022" s="177" t="inlineStr">
        <is>
          <t>建信信托</t>
        </is>
      </c>
      <c r="V2022" s="192" t="n">
        <v>0.5</v>
      </c>
      <c r="W2022" s="175" t="n">
        <v>0.0159</v>
      </c>
      <c r="X2022" s="172" t="inlineStr">
        <is>
          <t>建信信托</t>
        </is>
      </c>
      <c r="Y2022" s="191" t="n">
        <v>0.9</v>
      </c>
    </row>
    <row r="2023">
      <c r="A2023" s="172" t="n">
        <v>115</v>
      </c>
      <c r="B2023" s="172" t="inlineStr">
        <is>
          <t>7月</t>
        </is>
      </c>
      <c r="C2023" s="172" t="inlineStr">
        <is>
          <t>消金</t>
        </is>
      </c>
      <c r="D2023" s="172" t="inlineStr">
        <is>
          <t>赊销白条</t>
        </is>
      </c>
      <c r="E2023" s="172" t="inlineStr">
        <is>
          <t>东裕4号仲裕（续发）</t>
        </is>
      </c>
      <c r="F2023" s="172" t="inlineStr">
        <is>
          <t>银行间</t>
        </is>
      </c>
      <c r="G2023" s="172" t="inlineStr">
        <is>
          <t>国泰海通</t>
        </is>
      </c>
      <c r="H2023" s="172" t="inlineStr">
        <is>
          <t>杭州银行/江苏银行/中信证券/招商证券</t>
        </is>
      </c>
      <c r="I2023" s="172" t="inlineStr">
        <is>
          <t>兴业北分</t>
        </is>
      </c>
      <c r="J2023" s="172" t="n">
        <v>9.449999999999999</v>
      </c>
      <c r="K2023" s="172" t="inlineStr">
        <is>
          <t>9+3</t>
        </is>
      </c>
      <c r="L2023" s="208" t="n">
        <v>46209</v>
      </c>
      <c r="M2023" s="175" t="n">
        <v>0.0146</v>
      </c>
      <c r="N2023" s="176" t="n">
        <v>0.0195</v>
      </c>
      <c r="O2023" s="172" t="n">
        <v>2.43</v>
      </c>
      <c r="P2023" s="172" t="inlineStr">
        <is>
          <t>优先级</t>
        </is>
      </c>
      <c r="Q2023" s="175" t="n">
        <v>0.9</v>
      </c>
      <c r="R2023" s="192" t="n">
        <v>9</v>
      </c>
      <c r="S2023" s="172" t="inlineStr">
        <is>
          <t>AAA</t>
        </is>
      </c>
      <c r="T2023" s="175" t="n">
        <v>0.0159</v>
      </c>
      <c r="U2023" s="172" t="n"/>
      <c r="V2023" s="172" t="n"/>
      <c r="W2023" s="175" t="n">
        <v>0.016</v>
      </c>
      <c r="X2023" s="172" t="inlineStr">
        <is>
          <t>交银理财</t>
        </is>
      </c>
      <c r="Y2023" s="191" t="n">
        <v>0.5</v>
      </c>
    </row>
    <row r="2024">
      <c r="A2024" s="172" t="n">
        <v>115</v>
      </c>
      <c r="B2024" s="172" t="inlineStr">
        <is>
          <t>7月</t>
        </is>
      </c>
      <c r="C2024" s="172" t="inlineStr">
        <is>
          <t>消金</t>
        </is>
      </c>
      <c r="D2024" s="172" t="inlineStr">
        <is>
          <t>赊销白条</t>
        </is>
      </c>
      <c r="E2024" s="172" t="inlineStr">
        <is>
          <t>东裕4号仲裕（续发）</t>
        </is>
      </c>
      <c r="F2024" s="172" t="inlineStr">
        <is>
          <t>银行间</t>
        </is>
      </c>
      <c r="G2024" s="172" t="inlineStr">
        <is>
          <t>国泰海通</t>
        </is>
      </c>
      <c r="H2024" s="172" t="inlineStr">
        <is>
          <t>杭州银行/江苏银行/中信证券/招商证券</t>
        </is>
      </c>
      <c r="I2024" s="172" t="inlineStr">
        <is>
          <t>兴业北分</t>
        </is>
      </c>
      <c r="J2024" s="172" t="n">
        <v>9.449999999999999</v>
      </c>
      <c r="K2024" s="172" t="inlineStr">
        <is>
          <t>9+3</t>
        </is>
      </c>
      <c r="L2024" s="208" t="n">
        <v>46209</v>
      </c>
      <c r="M2024" s="175" t="n">
        <v>0.0146</v>
      </c>
      <c r="N2024" s="176" t="n">
        <v>0.0195</v>
      </c>
      <c r="O2024" s="172" t="n">
        <v>2.43</v>
      </c>
      <c r="P2024" s="172" t="inlineStr">
        <is>
          <t>优先级</t>
        </is>
      </c>
      <c r="Q2024" s="175" t="n">
        <v>0.9</v>
      </c>
      <c r="R2024" s="192" t="n">
        <v>9</v>
      </c>
      <c r="S2024" s="172" t="inlineStr">
        <is>
          <t>AAA</t>
        </is>
      </c>
      <c r="T2024" s="175" t="n">
        <v>0.0159</v>
      </c>
      <c r="U2024" s="172" t="n"/>
      <c r="V2024" s="172" t="n"/>
      <c r="W2024" s="175" t="n">
        <v>0.016</v>
      </c>
      <c r="X2024" s="172" t="inlineStr">
        <is>
          <t>杭银理财</t>
        </is>
      </c>
      <c r="Y2024" s="191" t="n">
        <v>0.45</v>
      </c>
    </row>
    <row r="2025">
      <c r="A2025" s="172" t="n">
        <v>115</v>
      </c>
      <c r="B2025" s="172" t="inlineStr">
        <is>
          <t>7月</t>
        </is>
      </c>
      <c r="C2025" s="172" t="inlineStr">
        <is>
          <t>消金</t>
        </is>
      </c>
      <c r="D2025" s="172" t="inlineStr">
        <is>
          <t>赊销白条</t>
        </is>
      </c>
      <c r="E2025" s="172" t="inlineStr">
        <is>
          <t>东裕4号仲裕（续发）</t>
        </is>
      </c>
      <c r="F2025" s="172" t="inlineStr">
        <is>
          <t>银行间</t>
        </is>
      </c>
      <c r="G2025" s="172" t="inlineStr">
        <is>
          <t>国泰海通</t>
        </is>
      </c>
      <c r="H2025" s="172" t="inlineStr">
        <is>
          <t>杭州银行/江苏银行/中信证券/招商证券</t>
        </is>
      </c>
      <c r="I2025" s="172" t="inlineStr">
        <is>
          <t>兴业北分</t>
        </is>
      </c>
      <c r="J2025" s="172" t="n">
        <v>9.449999999999999</v>
      </c>
      <c r="K2025" s="172" t="inlineStr">
        <is>
          <t>9+3</t>
        </is>
      </c>
      <c r="L2025" s="208" t="n">
        <v>46209</v>
      </c>
      <c r="M2025" s="175" t="n">
        <v>0.0146</v>
      </c>
      <c r="N2025" s="176" t="n">
        <v>0.0195</v>
      </c>
      <c r="O2025" s="172" t="n">
        <v>2.43</v>
      </c>
      <c r="P2025" s="172" t="inlineStr">
        <is>
          <t>优先级</t>
        </is>
      </c>
      <c r="Q2025" s="175" t="n">
        <v>0.9</v>
      </c>
      <c r="R2025" s="192" t="n">
        <v>9</v>
      </c>
      <c r="S2025" s="172" t="inlineStr">
        <is>
          <t>AAA</t>
        </is>
      </c>
      <c r="T2025" s="175" t="n">
        <v>0.0159</v>
      </c>
      <c r="U2025" s="172" t="n"/>
      <c r="V2025" s="172" t="n"/>
      <c r="W2025" s="175" t="n">
        <v>0.016</v>
      </c>
      <c r="X2025" s="172" t="inlineStr">
        <is>
          <t>中邮理财</t>
        </is>
      </c>
      <c r="Y2025" s="191" t="n">
        <v>2</v>
      </c>
    </row>
    <row r="2026">
      <c r="A2026" s="172" t="n">
        <v>115</v>
      </c>
      <c r="B2026" s="172" t="inlineStr">
        <is>
          <t>7月</t>
        </is>
      </c>
      <c r="C2026" s="172" t="inlineStr">
        <is>
          <t>消金</t>
        </is>
      </c>
      <c r="D2026" s="172" t="inlineStr">
        <is>
          <t>赊销白条</t>
        </is>
      </c>
      <c r="E2026" s="172" t="inlineStr">
        <is>
          <t>东裕4号仲裕（续发）</t>
        </is>
      </c>
      <c r="F2026" s="172" t="inlineStr">
        <is>
          <t>银行间</t>
        </is>
      </c>
      <c r="G2026" s="172" t="inlineStr">
        <is>
          <t>国泰海通</t>
        </is>
      </c>
      <c r="H2026" s="172" t="inlineStr">
        <is>
          <t>杭州银行/江苏银行/中信证券/招商证券</t>
        </is>
      </c>
      <c r="I2026" s="172" t="inlineStr">
        <is>
          <t>兴业北分</t>
        </is>
      </c>
      <c r="J2026" s="172" t="n">
        <v>9.449999999999999</v>
      </c>
      <c r="K2026" s="172" t="inlineStr">
        <is>
          <t>9+3</t>
        </is>
      </c>
      <c r="L2026" s="208" t="n">
        <v>46209</v>
      </c>
      <c r="M2026" s="175" t="n">
        <v>0.0146</v>
      </c>
      <c r="N2026" s="176" t="n">
        <v>0.0195</v>
      </c>
      <c r="O2026" s="172" t="n">
        <v>2.43</v>
      </c>
      <c r="P2026" s="172" t="inlineStr">
        <is>
          <t>优先级</t>
        </is>
      </c>
      <c r="Q2026" s="175" t="n">
        <v>0.9</v>
      </c>
      <c r="R2026" s="192" t="n">
        <v>9</v>
      </c>
      <c r="S2026" s="172" t="inlineStr">
        <is>
          <t>AAA</t>
        </is>
      </c>
      <c r="T2026" s="175" t="n">
        <v>0.0159</v>
      </c>
      <c r="U2026" s="172" t="n"/>
      <c r="V2026" s="172" t="n"/>
      <c r="W2026" s="175" t="n">
        <v>0.0162</v>
      </c>
      <c r="X2026" s="172" t="inlineStr">
        <is>
          <t>中邮理财</t>
        </is>
      </c>
      <c r="Y2026" s="191" t="n">
        <v>0.7</v>
      </c>
    </row>
    <row r="2027">
      <c r="A2027" s="172" t="n">
        <v>115</v>
      </c>
      <c r="B2027" s="172" t="inlineStr">
        <is>
          <t>7月</t>
        </is>
      </c>
      <c r="C2027" s="172" t="inlineStr">
        <is>
          <t>消金</t>
        </is>
      </c>
      <c r="D2027" s="172" t="inlineStr">
        <is>
          <t>赊销白条</t>
        </is>
      </c>
      <c r="E2027" s="172" t="inlineStr">
        <is>
          <t>东裕4号仲裕（续发）</t>
        </is>
      </c>
      <c r="F2027" s="172" t="inlineStr">
        <is>
          <t>银行间</t>
        </is>
      </c>
      <c r="G2027" s="172" t="inlineStr">
        <is>
          <t>国泰海通</t>
        </is>
      </c>
      <c r="H2027" s="172" t="inlineStr">
        <is>
          <t>杭州银行/江苏银行/中信证券/招商证券</t>
        </is>
      </c>
      <c r="I2027" s="172" t="inlineStr">
        <is>
          <t>兴业北分</t>
        </is>
      </c>
      <c r="J2027" s="172" t="n">
        <v>9.449999999999999</v>
      </c>
      <c r="K2027" s="172" t="inlineStr">
        <is>
          <t>9+3</t>
        </is>
      </c>
      <c r="L2027" s="208" t="n">
        <v>46209</v>
      </c>
      <c r="M2027" s="175" t="n">
        <v>0.0146</v>
      </c>
      <c r="N2027" s="176" t="n">
        <v>0.0195</v>
      </c>
      <c r="O2027" s="172" t="n">
        <v>2.43</v>
      </c>
      <c r="P2027" s="172" t="inlineStr">
        <is>
          <t>优先级</t>
        </is>
      </c>
      <c r="Q2027" s="175" t="n">
        <v>0.9</v>
      </c>
      <c r="R2027" s="192" t="n">
        <v>9</v>
      </c>
      <c r="S2027" s="172" t="inlineStr">
        <is>
          <t>AAA</t>
        </is>
      </c>
      <c r="T2027" s="175" t="n">
        <v>0.0159</v>
      </c>
      <c r="U2027" s="172" t="n"/>
      <c r="V2027" s="172" t="n"/>
      <c r="W2027" s="175" t="n">
        <v>0.016</v>
      </c>
      <c r="X2027" s="172" t="inlineStr">
        <is>
          <t>兴银理财</t>
        </is>
      </c>
      <c r="Y2027" s="191" t="n">
        <v>2.7</v>
      </c>
    </row>
    <row r="2028">
      <c r="A2028" s="172" t="n">
        <v>115</v>
      </c>
      <c r="B2028" s="172" t="inlineStr">
        <is>
          <t>7月</t>
        </is>
      </c>
      <c r="C2028" s="172" t="inlineStr">
        <is>
          <t>消金</t>
        </is>
      </c>
      <c r="D2028" s="172" t="inlineStr">
        <is>
          <t>赊销白条</t>
        </is>
      </c>
      <c r="E2028" s="172" t="inlineStr">
        <is>
          <t>东裕4号仲裕（续发）</t>
        </is>
      </c>
      <c r="F2028" s="172" t="inlineStr">
        <is>
          <t>银行间</t>
        </is>
      </c>
      <c r="G2028" s="172" t="inlineStr">
        <is>
          <t>国泰海通</t>
        </is>
      </c>
      <c r="H2028" s="172" t="inlineStr">
        <is>
          <t>杭州银行/江苏银行/中信证券/招商证券</t>
        </is>
      </c>
      <c r="I2028" s="172" t="inlineStr">
        <is>
          <t>兴业北分</t>
        </is>
      </c>
      <c r="J2028" s="172" t="n">
        <v>9.449999999999999</v>
      </c>
      <c r="K2028" s="172" t="inlineStr">
        <is>
          <t>9+3</t>
        </is>
      </c>
      <c r="L2028" s="208" t="n">
        <v>46209</v>
      </c>
      <c r="M2028" s="175" t="n">
        <v>0.0146</v>
      </c>
      <c r="N2028" s="176" t="n">
        <v>0.0195</v>
      </c>
      <c r="O2028" s="172" t="n">
        <v>2.43</v>
      </c>
      <c r="P2028" s="172" t="inlineStr">
        <is>
          <t>优先级</t>
        </is>
      </c>
      <c r="Q2028" s="175" t="n">
        <v>0.9</v>
      </c>
      <c r="R2028" s="192" t="n">
        <v>9</v>
      </c>
      <c r="S2028" s="172" t="inlineStr">
        <is>
          <t>AAA</t>
        </is>
      </c>
      <c r="T2028" s="175" t="n">
        <v>0.0159</v>
      </c>
      <c r="U2028" s="172" t="n"/>
      <c r="V2028" s="172" t="n"/>
      <c r="W2028" s="175" t="n">
        <v>0.0165</v>
      </c>
      <c r="X2028" s="172" t="inlineStr">
        <is>
          <t>国泰海通</t>
        </is>
      </c>
      <c r="Y2028" s="191" t="n">
        <v>1.3</v>
      </c>
    </row>
    <row r="2029">
      <c r="A2029" s="172" t="n">
        <v>115</v>
      </c>
      <c r="B2029" s="172" t="inlineStr">
        <is>
          <t>7月</t>
        </is>
      </c>
      <c r="C2029" s="172" t="inlineStr">
        <is>
          <t>消金</t>
        </is>
      </c>
      <c r="D2029" s="172" t="inlineStr">
        <is>
          <t>赊销白条</t>
        </is>
      </c>
      <c r="E2029" s="172" t="inlineStr">
        <is>
          <t>东裕4号仲裕（续发）</t>
        </is>
      </c>
      <c r="F2029" s="172" t="inlineStr">
        <is>
          <t>银行间</t>
        </is>
      </c>
      <c r="G2029" s="172" t="inlineStr">
        <is>
          <t>国泰海通</t>
        </is>
      </c>
      <c r="H2029" s="172" t="inlineStr">
        <is>
          <t>杭州银行/江苏银行/中信证券/招商证券</t>
        </is>
      </c>
      <c r="I2029" s="172" t="inlineStr">
        <is>
          <t>兴业北分</t>
        </is>
      </c>
      <c r="J2029" s="172" t="n">
        <v>9.449999999999999</v>
      </c>
      <c r="K2029" s="172" t="inlineStr">
        <is>
          <t>9+3</t>
        </is>
      </c>
      <c r="L2029" s="208" t="n">
        <v>46209</v>
      </c>
      <c r="M2029" s="175" t="n">
        <v>0.0146</v>
      </c>
      <c r="N2029" s="176" t="n">
        <v>0.0195</v>
      </c>
      <c r="O2029" s="172" t="n">
        <v>2.43</v>
      </c>
      <c r="P2029" s="172" t="inlineStr">
        <is>
          <t>优先级</t>
        </is>
      </c>
      <c r="Q2029" s="175" t="n">
        <v>0.9</v>
      </c>
      <c r="R2029" s="192" t="n">
        <v>9</v>
      </c>
      <c r="S2029" s="172" t="inlineStr">
        <is>
          <t>AAA</t>
        </is>
      </c>
      <c r="T2029" s="175" t="n">
        <v>0.0159</v>
      </c>
      <c r="U2029" s="172" t="n"/>
      <c r="V2029" s="172" t="n"/>
      <c r="W2029" s="175" t="n">
        <v>0.0165</v>
      </c>
      <c r="X2029" s="172" t="inlineStr">
        <is>
          <t>招商证券</t>
        </is>
      </c>
      <c r="Y2029" s="191" t="n">
        <v>1</v>
      </c>
    </row>
    <row r="2030">
      <c r="A2030" s="172" t="n">
        <v>115</v>
      </c>
      <c r="B2030" s="172" t="inlineStr">
        <is>
          <t>7月</t>
        </is>
      </c>
      <c r="C2030" s="172" t="inlineStr">
        <is>
          <t>消金</t>
        </is>
      </c>
      <c r="D2030" s="172" t="inlineStr">
        <is>
          <t>赊销白条</t>
        </is>
      </c>
      <c r="E2030" s="172" t="inlineStr">
        <is>
          <t>东裕4号仲裕（续发）</t>
        </is>
      </c>
      <c r="F2030" s="172" t="inlineStr">
        <is>
          <t>银行间</t>
        </is>
      </c>
      <c r="G2030" s="172" t="inlineStr">
        <is>
          <t>国泰海通</t>
        </is>
      </c>
      <c r="H2030" s="172" t="inlineStr">
        <is>
          <t>杭州银行/江苏银行/中信证券/招商证券</t>
        </is>
      </c>
      <c r="I2030" s="172" t="inlineStr">
        <is>
          <t>兴业北分</t>
        </is>
      </c>
      <c r="J2030" s="172" t="n">
        <v>9.449999999999999</v>
      </c>
      <c r="K2030" s="172" t="inlineStr">
        <is>
          <t>9+3</t>
        </is>
      </c>
      <c r="L2030" s="208" t="n">
        <v>46209</v>
      </c>
      <c r="M2030" s="175" t="n">
        <v>0.0146</v>
      </c>
      <c r="N2030" s="176" t="n">
        <v>0.0195</v>
      </c>
      <c r="O2030" s="172" t="n">
        <v>2.43</v>
      </c>
      <c r="P2030" s="172" t="inlineStr">
        <is>
          <t>优先级</t>
        </is>
      </c>
      <c r="Q2030" s="175" t="n">
        <v>0.9</v>
      </c>
      <c r="R2030" s="192" t="n">
        <v>9</v>
      </c>
      <c r="S2030" s="172" t="inlineStr">
        <is>
          <t>AAA</t>
        </is>
      </c>
      <c r="T2030" s="175" t="n">
        <v>0.0159</v>
      </c>
      <c r="U2030" s="172" t="n"/>
      <c r="V2030" s="172" t="n"/>
      <c r="W2030" s="175" t="n">
        <v>0.0165</v>
      </c>
      <c r="X2030" s="172" t="inlineStr">
        <is>
          <t>中信证券</t>
        </is>
      </c>
      <c r="Y2030" s="191" t="n">
        <v>1.3</v>
      </c>
    </row>
    <row r="2031">
      <c r="A2031" s="172" t="n">
        <v>115</v>
      </c>
      <c r="B2031" s="173" t="inlineStr">
        <is>
          <t>7月</t>
        </is>
      </c>
      <c r="C2031" s="173" t="inlineStr">
        <is>
          <t>消金</t>
        </is>
      </c>
      <c r="D2031" s="173" t="inlineStr">
        <is>
          <t>赊销白条</t>
        </is>
      </c>
      <c r="E2031" s="173" t="inlineStr">
        <is>
          <t>东裕4号仲裕（续发）</t>
        </is>
      </c>
      <c r="F2031" s="173" t="inlineStr">
        <is>
          <t>银行间</t>
        </is>
      </c>
      <c r="G2031" s="173" t="inlineStr">
        <is>
          <t>国泰海通</t>
        </is>
      </c>
      <c r="H2031" s="173" t="inlineStr">
        <is>
          <t>杭州银行/江苏银行/中信证券/招商证券</t>
        </is>
      </c>
      <c r="I2031" s="173" t="inlineStr">
        <is>
          <t>兴业北分</t>
        </is>
      </c>
      <c r="J2031" s="172" t="n">
        <v>9.449999999999999</v>
      </c>
      <c r="K2031" s="173" t="inlineStr">
        <is>
          <t>9+3</t>
        </is>
      </c>
      <c r="L2031" s="202" t="n">
        <v>46209</v>
      </c>
      <c r="M2031" s="175" t="n">
        <v>0.0146</v>
      </c>
      <c r="N2031" s="176" t="n">
        <v>0.0195</v>
      </c>
      <c r="O2031" s="191" t="n">
        <v>2.43</v>
      </c>
      <c r="P2031" s="177" t="inlineStr">
        <is>
          <t>中间级</t>
        </is>
      </c>
      <c r="Q2031" s="178" t="n">
        <v>0.045</v>
      </c>
      <c r="R2031" s="179" t="n">
        <v>0.45</v>
      </c>
      <c r="S2031" s="177" t="inlineStr">
        <is>
          <t>A+</t>
        </is>
      </c>
      <c r="T2031" s="178" t="n">
        <v>0.031</v>
      </c>
      <c r="U2031" s="177" t="inlineStr">
        <is>
          <t>平安理财</t>
        </is>
      </c>
      <c r="V2031" s="195" t="n">
        <v>0.135</v>
      </c>
      <c r="W2031" s="172" t="n"/>
      <c r="X2031" s="172" t="n"/>
      <c r="Y2031" s="172" t="n"/>
    </row>
    <row r="2032">
      <c r="A2032" s="172" t="n">
        <v>115</v>
      </c>
      <c r="B2032" s="173" t="inlineStr">
        <is>
          <t>7月</t>
        </is>
      </c>
      <c r="C2032" s="173" t="inlineStr">
        <is>
          <t>消金</t>
        </is>
      </c>
      <c r="D2032" s="173" t="inlineStr">
        <is>
          <t>赊销白条</t>
        </is>
      </c>
      <c r="E2032" s="173" t="inlineStr">
        <is>
          <t>东裕4号仲裕（续发）</t>
        </is>
      </c>
      <c r="F2032" s="173" t="inlineStr">
        <is>
          <t>银行间</t>
        </is>
      </c>
      <c r="G2032" s="173" t="inlineStr">
        <is>
          <t>国泰海通</t>
        </is>
      </c>
      <c r="H2032" s="173" t="inlineStr">
        <is>
          <t>杭州银行/江苏银行/中信证券/招商证券</t>
        </is>
      </c>
      <c r="I2032" s="173" t="inlineStr">
        <is>
          <t>兴业北分</t>
        </is>
      </c>
      <c r="J2032" s="172" t="n">
        <v>9.449999999999999</v>
      </c>
      <c r="K2032" s="173" t="inlineStr">
        <is>
          <t>9+3</t>
        </is>
      </c>
      <c r="L2032" s="202" t="n">
        <v>46209</v>
      </c>
      <c r="M2032" s="175" t="n">
        <v>0.0146</v>
      </c>
      <c r="N2032" s="176" t="n">
        <v>0.0195</v>
      </c>
      <c r="O2032" s="191" t="n">
        <v>2.43</v>
      </c>
      <c r="P2032" s="172" t="inlineStr">
        <is>
          <t>中间级</t>
        </is>
      </c>
      <c r="Q2032" s="178" t="n">
        <v>0.045</v>
      </c>
      <c r="R2032" s="179" t="n">
        <v>0.45</v>
      </c>
      <c r="S2032" s="177" t="inlineStr">
        <is>
          <t>A+</t>
        </is>
      </c>
      <c r="T2032" s="178" t="n">
        <v>0.031</v>
      </c>
      <c r="U2032" s="177" t="inlineStr">
        <is>
          <t>招银理财</t>
        </is>
      </c>
      <c r="V2032" s="195" t="n">
        <v>0.135</v>
      </c>
      <c r="W2032" s="172" t="n"/>
      <c r="X2032" s="172" t="n"/>
      <c r="Y2032" s="172" t="n"/>
    </row>
    <row r="2033">
      <c r="A2033" s="172" t="n">
        <v>115</v>
      </c>
      <c r="B2033" s="173" t="inlineStr">
        <is>
          <t>7月</t>
        </is>
      </c>
      <c r="C2033" s="173" t="inlineStr">
        <is>
          <t>消金</t>
        </is>
      </c>
      <c r="D2033" s="173" t="inlineStr">
        <is>
          <t>赊销白条</t>
        </is>
      </c>
      <c r="E2033" s="173" t="inlineStr">
        <is>
          <t>东裕4号仲裕（续发）</t>
        </is>
      </c>
      <c r="F2033" s="173" t="inlineStr">
        <is>
          <t>银行间</t>
        </is>
      </c>
      <c r="G2033" s="173" t="inlineStr">
        <is>
          <t>国泰海通</t>
        </is>
      </c>
      <c r="H2033" s="173" t="inlineStr">
        <is>
          <t>杭州银行/江苏银行/中信证券/招商证券</t>
        </is>
      </c>
      <c r="I2033" s="173" t="inlineStr">
        <is>
          <t>兴业北分</t>
        </is>
      </c>
      <c r="J2033" s="172" t="n">
        <v>9.449999999999999</v>
      </c>
      <c r="K2033" s="173" t="inlineStr">
        <is>
          <t>9+3</t>
        </is>
      </c>
      <c r="L2033" s="202" t="n">
        <v>46209</v>
      </c>
      <c r="M2033" s="175" t="n">
        <v>0.0146</v>
      </c>
      <c r="N2033" s="176" t="n">
        <v>0.0195</v>
      </c>
      <c r="O2033" s="191" t="n">
        <v>2.43</v>
      </c>
      <c r="P2033" s="172" t="inlineStr">
        <is>
          <t>中间级</t>
        </is>
      </c>
      <c r="Q2033" s="178" t="n">
        <v>0.045</v>
      </c>
      <c r="R2033" s="179" t="n">
        <v>0.45</v>
      </c>
      <c r="S2033" s="177" t="inlineStr">
        <is>
          <t>A+</t>
        </is>
      </c>
      <c r="T2033" s="178" t="n">
        <v>0.031</v>
      </c>
      <c r="U2033" s="177" t="inlineStr">
        <is>
          <t>杭州联合银行</t>
        </is>
      </c>
      <c r="V2033" s="192" t="n">
        <v>0.1</v>
      </c>
      <c r="W2033" s="172" t="n"/>
      <c r="X2033" s="172" t="n"/>
      <c r="Y2033" s="172" t="n"/>
    </row>
    <row r="2034">
      <c r="A2034" s="172" t="n">
        <v>115</v>
      </c>
      <c r="B2034" s="173" t="inlineStr">
        <is>
          <t>7月</t>
        </is>
      </c>
      <c r="C2034" s="173" t="inlineStr">
        <is>
          <t>消金</t>
        </is>
      </c>
      <c r="D2034" s="173" t="inlineStr">
        <is>
          <t>赊销白条</t>
        </is>
      </c>
      <c r="E2034" s="173" t="inlineStr">
        <is>
          <t>东裕4号仲裕（续发）</t>
        </is>
      </c>
      <c r="F2034" s="173" t="inlineStr">
        <is>
          <t>银行间</t>
        </is>
      </c>
      <c r="G2034" s="173" t="inlineStr">
        <is>
          <t>国泰海通</t>
        </is>
      </c>
      <c r="H2034" s="173" t="inlineStr">
        <is>
          <t>杭州银行/江苏银行/中信证券/招商证券</t>
        </is>
      </c>
      <c r="I2034" s="173" t="inlineStr">
        <is>
          <t>兴业北分</t>
        </is>
      </c>
      <c r="J2034" s="172" t="n">
        <v>9.449999999999999</v>
      </c>
      <c r="K2034" s="173" t="inlineStr">
        <is>
          <t>9+3</t>
        </is>
      </c>
      <c r="L2034" s="202" t="n">
        <v>46209</v>
      </c>
      <c r="M2034" s="175" t="n">
        <v>0.0146</v>
      </c>
      <c r="N2034" s="176" t="n">
        <v>0.0195</v>
      </c>
      <c r="O2034" s="191" t="n">
        <v>2.43</v>
      </c>
      <c r="P2034" s="172" t="inlineStr">
        <is>
          <t>中间级</t>
        </is>
      </c>
      <c r="Q2034" s="178" t="n">
        <v>0.045</v>
      </c>
      <c r="R2034" s="179" t="n">
        <v>0.45</v>
      </c>
      <c r="S2034" s="177" t="inlineStr">
        <is>
          <t>A+</t>
        </is>
      </c>
      <c r="T2034" s="178" t="n">
        <v>0.031</v>
      </c>
      <c r="U2034" s="177" t="inlineStr">
        <is>
          <t>中信建投投顾</t>
        </is>
      </c>
      <c r="V2034" s="192" t="n">
        <v>0.08</v>
      </c>
      <c r="W2034" s="172" t="n"/>
      <c r="X2034" s="172" t="n"/>
      <c r="Y2034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 t="n">
        <v>0.9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 t="n">
        <v>0.03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0.2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 t="n">
        <v>0.9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 t="n">
        <v>0.03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 t="n">
        <v>0.9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 t="n">
        <v>0.03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 t="n">
        <v>0.9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 t="n">
        <v>0.03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 t="n">
        <v>0.03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 t="n">
        <v>0.9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 t="n">
        <v>0.03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0.045</v>
      </c>
      <c r="Q67" s="213" t="n">
        <v>0.2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0.045</v>
      </c>
      <c r="Q78" s="213" t="n">
        <v>0.2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0.35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0.4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F95:F111"/>
    <mergeCell ref="L46:L63"/>
    <mergeCell ref="Q24:Q31"/>
    <mergeCell ref="Q41:Q45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0.24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0.3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0.3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李亦非</dc:creator>
  <dcterms:created xmlns:dcterms="http://purl.org/dc/terms/" xmlns:xsi="http://www.w3.org/2001/XMLSchema-instance" xsi:type="dcterms:W3CDTF">2026-01-09T09:51:24Z</dcterms:created>
  <dcterms:modified xmlns:dcterms="http://purl.org/dc/terms/" xmlns:xsi="http://www.w3.org/2001/XMLSchema-instance" xsi:type="dcterms:W3CDTF">2026-07-14T14:44:23Z</dcterms:modified>
  <cp:lastModifiedBy>wupeizhi.nolan</cp:lastModifiedBy>
</cp:coreProperties>
</file>