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03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0.01942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0.01942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0.01942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0.01942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0.01942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0.01942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0.01942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0.01942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0.01942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0.01942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0.01942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0.01942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0.01942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0.01942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0.01942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0.01942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0.01942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0.01942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0.01942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0.01942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0.01942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0.01942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0.01942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0.01942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0.01942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0.01942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8月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8月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8月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8月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8月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8月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8月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8月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8月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8月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8月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8月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8月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8月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8月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8月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8月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8月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8月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8月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8月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工银天津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工银天津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工银天津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工银天津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工银天津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工银天津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工银天津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工银天津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工银天津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工银天津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工银天津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工银天津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工银天津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工银天津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工银天津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工银天津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工银天津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工银天津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工银天津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工银天津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工银天津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工银天津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工银天津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工银天津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工银天津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工银天津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工银天津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工银天津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工银天津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2" t="n"/>
      <c r="X1655" s="172" t="n"/>
      <c r="Y1655" s="172" t="n"/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2" t="n"/>
      <c r="X1656" s="172" t="n"/>
      <c r="Y1656" s="172" t="n"/>
    </row>
    <row r="1657">
      <c r="A1657" s="172" t="n">
        <v>92</v>
      </c>
      <c r="B1657" s="173" t="inlineStr">
        <is>
          <t>6月</t>
        </is>
      </c>
      <c r="C1657" s="173" t="inlineStr">
        <is>
          <t>消金</t>
        </is>
      </c>
      <c r="D1657" s="173" t="inlineStr">
        <is>
          <t>赊销白条</t>
        </is>
      </c>
      <c r="E1657" s="173" t="inlineStr">
        <is>
          <t>东裕9号春裕</t>
        </is>
      </c>
      <c r="F1657" s="173" t="inlineStr">
        <is>
          <t>银行间</t>
        </is>
      </c>
      <c r="G1657" s="173" t="inlineStr">
        <is>
          <t>兴业证券</t>
        </is>
      </c>
      <c r="H1657" s="173" t="inlineStr">
        <is>
          <t>杭州银行/南京银行/江苏银行/中信证券</t>
        </is>
      </c>
      <c r="I1657" s="173" t="inlineStr">
        <is>
          <t>平安北分</t>
        </is>
      </c>
      <c r="J1657" s="172" t="n">
        <v>10</v>
      </c>
      <c r="K1657" s="173" t="inlineStr">
        <is>
          <t>10+10+9+3</t>
        </is>
      </c>
      <c r="L1657" s="202" t="n">
        <v>46188</v>
      </c>
      <c r="M1657" s="175" t="n">
        <v>0.0149</v>
      </c>
      <c r="N1657" s="176" t="n">
        <v>0.0182</v>
      </c>
      <c r="O1657" s="191" t="n">
        <v>1.86</v>
      </c>
      <c r="P1657" s="172" t="inlineStr">
        <is>
          <t>优先A</t>
        </is>
      </c>
      <c r="Q1657" s="178" t="n">
        <v>0.9</v>
      </c>
      <c r="R1657" s="179" t="n">
        <v>9</v>
      </c>
      <c r="S1657" s="177" t="inlineStr">
        <is>
          <t>AAA</t>
        </is>
      </c>
      <c r="T1657" s="178" t="n">
        <v>0.016</v>
      </c>
      <c r="U1657" s="177" t="inlineStr">
        <is>
          <t>交银理财</t>
        </is>
      </c>
      <c r="V1657" s="192" t="n">
        <v>1</v>
      </c>
      <c r="W1657" s="172" t="n"/>
      <c r="X1657" s="172" t="n"/>
      <c r="Y1657" s="172" t="n"/>
    </row>
    <row r="1658">
      <c r="A1658" s="172" t="n">
        <v>92</v>
      </c>
      <c r="B1658" s="173" t="inlineStr">
        <is>
          <t>6月</t>
        </is>
      </c>
      <c r="C1658" s="173" t="inlineStr">
        <is>
          <t>消金</t>
        </is>
      </c>
      <c r="D1658" s="173" t="inlineStr">
        <is>
          <t>赊销白条</t>
        </is>
      </c>
      <c r="E1658" s="173" t="inlineStr">
        <is>
          <t>东裕9号春裕</t>
        </is>
      </c>
      <c r="F1658" s="173" t="inlineStr">
        <is>
          <t>银行间</t>
        </is>
      </c>
      <c r="G1658" s="173" t="inlineStr">
        <is>
          <t>兴业证券</t>
        </is>
      </c>
      <c r="H1658" s="173" t="inlineStr">
        <is>
          <t>杭州银行/南京银行/江苏银行/中信证券</t>
        </is>
      </c>
      <c r="I1658" s="173" t="inlineStr">
        <is>
          <t>平安北分</t>
        </is>
      </c>
      <c r="J1658" s="172" t="n">
        <v>10</v>
      </c>
      <c r="K1658" s="173" t="inlineStr">
        <is>
          <t>10+10+9+3</t>
        </is>
      </c>
      <c r="L1658" s="202" t="n">
        <v>46188</v>
      </c>
      <c r="M1658" s="175" t="n">
        <v>0.0149</v>
      </c>
      <c r="N1658" s="176" t="n">
        <v>0.0182</v>
      </c>
      <c r="O1658" s="191" t="n">
        <v>1.86</v>
      </c>
      <c r="P1658" s="172" t="inlineStr">
        <is>
          <t>优先A</t>
        </is>
      </c>
      <c r="Q1658" s="178" t="n">
        <v>0.9</v>
      </c>
      <c r="R1658" s="179" t="n">
        <v>9</v>
      </c>
      <c r="S1658" s="177" t="inlineStr">
        <is>
          <t>AAA</t>
        </is>
      </c>
      <c r="T1658" s="178" t="n">
        <v>0.016</v>
      </c>
      <c r="U1658" s="177" t="inlineStr">
        <is>
          <t>平安养老</t>
        </is>
      </c>
      <c r="V1658" s="192" t="n">
        <v>0.9</v>
      </c>
      <c r="W1658" s="172" t="n"/>
      <c r="X1658" s="172" t="n"/>
      <c r="Y1658" s="172" t="n"/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平安理财</t>
        </is>
      </c>
      <c r="V1659" s="192" t="n">
        <v>0.37</v>
      </c>
      <c r="W1659" s="172" t="n"/>
      <c r="X1659" s="172" t="n"/>
      <c r="Y1659" s="172" t="n"/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杭银理财</t>
        </is>
      </c>
      <c r="V1660" s="192" t="n">
        <v>0.45</v>
      </c>
      <c r="W1660" s="172" t="n"/>
      <c r="X1660" s="172" t="n"/>
      <c r="Y1660" s="172" t="n"/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江苏银行</t>
        </is>
      </c>
      <c r="V1661" s="192" t="n">
        <v>1.28</v>
      </c>
      <c r="W1661" s="172" t="n"/>
      <c r="X1661" s="172" t="n"/>
      <c r="Y1661" s="172" t="n"/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杭州银行</t>
        </is>
      </c>
      <c r="V1662" s="192" t="n">
        <v>0.5</v>
      </c>
      <c r="W1662" s="172" t="n"/>
      <c r="X1662" s="172" t="n"/>
      <c r="Y1662" s="172" t="n"/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7" t="inlineStr">
        <is>
          <t>优先B</t>
        </is>
      </c>
      <c r="Q1663" s="178" t="n">
        <v>0.03</v>
      </c>
      <c r="R1663" s="179" t="n">
        <v>0.3</v>
      </c>
      <c r="S1663" s="177" t="inlineStr">
        <is>
          <t>AA+</t>
        </is>
      </c>
      <c r="T1663" s="178" t="n">
        <v>0.0172</v>
      </c>
      <c r="U1663" s="177" t="inlineStr">
        <is>
          <t>交银理财</t>
        </is>
      </c>
      <c r="V1663" s="192" t="n">
        <v>0.09</v>
      </c>
      <c r="W1663" s="172" t="n"/>
      <c r="X1663" s="172" t="n"/>
      <c r="Y1663" s="172" t="n"/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优先B</t>
        </is>
      </c>
      <c r="Q1664" s="178" t="n">
        <v>0.03</v>
      </c>
      <c r="R1664" s="179" t="n">
        <v>0.3</v>
      </c>
      <c r="S1664" s="177" t="inlineStr">
        <is>
          <t>AA+</t>
        </is>
      </c>
      <c r="T1664" s="178" t="n">
        <v>0.0172</v>
      </c>
      <c r="U1664" s="177" t="inlineStr">
        <is>
          <t>建信信托</t>
        </is>
      </c>
      <c r="V1664" s="192" t="n">
        <v>0.12</v>
      </c>
      <c r="W1664" s="172" t="n"/>
      <c r="X1664" s="172" t="n"/>
      <c r="Y1664" s="172" t="n"/>
    </row>
    <row r="1665">
      <c r="A1665" s="172" t="n">
        <v>92</v>
      </c>
      <c r="B1665" s="173" t="inlineStr">
        <is>
          <t>6月</t>
        </is>
      </c>
      <c r="C1665" s="173" t="inlineStr">
        <is>
          <t>消金</t>
        </is>
      </c>
      <c r="D1665" s="173" t="inlineStr">
        <is>
          <t>赊销白条</t>
        </is>
      </c>
      <c r="E1665" s="173" t="inlineStr">
        <is>
          <t>东裕9号春裕</t>
        </is>
      </c>
      <c r="F1665" s="173" t="inlineStr">
        <is>
          <t>银行间</t>
        </is>
      </c>
      <c r="G1665" s="173" t="inlineStr">
        <is>
          <t>兴业证券</t>
        </is>
      </c>
      <c r="H1665" s="173" t="inlineStr">
        <is>
          <t>杭州银行/南京银行/江苏银行/中信证券</t>
        </is>
      </c>
      <c r="I1665" s="173" t="inlineStr">
        <is>
          <t>平安北分</t>
        </is>
      </c>
      <c r="J1665" s="172" t="n">
        <v>10</v>
      </c>
      <c r="K1665" s="173" t="inlineStr">
        <is>
          <t>10+10+9+3</t>
        </is>
      </c>
      <c r="L1665" s="202" t="n">
        <v>46188</v>
      </c>
      <c r="M1665" s="175" t="n">
        <v>0.0149</v>
      </c>
      <c r="N1665" s="176" t="n">
        <v>0.0182</v>
      </c>
      <c r="O1665" s="191" t="n">
        <v>1.86</v>
      </c>
      <c r="P1665" s="172" t="inlineStr">
        <is>
          <t>优先B</t>
        </is>
      </c>
      <c r="Q1665" s="178" t="n">
        <v>0.03</v>
      </c>
      <c r="R1665" s="179" t="n">
        <v>0.3</v>
      </c>
      <c r="S1665" s="177" t="inlineStr">
        <is>
          <t>AA+</t>
        </is>
      </c>
      <c r="T1665" s="178" t="n">
        <v>0.0172</v>
      </c>
      <c r="U1665" s="177" t="inlineStr">
        <is>
          <t>杭州联合银行</t>
        </is>
      </c>
      <c r="V1665" s="192" t="n">
        <v>0.09</v>
      </c>
      <c r="W1665" s="172" t="n"/>
      <c r="X1665" s="172" t="n"/>
      <c r="Y1665" s="172" t="n"/>
    </row>
    <row r="1666">
      <c r="A1666" s="172" t="n">
        <v>92</v>
      </c>
      <c r="B1666" s="173" t="inlineStr">
        <is>
          <t>6月</t>
        </is>
      </c>
      <c r="C1666" s="173" t="inlineStr">
        <is>
          <t>消金</t>
        </is>
      </c>
      <c r="D1666" s="173" t="inlineStr">
        <is>
          <t>赊销白条</t>
        </is>
      </c>
      <c r="E1666" s="173" t="inlineStr">
        <is>
          <t>东裕9号春裕</t>
        </is>
      </c>
      <c r="F1666" s="173" t="inlineStr">
        <is>
          <t>银行间</t>
        </is>
      </c>
      <c r="G1666" s="173" t="inlineStr">
        <is>
          <t>兴业证券</t>
        </is>
      </c>
      <c r="H1666" s="173" t="inlineStr">
        <is>
          <t>杭州银行/南京银行/江苏银行/中信证券</t>
        </is>
      </c>
      <c r="I1666" s="173" t="inlineStr">
        <is>
          <t>平安北分</t>
        </is>
      </c>
      <c r="J1666" s="172" t="n">
        <v>10</v>
      </c>
      <c r="K1666" s="173" t="inlineStr">
        <is>
          <t>10+10+9+3</t>
        </is>
      </c>
      <c r="L1666" s="202" t="n">
        <v>46188</v>
      </c>
      <c r="M1666" s="175" t="n">
        <v>0.0149</v>
      </c>
      <c r="N1666" s="176" t="n">
        <v>0.0182</v>
      </c>
      <c r="O1666" s="191" t="n">
        <v>1.86</v>
      </c>
      <c r="P1666" s="177" t="inlineStr">
        <is>
          <t>中间级</t>
        </is>
      </c>
      <c r="Q1666" s="178" t="n">
        <v>0.02</v>
      </c>
      <c r="R1666" s="179" t="n">
        <v>0.2</v>
      </c>
      <c r="S1666" s="177" t="inlineStr">
        <is>
          <t>A+</t>
        </is>
      </c>
      <c r="T1666" s="178" t="n">
        <v>0.031</v>
      </c>
      <c r="U1666" s="172" t="inlineStr">
        <is>
          <t>平安理财</t>
        </is>
      </c>
      <c r="V1666" s="192" t="n">
        <v>0.06</v>
      </c>
      <c r="W1666" s="172" t="n"/>
      <c r="X1666" s="172" t="n"/>
      <c r="Y1666" s="172" t="n"/>
    </row>
    <row r="1667">
      <c r="A1667" s="172" t="n">
        <v>92</v>
      </c>
      <c r="B1667" s="173" t="inlineStr">
        <is>
          <t>6月</t>
        </is>
      </c>
      <c r="C1667" s="173" t="inlineStr">
        <is>
          <t>消金</t>
        </is>
      </c>
      <c r="D1667" s="173" t="inlineStr">
        <is>
          <t>赊销白条</t>
        </is>
      </c>
      <c r="E1667" s="173" t="inlineStr">
        <is>
          <t>东裕9号春裕</t>
        </is>
      </c>
      <c r="F1667" s="173" t="inlineStr">
        <is>
          <t>银行间</t>
        </is>
      </c>
      <c r="G1667" s="173" t="inlineStr">
        <is>
          <t>兴业证券</t>
        </is>
      </c>
      <c r="H1667" s="173" t="inlineStr">
        <is>
          <t>杭州银行/南京银行/江苏银行/中信证券</t>
        </is>
      </c>
      <c r="I1667" s="173" t="inlineStr">
        <is>
          <t>平安北分</t>
        </is>
      </c>
      <c r="J1667" s="172" t="n">
        <v>10</v>
      </c>
      <c r="K1667" s="173" t="inlineStr">
        <is>
          <t>10+10+9+3</t>
        </is>
      </c>
      <c r="L1667" s="202" t="n">
        <v>46188</v>
      </c>
      <c r="M1667" s="175" t="n">
        <v>0.0149</v>
      </c>
      <c r="N1667" s="176" t="n">
        <v>0.0182</v>
      </c>
      <c r="O1667" s="191" t="n">
        <v>1.86</v>
      </c>
      <c r="P1667" s="172" t="inlineStr">
        <is>
          <t>中间级</t>
        </is>
      </c>
      <c r="Q1667" s="178" t="n">
        <v>0.02</v>
      </c>
      <c r="R1667" s="179" t="n">
        <v>0.2</v>
      </c>
      <c r="S1667" s="177" t="inlineStr">
        <is>
          <t>A+</t>
        </is>
      </c>
      <c r="T1667" s="178" t="n">
        <v>0.031</v>
      </c>
      <c r="U1667" s="172" t="inlineStr">
        <is>
          <t>建信信托</t>
        </is>
      </c>
      <c r="V1667" s="192" t="n">
        <v>0.08</v>
      </c>
      <c r="W1667" s="172" t="n"/>
      <c r="X1667" s="172" t="n"/>
      <c r="Y1667" s="172" t="n"/>
    </row>
    <row r="1668">
      <c r="A1668" s="172" t="n">
        <v>92</v>
      </c>
      <c r="B1668" s="173" t="inlineStr">
        <is>
          <t>6月</t>
        </is>
      </c>
      <c r="C1668" s="173" t="inlineStr">
        <is>
          <t>消金</t>
        </is>
      </c>
      <c r="D1668" s="173" t="inlineStr">
        <is>
          <t>赊销白条</t>
        </is>
      </c>
      <c r="E1668" s="173" t="inlineStr">
        <is>
          <t>东裕9号春裕</t>
        </is>
      </c>
      <c r="F1668" s="173" t="inlineStr">
        <is>
          <t>银行间</t>
        </is>
      </c>
      <c r="G1668" s="173" t="inlineStr">
        <is>
          <t>兴业证券</t>
        </is>
      </c>
      <c r="H1668" s="173" t="inlineStr">
        <is>
          <t>杭州银行/南京银行/江苏银行/中信证券</t>
        </is>
      </c>
      <c r="I1668" s="173" t="inlineStr">
        <is>
          <t>平安北分</t>
        </is>
      </c>
      <c r="J1668" s="172" t="n">
        <v>10</v>
      </c>
      <c r="K1668" s="173" t="inlineStr">
        <is>
          <t>10+10+9+3</t>
        </is>
      </c>
      <c r="L1668" s="202" t="n">
        <v>46188</v>
      </c>
      <c r="M1668" s="175" t="n">
        <v>0.0149</v>
      </c>
      <c r="N1668" s="176" t="n">
        <v>0.0182</v>
      </c>
      <c r="O1668" s="191" t="n">
        <v>1.86</v>
      </c>
      <c r="P1668" s="172" t="inlineStr">
        <is>
          <t>中间级</t>
        </is>
      </c>
      <c r="Q1668" s="178" t="n">
        <v>0.02</v>
      </c>
      <c r="R1668" s="179" t="n">
        <v>0.2</v>
      </c>
      <c r="S1668" s="177" t="inlineStr">
        <is>
          <t>A+</t>
        </is>
      </c>
      <c r="T1668" s="178" t="n">
        <v>0.031</v>
      </c>
      <c r="U1668" s="172" t="inlineStr">
        <is>
          <t>杭州联合银行</t>
        </is>
      </c>
      <c r="V1668" s="192" t="n">
        <v>0.06</v>
      </c>
      <c r="W1668" s="172" t="n"/>
      <c r="X1668" s="172" t="n"/>
      <c r="Y1668" s="172" t="n"/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次级</t>
        </is>
      </c>
      <c r="Q1669" s="178" t="n">
        <v>0.05</v>
      </c>
      <c r="R1669" s="179" t="n">
        <v>0.5</v>
      </c>
      <c r="S1669" s="177" t="inlineStr">
        <is>
          <t>无</t>
        </is>
      </c>
      <c r="T1669" s="178" t="n">
        <v>0.045</v>
      </c>
      <c r="U1669" s="172" t="inlineStr">
        <is>
          <t>中金自营</t>
        </is>
      </c>
      <c r="V1669" s="195" t="n">
        <v>0.075</v>
      </c>
      <c r="W1669" s="172" t="n"/>
      <c r="X1669" s="172" t="n"/>
      <c r="Y1669" s="172" t="n"/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次级</t>
        </is>
      </c>
      <c r="Q1670" s="178" t="n">
        <v>0.05</v>
      </c>
      <c r="R1670" s="179" t="n">
        <v>0.5</v>
      </c>
      <c r="S1670" s="177" t="inlineStr">
        <is>
          <t>无</t>
        </is>
      </c>
      <c r="T1670" s="178" t="n">
        <v>0.045</v>
      </c>
      <c r="U1670" s="172" t="inlineStr">
        <is>
          <t>申万宏源自营</t>
        </is>
      </c>
      <c r="V1670" s="192" t="n">
        <v>0.15</v>
      </c>
      <c r="W1670" s="172" t="n"/>
      <c r="X1670" s="172" t="n"/>
      <c r="Y1670" s="172" t="n"/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次级</t>
        </is>
      </c>
      <c r="Q1671" s="178" t="n">
        <v>0.05</v>
      </c>
      <c r="R1671" s="179" t="n">
        <v>0.5</v>
      </c>
      <c r="S1671" s="177" t="inlineStr">
        <is>
          <t>无</t>
        </is>
      </c>
      <c r="T1671" s="178" t="n">
        <v>0.045</v>
      </c>
      <c r="U1671" s="172" t="inlineStr">
        <is>
          <t>东家铂睿</t>
        </is>
      </c>
      <c r="V1671" s="192" t="n">
        <v>0.2</v>
      </c>
      <c r="W1671" s="172" t="n"/>
      <c r="X1671" s="172" t="n"/>
      <c r="Y1671" s="172" t="n"/>
    </row>
    <row r="1672">
      <c r="A1672" s="172" t="n">
        <v>92</v>
      </c>
      <c r="B1672" s="173" t="inlineStr">
        <is>
          <t>6月</t>
        </is>
      </c>
      <c r="C1672" s="173" t="inlineStr">
        <is>
          <t>消金</t>
        </is>
      </c>
      <c r="D1672" s="173" t="inlineStr">
        <is>
          <t>赊销白条</t>
        </is>
      </c>
      <c r="E1672" s="173" t="inlineStr">
        <is>
          <t>东裕9号春裕</t>
        </is>
      </c>
      <c r="F1672" s="173" t="inlineStr">
        <is>
          <t>银行间</t>
        </is>
      </c>
      <c r="G1672" s="173" t="inlineStr">
        <is>
          <t>兴业证券</t>
        </is>
      </c>
      <c r="H1672" s="173" t="inlineStr">
        <is>
          <t>杭州银行/南京银行/江苏银行/中信证券</t>
        </is>
      </c>
      <c r="I1672" s="173" t="inlineStr">
        <is>
          <t>平安北分</t>
        </is>
      </c>
      <c r="J1672" s="172" t="n">
        <v>10</v>
      </c>
      <c r="K1672" s="173" t="inlineStr">
        <is>
          <t>10+10+9+3</t>
        </is>
      </c>
      <c r="L1672" s="202" t="n">
        <v>46188</v>
      </c>
      <c r="M1672" s="175" t="n">
        <v>0.0149</v>
      </c>
      <c r="N1672" s="176" t="n">
        <v>0.0182</v>
      </c>
      <c r="O1672" s="191" t="n">
        <v>1.86</v>
      </c>
      <c r="P1672" s="172" t="inlineStr">
        <is>
          <t>次级</t>
        </is>
      </c>
      <c r="Q1672" s="178" t="n">
        <v>0.05</v>
      </c>
      <c r="R1672" s="179" t="n">
        <v>0.5</v>
      </c>
      <c r="S1672" s="177" t="inlineStr">
        <is>
          <t>无</t>
        </is>
      </c>
      <c r="T1672" s="178" t="n">
        <v>0.045</v>
      </c>
      <c r="U1672" s="172" t="inlineStr">
        <is>
          <t>中信建投机构部</t>
        </is>
      </c>
      <c r="V1672" s="195" t="n">
        <v>0.075</v>
      </c>
      <c r="W1672" s="172" t="n"/>
      <c r="X1672" s="172" t="n"/>
      <c r="Y1672" s="172" t="n"/>
    </row>
    <row r="1673">
      <c r="A1673" s="172" t="n">
        <v>93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金条&amp;白取&amp;白条混发</t>
        </is>
      </c>
      <c r="E1673" s="172" t="inlineStr">
        <is>
          <t>钰泽4号</t>
        </is>
      </c>
      <c r="F1673" s="172" t="inlineStr">
        <is>
          <t>结构化非标</t>
        </is>
      </c>
      <c r="G1673" s="172" t="inlineStr">
        <is>
          <t>西藏信托</t>
        </is>
      </c>
      <c r="H1673" s="172" t="inlineStr">
        <is>
          <t>-</t>
        </is>
      </c>
      <c r="I1673" s="172" t="inlineStr">
        <is>
          <t>建行北分</t>
        </is>
      </c>
      <c r="J1673" s="172" t="n">
        <v>15</v>
      </c>
      <c r="K1673" s="172" t="inlineStr">
        <is>
          <t>11+13</t>
        </is>
      </c>
      <c r="L1673" s="202" t="n">
        <v>46189</v>
      </c>
      <c r="M1673" s="175" t="n">
        <v>0.0149</v>
      </c>
      <c r="N1673" s="176" t="n">
        <v>0.03098</v>
      </c>
      <c r="O1673" s="191" t="inlineStr">
        <is>
          <t>-</t>
        </is>
      </c>
      <c r="P1673" s="172" t="inlineStr">
        <is>
          <t>结构化平层</t>
        </is>
      </c>
      <c r="Q1673" s="175" t="n">
        <v>0.75</v>
      </c>
      <c r="R1673" s="192" t="n">
        <v>11.25</v>
      </c>
      <c r="S1673" s="172" t="inlineStr">
        <is>
          <t>无</t>
        </is>
      </c>
      <c r="T1673" s="175" t="n">
        <v>0.0249</v>
      </c>
      <c r="U1673" s="172" t="inlineStr">
        <is>
          <t>摩根大通</t>
        </is>
      </c>
      <c r="V1673" s="172" t="n">
        <v>11.25</v>
      </c>
      <c r="W1673" s="172" t="n"/>
      <c r="X1673" s="172" t="n"/>
      <c r="Y1673" s="172" t="n"/>
    </row>
    <row r="1674">
      <c r="A1674" s="172" t="n">
        <v>93</v>
      </c>
      <c r="B1674" s="172" t="inlineStr">
        <is>
          <t>6月</t>
        </is>
      </c>
      <c r="C1674" s="172" t="inlineStr">
        <is>
          <t>消金</t>
        </is>
      </c>
      <c r="D1674" s="172" t="inlineStr">
        <is>
          <t>金条&amp;白取&amp;白条混发</t>
        </is>
      </c>
      <c r="E1674" s="172" t="inlineStr">
        <is>
          <t>钰泽4号</t>
        </is>
      </c>
      <c r="F1674" s="172" t="inlineStr">
        <is>
          <t>结构化非标</t>
        </is>
      </c>
      <c r="G1674" s="172" t="inlineStr">
        <is>
          <t>西藏信托</t>
        </is>
      </c>
      <c r="H1674" s="172" t="inlineStr">
        <is>
          <t>-</t>
        </is>
      </c>
      <c r="I1674" s="172" t="inlineStr">
        <is>
          <t>建行北分</t>
        </is>
      </c>
      <c r="J1674" s="172" t="n">
        <v>15</v>
      </c>
      <c r="K1674" s="172" t="inlineStr">
        <is>
          <t>11+13</t>
        </is>
      </c>
      <c r="L1674" s="202" t="n">
        <v>46189</v>
      </c>
      <c r="M1674" s="175" t="n">
        <v>0.0149</v>
      </c>
      <c r="N1674" s="176" t="n">
        <v>0.03098</v>
      </c>
      <c r="O1674" s="191" t="inlineStr">
        <is>
          <t>-</t>
        </is>
      </c>
      <c r="P1674" s="172" t="inlineStr">
        <is>
          <t>结构化平层</t>
        </is>
      </c>
      <c r="Q1674" s="175" t="n">
        <v>0.25</v>
      </c>
      <c r="R1674" s="192" t="n">
        <v>3.75</v>
      </c>
      <c r="S1674" s="172" t="inlineStr">
        <is>
          <t>无</t>
        </is>
      </c>
      <c r="T1674" s="175" t="n">
        <v>0.037</v>
      </c>
      <c r="U1674" s="172" t="inlineStr">
        <is>
          <t>中金自营</t>
        </is>
      </c>
      <c r="V1674" s="191" t="n">
        <v>0.8</v>
      </c>
      <c r="W1674" s="172" t="n"/>
      <c r="X1674" s="172" t="n"/>
      <c r="Y1674" s="172" t="n"/>
    </row>
    <row r="1675">
      <c r="A1675" s="172" t="n">
        <v>93</v>
      </c>
      <c r="B1675" s="172" t="inlineStr">
        <is>
          <t>6月</t>
        </is>
      </c>
      <c r="C1675" s="172" t="inlineStr">
        <is>
          <t>消金</t>
        </is>
      </c>
      <c r="D1675" s="172" t="inlineStr">
        <is>
          <t>金条&amp;白取&amp;白条混发</t>
        </is>
      </c>
      <c r="E1675" s="172" t="inlineStr">
        <is>
          <t>钰泽4号</t>
        </is>
      </c>
      <c r="F1675" s="172" t="inlineStr">
        <is>
          <t>结构化非标</t>
        </is>
      </c>
      <c r="G1675" s="172" t="inlineStr">
        <is>
          <t>西藏信托</t>
        </is>
      </c>
      <c r="H1675" s="172" t="inlineStr">
        <is>
          <t>-</t>
        </is>
      </c>
      <c r="I1675" s="172" t="inlineStr">
        <is>
          <t>建行北分</t>
        </is>
      </c>
      <c r="J1675" s="172" t="n">
        <v>15</v>
      </c>
      <c r="K1675" s="172" t="inlineStr">
        <is>
          <t>11+13</t>
        </is>
      </c>
      <c r="L1675" s="202" t="n">
        <v>46189</v>
      </c>
      <c r="M1675" s="175" t="n">
        <v>0.0149</v>
      </c>
      <c r="N1675" s="176" t="n">
        <v>0.03098</v>
      </c>
      <c r="O1675" s="191" t="inlineStr">
        <is>
          <t>-</t>
        </is>
      </c>
      <c r="P1675" s="172" t="inlineStr">
        <is>
          <t>结构化平层</t>
        </is>
      </c>
      <c r="Q1675" s="175" t="n">
        <v>0.25</v>
      </c>
      <c r="R1675" s="192" t="n">
        <v>3.75</v>
      </c>
      <c r="S1675" s="172" t="inlineStr">
        <is>
          <t>无</t>
        </is>
      </c>
      <c r="T1675" s="175" t="n">
        <v>0.037</v>
      </c>
      <c r="U1675" s="172" t="inlineStr">
        <is>
          <t>中信建投衍生品</t>
        </is>
      </c>
      <c r="V1675" s="191" t="n">
        <v>1.1</v>
      </c>
      <c r="W1675" s="172" t="n"/>
      <c r="X1675" s="172" t="n"/>
      <c r="Y1675" s="172" t="n"/>
    </row>
    <row r="1676">
      <c r="A1676" s="172" t="n">
        <v>93</v>
      </c>
      <c r="B1676" s="172" t="inlineStr">
        <is>
          <t>6月</t>
        </is>
      </c>
      <c r="C1676" s="172" t="inlineStr">
        <is>
          <t>消金</t>
        </is>
      </c>
      <c r="D1676" s="172" t="inlineStr">
        <is>
          <t>金条&amp;白取&amp;白条混发</t>
        </is>
      </c>
      <c r="E1676" s="172" t="inlineStr">
        <is>
          <t>钰泽4号</t>
        </is>
      </c>
      <c r="F1676" s="172" t="inlineStr">
        <is>
          <t>结构化非标</t>
        </is>
      </c>
      <c r="G1676" s="172" t="inlineStr">
        <is>
          <t>西藏信托</t>
        </is>
      </c>
      <c r="H1676" s="172" t="inlineStr">
        <is>
          <t>-</t>
        </is>
      </c>
      <c r="I1676" s="172" t="inlineStr">
        <is>
          <t>建行北分</t>
        </is>
      </c>
      <c r="J1676" s="172" t="n">
        <v>15</v>
      </c>
      <c r="K1676" s="172" t="inlineStr">
        <is>
          <t>11+13</t>
        </is>
      </c>
      <c r="L1676" s="202" t="n">
        <v>46189</v>
      </c>
      <c r="M1676" s="175" t="n">
        <v>0.0149</v>
      </c>
      <c r="N1676" s="176" t="n">
        <v>0.03098</v>
      </c>
      <c r="O1676" s="191" t="inlineStr">
        <is>
          <t>-</t>
        </is>
      </c>
      <c r="P1676" s="172" t="inlineStr">
        <is>
          <t>结构化平层</t>
        </is>
      </c>
      <c r="Q1676" s="175" t="n">
        <v>0.25</v>
      </c>
      <c r="R1676" s="192" t="n">
        <v>3.75</v>
      </c>
      <c r="S1676" s="172" t="inlineStr">
        <is>
          <t>无</t>
        </is>
      </c>
      <c r="T1676" s="175" t="n">
        <v>0.037</v>
      </c>
      <c r="U1676" s="172" t="inlineStr">
        <is>
          <t>中信证券自营</t>
        </is>
      </c>
      <c r="V1676" s="172" t="n">
        <v>1.85</v>
      </c>
      <c r="W1676" s="172" t="n"/>
      <c r="X1676" s="172" t="n"/>
      <c r="Y1676" s="172" t="n"/>
    </row>
    <row r="1677">
      <c r="A1677" s="172" t="n">
        <v>94</v>
      </c>
      <c r="B1677" s="172" t="inlineStr">
        <is>
          <t>6月</t>
        </is>
      </c>
      <c r="C1677" s="172" t="inlineStr">
        <is>
          <t>企金</t>
        </is>
      </c>
      <c r="D1677" s="172" t="inlineStr">
        <is>
          <t>金采</t>
        </is>
      </c>
      <c r="E1677" s="172" t="inlineStr">
        <is>
          <t>金采8-3</t>
        </is>
      </c>
      <c r="F1677" s="172" t="inlineStr">
        <is>
          <t>上交所</t>
        </is>
      </c>
      <c r="G1677" s="172" t="inlineStr">
        <is>
          <t>国泰海通</t>
        </is>
      </c>
      <c r="H1677" s="172" t="inlineStr">
        <is>
          <t>长城证券</t>
        </is>
      </c>
      <c r="I1677" s="172" t="inlineStr">
        <is>
          <t>光大北分</t>
        </is>
      </c>
      <c r="J1677" s="172" t="n">
        <v>10</v>
      </c>
      <c r="K1677" s="172" t="inlineStr">
        <is>
          <t>7+12</t>
        </is>
      </c>
      <c r="L1677" s="202" t="n">
        <v>46191</v>
      </c>
      <c r="M1677" s="175" t="n">
        <v>0.0148</v>
      </c>
      <c r="N1677" s="176" t="n">
        <v>0.0187</v>
      </c>
      <c r="O1677" s="191" t="n">
        <v>1.96</v>
      </c>
      <c r="P1677" s="172" t="inlineStr">
        <is>
          <t>优先级</t>
        </is>
      </c>
      <c r="Q1677" s="175" t="n">
        <v>0.9</v>
      </c>
      <c r="R1677" s="192" t="n">
        <v>9</v>
      </c>
      <c r="S1677" s="172" t="inlineStr">
        <is>
          <t>AAA</t>
        </is>
      </c>
      <c r="T1677" s="175" t="n">
        <v>0.016</v>
      </c>
      <c r="U1677" s="172" t="inlineStr">
        <is>
          <t>邦汇保理</t>
        </is>
      </c>
      <c r="V1677" s="191" t="n">
        <v>0.45</v>
      </c>
      <c r="W1677" s="172" t="n"/>
      <c r="X1677" s="172" t="n"/>
      <c r="Y1677" s="172" t="n"/>
    </row>
    <row r="1678">
      <c r="A1678" s="172" t="n">
        <v>94</v>
      </c>
      <c r="B1678" s="172" t="inlineStr">
        <is>
          <t>6月</t>
        </is>
      </c>
      <c r="C1678" s="172" t="inlineStr">
        <is>
          <t>企金</t>
        </is>
      </c>
      <c r="D1678" s="172" t="inlineStr">
        <is>
          <t>金采</t>
        </is>
      </c>
      <c r="E1678" s="172" t="inlineStr">
        <is>
          <t>金采8-3</t>
        </is>
      </c>
      <c r="F1678" s="172" t="inlineStr">
        <is>
          <t>上交所</t>
        </is>
      </c>
      <c r="G1678" s="172" t="inlineStr">
        <is>
          <t>国泰海通</t>
        </is>
      </c>
      <c r="H1678" s="172" t="inlineStr">
        <is>
          <t>长城证券</t>
        </is>
      </c>
      <c r="I1678" s="172" t="inlineStr">
        <is>
          <t>光大北分</t>
        </is>
      </c>
      <c r="J1678" s="172" t="n">
        <v>10</v>
      </c>
      <c r="K1678" s="172" t="inlineStr">
        <is>
          <t>7+12</t>
        </is>
      </c>
      <c r="L1678" s="202" t="n">
        <v>46191</v>
      </c>
      <c r="M1678" s="175" t="n">
        <v>0.0148</v>
      </c>
      <c r="N1678" s="176" t="n">
        <v>0.0187</v>
      </c>
      <c r="O1678" s="191" t="n">
        <v>1.96</v>
      </c>
      <c r="P1678" s="172" t="inlineStr">
        <is>
          <t>优先级</t>
        </is>
      </c>
      <c r="Q1678" s="175" t="n">
        <v>0.9</v>
      </c>
      <c r="R1678" s="192" t="n">
        <v>9</v>
      </c>
      <c r="S1678" s="172" t="inlineStr">
        <is>
          <t>AAA</t>
        </is>
      </c>
      <c r="T1678" s="175" t="n">
        <v>0.016</v>
      </c>
      <c r="U1678" s="172" t="inlineStr">
        <is>
          <t>宝武财务</t>
        </is>
      </c>
      <c r="V1678" s="191" t="n">
        <v>0.3</v>
      </c>
      <c r="W1678" s="172" t="n"/>
      <c r="X1678" s="172" t="n"/>
      <c r="Y1678" s="172" t="n"/>
    </row>
    <row r="1679">
      <c r="A1679" s="172" t="n">
        <v>94</v>
      </c>
      <c r="B1679" s="172" t="inlineStr">
        <is>
          <t>6月</t>
        </is>
      </c>
      <c r="C1679" s="172" t="inlineStr">
        <is>
          <t>企金</t>
        </is>
      </c>
      <c r="D1679" s="172" t="inlineStr">
        <is>
          <t>金采</t>
        </is>
      </c>
      <c r="E1679" s="172" t="inlineStr">
        <is>
          <t>金采8-3</t>
        </is>
      </c>
      <c r="F1679" s="172" t="inlineStr">
        <is>
          <t>上交所</t>
        </is>
      </c>
      <c r="G1679" s="172" t="inlineStr">
        <is>
          <t>国泰海通</t>
        </is>
      </c>
      <c r="H1679" s="172" t="inlineStr">
        <is>
          <t>长城证券</t>
        </is>
      </c>
      <c r="I1679" s="172" t="inlineStr">
        <is>
          <t>光大北分</t>
        </is>
      </c>
      <c r="J1679" s="172" t="n">
        <v>10</v>
      </c>
      <c r="K1679" s="172" t="inlineStr">
        <is>
          <t>7+12</t>
        </is>
      </c>
      <c r="L1679" s="202" t="n">
        <v>46191</v>
      </c>
      <c r="M1679" s="175" t="n">
        <v>0.0148</v>
      </c>
      <c r="N1679" s="176" t="n">
        <v>0.0187</v>
      </c>
      <c r="O1679" s="191" t="n">
        <v>1.96</v>
      </c>
      <c r="P1679" s="172" t="inlineStr">
        <is>
          <t>优先级</t>
        </is>
      </c>
      <c r="Q1679" s="175" t="n">
        <v>0.9</v>
      </c>
      <c r="R1679" s="192" t="n">
        <v>9</v>
      </c>
      <c r="S1679" s="172" t="inlineStr">
        <is>
          <t>AAA</t>
        </is>
      </c>
      <c r="T1679" s="175" t="n">
        <v>0.016</v>
      </c>
      <c r="U1679" s="172" t="inlineStr">
        <is>
          <t>建信信托</t>
        </is>
      </c>
      <c r="V1679" s="191" t="n">
        <v>0.9</v>
      </c>
      <c r="W1679" s="172" t="n"/>
      <c r="X1679" s="172" t="n"/>
      <c r="Y1679" s="172" t="n"/>
    </row>
    <row r="1680">
      <c r="A1680" s="172" t="n">
        <v>94</v>
      </c>
      <c r="B1680" s="172" t="inlineStr">
        <is>
          <t>6月</t>
        </is>
      </c>
      <c r="C1680" s="172" t="inlineStr">
        <is>
          <t>企金</t>
        </is>
      </c>
      <c r="D1680" s="172" t="inlineStr">
        <is>
          <t>金采</t>
        </is>
      </c>
      <c r="E1680" s="172" t="inlineStr">
        <is>
          <t>金采8-3</t>
        </is>
      </c>
      <c r="F1680" s="172" t="inlineStr">
        <is>
          <t>上交所</t>
        </is>
      </c>
      <c r="G1680" s="172" t="inlineStr">
        <is>
          <t>国泰海通</t>
        </is>
      </c>
      <c r="H1680" s="172" t="inlineStr">
        <is>
          <t>长城证券</t>
        </is>
      </c>
      <c r="I1680" s="172" t="inlineStr">
        <is>
          <t>光大北分</t>
        </is>
      </c>
      <c r="J1680" s="172" t="n">
        <v>10</v>
      </c>
      <c r="K1680" s="172" t="inlineStr">
        <is>
          <t>7+12</t>
        </is>
      </c>
      <c r="L1680" s="202" t="n">
        <v>46191</v>
      </c>
      <c r="M1680" s="175" t="n">
        <v>0.0148</v>
      </c>
      <c r="N1680" s="176" t="n">
        <v>0.0187</v>
      </c>
      <c r="O1680" s="191" t="n">
        <v>1.96</v>
      </c>
      <c r="P1680" s="172" t="inlineStr">
        <is>
          <t>优先级</t>
        </is>
      </c>
      <c r="Q1680" s="175" t="n">
        <v>0.9</v>
      </c>
      <c r="R1680" s="192" t="n">
        <v>9</v>
      </c>
      <c r="S1680" s="172" t="inlineStr">
        <is>
          <t>AAA</t>
        </is>
      </c>
      <c r="T1680" s="175" t="n">
        <v>0.016</v>
      </c>
      <c r="U1680" s="172" t="inlineStr">
        <is>
          <t>民生理财</t>
        </is>
      </c>
      <c r="V1680" s="191" t="n">
        <v>2.7</v>
      </c>
      <c r="W1680" s="172" t="n"/>
      <c r="X1680" s="172" t="n"/>
      <c r="Y1680" s="172" t="n"/>
    </row>
    <row r="1681">
      <c r="A1681" s="172" t="n">
        <v>94</v>
      </c>
      <c r="B1681" s="172" t="inlineStr">
        <is>
          <t>6月</t>
        </is>
      </c>
      <c r="C1681" s="172" t="inlineStr">
        <is>
          <t>企金</t>
        </is>
      </c>
      <c r="D1681" s="172" t="inlineStr">
        <is>
          <t>金采</t>
        </is>
      </c>
      <c r="E1681" s="172" t="inlineStr">
        <is>
          <t>金采8-3</t>
        </is>
      </c>
      <c r="F1681" s="172" t="inlineStr">
        <is>
          <t>上交所</t>
        </is>
      </c>
      <c r="G1681" s="172" t="inlineStr">
        <is>
          <t>国泰海通</t>
        </is>
      </c>
      <c r="H1681" s="172" t="inlineStr">
        <is>
          <t>长城证券</t>
        </is>
      </c>
      <c r="I1681" s="172" t="inlineStr">
        <is>
          <t>光大北分</t>
        </is>
      </c>
      <c r="J1681" s="172" t="n">
        <v>10</v>
      </c>
      <c r="K1681" s="172" t="inlineStr">
        <is>
          <t>7+12</t>
        </is>
      </c>
      <c r="L1681" s="202" t="n">
        <v>46191</v>
      </c>
      <c r="M1681" s="175" t="n">
        <v>0.0148</v>
      </c>
      <c r="N1681" s="176" t="n">
        <v>0.0187</v>
      </c>
      <c r="O1681" s="191" t="n">
        <v>1.96</v>
      </c>
      <c r="P1681" s="172" t="inlineStr">
        <is>
          <t>优先级</t>
        </is>
      </c>
      <c r="Q1681" s="175" t="n">
        <v>0.9</v>
      </c>
      <c r="R1681" s="192" t="n">
        <v>9</v>
      </c>
      <c r="S1681" s="172" t="inlineStr">
        <is>
          <t>AAA</t>
        </is>
      </c>
      <c r="T1681" s="175" t="n">
        <v>0.016</v>
      </c>
      <c r="U1681" s="172" t="inlineStr">
        <is>
          <t>招银理财</t>
        </is>
      </c>
      <c r="V1681" s="191" t="n">
        <v>2.7</v>
      </c>
      <c r="W1681" s="172" t="n"/>
      <c r="X1681" s="172" t="n"/>
      <c r="Y1681" s="172" t="n"/>
    </row>
    <row r="1682">
      <c r="A1682" s="172" t="n">
        <v>94</v>
      </c>
      <c r="B1682" s="172" t="inlineStr">
        <is>
          <t>6月</t>
        </is>
      </c>
      <c r="C1682" s="172" t="inlineStr">
        <is>
          <t>企金</t>
        </is>
      </c>
      <c r="D1682" s="172" t="inlineStr">
        <is>
          <t>金采</t>
        </is>
      </c>
      <c r="E1682" s="172" t="inlineStr">
        <is>
          <t>金采8-3</t>
        </is>
      </c>
      <c r="F1682" s="172" t="inlineStr">
        <is>
          <t>上交所</t>
        </is>
      </c>
      <c r="G1682" s="172" t="inlineStr">
        <is>
          <t>国泰海通</t>
        </is>
      </c>
      <c r="H1682" s="172" t="inlineStr">
        <is>
          <t>长城证券</t>
        </is>
      </c>
      <c r="I1682" s="172" t="inlineStr">
        <is>
          <t>光大北分</t>
        </is>
      </c>
      <c r="J1682" s="172" t="n">
        <v>10</v>
      </c>
      <c r="K1682" s="172" t="inlineStr">
        <is>
          <t>7+12</t>
        </is>
      </c>
      <c r="L1682" s="202" t="n">
        <v>46191</v>
      </c>
      <c r="M1682" s="175" t="n">
        <v>0.0148</v>
      </c>
      <c r="N1682" s="176" t="n">
        <v>0.0187</v>
      </c>
      <c r="O1682" s="191" t="n">
        <v>1.96</v>
      </c>
      <c r="P1682" s="172" t="inlineStr">
        <is>
          <t>优先级</t>
        </is>
      </c>
      <c r="Q1682" s="175" t="n">
        <v>0.9</v>
      </c>
      <c r="R1682" s="192" t="n">
        <v>9</v>
      </c>
      <c r="S1682" s="172" t="inlineStr">
        <is>
          <t>AAA</t>
        </is>
      </c>
      <c r="T1682" s="175" t="n">
        <v>0.016</v>
      </c>
      <c r="U1682" s="172" t="inlineStr">
        <is>
          <t>中邮理财</t>
        </is>
      </c>
      <c r="V1682" s="191" t="n">
        <v>1.65</v>
      </c>
      <c r="W1682" s="172" t="n"/>
      <c r="X1682" s="172" t="n"/>
      <c r="Y1682" s="172" t="n"/>
    </row>
    <row r="1683">
      <c r="A1683" s="172" t="n">
        <v>94</v>
      </c>
      <c r="B1683" s="172" t="inlineStr">
        <is>
          <t>6月</t>
        </is>
      </c>
      <c r="C1683" s="172" t="inlineStr">
        <is>
          <t>企金</t>
        </is>
      </c>
      <c r="D1683" s="172" t="inlineStr">
        <is>
          <t>金采</t>
        </is>
      </c>
      <c r="E1683" s="172" t="inlineStr">
        <is>
          <t>金采8-3</t>
        </is>
      </c>
      <c r="F1683" s="172" t="inlineStr">
        <is>
          <t>上交所</t>
        </is>
      </c>
      <c r="G1683" s="172" t="inlineStr">
        <is>
          <t>国泰海通</t>
        </is>
      </c>
      <c r="H1683" s="172" t="inlineStr">
        <is>
          <t>长城证券</t>
        </is>
      </c>
      <c r="I1683" s="172" t="inlineStr">
        <is>
          <t>光大北分</t>
        </is>
      </c>
      <c r="J1683" s="172" t="n">
        <v>10</v>
      </c>
      <c r="K1683" s="172" t="inlineStr">
        <is>
          <t>7+12</t>
        </is>
      </c>
      <c r="L1683" s="202" t="n">
        <v>46191</v>
      </c>
      <c r="M1683" s="175" t="n">
        <v>0.0148</v>
      </c>
      <c r="N1683" s="176" t="n">
        <v>0.0187</v>
      </c>
      <c r="O1683" s="191" t="n">
        <v>1.96</v>
      </c>
      <c r="P1683" s="172" t="inlineStr">
        <is>
          <t>优先级</t>
        </is>
      </c>
      <c r="Q1683" s="175" t="n">
        <v>0.9</v>
      </c>
      <c r="R1683" s="192" t="n">
        <v>9</v>
      </c>
      <c r="S1683" s="172" t="inlineStr">
        <is>
          <t>AAA</t>
        </is>
      </c>
      <c r="T1683" s="175" t="n">
        <v>0.016</v>
      </c>
      <c r="U1683" s="172" t="inlineStr">
        <is>
          <t>中金自营</t>
        </is>
      </c>
      <c r="V1683" s="191" t="n">
        <v>0.3</v>
      </c>
      <c r="W1683" s="172" t="n"/>
      <c r="X1683" s="172" t="n"/>
      <c r="Y1683" s="172" t="n"/>
    </row>
    <row r="1684">
      <c r="A1684" s="172" t="n">
        <v>94</v>
      </c>
      <c r="B1684" s="172" t="inlineStr">
        <is>
          <t>6月</t>
        </is>
      </c>
      <c r="C1684" s="172" t="inlineStr">
        <is>
          <t>企金</t>
        </is>
      </c>
      <c r="D1684" s="172" t="inlineStr">
        <is>
          <t>金采</t>
        </is>
      </c>
      <c r="E1684" s="172" t="inlineStr">
        <is>
          <t>金采8-3</t>
        </is>
      </c>
      <c r="F1684" s="172" t="inlineStr">
        <is>
          <t>上交所</t>
        </is>
      </c>
      <c r="G1684" s="172" t="inlineStr">
        <is>
          <t>国泰海通</t>
        </is>
      </c>
      <c r="H1684" s="172" t="inlineStr">
        <is>
          <t>长城证券</t>
        </is>
      </c>
      <c r="I1684" s="172" t="inlineStr">
        <is>
          <t>光大北分</t>
        </is>
      </c>
      <c r="J1684" s="172" t="n">
        <v>10</v>
      </c>
      <c r="K1684" s="172" t="inlineStr">
        <is>
          <t>7+12</t>
        </is>
      </c>
      <c r="L1684" s="202" t="n">
        <v>46191</v>
      </c>
      <c r="M1684" s="175" t="n">
        <v>0.0148</v>
      </c>
      <c r="N1684" s="176" t="n">
        <v>0.0187</v>
      </c>
      <c r="O1684" s="191" t="n">
        <v>1.96</v>
      </c>
      <c r="P1684" s="172" t="inlineStr">
        <is>
          <t>中间级</t>
        </is>
      </c>
      <c r="Q1684" s="175" t="n">
        <v>0.05</v>
      </c>
      <c r="R1684" s="192" t="n">
        <v>0.5</v>
      </c>
      <c r="S1684" s="175" t="inlineStr">
        <is>
          <t>AA</t>
        </is>
      </c>
      <c r="T1684" s="175" t="n">
        <v>0.031</v>
      </c>
      <c r="U1684" s="172" t="inlineStr">
        <is>
          <t>邦汇保理</t>
        </is>
      </c>
      <c r="V1684" s="193" t="n">
        <v>0.025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中间级</t>
        </is>
      </c>
      <c r="Q1685" s="175" t="n">
        <v>0.05</v>
      </c>
      <c r="R1685" s="192" t="n">
        <v>0.5</v>
      </c>
      <c r="S1685" s="175" t="inlineStr">
        <is>
          <t>AA</t>
        </is>
      </c>
      <c r="T1685" s="175" t="n">
        <v>0.031</v>
      </c>
      <c r="U1685" s="172" t="inlineStr">
        <is>
          <t>申万宏源自营</t>
        </is>
      </c>
      <c r="V1685" s="191" t="n">
        <v>0.08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中间级</t>
        </is>
      </c>
      <c r="Q1686" s="175" t="n">
        <v>0.05</v>
      </c>
      <c r="R1686" s="192" t="n">
        <v>0.5</v>
      </c>
      <c r="S1686" s="175" t="inlineStr">
        <is>
          <t>AA</t>
        </is>
      </c>
      <c r="T1686" s="175" t="n">
        <v>0.031</v>
      </c>
      <c r="U1686" s="172" t="inlineStr">
        <is>
          <t>华宝资管</t>
        </is>
      </c>
      <c r="V1686" s="193" t="n">
        <v>0.195</v>
      </c>
      <c r="W1686" s="172" t="n"/>
      <c r="X1686" s="172" t="n"/>
      <c r="Y1686" s="172" t="n"/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2" t="n">
        <v>46191</v>
      </c>
      <c r="M1687" s="175" t="n">
        <v>0.0148</v>
      </c>
      <c r="N1687" s="176" t="n">
        <v>0.0187</v>
      </c>
      <c r="O1687" s="191" t="n">
        <v>1.96</v>
      </c>
      <c r="P1687" s="172" t="inlineStr">
        <is>
          <t>中间级</t>
        </is>
      </c>
      <c r="Q1687" s="175" t="n">
        <v>0.05</v>
      </c>
      <c r="R1687" s="192" t="n">
        <v>0.5</v>
      </c>
      <c r="S1687" s="175" t="inlineStr">
        <is>
          <t>AA</t>
        </is>
      </c>
      <c r="T1687" s="175" t="n">
        <v>0.031</v>
      </c>
      <c r="U1687" s="172" t="inlineStr">
        <is>
          <t>国泰海通自营</t>
        </is>
      </c>
      <c r="V1687" s="191" t="n">
        <v>0.2</v>
      </c>
      <c r="W1687" s="172" t="n"/>
      <c r="X1687" s="172" t="n"/>
      <c r="Y1687" s="172" t="n"/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次级</t>
        </is>
      </c>
      <c r="Q1688" s="175" t="n">
        <v>0.05</v>
      </c>
      <c r="R1688" s="192" t="n">
        <v>0.5</v>
      </c>
      <c r="S1688" s="175" t="inlineStr">
        <is>
          <t>无</t>
        </is>
      </c>
      <c r="T1688" s="175" t="n">
        <v>0.0455</v>
      </c>
      <c r="U1688" s="172" t="inlineStr">
        <is>
          <t>申万宏源自营</t>
        </is>
      </c>
      <c r="V1688" s="193" t="n">
        <v>0.075</v>
      </c>
      <c r="W1688" s="172" t="n"/>
      <c r="X1688" s="172" t="n"/>
      <c r="Y1688" s="172" t="n"/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次级</t>
        </is>
      </c>
      <c r="Q1689" s="175" t="n">
        <v>0.05</v>
      </c>
      <c r="R1689" s="192" t="n">
        <v>0.5</v>
      </c>
      <c r="S1689" s="175" t="inlineStr">
        <is>
          <t>无</t>
        </is>
      </c>
      <c r="T1689" s="175" t="n">
        <v>0.0455</v>
      </c>
      <c r="U1689" s="172" t="inlineStr">
        <is>
          <t>利曦基金</t>
        </is>
      </c>
      <c r="V1689" s="191" t="n">
        <v>0.2</v>
      </c>
      <c r="W1689" s="172" t="n"/>
      <c r="X1689" s="172" t="n"/>
      <c r="Y1689" s="172" t="n"/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次级</t>
        </is>
      </c>
      <c r="Q1690" s="175" t="n">
        <v>0.05</v>
      </c>
      <c r="R1690" s="192" t="n">
        <v>0.5</v>
      </c>
      <c r="S1690" s="175" t="inlineStr">
        <is>
          <t>无</t>
        </is>
      </c>
      <c r="T1690" s="175" t="n">
        <v>0.0455</v>
      </c>
      <c r="U1690" s="172" t="inlineStr">
        <is>
          <t>德邦证券自营</t>
        </is>
      </c>
      <c r="V1690" s="191" t="n">
        <v>0.2</v>
      </c>
      <c r="W1690" s="172" t="n"/>
      <c r="X1690" s="172" t="n"/>
      <c r="Y1690" s="172" t="n"/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次级</t>
        </is>
      </c>
      <c r="Q1691" s="175" t="n">
        <v>0.05</v>
      </c>
      <c r="R1691" s="192" t="n">
        <v>0.5</v>
      </c>
      <c r="S1691" s="175" t="inlineStr">
        <is>
          <t>无</t>
        </is>
      </c>
      <c r="T1691" s="175" t="n">
        <v>0.0455</v>
      </c>
      <c r="U1691" s="172" t="inlineStr">
        <is>
          <t>邦汇保理</t>
        </is>
      </c>
      <c r="V1691" s="193" t="n">
        <v>0.025</v>
      </c>
      <c r="W1691" s="172" t="n"/>
      <c r="X1691" s="172" t="n"/>
      <c r="Y1691" s="172" t="n"/>
    </row>
    <row r="1692">
      <c r="A1692" s="172" t="n">
        <v>95</v>
      </c>
      <c r="B1692" s="173" t="inlineStr">
        <is>
          <t>6月</t>
        </is>
      </c>
      <c r="C1692" s="173" t="inlineStr">
        <is>
          <t>消金</t>
        </is>
      </c>
      <c r="D1692" s="173" t="inlineStr">
        <is>
          <t>赊销白条</t>
        </is>
      </c>
      <c r="E1692" s="173" t="inlineStr">
        <is>
          <t>东裕11号叔裕</t>
        </is>
      </c>
      <c r="F1692" s="173" t="inlineStr">
        <is>
          <t>银行间</t>
        </is>
      </c>
      <c r="G1692" s="173" t="inlineStr">
        <is>
          <t>招商证券</t>
        </is>
      </c>
      <c r="H1692" s="173" t="inlineStr">
        <is>
          <t>江苏银行/杭州银行/建设银行/东方证券</t>
        </is>
      </c>
      <c r="I1692" s="173" t="inlineStr">
        <is>
          <t>青岛银行</t>
        </is>
      </c>
      <c r="J1692" s="172" t="n">
        <v>10</v>
      </c>
      <c r="K1692" s="173" t="inlineStr">
        <is>
          <t>10+10+9+3</t>
        </is>
      </c>
      <c r="L1692" s="202" t="n">
        <v>46195</v>
      </c>
      <c r="M1692" s="175" t="n">
        <v>0.0148</v>
      </c>
      <c r="N1692" s="176" t="n">
        <v>0.0181</v>
      </c>
      <c r="O1692" s="191" t="n">
        <v>2.1</v>
      </c>
      <c r="P1692" s="177" t="inlineStr">
        <is>
          <t>优先A</t>
        </is>
      </c>
      <c r="Q1692" s="178" t="n">
        <v>0.9</v>
      </c>
      <c r="R1692" s="179" t="n">
        <v>9</v>
      </c>
      <c r="S1692" s="177" t="inlineStr">
        <is>
          <t>AAA</t>
        </is>
      </c>
      <c r="T1692" s="178" t="n">
        <v>0.0159</v>
      </c>
      <c r="U1692" s="177" t="inlineStr">
        <is>
          <t>工银理财</t>
        </is>
      </c>
      <c r="V1692" s="192" t="n">
        <v>0.95</v>
      </c>
      <c r="W1692" s="175" t="n">
        <v>0.0159</v>
      </c>
      <c r="X1692" s="172" t="inlineStr">
        <is>
          <t>工银理财</t>
        </is>
      </c>
      <c r="Y1692" s="191" t="n">
        <v>1</v>
      </c>
    </row>
    <row r="1693">
      <c r="A1693" s="172" t="n">
        <v>95</v>
      </c>
      <c r="B1693" s="172" t="inlineStr">
        <is>
          <t>6月</t>
        </is>
      </c>
      <c r="C1693" s="172" t="inlineStr">
        <is>
          <t>消金</t>
        </is>
      </c>
      <c r="D1693" s="172" t="inlineStr">
        <is>
          <t>赊销白条</t>
        </is>
      </c>
      <c r="E1693" s="172" t="inlineStr">
        <is>
          <t>东裕11号叔裕</t>
        </is>
      </c>
      <c r="F1693" s="172" t="inlineStr">
        <is>
          <t>银行间</t>
        </is>
      </c>
      <c r="G1693" s="172" t="inlineStr">
        <is>
          <t>招商证券</t>
        </is>
      </c>
      <c r="H1693" s="172" t="inlineStr">
        <is>
          <t>江苏银行/杭州银行/建设银行/东方证券</t>
        </is>
      </c>
      <c r="I1693" s="172" t="inlineStr">
        <is>
          <t>青岛银行</t>
        </is>
      </c>
      <c r="J1693" s="172" t="n">
        <v>10</v>
      </c>
      <c r="K1693" s="172" t="inlineStr">
        <is>
          <t>10+10+9+3</t>
        </is>
      </c>
      <c r="L1693" s="208" t="n">
        <v>46195</v>
      </c>
      <c r="M1693" s="175" t="n">
        <v>0.0148</v>
      </c>
      <c r="N1693" s="176" t="n">
        <v>0.0181</v>
      </c>
      <c r="O1693" s="172" t="n">
        <v>2.1</v>
      </c>
      <c r="P1693" s="172" t="inlineStr">
        <is>
          <t>优先A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0.0159</v>
      </c>
      <c r="U1693" s="172" t="n"/>
      <c r="V1693" s="172" t="n"/>
      <c r="W1693" s="175" t="n">
        <v>0.0163</v>
      </c>
      <c r="X1693" s="172" t="inlineStr">
        <is>
          <t>工银理财</t>
        </is>
      </c>
      <c r="Y1693" s="191" t="n">
        <v>1.5</v>
      </c>
    </row>
    <row r="1694">
      <c r="A1694" s="172" t="n">
        <v>95</v>
      </c>
      <c r="B1694" s="173" t="inlineStr">
        <is>
          <t>6月</t>
        </is>
      </c>
      <c r="C1694" s="173" t="inlineStr">
        <is>
          <t>消金</t>
        </is>
      </c>
      <c r="D1694" s="173" t="inlineStr">
        <is>
          <t>赊销白条</t>
        </is>
      </c>
      <c r="E1694" s="173" t="inlineStr">
        <is>
          <t>东裕11号叔裕</t>
        </is>
      </c>
      <c r="F1694" s="173" t="inlineStr">
        <is>
          <t>银行间</t>
        </is>
      </c>
      <c r="G1694" s="173" t="inlineStr">
        <is>
          <t>招商证券</t>
        </is>
      </c>
      <c r="H1694" s="173" t="inlineStr">
        <is>
          <t>江苏银行/杭州银行/建设银行/东方证券</t>
        </is>
      </c>
      <c r="I1694" s="173" t="inlineStr">
        <is>
          <t>青岛银行</t>
        </is>
      </c>
      <c r="J1694" s="172" t="n">
        <v>10</v>
      </c>
      <c r="K1694" s="173" t="inlineStr">
        <is>
          <t>10+10+9+3</t>
        </is>
      </c>
      <c r="L1694" s="202" t="n">
        <v>46195</v>
      </c>
      <c r="M1694" s="175" t="n">
        <v>0.0148</v>
      </c>
      <c r="N1694" s="176" t="n">
        <v>0.0181</v>
      </c>
      <c r="O1694" s="191" t="n">
        <v>2.1</v>
      </c>
      <c r="P1694" s="172" t="inlineStr">
        <is>
          <t>优先A</t>
        </is>
      </c>
      <c r="Q1694" s="178" t="n">
        <v>0.9</v>
      </c>
      <c r="R1694" s="179" t="n">
        <v>9</v>
      </c>
      <c r="S1694" s="177" t="inlineStr">
        <is>
          <t>AAA</t>
        </is>
      </c>
      <c r="T1694" s="178" t="n">
        <v>0.0159</v>
      </c>
      <c r="U1694" s="177" t="inlineStr">
        <is>
          <t>杭银理财</t>
        </is>
      </c>
      <c r="V1694" s="192" t="n">
        <v>0.45</v>
      </c>
      <c r="W1694" s="175" t="n">
        <v>0.0158</v>
      </c>
      <c r="X1694" s="172" t="inlineStr">
        <is>
          <t>杭银理财</t>
        </is>
      </c>
      <c r="Y1694" s="191" t="n">
        <v>0.45</v>
      </c>
    </row>
    <row r="1695">
      <c r="A1695" s="172" t="n">
        <v>95</v>
      </c>
      <c r="B1695" s="173" t="inlineStr">
        <is>
          <t>6月</t>
        </is>
      </c>
      <c r="C1695" s="173" t="inlineStr">
        <is>
          <t>消金</t>
        </is>
      </c>
      <c r="D1695" s="173" t="inlineStr">
        <is>
          <t>赊销白条</t>
        </is>
      </c>
      <c r="E1695" s="173" t="inlineStr">
        <is>
          <t>东裕11号叔裕</t>
        </is>
      </c>
      <c r="F1695" s="173" t="inlineStr">
        <is>
          <t>银行间</t>
        </is>
      </c>
      <c r="G1695" s="173" t="inlineStr">
        <is>
          <t>招商证券</t>
        </is>
      </c>
      <c r="H1695" s="173" t="inlineStr">
        <is>
          <t>江苏银行/杭州银行/建设银行/东方证券</t>
        </is>
      </c>
      <c r="I1695" s="173" t="inlineStr">
        <is>
          <t>青岛银行</t>
        </is>
      </c>
      <c r="J1695" s="172" t="n">
        <v>10</v>
      </c>
      <c r="K1695" s="173" t="inlineStr">
        <is>
          <t>10+10+9+3</t>
        </is>
      </c>
      <c r="L1695" s="202" t="n">
        <v>46195</v>
      </c>
      <c r="M1695" s="175" t="n">
        <v>0.0148</v>
      </c>
      <c r="N1695" s="176" t="n">
        <v>0.0181</v>
      </c>
      <c r="O1695" s="191" t="n">
        <v>2.1</v>
      </c>
      <c r="P1695" s="172" t="inlineStr">
        <is>
          <t>优先A</t>
        </is>
      </c>
      <c r="Q1695" s="178" t="n">
        <v>0.9</v>
      </c>
      <c r="R1695" s="179" t="n">
        <v>9</v>
      </c>
      <c r="S1695" s="177" t="inlineStr">
        <is>
          <t>AAA</t>
        </is>
      </c>
      <c r="T1695" s="178" t="n">
        <v>0.0159</v>
      </c>
      <c r="U1695" s="177" t="inlineStr">
        <is>
          <t>杭州银行</t>
        </is>
      </c>
      <c r="V1695" s="192" t="n">
        <v>0.8</v>
      </c>
      <c r="W1695" s="175" t="n">
        <v>0.0155</v>
      </c>
      <c r="X1695" s="172" t="inlineStr">
        <is>
          <t>杭州银行</t>
        </is>
      </c>
      <c r="Y1695" s="191" t="n">
        <v>0.8</v>
      </c>
    </row>
    <row r="1696">
      <c r="A1696" s="172" t="n">
        <v>95</v>
      </c>
      <c r="B1696" s="172" t="inlineStr">
        <is>
          <t>6月</t>
        </is>
      </c>
      <c r="C1696" s="172" t="inlineStr">
        <is>
          <t>消金</t>
        </is>
      </c>
      <c r="D1696" s="172" t="inlineStr">
        <is>
          <t>赊销白条</t>
        </is>
      </c>
      <c r="E1696" s="172" t="inlineStr">
        <is>
          <t>东裕11号叔裕</t>
        </is>
      </c>
      <c r="F1696" s="172" t="inlineStr">
        <is>
          <t>银行间</t>
        </is>
      </c>
      <c r="G1696" s="172" t="inlineStr">
        <is>
          <t>招商证券</t>
        </is>
      </c>
      <c r="H1696" s="172" t="inlineStr">
        <is>
          <t>江苏银行/杭州银行/建设银行/东方证券</t>
        </is>
      </c>
      <c r="I1696" s="172" t="inlineStr">
        <is>
          <t>青岛银行</t>
        </is>
      </c>
      <c r="J1696" s="172" t="n">
        <v>10</v>
      </c>
      <c r="K1696" s="172" t="inlineStr">
        <is>
          <t>10+10+9+3</t>
        </is>
      </c>
      <c r="L1696" s="208" t="n">
        <v>46195</v>
      </c>
      <c r="M1696" s="175" t="n">
        <v>0.0148</v>
      </c>
      <c r="N1696" s="176" t="n">
        <v>0.0181</v>
      </c>
      <c r="O1696" s="172" t="n">
        <v>2.1</v>
      </c>
      <c r="P1696" s="172" t="inlineStr">
        <is>
          <t>优先A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0.0159</v>
      </c>
      <c r="U1696" s="172" t="n"/>
      <c r="V1696" s="172" t="n"/>
      <c r="W1696" s="175" t="n">
        <v>0.016</v>
      </c>
      <c r="X1696" s="172" t="inlineStr">
        <is>
          <t>杭州银行</t>
        </is>
      </c>
      <c r="Y1696" s="191" t="n">
        <v>0.55</v>
      </c>
    </row>
    <row r="1697">
      <c r="A1697" s="172" t="n">
        <v>95</v>
      </c>
      <c r="B1697" s="173" t="inlineStr">
        <is>
          <t>6月</t>
        </is>
      </c>
      <c r="C1697" s="173" t="inlineStr">
        <is>
          <t>消金</t>
        </is>
      </c>
      <c r="D1697" s="173" t="inlineStr">
        <is>
          <t>赊销白条</t>
        </is>
      </c>
      <c r="E1697" s="173" t="inlineStr">
        <is>
          <t>东裕11号叔裕</t>
        </is>
      </c>
      <c r="F1697" s="173" t="inlineStr">
        <is>
          <t>银行间</t>
        </is>
      </c>
      <c r="G1697" s="173" t="inlineStr">
        <is>
          <t>招商证券</t>
        </is>
      </c>
      <c r="H1697" s="173" t="inlineStr">
        <is>
          <t>江苏银行/杭州银行/建设银行/东方证券</t>
        </is>
      </c>
      <c r="I1697" s="173" t="inlineStr">
        <is>
          <t>青岛银行</t>
        </is>
      </c>
      <c r="J1697" s="172" t="n">
        <v>10</v>
      </c>
      <c r="K1697" s="173" t="inlineStr">
        <is>
          <t>10+10+9+3</t>
        </is>
      </c>
      <c r="L1697" s="202" t="n">
        <v>46195</v>
      </c>
      <c r="M1697" s="175" t="n">
        <v>0.0148</v>
      </c>
      <c r="N1697" s="176" t="n">
        <v>0.0181</v>
      </c>
      <c r="O1697" s="191" t="n">
        <v>2.1</v>
      </c>
      <c r="P1697" s="172" t="inlineStr">
        <is>
          <t>优先A</t>
        </is>
      </c>
      <c r="Q1697" s="178" t="n">
        <v>0.9</v>
      </c>
      <c r="R1697" s="179" t="n">
        <v>9</v>
      </c>
      <c r="S1697" s="177" t="inlineStr">
        <is>
          <t>AAA</t>
        </is>
      </c>
      <c r="T1697" s="178" t="n">
        <v>0.0159</v>
      </c>
      <c r="U1697" s="177" t="inlineStr">
        <is>
          <t>建设银行</t>
        </is>
      </c>
      <c r="V1697" s="192" t="n">
        <v>1.8</v>
      </c>
      <c r="W1697" s="175" t="n">
        <v>0.0157</v>
      </c>
      <c r="X1697" s="172" t="inlineStr">
        <is>
          <t>建设银行</t>
        </is>
      </c>
      <c r="Y1697" s="191" t="n">
        <v>1.8</v>
      </c>
    </row>
    <row r="1698">
      <c r="A1698" s="172" t="n">
        <v>95</v>
      </c>
      <c r="B1698" s="173" t="inlineStr">
        <is>
          <t>6月</t>
        </is>
      </c>
      <c r="C1698" s="173" t="inlineStr">
        <is>
          <t>消金</t>
        </is>
      </c>
      <c r="D1698" s="173" t="inlineStr">
        <is>
          <t>赊销白条</t>
        </is>
      </c>
      <c r="E1698" s="173" t="inlineStr">
        <is>
          <t>东裕11号叔裕</t>
        </is>
      </c>
      <c r="F1698" s="173" t="inlineStr">
        <is>
          <t>银行间</t>
        </is>
      </c>
      <c r="G1698" s="173" t="inlineStr">
        <is>
          <t>招商证券</t>
        </is>
      </c>
      <c r="H1698" s="173" t="inlineStr">
        <is>
          <t>江苏银行/杭州银行/建设银行/东方证券</t>
        </is>
      </c>
      <c r="I1698" s="173" t="inlineStr">
        <is>
          <t>青岛银行</t>
        </is>
      </c>
      <c r="J1698" s="172" t="n">
        <v>10</v>
      </c>
      <c r="K1698" s="173" t="inlineStr">
        <is>
          <t>10+10+9+3</t>
        </is>
      </c>
      <c r="L1698" s="202" t="n">
        <v>46195</v>
      </c>
      <c r="M1698" s="175" t="n">
        <v>0.0148</v>
      </c>
      <c r="N1698" s="176" t="n">
        <v>0.0181</v>
      </c>
      <c r="O1698" s="191" t="n">
        <v>2.1</v>
      </c>
      <c r="P1698" s="172" t="inlineStr">
        <is>
          <t>优先A</t>
        </is>
      </c>
      <c r="Q1698" s="178" t="n">
        <v>0.9</v>
      </c>
      <c r="R1698" s="179" t="n">
        <v>9</v>
      </c>
      <c r="S1698" s="177" t="inlineStr">
        <is>
          <t>AAA</t>
        </is>
      </c>
      <c r="T1698" s="178" t="n">
        <v>0.0159</v>
      </c>
      <c r="U1698" s="177" t="inlineStr">
        <is>
          <t>建信理财</t>
        </is>
      </c>
      <c r="V1698" s="192" t="n">
        <v>0.9</v>
      </c>
      <c r="W1698" s="175" t="n">
        <v>0.0157</v>
      </c>
      <c r="X1698" s="172" t="inlineStr">
        <is>
          <t>建信信托（建信理财）</t>
        </is>
      </c>
      <c r="Y1698" s="191" t="n">
        <v>0.9</v>
      </c>
    </row>
    <row r="1699">
      <c r="A1699" s="172" t="n">
        <v>95</v>
      </c>
      <c r="B1699" s="173" t="inlineStr">
        <is>
          <t>6月</t>
        </is>
      </c>
      <c r="C1699" s="173" t="inlineStr">
        <is>
          <t>消金</t>
        </is>
      </c>
      <c r="D1699" s="173" t="inlineStr">
        <is>
          <t>赊销白条</t>
        </is>
      </c>
      <c r="E1699" s="173" t="inlineStr">
        <is>
          <t>东裕11号叔裕</t>
        </is>
      </c>
      <c r="F1699" s="173" t="inlineStr">
        <is>
          <t>银行间</t>
        </is>
      </c>
      <c r="G1699" s="173" t="inlineStr">
        <is>
          <t>招商证券</t>
        </is>
      </c>
      <c r="H1699" s="173" t="inlineStr">
        <is>
          <t>江苏银行/杭州银行/建设银行/东方证券</t>
        </is>
      </c>
      <c r="I1699" s="173" t="inlineStr">
        <is>
          <t>青岛银行</t>
        </is>
      </c>
      <c r="J1699" s="172" t="n">
        <v>10</v>
      </c>
      <c r="K1699" s="173" t="inlineStr">
        <is>
          <t>10+10+9+3</t>
        </is>
      </c>
      <c r="L1699" s="202" t="n">
        <v>46195</v>
      </c>
      <c r="M1699" s="175" t="n">
        <v>0.0148</v>
      </c>
      <c r="N1699" s="176" t="n">
        <v>0.0181</v>
      </c>
      <c r="O1699" s="191" t="n">
        <v>2.1</v>
      </c>
      <c r="P1699" s="172" t="inlineStr">
        <is>
          <t>优先A</t>
        </is>
      </c>
      <c r="Q1699" s="178" t="n">
        <v>0.9</v>
      </c>
      <c r="R1699" s="179" t="n">
        <v>9</v>
      </c>
      <c r="S1699" s="177" t="inlineStr">
        <is>
          <t>AAA</t>
        </is>
      </c>
      <c r="T1699" s="178" t="n">
        <v>0.0159</v>
      </c>
      <c r="U1699" s="177" t="inlineStr">
        <is>
          <t>江苏银行</t>
        </is>
      </c>
      <c r="V1699" s="192" t="n">
        <v>1.8</v>
      </c>
      <c r="W1699" s="175" t="n">
        <v>0.015</v>
      </c>
      <c r="X1699" s="172" t="inlineStr">
        <is>
          <t>江苏银行</t>
        </is>
      </c>
      <c r="Y1699" s="191" t="n">
        <v>1.8</v>
      </c>
    </row>
    <row r="1700">
      <c r="A1700" s="172" t="n">
        <v>95</v>
      </c>
      <c r="B1700" s="173" t="inlineStr">
        <is>
          <t>6月</t>
        </is>
      </c>
      <c r="C1700" s="173" t="inlineStr">
        <is>
          <t>消金</t>
        </is>
      </c>
      <c r="D1700" s="173" t="inlineStr">
        <is>
          <t>赊销白条</t>
        </is>
      </c>
      <c r="E1700" s="173" t="inlineStr">
        <is>
          <t>东裕11号叔裕</t>
        </is>
      </c>
      <c r="F1700" s="173" t="inlineStr">
        <is>
          <t>银行间</t>
        </is>
      </c>
      <c r="G1700" s="173" t="inlineStr">
        <is>
          <t>招商证券</t>
        </is>
      </c>
      <c r="H1700" s="173" t="inlineStr">
        <is>
          <t>江苏银行/杭州银行/建设银行/东方证券</t>
        </is>
      </c>
      <c r="I1700" s="173" t="inlineStr">
        <is>
          <t>青岛银行</t>
        </is>
      </c>
      <c r="J1700" s="172" t="n">
        <v>10</v>
      </c>
      <c r="K1700" s="173" t="inlineStr">
        <is>
          <t>10+10+9+3</t>
        </is>
      </c>
      <c r="L1700" s="202" t="n">
        <v>46195</v>
      </c>
      <c r="M1700" s="175" t="n">
        <v>0.0148</v>
      </c>
      <c r="N1700" s="176" t="n">
        <v>0.0181</v>
      </c>
      <c r="O1700" s="191" t="n">
        <v>2.1</v>
      </c>
      <c r="P1700" s="172" t="inlineStr">
        <is>
          <t>优先A</t>
        </is>
      </c>
      <c r="Q1700" s="178" t="n">
        <v>0.9</v>
      </c>
      <c r="R1700" s="179" t="n">
        <v>9</v>
      </c>
      <c r="S1700" s="177" t="inlineStr">
        <is>
          <t>AAA</t>
        </is>
      </c>
      <c r="T1700" s="178" t="n">
        <v>0.0159</v>
      </c>
      <c r="U1700" s="177" t="inlineStr">
        <is>
          <t>平安养老</t>
        </is>
      </c>
      <c r="V1700" s="192" t="n">
        <v>0.9</v>
      </c>
      <c r="W1700" s="175" t="n">
        <v>0.0157</v>
      </c>
      <c r="X1700" s="172" t="inlineStr">
        <is>
          <t>平安养老</t>
        </is>
      </c>
      <c r="Y1700" s="191" t="n">
        <v>0.9</v>
      </c>
    </row>
    <row r="1701">
      <c r="A1701" s="172" t="n">
        <v>95</v>
      </c>
      <c r="B1701" s="173" t="inlineStr">
        <is>
          <t>6月</t>
        </is>
      </c>
      <c r="C1701" s="173" t="inlineStr">
        <is>
          <t>消金</t>
        </is>
      </c>
      <c r="D1701" s="173" t="inlineStr">
        <is>
          <t>赊销白条</t>
        </is>
      </c>
      <c r="E1701" s="173" t="inlineStr">
        <is>
          <t>东裕11号叔裕</t>
        </is>
      </c>
      <c r="F1701" s="173" t="inlineStr">
        <is>
          <t>银行间</t>
        </is>
      </c>
      <c r="G1701" s="173" t="inlineStr">
        <is>
          <t>招商证券</t>
        </is>
      </c>
      <c r="H1701" s="173" t="inlineStr">
        <is>
          <t>江苏银行/杭州银行/建设银行/东方证券</t>
        </is>
      </c>
      <c r="I1701" s="173" t="inlineStr">
        <is>
          <t>青岛银行</t>
        </is>
      </c>
      <c r="J1701" s="172" t="n">
        <v>10</v>
      </c>
      <c r="K1701" s="173" t="inlineStr">
        <is>
          <t>10+10+9+3</t>
        </is>
      </c>
      <c r="L1701" s="202" t="n">
        <v>46195</v>
      </c>
      <c r="M1701" s="175" t="n">
        <v>0.0148</v>
      </c>
      <c r="N1701" s="176" t="n">
        <v>0.0181</v>
      </c>
      <c r="O1701" s="191" t="n">
        <v>2.1</v>
      </c>
      <c r="P1701" s="172" t="inlineStr">
        <is>
          <t>优先A</t>
        </is>
      </c>
      <c r="Q1701" s="178" t="n">
        <v>0.9</v>
      </c>
      <c r="R1701" s="179" t="n">
        <v>9</v>
      </c>
      <c r="S1701" s="177" t="inlineStr">
        <is>
          <t>AAA</t>
        </is>
      </c>
      <c r="T1701" s="178" t="n">
        <v>0.0159</v>
      </c>
      <c r="U1701" s="177" t="inlineStr">
        <is>
          <t>中银理财</t>
        </is>
      </c>
      <c r="V1701" s="192" t="n">
        <v>1.4</v>
      </c>
      <c r="W1701" s="175" t="n">
        <v>0.0157</v>
      </c>
      <c r="X1701" s="172" t="inlineStr">
        <is>
          <t>中银理财</t>
        </is>
      </c>
      <c r="Y1701" s="191" t="n">
        <v>0.5</v>
      </c>
    </row>
    <row r="1702">
      <c r="A1702" s="172" t="n">
        <v>95</v>
      </c>
      <c r="B1702" s="172" t="inlineStr">
        <is>
          <t>6月</t>
        </is>
      </c>
      <c r="C1702" s="172" t="inlineStr">
        <is>
          <t>消金</t>
        </is>
      </c>
      <c r="D1702" s="172" t="inlineStr">
        <is>
          <t>赊销白条</t>
        </is>
      </c>
      <c r="E1702" s="172" t="inlineStr">
        <is>
          <t>东裕11号叔裕</t>
        </is>
      </c>
      <c r="F1702" s="172" t="inlineStr">
        <is>
          <t>银行间</t>
        </is>
      </c>
      <c r="G1702" s="172" t="inlineStr">
        <is>
          <t>招商证券</t>
        </is>
      </c>
      <c r="H1702" s="172" t="inlineStr">
        <is>
          <t>江苏银行/杭州银行/建设银行/东方证券</t>
        </is>
      </c>
      <c r="I1702" s="172" t="inlineStr">
        <is>
          <t>青岛银行</t>
        </is>
      </c>
      <c r="J1702" s="172" t="n">
        <v>10</v>
      </c>
      <c r="K1702" s="172" t="inlineStr">
        <is>
          <t>10+10+9+3</t>
        </is>
      </c>
      <c r="L1702" s="208" t="n">
        <v>46195</v>
      </c>
      <c r="M1702" s="175" t="n">
        <v>0.0148</v>
      </c>
      <c r="N1702" s="176" t="n">
        <v>0.0181</v>
      </c>
      <c r="O1702" s="172" t="n">
        <v>2.1</v>
      </c>
      <c r="P1702" s="172" t="inlineStr">
        <is>
          <t>优先A</t>
        </is>
      </c>
      <c r="Q1702" s="175" t="n">
        <v>0.9</v>
      </c>
      <c r="R1702" s="192" t="n">
        <v>9</v>
      </c>
      <c r="S1702" s="172" t="inlineStr">
        <is>
          <t>AAA</t>
        </is>
      </c>
      <c r="T1702" s="175" t="n">
        <v>0.0159</v>
      </c>
      <c r="U1702" s="172" t="n"/>
      <c r="V1702" s="172" t="n"/>
      <c r="W1702" s="175" t="n">
        <v>0.016</v>
      </c>
      <c r="X1702" s="172" t="inlineStr">
        <is>
          <t>交银理财</t>
        </is>
      </c>
      <c r="Y1702" s="191" t="n">
        <v>0.8</v>
      </c>
    </row>
    <row r="1703">
      <c r="A1703" s="172" t="n">
        <v>95</v>
      </c>
      <c r="B1703" s="172" t="inlineStr">
        <is>
          <t>6月</t>
        </is>
      </c>
      <c r="C1703" s="172" t="inlineStr">
        <is>
          <t>消金</t>
        </is>
      </c>
      <c r="D1703" s="172" t="inlineStr">
        <is>
          <t>赊销白条</t>
        </is>
      </c>
      <c r="E1703" s="172" t="inlineStr">
        <is>
          <t>东裕11号叔裕</t>
        </is>
      </c>
      <c r="F1703" s="172" t="inlineStr">
        <is>
          <t>银行间</t>
        </is>
      </c>
      <c r="G1703" s="172" t="inlineStr">
        <is>
          <t>招商证券</t>
        </is>
      </c>
      <c r="H1703" s="172" t="inlineStr">
        <is>
          <t>江苏银行/杭州银行/建设银行/东方证券</t>
        </is>
      </c>
      <c r="I1703" s="172" t="inlineStr">
        <is>
          <t>青岛银行</t>
        </is>
      </c>
      <c r="J1703" s="172" t="n">
        <v>10</v>
      </c>
      <c r="K1703" s="172" t="inlineStr">
        <is>
          <t>10+10+9+3</t>
        </is>
      </c>
      <c r="L1703" s="208" t="n">
        <v>46195</v>
      </c>
      <c r="M1703" s="175" t="n">
        <v>0.0148</v>
      </c>
      <c r="N1703" s="176" t="n">
        <v>0.0181</v>
      </c>
      <c r="O1703" s="172" t="n">
        <v>2.1</v>
      </c>
      <c r="P1703" s="172" t="inlineStr">
        <is>
          <t>优先A</t>
        </is>
      </c>
      <c r="Q1703" s="175" t="n">
        <v>0.9</v>
      </c>
      <c r="R1703" s="192" t="n">
        <v>9</v>
      </c>
      <c r="S1703" s="172" t="inlineStr">
        <is>
          <t>AAA</t>
        </is>
      </c>
      <c r="T1703" s="175" t="n">
        <v>0.0159</v>
      </c>
      <c r="U1703" s="172" t="n"/>
      <c r="V1703" s="172" t="n"/>
      <c r="W1703" s="175" t="n">
        <v>0.0165</v>
      </c>
      <c r="X1703" s="172" t="inlineStr">
        <is>
          <t>交银理财</t>
        </is>
      </c>
      <c r="Y1703" s="191" t="n">
        <v>0.5</v>
      </c>
    </row>
    <row r="1704">
      <c r="A1704" s="172" t="n">
        <v>95</v>
      </c>
      <c r="B1704" s="172" t="inlineStr">
        <is>
          <t>6月</t>
        </is>
      </c>
      <c r="C1704" s="172" t="inlineStr">
        <is>
          <t>消金</t>
        </is>
      </c>
      <c r="D1704" s="172" t="inlineStr">
        <is>
          <t>赊销白条</t>
        </is>
      </c>
      <c r="E1704" s="172" t="inlineStr">
        <is>
          <t>东裕11号叔裕</t>
        </is>
      </c>
      <c r="F1704" s="172" t="inlineStr">
        <is>
          <t>银行间</t>
        </is>
      </c>
      <c r="G1704" s="172" t="inlineStr">
        <is>
          <t>招商证券</t>
        </is>
      </c>
      <c r="H1704" s="172" t="inlineStr">
        <is>
          <t>江苏银行/杭州银行/建设银行/东方证券</t>
        </is>
      </c>
      <c r="I1704" s="172" t="inlineStr">
        <is>
          <t>青岛银行</t>
        </is>
      </c>
      <c r="J1704" s="172" t="n">
        <v>10</v>
      </c>
      <c r="K1704" s="172" t="inlineStr">
        <is>
          <t>10+10+9+3</t>
        </is>
      </c>
      <c r="L1704" s="208" t="n">
        <v>46195</v>
      </c>
      <c r="M1704" s="175" t="n">
        <v>0.0148</v>
      </c>
      <c r="N1704" s="176" t="n">
        <v>0.0181</v>
      </c>
      <c r="O1704" s="172" t="n">
        <v>2.1</v>
      </c>
      <c r="P1704" s="172" t="inlineStr">
        <is>
          <t>优先A</t>
        </is>
      </c>
      <c r="Q1704" s="175" t="n">
        <v>0.9</v>
      </c>
      <c r="R1704" s="192" t="n">
        <v>9</v>
      </c>
      <c r="S1704" s="172" t="inlineStr">
        <is>
          <t>AAA</t>
        </is>
      </c>
      <c r="T1704" s="175" t="n">
        <v>0.0159</v>
      </c>
      <c r="U1704" s="172" t="n"/>
      <c r="V1704" s="172" t="n"/>
      <c r="W1704" s="175" t="n">
        <v>0.017</v>
      </c>
      <c r="X1704" s="172" t="inlineStr">
        <is>
          <t>交银理财</t>
        </is>
      </c>
      <c r="Y1704" s="191" t="n">
        <v>0.3</v>
      </c>
    </row>
    <row r="1705">
      <c r="A1705" s="172" t="n">
        <v>95</v>
      </c>
      <c r="B1705" s="172" t="inlineStr">
        <is>
          <t>6月</t>
        </is>
      </c>
      <c r="C1705" s="172" t="inlineStr">
        <is>
          <t>消金</t>
        </is>
      </c>
      <c r="D1705" s="172" t="inlineStr">
        <is>
          <t>赊销白条</t>
        </is>
      </c>
      <c r="E1705" s="172" t="inlineStr">
        <is>
          <t>东裕11号叔裕</t>
        </is>
      </c>
      <c r="F1705" s="172" t="inlineStr">
        <is>
          <t>银行间</t>
        </is>
      </c>
      <c r="G1705" s="172" t="inlineStr">
        <is>
          <t>招商证券</t>
        </is>
      </c>
      <c r="H1705" s="172" t="inlineStr">
        <is>
          <t>江苏银行/杭州银行/建设银行/东方证券</t>
        </is>
      </c>
      <c r="I1705" s="172" t="inlineStr">
        <is>
          <t>青岛银行</t>
        </is>
      </c>
      <c r="J1705" s="172" t="n">
        <v>10</v>
      </c>
      <c r="K1705" s="172" t="inlineStr">
        <is>
          <t>10+10+9+3</t>
        </is>
      </c>
      <c r="L1705" s="208" t="n">
        <v>46195</v>
      </c>
      <c r="M1705" s="175" t="n">
        <v>0.0148</v>
      </c>
      <c r="N1705" s="176" t="n">
        <v>0.0181</v>
      </c>
      <c r="O1705" s="172" t="n">
        <v>2.1</v>
      </c>
      <c r="P1705" s="172" t="inlineStr">
        <is>
          <t>优先A</t>
        </is>
      </c>
      <c r="Q1705" s="175" t="n">
        <v>0.9</v>
      </c>
      <c r="R1705" s="192" t="n">
        <v>9</v>
      </c>
      <c r="S1705" s="172" t="inlineStr">
        <is>
          <t>AAA</t>
        </is>
      </c>
      <c r="T1705" s="175" t="n">
        <v>0.0159</v>
      </c>
      <c r="U1705" s="172" t="n"/>
      <c r="V1705" s="172" t="n"/>
      <c r="W1705" s="175" t="n">
        <v>0.017</v>
      </c>
      <c r="X1705" s="172" t="inlineStr">
        <is>
          <t>招商证券</t>
        </is>
      </c>
      <c r="Y1705" s="191" t="n">
        <v>1</v>
      </c>
    </row>
    <row r="1706">
      <c r="A1706" s="172" t="n">
        <v>95</v>
      </c>
      <c r="B1706" s="172" t="inlineStr">
        <is>
          <t>6月</t>
        </is>
      </c>
      <c r="C1706" s="172" t="inlineStr">
        <is>
          <t>消金</t>
        </is>
      </c>
      <c r="D1706" s="172" t="inlineStr">
        <is>
          <t>赊销白条</t>
        </is>
      </c>
      <c r="E1706" s="172" t="inlineStr">
        <is>
          <t>东裕11号叔裕</t>
        </is>
      </c>
      <c r="F1706" s="172" t="inlineStr">
        <is>
          <t>银行间</t>
        </is>
      </c>
      <c r="G1706" s="172" t="inlineStr">
        <is>
          <t>招商证券</t>
        </is>
      </c>
      <c r="H1706" s="172" t="inlineStr">
        <is>
          <t>江苏银行/杭州银行/建设银行/东方证券</t>
        </is>
      </c>
      <c r="I1706" s="172" t="inlineStr">
        <is>
          <t>青岛银行</t>
        </is>
      </c>
      <c r="J1706" s="172" t="n">
        <v>10</v>
      </c>
      <c r="K1706" s="172" t="inlineStr">
        <is>
          <t>10+10+9+3</t>
        </is>
      </c>
      <c r="L1706" s="208" t="n">
        <v>46195</v>
      </c>
      <c r="M1706" s="175" t="n">
        <v>0.0148</v>
      </c>
      <c r="N1706" s="176" t="n">
        <v>0.0181</v>
      </c>
      <c r="O1706" s="172" t="n">
        <v>2.1</v>
      </c>
      <c r="P1706" s="172" t="inlineStr">
        <is>
          <t>优先A</t>
        </is>
      </c>
      <c r="Q1706" s="175" t="n">
        <v>0.9</v>
      </c>
      <c r="R1706" s="192" t="n">
        <v>9</v>
      </c>
      <c r="S1706" s="172" t="inlineStr">
        <is>
          <t>AAA</t>
        </is>
      </c>
      <c r="T1706" s="175" t="n">
        <v>0.0159</v>
      </c>
      <c r="U1706" s="172" t="n"/>
      <c r="V1706" s="172" t="n"/>
      <c r="W1706" s="175" t="n">
        <v>0.024</v>
      </c>
      <c r="X1706" s="172" t="inlineStr">
        <is>
          <t>上海利曦基金</t>
        </is>
      </c>
      <c r="Y1706" s="191" t="n">
        <v>2</v>
      </c>
    </row>
    <row r="1707">
      <c r="A1707" s="172" t="n">
        <v>95</v>
      </c>
      <c r="B1707" s="172" t="inlineStr">
        <is>
          <t>6月</t>
        </is>
      </c>
      <c r="C1707" s="172" t="inlineStr">
        <is>
          <t>消金</t>
        </is>
      </c>
      <c r="D1707" s="172" t="inlineStr">
        <is>
          <t>赊销白条</t>
        </is>
      </c>
      <c r="E1707" s="172" t="inlineStr">
        <is>
          <t>东裕11号叔裕</t>
        </is>
      </c>
      <c r="F1707" s="172" t="inlineStr">
        <is>
          <t>银行间</t>
        </is>
      </c>
      <c r="G1707" s="172" t="inlineStr">
        <is>
          <t>招商证券</t>
        </is>
      </c>
      <c r="H1707" s="172" t="inlineStr">
        <is>
          <t>江苏银行/杭州银行/建设银行/东方证券</t>
        </is>
      </c>
      <c r="I1707" s="172" t="inlineStr">
        <is>
          <t>青岛银行</t>
        </is>
      </c>
      <c r="J1707" s="172" t="n">
        <v>10</v>
      </c>
      <c r="K1707" s="172" t="inlineStr">
        <is>
          <t>10+10+9+3</t>
        </is>
      </c>
      <c r="L1707" s="208" t="n">
        <v>46195</v>
      </c>
      <c r="M1707" s="175" t="n">
        <v>0.0148</v>
      </c>
      <c r="N1707" s="176" t="n">
        <v>0.0181</v>
      </c>
      <c r="O1707" s="172" t="n">
        <v>2.1</v>
      </c>
      <c r="P1707" s="172" t="inlineStr">
        <is>
          <t>优先A</t>
        </is>
      </c>
      <c r="Q1707" s="175" t="n">
        <v>0.9</v>
      </c>
      <c r="R1707" s="192" t="n">
        <v>9</v>
      </c>
      <c r="S1707" s="172" t="inlineStr">
        <is>
          <t>AAA</t>
        </is>
      </c>
      <c r="T1707" s="175" t="n">
        <v>0.0159</v>
      </c>
      <c r="U1707" s="172" t="n"/>
      <c r="V1707" s="172" t="n"/>
      <c r="W1707" s="175" t="n">
        <v>0.016</v>
      </c>
      <c r="X1707" s="172" t="inlineStr">
        <is>
          <t>中邮理财</t>
        </is>
      </c>
      <c r="Y1707" s="191" t="n">
        <v>2.7</v>
      </c>
    </row>
    <row r="1708">
      <c r="A1708" s="172" t="n">
        <v>95</v>
      </c>
      <c r="B1708" s="172" t="inlineStr">
        <is>
          <t>6月</t>
        </is>
      </c>
      <c r="C1708" s="172" t="inlineStr">
        <is>
          <t>消金</t>
        </is>
      </c>
      <c r="D1708" s="172" t="inlineStr">
        <is>
          <t>赊销白条</t>
        </is>
      </c>
      <c r="E1708" s="172" t="inlineStr">
        <is>
          <t>东裕11号叔裕</t>
        </is>
      </c>
      <c r="F1708" s="172" t="inlineStr">
        <is>
          <t>银行间</t>
        </is>
      </c>
      <c r="G1708" s="172" t="inlineStr">
        <is>
          <t>招商证券</t>
        </is>
      </c>
      <c r="H1708" s="172" t="inlineStr">
        <is>
          <t>江苏银行/杭州银行/建设银行/东方证券</t>
        </is>
      </c>
      <c r="I1708" s="172" t="inlineStr">
        <is>
          <t>青岛银行</t>
        </is>
      </c>
      <c r="J1708" s="172" t="n">
        <v>10</v>
      </c>
      <c r="K1708" s="172" t="inlineStr">
        <is>
          <t>10+10+9+3</t>
        </is>
      </c>
      <c r="L1708" s="208" t="n">
        <v>46195</v>
      </c>
      <c r="M1708" s="175" t="n">
        <v>0.0148</v>
      </c>
      <c r="N1708" s="176" t="n">
        <v>0.0181</v>
      </c>
      <c r="O1708" s="172" t="n">
        <v>2.1</v>
      </c>
      <c r="P1708" s="172" t="inlineStr">
        <is>
          <t>优先A</t>
        </is>
      </c>
      <c r="Q1708" s="175" t="n">
        <v>0.9</v>
      </c>
      <c r="R1708" s="192" t="n">
        <v>9</v>
      </c>
      <c r="S1708" s="172" t="inlineStr">
        <is>
          <t>AAA</t>
        </is>
      </c>
      <c r="T1708" s="175" t="n">
        <v>0.0159</v>
      </c>
      <c r="U1708" s="172" t="n"/>
      <c r="V1708" s="172" t="n"/>
      <c r="W1708" s="175" t="n">
        <v>0.0159</v>
      </c>
      <c r="X1708" s="172" t="inlineStr">
        <is>
          <t>中银理财</t>
        </is>
      </c>
      <c r="Y1708" s="191" t="n">
        <v>1</v>
      </c>
    </row>
    <row r="1709">
      <c r="A1709" s="172" t="n">
        <v>95</v>
      </c>
      <c r="B1709" s="172" t="inlineStr">
        <is>
          <t>6月</t>
        </is>
      </c>
      <c r="C1709" s="172" t="inlineStr">
        <is>
          <t>消金</t>
        </is>
      </c>
      <c r="D1709" s="172" t="inlineStr">
        <is>
          <t>赊销白条</t>
        </is>
      </c>
      <c r="E1709" s="172" t="inlineStr">
        <is>
          <t>东裕11号叔裕</t>
        </is>
      </c>
      <c r="F1709" s="172" t="inlineStr">
        <is>
          <t>银行间</t>
        </is>
      </c>
      <c r="G1709" s="172" t="inlineStr">
        <is>
          <t>招商证券</t>
        </is>
      </c>
      <c r="H1709" s="172" t="inlineStr">
        <is>
          <t>江苏银行/杭州银行/建设银行/东方证券</t>
        </is>
      </c>
      <c r="I1709" s="172" t="inlineStr">
        <is>
          <t>青岛银行</t>
        </is>
      </c>
      <c r="J1709" s="172" t="n">
        <v>10</v>
      </c>
      <c r="K1709" s="172" t="inlineStr">
        <is>
          <t>10+10+9+3</t>
        </is>
      </c>
      <c r="L1709" s="208" t="n">
        <v>46195</v>
      </c>
      <c r="M1709" s="175" t="n">
        <v>0.0148</v>
      </c>
      <c r="N1709" s="176" t="n">
        <v>0.0181</v>
      </c>
      <c r="O1709" s="172" t="n">
        <v>2.1</v>
      </c>
      <c r="P1709" s="172" t="inlineStr">
        <is>
          <t>优先A</t>
        </is>
      </c>
      <c r="Q1709" s="175" t="n">
        <v>0.9</v>
      </c>
      <c r="R1709" s="192" t="n">
        <v>9</v>
      </c>
      <c r="S1709" s="172" t="inlineStr">
        <is>
          <t>AAA</t>
        </is>
      </c>
      <c r="T1709" s="175" t="n">
        <v>0.0159</v>
      </c>
      <c r="U1709" s="172" t="n"/>
      <c r="V1709" s="172" t="n"/>
      <c r="W1709" s="175" t="n">
        <v>0.016</v>
      </c>
      <c r="X1709" s="172" t="inlineStr">
        <is>
          <t>中银理财</t>
        </is>
      </c>
      <c r="Y1709" s="191" t="n">
        <v>0.5</v>
      </c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优先B</t>
        </is>
      </c>
      <c r="Q1710" s="178" t="n">
        <v>0.03</v>
      </c>
      <c r="R1710" s="179" t="n">
        <v>0.3</v>
      </c>
      <c r="S1710" s="177" t="inlineStr">
        <is>
          <t>AA+</t>
        </is>
      </c>
      <c r="T1710" s="178" t="n">
        <v>0.0172</v>
      </c>
      <c r="U1710" s="177" t="inlineStr">
        <is>
          <t>交银理财</t>
        </is>
      </c>
      <c r="V1710" s="192" t="n">
        <v>0.09</v>
      </c>
      <c r="W1710" s="175" t="n">
        <v>0.017</v>
      </c>
      <c r="X1710" s="172" t="inlineStr">
        <is>
          <t>交银理财</t>
        </is>
      </c>
      <c r="Y1710" s="191" t="n">
        <v>0.09</v>
      </c>
    </row>
    <row r="1711">
      <c r="A1711" s="172" t="n">
        <v>95</v>
      </c>
      <c r="B1711" s="173" t="inlineStr">
        <is>
          <t>6月</t>
        </is>
      </c>
      <c r="C1711" s="173" t="inlineStr">
        <is>
          <t>消金</t>
        </is>
      </c>
      <c r="D1711" s="173" t="inlineStr">
        <is>
          <t>赊销白条</t>
        </is>
      </c>
      <c r="E1711" s="173" t="inlineStr">
        <is>
          <t>东裕11号叔裕</t>
        </is>
      </c>
      <c r="F1711" s="173" t="inlineStr">
        <is>
          <t>银行间</t>
        </is>
      </c>
      <c r="G1711" s="173" t="inlineStr">
        <is>
          <t>招商证券</t>
        </is>
      </c>
      <c r="H1711" s="173" t="inlineStr">
        <is>
          <t>江苏银行/杭州银行/建设银行/东方证券</t>
        </is>
      </c>
      <c r="I1711" s="173" t="inlineStr">
        <is>
          <t>青岛银行</t>
        </is>
      </c>
      <c r="J1711" s="172" t="n">
        <v>10</v>
      </c>
      <c r="K1711" s="173" t="inlineStr">
        <is>
          <t>10+10+9+3</t>
        </is>
      </c>
      <c r="L1711" s="202" t="n">
        <v>46195</v>
      </c>
      <c r="M1711" s="175" t="n">
        <v>0.0148</v>
      </c>
      <c r="N1711" s="176" t="n">
        <v>0.0181</v>
      </c>
      <c r="O1711" s="191" t="n">
        <v>2.1</v>
      </c>
      <c r="P1711" s="172" t="inlineStr">
        <is>
          <t>优先B</t>
        </is>
      </c>
      <c r="Q1711" s="178" t="n">
        <v>0.03</v>
      </c>
      <c r="R1711" s="179" t="n">
        <v>0.3</v>
      </c>
      <c r="S1711" s="177" t="inlineStr">
        <is>
          <t>AA+</t>
        </is>
      </c>
      <c r="T1711" s="178" t="n">
        <v>0.0172</v>
      </c>
      <c r="U1711" s="177" t="inlineStr">
        <is>
          <t>中信建投投行</t>
        </is>
      </c>
      <c r="V1711" s="192" t="n">
        <v>0.1</v>
      </c>
      <c r="W1711" s="175" t="n">
        <v>0.0172</v>
      </c>
      <c r="X1711" s="172" t="inlineStr">
        <is>
          <t>中信建投证券</t>
        </is>
      </c>
      <c r="Y1711" s="191" t="n">
        <v>0.1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优先B</t>
        </is>
      </c>
      <c r="Q1712" s="178" t="n">
        <v>0.03</v>
      </c>
      <c r="R1712" s="179" t="n">
        <v>0.3</v>
      </c>
      <c r="S1712" s="177" t="inlineStr">
        <is>
          <t>AA+</t>
        </is>
      </c>
      <c r="T1712" s="178" t="n">
        <v>0.0172</v>
      </c>
      <c r="U1712" s="177" t="inlineStr">
        <is>
          <t>中信证券投行</t>
        </is>
      </c>
      <c r="V1712" s="192" t="n">
        <v>0.11</v>
      </c>
      <c r="W1712" s="175" t="n">
        <v>0.0172</v>
      </c>
      <c r="X1712" s="172" t="inlineStr">
        <is>
          <t>中信证券</t>
        </is>
      </c>
      <c r="Y1712" s="191" t="n">
        <v>0.11</v>
      </c>
    </row>
    <row r="1713">
      <c r="A1713" s="172" t="n">
        <v>95</v>
      </c>
      <c r="B1713" s="172" t="inlineStr">
        <is>
          <t>6月</t>
        </is>
      </c>
      <c r="C1713" s="172" t="inlineStr">
        <is>
          <t>消金</t>
        </is>
      </c>
      <c r="D1713" s="172" t="inlineStr">
        <is>
          <t>赊销白条</t>
        </is>
      </c>
      <c r="E1713" s="172" t="inlineStr">
        <is>
          <t>东裕11号叔裕</t>
        </is>
      </c>
      <c r="F1713" s="172" t="inlineStr">
        <is>
          <t>银行间</t>
        </is>
      </c>
      <c r="G1713" s="172" t="inlineStr">
        <is>
          <t>招商证券</t>
        </is>
      </c>
      <c r="H1713" s="172" t="inlineStr">
        <is>
          <t>江苏银行/杭州银行/建设银行/东方证券</t>
        </is>
      </c>
      <c r="I1713" s="172" t="inlineStr">
        <is>
          <t>青岛银行</t>
        </is>
      </c>
      <c r="J1713" s="172" t="n">
        <v>10</v>
      </c>
      <c r="K1713" s="172" t="inlineStr">
        <is>
          <t>10+10+9+3</t>
        </is>
      </c>
      <c r="L1713" s="208" t="n">
        <v>46195</v>
      </c>
      <c r="M1713" s="175" t="n">
        <v>0.0148</v>
      </c>
      <c r="N1713" s="176" t="n">
        <v>0.0181</v>
      </c>
      <c r="O1713" s="172" t="n">
        <v>2.1</v>
      </c>
      <c r="P1713" s="172" t="inlineStr">
        <is>
          <t>优先B</t>
        </is>
      </c>
      <c r="Q1713" s="175" t="n">
        <v>0.03</v>
      </c>
      <c r="R1713" s="192" t="n">
        <v>0.3</v>
      </c>
      <c r="S1713" s="172" t="inlineStr">
        <is>
          <t>AA+</t>
        </is>
      </c>
      <c r="T1713" s="175" t="n">
        <v>0.0172</v>
      </c>
      <c r="U1713" s="172" t="n"/>
      <c r="V1713" s="172" t="n"/>
      <c r="W1713" s="175" t="n">
        <v>0.0179</v>
      </c>
      <c r="X1713" s="172" t="inlineStr">
        <is>
          <t>中金资管</t>
        </is>
      </c>
      <c r="Y1713" s="191" t="n">
        <v>0.05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优先B</t>
        </is>
      </c>
      <c r="Q1714" s="175" t="n">
        <v>0.03</v>
      </c>
      <c r="R1714" s="192" t="n">
        <v>0.3</v>
      </c>
      <c r="S1714" s="172" t="inlineStr">
        <is>
          <t>AA+</t>
        </is>
      </c>
      <c r="T1714" s="175" t="n">
        <v>0.0172</v>
      </c>
      <c r="U1714" s="172" t="n"/>
      <c r="V1714" s="172" t="n"/>
      <c r="W1714" s="175" t="n">
        <v>0.018</v>
      </c>
      <c r="X1714" s="172" t="inlineStr">
        <is>
          <t>杭州联合农</t>
        </is>
      </c>
      <c r="Y1714" s="191" t="n">
        <v>0.09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7" t="inlineStr">
        <is>
          <t>中间级</t>
        </is>
      </c>
      <c r="Q1715" s="178" t="n">
        <v>0.02</v>
      </c>
      <c r="R1715" s="179" t="n">
        <v>0.2</v>
      </c>
      <c r="S1715" s="177" t="inlineStr">
        <is>
          <t>A+</t>
        </is>
      </c>
      <c r="T1715" s="178" t="n">
        <v>0.031</v>
      </c>
      <c r="U1715" s="172" t="inlineStr">
        <is>
          <t>杭州联合银行</t>
        </is>
      </c>
      <c r="V1715" s="192" t="n">
        <v>0.06</v>
      </c>
      <c r="W1715" s="172" t="n"/>
      <c r="X1715" s="172" t="n"/>
      <c r="Y1715" s="172" t="n"/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中间级</t>
        </is>
      </c>
      <c r="Q1716" s="178" t="n">
        <v>0.02</v>
      </c>
      <c r="R1716" s="179" t="n">
        <v>0.2</v>
      </c>
      <c r="S1716" s="177" t="inlineStr">
        <is>
          <t>A+</t>
        </is>
      </c>
      <c r="T1716" s="178" t="n">
        <v>0.031</v>
      </c>
      <c r="U1716" s="172" t="inlineStr">
        <is>
          <t>平安理财</t>
        </is>
      </c>
      <c r="V1716" s="192" t="n">
        <v>0.06</v>
      </c>
      <c r="W1716" s="172" t="n"/>
      <c r="X1716" s="172" t="n"/>
      <c r="Y1716" s="172" t="n"/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中间级</t>
        </is>
      </c>
      <c r="Q1717" s="178" t="n">
        <v>0.02</v>
      </c>
      <c r="R1717" s="179" t="n">
        <v>0.2</v>
      </c>
      <c r="S1717" s="177" t="inlineStr">
        <is>
          <t>A+</t>
        </is>
      </c>
      <c r="T1717" s="178" t="n">
        <v>0.031</v>
      </c>
      <c r="U1717" s="172" t="inlineStr">
        <is>
          <t>招银理财</t>
        </is>
      </c>
      <c r="V1717" s="192" t="n">
        <v>0.06</v>
      </c>
      <c r="W1717" s="172" t="n"/>
      <c r="X1717" s="172" t="n"/>
      <c r="Y1717" s="172" t="n"/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中间级</t>
        </is>
      </c>
      <c r="Q1718" s="178" t="n">
        <v>0.02</v>
      </c>
      <c r="R1718" s="179" t="n">
        <v>0.2</v>
      </c>
      <c r="S1718" s="177" t="inlineStr">
        <is>
          <t>A+</t>
        </is>
      </c>
      <c r="T1718" s="178" t="n">
        <v>0.031</v>
      </c>
      <c r="U1718" s="172" t="inlineStr">
        <is>
          <t>中信建投衍生品</t>
        </is>
      </c>
      <c r="V1718" s="192" t="n">
        <v>0.02</v>
      </c>
      <c r="W1718" s="172" t="n"/>
      <c r="X1718" s="172" t="n"/>
      <c r="Y1718" s="172" t="n"/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7" t="inlineStr">
        <is>
          <t>次级</t>
        </is>
      </c>
      <c r="Q1719" s="178" t="n">
        <v>0.05</v>
      </c>
      <c r="R1719" s="179" t="n">
        <v>0.5</v>
      </c>
      <c r="S1719" s="177" t="inlineStr">
        <is>
          <t>无</t>
        </is>
      </c>
      <c r="T1719" s="178" t="n">
        <v>0.045</v>
      </c>
      <c r="U1719" s="172" t="inlineStr">
        <is>
          <t>中信证券自营</t>
        </is>
      </c>
      <c r="V1719" s="195" t="n">
        <v>0.225</v>
      </c>
      <c r="W1719" s="172" t="n"/>
      <c r="X1719" s="172" t="n"/>
      <c r="Y1719" s="172" t="n"/>
    </row>
    <row r="1720">
      <c r="A1720" s="172" t="n">
        <v>95</v>
      </c>
      <c r="B1720" s="173" t="inlineStr">
        <is>
          <t>6月</t>
        </is>
      </c>
      <c r="C1720" s="173" t="inlineStr">
        <is>
          <t>消金</t>
        </is>
      </c>
      <c r="D1720" s="173" t="inlineStr">
        <is>
          <t>赊销白条</t>
        </is>
      </c>
      <c r="E1720" s="173" t="inlineStr">
        <is>
          <t>东裕11号叔裕</t>
        </is>
      </c>
      <c r="F1720" s="173" t="inlineStr">
        <is>
          <t>银行间</t>
        </is>
      </c>
      <c r="G1720" s="173" t="inlineStr">
        <is>
          <t>招商证券</t>
        </is>
      </c>
      <c r="H1720" s="173" t="inlineStr">
        <is>
          <t>江苏银行/杭州银行/建设银行/东方证券</t>
        </is>
      </c>
      <c r="I1720" s="173" t="inlineStr">
        <is>
          <t>青岛银行</t>
        </is>
      </c>
      <c r="J1720" s="172" t="n">
        <v>10</v>
      </c>
      <c r="K1720" s="173" t="inlineStr">
        <is>
          <t>10+10+9+3</t>
        </is>
      </c>
      <c r="L1720" s="202" t="n">
        <v>46195</v>
      </c>
      <c r="M1720" s="175" t="n">
        <v>0.0148</v>
      </c>
      <c r="N1720" s="176" t="n">
        <v>0.0181</v>
      </c>
      <c r="O1720" s="191" t="n">
        <v>2.1</v>
      </c>
      <c r="P1720" s="172" t="inlineStr">
        <is>
          <t>次级</t>
        </is>
      </c>
      <c r="Q1720" s="178" t="n">
        <v>0.05</v>
      </c>
      <c r="R1720" s="179" t="n">
        <v>0.5</v>
      </c>
      <c r="S1720" s="177" t="inlineStr">
        <is>
          <t>无</t>
        </is>
      </c>
      <c r="T1720" s="178" t="n">
        <v>0.045</v>
      </c>
      <c r="U1720" s="172" t="inlineStr">
        <is>
          <t>华兴证券自营</t>
        </is>
      </c>
      <c r="V1720" s="192" t="n">
        <v>0.075</v>
      </c>
      <c r="W1720" s="172" t="n"/>
      <c r="X1720" s="172" t="n"/>
      <c r="Y1720" s="172" t="n"/>
    </row>
    <row r="1721">
      <c r="A1721" s="172" t="n">
        <v>95</v>
      </c>
      <c r="B1721" s="173" t="inlineStr">
        <is>
          <t>6月</t>
        </is>
      </c>
      <c r="C1721" s="173" t="inlineStr">
        <is>
          <t>消金</t>
        </is>
      </c>
      <c r="D1721" s="173" t="inlineStr">
        <is>
          <t>赊销白条</t>
        </is>
      </c>
      <c r="E1721" s="173" t="inlineStr">
        <is>
          <t>东裕11号叔裕</t>
        </is>
      </c>
      <c r="F1721" s="173" t="inlineStr">
        <is>
          <t>银行间</t>
        </is>
      </c>
      <c r="G1721" s="173" t="inlineStr">
        <is>
          <t>招商证券</t>
        </is>
      </c>
      <c r="H1721" s="173" t="inlineStr">
        <is>
          <t>江苏银行/杭州银行/建设银行/东方证券</t>
        </is>
      </c>
      <c r="I1721" s="173" t="inlineStr">
        <is>
          <t>青岛银行</t>
        </is>
      </c>
      <c r="J1721" s="172" t="n">
        <v>10</v>
      </c>
      <c r="K1721" s="173" t="inlineStr">
        <is>
          <t>10+10+9+3</t>
        </is>
      </c>
      <c r="L1721" s="202" t="n">
        <v>46195</v>
      </c>
      <c r="M1721" s="175" t="n">
        <v>0.0148</v>
      </c>
      <c r="N1721" s="176" t="n">
        <v>0.0181</v>
      </c>
      <c r="O1721" s="191" t="n">
        <v>2.1</v>
      </c>
      <c r="P1721" s="172" t="inlineStr">
        <is>
          <t>次级</t>
        </is>
      </c>
      <c r="Q1721" s="178" t="n">
        <v>0.05</v>
      </c>
      <c r="R1721" s="179" t="n">
        <v>0.5</v>
      </c>
      <c r="S1721" s="177" t="inlineStr">
        <is>
          <t>无</t>
        </is>
      </c>
      <c r="T1721" s="178" t="n">
        <v>0.045</v>
      </c>
      <c r="U1721" s="172" t="inlineStr">
        <is>
          <t>中信建投衍生品</t>
        </is>
      </c>
      <c r="V1721" s="192" t="n">
        <v>0.2</v>
      </c>
      <c r="W1721" s="172" t="n"/>
      <c r="X1721" s="172" t="n"/>
      <c r="Y1721" s="172" t="n"/>
    </row>
    <row r="1722">
      <c r="A1722" s="172" t="n">
        <v>96</v>
      </c>
      <c r="B1722" s="172" t="inlineStr">
        <is>
          <t>6月</t>
        </is>
      </c>
      <c r="C1722" s="172" t="inlineStr">
        <is>
          <t>企金</t>
        </is>
      </c>
      <c r="D1722" s="172" t="inlineStr">
        <is>
          <t>保理</t>
        </is>
      </c>
      <c r="E1722" s="172" t="inlineStr">
        <is>
          <t>京诚14-12</t>
        </is>
      </c>
      <c r="F1722" s="172" t="inlineStr">
        <is>
          <t>上交所</t>
        </is>
      </c>
      <c r="G1722" s="172" t="inlineStr">
        <is>
          <t>中信证券</t>
        </is>
      </c>
      <c r="H1722" s="172" t="inlineStr">
        <is>
          <t>光大证券</t>
        </is>
      </c>
      <c r="I1722" s="172" t="inlineStr">
        <is>
          <t>华夏北分</t>
        </is>
      </c>
      <c r="J1722" s="172" t="n">
        <v>10</v>
      </c>
      <c r="K1722" s="172" t="inlineStr">
        <is>
          <t>2+4</t>
        </is>
      </c>
      <c r="L1722" s="202" t="n">
        <v>46196</v>
      </c>
      <c r="M1722" s="175" t="n">
        <v>0.01488</v>
      </c>
      <c r="N1722" s="176" t="n">
        <v>0.0162</v>
      </c>
      <c r="O1722" s="191" t="n">
        <v>2.65</v>
      </c>
      <c r="P1722" s="172" t="inlineStr">
        <is>
          <t>优先级</t>
        </is>
      </c>
      <c r="Q1722" s="175" t="n">
        <v>0.99</v>
      </c>
      <c r="R1722" s="192" t="n">
        <v>9.9</v>
      </c>
      <c r="S1722" s="172" t="inlineStr">
        <is>
          <t>AAA</t>
        </is>
      </c>
      <c r="T1722" s="175" t="n">
        <v>0.0155</v>
      </c>
      <c r="U1722" s="172" t="inlineStr">
        <is>
          <t>信银理财</t>
        </is>
      </c>
      <c r="V1722" s="191" t="n">
        <v>2.97</v>
      </c>
      <c r="W1722" s="175" t="n">
        <v>0.0153</v>
      </c>
      <c r="X1722" s="172" t="inlineStr">
        <is>
          <t>信银理财</t>
        </is>
      </c>
      <c r="Y1722" s="191" t="n">
        <v>1</v>
      </c>
    </row>
    <row r="1723">
      <c r="A1723" s="172" t="n">
        <v>96</v>
      </c>
      <c r="B1723" s="172" t="inlineStr">
        <is>
          <t>6月</t>
        </is>
      </c>
      <c r="C1723" s="172" t="inlineStr">
        <is>
          <t>企金</t>
        </is>
      </c>
      <c r="D1723" s="172" t="inlineStr">
        <is>
          <t>保理</t>
        </is>
      </c>
      <c r="E1723" s="172" t="inlineStr">
        <is>
          <t>京诚14-12</t>
        </is>
      </c>
      <c r="F1723" s="172" t="inlineStr">
        <is>
          <t>上交所</t>
        </is>
      </c>
      <c r="G1723" s="172" t="inlineStr">
        <is>
          <t>中信证券</t>
        </is>
      </c>
      <c r="H1723" s="172" t="inlineStr">
        <is>
          <t>光大证券</t>
        </is>
      </c>
      <c r="I1723" s="172" t="inlineStr">
        <is>
          <t>华夏北分</t>
        </is>
      </c>
      <c r="J1723" s="172" t="n">
        <v>10</v>
      </c>
      <c r="K1723" s="172" t="inlineStr">
        <is>
          <t>2+4</t>
        </is>
      </c>
      <c r="L1723" s="200" t="n">
        <v>46196</v>
      </c>
      <c r="M1723" s="175" t="n">
        <v>0.01488</v>
      </c>
      <c r="N1723" s="176" t="n">
        <v>0.0162</v>
      </c>
      <c r="O1723" s="172" t="n">
        <v>2.65</v>
      </c>
      <c r="P1723" s="172" t="inlineStr">
        <is>
          <t>优先级</t>
        </is>
      </c>
      <c r="Q1723" s="175" t="n">
        <v>0.99</v>
      </c>
      <c r="R1723" s="192" t="n">
        <v>9.9</v>
      </c>
      <c r="S1723" s="172" t="inlineStr">
        <is>
          <t>AAA</t>
        </is>
      </c>
      <c r="T1723" s="175" t="n">
        <v>0.0155</v>
      </c>
      <c r="U1723" s="172" t="n"/>
      <c r="V1723" s="172" t="n"/>
      <c r="W1723" s="175" t="n">
        <v>0.0154</v>
      </c>
      <c r="X1723" s="172" t="inlineStr">
        <is>
          <t>信银理财</t>
        </is>
      </c>
      <c r="Y1723" s="191" t="n">
        <v>1.97</v>
      </c>
    </row>
    <row r="1724">
      <c r="A1724" s="172" t="n">
        <v>96</v>
      </c>
      <c r="B1724" s="172" t="inlineStr">
        <is>
          <t>6月</t>
        </is>
      </c>
      <c r="C1724" s="172" t="inlineStr">
        <is>
          <t>企金</t>
        </is>
      </c>
      <c r="D1724" s="172" t="inlineStr">
        <is>
          <t>保理</t>
        </is>
      </c>
      <c r="E1724" s="172" t="inlineStr">
        <is>
          <t>京诚14-12</t>
        </is>
      </c>
      <c r="F1724" s="172" t="inlineStr">
        <is>
          <t>上交所</t>
        </is>
      </c>
      <c r="G1724" s="172" t="inlineStr">
        <is>
          <t>中信证券</t>
        </is>
      </c>
      <c r="H1724" s="172" t="inlineStr">
        <is>
          <t>光大证券</t>
        </is>
      </c>
      <c r="I1724" s="172" t="inlineStr">
        <is>
          <t>华夏北分</t>
        </is>
      </c>
      <c r="J1724" s="172" t="n">
        <v>10</v>
      </c>
      <c r="K1724" s="172" t="inlineStr">
        <is>
          <t>2+4</t>
        </is>
      </c>
      <c r="L1724" s="202" t="n">
        <v>46196</v>
      </c>
      <c r="M1724" s="175" t="n">
        <v>0.01488</v>
      </c>
      <c r="N1724" s="176" t="n">
        <v>0.0162</v>
      </c>
      <c r="O1724" s="191" t="n">
        <v>2.65</v>
      </c>
      <c r="P1724" s="172" t="inlineStr">
        <is>
          <t>优先级</t>
        </is>
      </c>
      <c r="Q1724" s="175" t="n">
        <v>0.99</v>
      </c>
      <c r="R1724" s="192" t="n">
        <v>9.9</v>
      </c>
      <c r="S1724" s="172" t="inlineStr">
        <is>
          <t>AAA</t>
        </is>
      </c>
      <c r="T1724" s="175" t="n">
        <v>0.0155</v>
      </c>
      <c r="U1724" s="172" t="inlineStr">
        <is>
          <t>民生理财</t>
        </is>
      </c>
      <c r="V1724" s="191" t="n">
        <v>2.97</v>
      </c>
      <c r="W1724" s="175" t="n">
        <v>0.015</v>
      </c>
      <c r="X1724" s="172" t="inlineStr">
        <is>
          <t>民生理财</t>
        </is>
      </c>
      <c r="Y1724" s="191" t="n">
        <v>2.97</v>
      </c>
    </row>
    <row r="1725">
      <c r="A1725" s="172" t="n">
        <v>96</v>
      </c>
      <c r="B1725" s="172" t="inlineStr">
        <is>
          <t>6月</t>
        </is>
      </c>
      <c r="C1725" s="172" t="inlineStr">
        <is>
          <t>企金</t>
        </is>
      </c>
      <c r="D1725" s="172" t="inlineStr">
        <is>
          <t>保理</t>
        </is>
      </c>
      <c r="E1725" s="172" t="inlineStr">
        <is>
          <t>京诚14-12</t>
        </is>
      </c>
      <c r="F1725" s="172" t="inlineStr">
        <is>
          <t>上交所</t>
        </is>
      </c>
      <c r="G1725" s="172" t="inlineStr">
        <is>
          <t>中信证券</t>
        </is>
      </c>
      <c r="H1725" s="172" t="inlineStr">
        <is>
          <t>光大证券</t>
        </is>
      </c>
      <c r="I1725" s="172" t="inlineStr">
        <is>
          <t>华夏北分</t>
        </is>
      </c>
      <c r="J1725" s="172" t="n">
        <v>10</v>
      </c>
      <c r="K1725" s="172" t="inlineStr">
        <is>
          <t>2+4</t>
        </is>
      </c>
      <c r="L1725" s="202" t="n">
        <v>46196</v>
      </c>
      <c r="M1725" s="175" t="n">
        <v>0.01488</v>
      </c>
      <c r="N1725" s="176" t="n">
        <v>0.0162</v>
      </c>
      <c r="O1725" s="191" t="n">
        <v>2.65</v>
      </c>
      <c r="P1725" s="172" t="inlineStr">
        <is>
          <t>优先级</t>
        </is>
      </c>
      <c r="Q1725" s="175" t="n">
        <v>0.99</v>
      </c>
      <c r="R1725" s="192" t="n">
        <v>9.9</v>
      </c>
      <c r="S1725" s="172" t="inlineStr">
        <is>
          <t>AAA</t>
        </is>
      </c>
      <c r="T1725" s="175" t="n">
        <v>0.0155</v>
      </c>
      <c r="U1725" s="172" t="inlineStr">
        <is>
          <t>浦银理财</t>
        </is>
      </c>
      <c r="V1725" s="191" t="n">
        <v>1.92</v>
      </c>
      <c r="W1725" s="175" t="n">
        <v>0.0155</v>
      </c>
      <c r="X1725" s="172" t="inlineStr">
        <is>
          <t>浦银理财</t>
        </is>
      </c>
      <c r="Y1725" s="191" t="n">
        <v>2.76</v>
      </c>
    </row>
    <row r="1726">
      <c r="A1726" s="172" t="n">
        <v>96</v>
      </c>
      <c r="B1726" s="172" t="inlineStr">
        <is>
          <t>6月</t>
        </is>
      </c>
      <c r="C1726" s="172" t="inlineStr">
        <is>
          <t>企金</t>
        </is>
      </c>
      <c r="D1726" s="172" t="inlineStr">
        <is>
          <t>保理</t>
        </is>
      </c>
      <c r="E1726" s="172" t="inlineStr">
        <is>
          <t>京诚14-12</t>
        </is>
      </c>
      <c r="F1726" s="172" t="inlineStr">
        <is>
          <t>上交所</t>
        </is>
      </c>
      <c r="G1726" s="172" t="inlineStr">
        <is>
          <t>中信证券</t>
        </is>
      </c>
      <c r="H1726" s="172" t="inlineStr">
        <is>
          <t>光大证券</t>
        </is>
      </c>
      <c r="I1726" s="172" t="inlineStr">
        <is>
          <t>华夏北分</t>
        </is>
      </c>
      <c r="J1726" s="172" t="n">
        <v>10</v>
      </c>
      <c r="K1726" s="172" t="inlineStr">
        <is>
          <t>2+4</t>
        </is>
      </c>
      <c r="L1726" s="202" t="n">
        <v>46196</v>
      </c>
      <c r="M1726" s="175" t="n">
        <v>0.01488</v>
      </c>
      <c r="N1726" s="176" t="n">
        <v>0.0162</v>
      </c>
      <c r="O1726" s="191" t="n">
        <v>2.65</v>
      </c>
      <c r="P1726" s="172" t="inlineStr">
        <is>
          <t>优先级</t>
        </is>
      </c>
      <c r="Q1726" s="175" t="n">
        <v>0.99</v>
      </c>
      <c r="R1726" s="192" t="n">
        <v>9.9</v>
      </c>
      <c r="S1726" s="172" t="inlineStr">
        <is>
          <t>AAA</t>
        </is>
      </c>
      <c r="T1726" s="175" t="n">
        <v>0.0155</v>
      </c>
      <c r="U1726" s="172" t="inlineStr">
        <is>
          <t>工银理财</t>
        </is>
      </c>
      <c r="V1726" s="191" t="n">
        <v>1.35</v>
      </c>
      <c r="W1726" s="175" t="n">
        <v>0.0154</v>
      </c>
      <c r="X1726" s="172" t="inlineStr">
        <is>
          <t>工银理财</t>
        </is>
      </c>
      <c r="Y1726" s="191" t="n">
        <v>1</v>
      </c>
    </row>
    <row r="1727">
      <c r="A1727" s="172" t="n">
        <v>96</v>
      </c>
      <c r="B1727" s="172" t="inlineStr">
        <is>
          <t>6月</t>
        </is>
      </c>
      <c r="C1727" s="172" t="inlineStr">
        <is>
          <t>企金</t>
        </is>
      </c>
      <c r="D1727" s="172" t="inlineStr">
        <is>
          <t>保理</t>
        </is>
      </c>
      <c r="E1727" s="172" t="inlineStr">
        <is>
          <t>京诚14-12</t>
        </is>
      </c>
      <c r="F1727" s="172" t="inlineStr">
        <is>
          <t>上交所</t>
        </is>
      </c>
      <c r="G1727" s="172" t="inlineStr">
        <is>
          <t>中信证券</t>
        </is>
      </c>
      <c r="H1727" s="172" t="inlineStr">
        <is>
          <t>光大证券</t>
        </is>
      </c>
      <c r="I1727" s="172" t="inlineStr">
        <is>
          <t>华夏北分</t>
        </is>
      </c>
      <c r="J1727" s="172" t="n">
        <v>10</v>
      </c>
      <c r="K1727" s="172" t="inlineStr">
        <is>
          <t>2+4</t>
        </is>
      </c>
      <c r="L1727" s="200" t="n">
        <v>46196</v>
      </c>
      <c r="M1727" s="175" t="n">
        <v>0.01488</v>
      </c>
      <c r="N1727" s="176" t="n">
        <v>0.0162</v>
      </c>
      <c r="O1727" s="172" t="n">
        <v>2.65</v>
      </c>
      <c r="P1727" s="172" t="inlineStr">
        <is>
          <t>优先级</t>
        </is>
      </c>
      <c r="Q1727" s="175" t="n">
        <v>0.99</v>
      </c>
      <c r="R1727" s="192" t="n">
        <v>9.9</v>
      </c>
      <c r="S1727" s="172" t="inlineStr">
        <is>
          <t>AAA</t>
        </is>
      </c>
      <c r="T1727" s="175" t="n">
        <v>0.0155</v>
      </c>
      <c r="U1727" s="172" t="n"/>
      <c r="V1727" s="172" t="n"/>
      <c r="W1727" s="175" t="n">
        <v>0.0155</v>
      </c>
      <c r="X1727" s="172" t="inlineStr">
        <is>
          <t>工银理财</t>
        </is>
      </c>
      <c r="Y1727" s="191" t="n">
        <v>0.5</v>
      </c>
    </row>
    <row r="1728">
      <c r="A1728" s="172" t="n">
        <v>96</v>
      </c>
      <c r="B1728" s="172" t="inlineStr">
        <is>
          <t>6月</t>
        </is>
      </c>
      <c r="C1728" s="172" t="inlineStr">
        <is>
          <t>企金</t>
        </is>
      </c>
      <c r="D1728" s="172" t="inlineStr">
        <is>
          <t>保理</t>
        </is>
      </c>
      <c r="E1728" s="172" t="inlineStr">
        <is>
          <t>京诚14-12</t>
        </is>
      </c>
      <c r="F1728" s="172" t="inlineStr">
        <is>
          <t>上交所</t>
        </is>
      </c>
      <c r="G1728" s="172" t="inlineStr">
        <is>
          <t>中信证券</t>
        </is>
      </c>
      <c r="H1728" s="172" t="inlineStr">
        <is>
          <t>光大证券</t>
        </is>
      </c>
      <c r="I1728" s="172" t="inlineStr">
        <is>
          <t>华夏北分</t>
        </is>
      </c>
      <c r="J1728" s="172" t="n">
        <v>10</v>
      </c>
      <c r="K1728" s="172" t="inlineStr">
        <is>
          <t>2+4</t>
        </is>
      </c>
      <c r="L1728" s="200" t="n">
        <v>46196</v>
      </c>
      <c r="M1728" s="175" t="n">
        <v>0.01488</v>
      </c>
      <c r="N1728" s="176" t="n">
        <v>0.0162</v>
      </c>
      <c r="O1728" s="172" t="n">
        <v>2.65</v>
      </c>
      <c r="P1728" s="172" t="inlineStr">
        <is>
          <t>优先级</t>
        </is>
      </c>
      <c r="Q1728" s="175" t="n">
        <v>0.99</v>
      </c>
      <c r="R1728" s="192" t="n">
        <v>9.9</v>
      </c>
      <c r="S1728" s="172" t="inlineStr">
        <is>
          <t>AAA</t>
        </is>
      </c>
      <c r="T1728" s="175" t="n">
        <v>0.0155</v>
      </c>
      <c r="U1728" s="172" t="n"/>
      <c r="V1728" s="172" t="n"/>
      <c r="W1728" s="175" t="n">
        <v>0.0158</v>
      </c>
      <c r="X1728" s="172" t="inlineStr">
        <is>
          <t>工银理财</t>
        </is>
      </c>
      <c r="Y1728" s="191" t="n">
        <v>0.5</v>
      </c>
    </row>
    <row r="1729">
      <c r="A1729" s="172" t="n">
        <v>96</v>
      </c>
      <c r="B1729" s="172" t="inlineStr">
        <is>
          <t>6月</t>
        </is>
      </c>
      <c r="C1729" s="172" t="inlineStr">
        <is>
          <t>企金</t>
        </is>
      </c>
      <c r="D1729" s="172" t="inlineStr">
        <is>
          <t>保理</t>
        </is>
      </c>
      <c r="E1729" s="172" t="inlineStr">
        <is>
          <t>京诚14-12</t>
        </is>
      </c>
      <c r="F1729" s="172" t="inlineStr">
        <is>
          <t>上交所</t>
        </is>
      </c>
      <c r="G1729" s="172" t="inlineStr">
        <is>
          <t>中信证券</t>
        </is>
      </c>
      <c r="H1729" s="172" t="inlineStr">
        <is>
          <t>光大证券</t>
        </is>
      </c>
      <c r="I1729" s="172" t="inlineStr">
        <is>
          <t>华夏北分</t>
        </is>
      </c>
      <c r="J1729" s="172" t="n">
        <v>10</v>
      </c>
      <c r="K1729" s="172" t="inlineStr">
        <is>
          <t>2+4</t>
        </is>
      </c>
      <c r="L1729" s="202" t="n">
        <v>46196</v>
      </c>
      <c r="M1729" s="175" t="n">
        <v>0.01488</v>
      </c>
      <c r="N1729" s="176" t="n">
        <v>0.0162</v>
      </c>
      <c r="O1729" s="191" t="n">
        <v>2.65</v>
      </c>
      <c r="P1729" s="172" t="inlineStr">
        <is>
          <t>优先级</t>
        </is>
      </c>
      <c r="Q1729" s="175" t="n">
        <v>0.99</v>
      </c>
      <c r="R1729" s="192" t="n">
        <v>9.9</v>
      </c>
      <c r="S1729" s="172" t="inlineStr">
        <is>
          <t>AAA</t>
        </is>
      </c>
      <c r="T1729" s="175" t="n">
        <v>0.0155</v>
      </c>
      <c r="U1729" s="172" t="inlineStr">
        <is>
          <t>光大理财</t>
        </is>
      </c>
      <c r="V1729" s="191" t="n">
        <v>0.6899999999999999</v>
      </c>
      <c r="W1729" s="175" t="n">
        <v>0.0155</v>
      </c>
      <c r="X1729" s="172" t="inlineStr">
        <is>
          <t>光大理财</t>
        </is>
      </c>
      <c r="Y1729" s="191" t="n">
        <v>1</v>
      </c>
    </row>
    <row r="1730">
      <c r="A1730" s="172" t="n">
        <v>96</v>
      </c>
      <c r="B1730" s="172" t="inlineStr">
        <is>
          <t>6月</t>
        </is>
      </c>
      <c r="C1730" s="172" t="inlineStr">
        <is>
          <t>企金</t>
        </is>
      </c>
      <c r="D1730" s="172" t="inlineStr">
        <is>
          <t>保理</t>
        </is>
      </c>
      <c r="E1730" s="172" t="inlineStr">
        <is>
          <t>京诚14-12</t>
        </is>
      </c>
      <c r="F1730" s="172" t="inlineStr">
        <is>
          <t>上交所</t>
        </is>
      </c>
      <c r="G1730" s="172" t="inlineStr">
        <is>
          <t>中信证券</t>
        </is>
      </c>
      <c r="H1730" s="172" t="inlineStr">
        <is>
          <t>光大证券</t>
        </is>
      </c>
      <c r="I1730" s="172" t="inlineStr">
        <is>
          <t>华夏北分</t>
        </is>
      </c>
      <c r="J1730" s="172" t="n">
        <v>10</v>
      </c>
      <c r="K1730" s="172" t="inlineStr">
        <is>
          <t>2+4</t>
        </is>
      </c>
      <c r="L1730" s="200" t="n">
        <v>46196</v>
      </c>
      <c r="M1730" s="175" t="n">
        <v>0.01488</v>
      </c>
      <c r="N1730" s="176" t="n">
        <v>0.0162</v>
      </c>
      <c r="O1730" s="172" t="n">
        <v>2.65</v>
      </c>
      <c r="P1730" s="172" t="inlineStr">
        <is>
          <t>优先级</t>
        </is>
      </c>
      <c r="Q1730" s="175" t="n">
        <v>0.99</v>
      </c>
      <c r="R1730" s="192" t="n">
        <v>9.9</v>
      </c>
      <c r="S1730" s="172" t="inlineStr">
        <is>
          <t>AAA</t>
        </is>
      </c>
      <c r="T1730" s="175" t="n">
        <v>0.0155</v>
      </c>
      <c r="U1730" s="172" t="n"/>
      <c r="V1730" s="172" t="n"/>
      <c r="W1730" s="175" t="n">
        <v>0.0157</v>
      </c>
      <c r="X1730" s="172" t="inlineStr">
        <is>
          <t>兴银理财</t>
        </is>
      </c>
      <c r="Y1730" s="191" t="n">
        <v>2.47</v>
      </c>
    </row>
    <row r="1731">
      <c r="A1731" s="172" t="n">
        <v>96</v>
      </c>
      <c r="B1731" s="172" t="inlineStr">
        <is>
          <t>6月</t>
        </is>
      </c>
      <c r="C1731" s="172" t="inlineStr">
        <is>
          <t>企金</t>
        </is>
      </c>
      <c r="D1731" s="172" t="inlineStr">
        <is>
          <t>保理</t>
        </is>
      </c>
      <c r="E1731" s="172" t="inlineStr">
        <is>
          <t>京诚14-12</t>
        </is>
      </c>
      <c r="F1731" s="172" t="inlineStr">
        <is>
          <t>上交所</t>
        </is>
      </c>
      <c r="G1731" s="172" t="inlineStr">
        <is>
          <t>中信证券</t>
        </is>
      </c>
      <c r="H1731" s="172" t="inlineStr">
        <is>
          <t>光大证券</t>
        </is>
      </c>
      <c r="I1731" s="172" t="inlineStr">
        <is>
          <t>华夏北分</t>
        </is>
      </c>
      <c r="J1731" s="172" t="n">
        <v>10</v>
      </c>
      <c r="K1731" s="172" t="inlineStr">
        <is>
          <t>2+4</t>
        </is>
      </c>
      <c r="L1731" s="200" t="n">
        <v>46196</v>
      </c>
      <c r="M1731" s="175" t="n">
        <v>0.01488</v>
      </c>
      <c r="N1731" s="176" t="n">
        <v>0.0162</v>
      </c>
      <c r="O1731" s="172" t="n">
        <v>2.65</v>
      </c>
      <c r="P1731" s="172" t="inlineStr">
        <is>
          <t>优先级</t>
        </is>
      </c>
      <c r="Q1731" s="175" t="n">
        <v>0.99</v>
      </c>
      <c r="R1731" s="192" t="n">
        <v>9.9</v>
      </c>
      <c r="S1731" s="172" t="inlineStr">
        <is>
          <t>AAA</t>
        </is>
      </c>
      <c r="T1731" s="175" t="n">
        <v>0.0155</v>
      </c>
      <c r="U1731" s="172" t="n"/>
      <c r="V1731" s="172" t="n"/>
      <c r="W1731" s="175" t="n">
        <v>0.0157</v>
      </c>
      <c r="X1731" s="172" t="inlineStr">
        <is>
          <t>建信理财</t>
        </is>
      </c>
      <c r="Y1731" s="191" t="n">
        <v>0.9</v>
      </c>
    </row>
    <row r="1732">
      <c r="A1732" s="172" t="n">
        <v>96</v>
      </c>
      <c r="B1732" s="172" t="inlineStr">
        <is>
          <t>6月</t>
        </is>
      </c>
      <c r="C1732" s="172" t="inlineStr">
        <is>
          <t>企金</t>
        </is>
      </c>
      <c r="D1732" s="172" t="inlineStr">
        <is>
          <t>保理</t>
        </is>
      </c>
      <c r="E1732" s="172" t="inlineStr">
        <is>
          <t>京诚14-12</t>
        </is>
      </c>
      <c r="F1732" s="172" t="inlineStr">
        <is>
          <t>上交所</t>
        </is>
      </c>
      <c r="G1732" s="172" t="inlineStr">
        <is>
          <t>中信证券</t>
        </is>
      </c>
      <c r="H1732" s="172" t="inlineStr">
        <is>
          <t>光大证券</t>
        </is>
      </c>
      <c r="I1732" s="172" t="inlineStr">
        <is>
          <t>华夏北分</t>
        </is>
      </c>
      <c r="J1732" s="172" t="n">
        <v>10</v>
      </c>
      <c r="K1732" s="172" t="inlineStr">
        <is>
          <t>2+4</t>
        </is>
      </c>
      <c r="L1732" s="200" t="n">
        <v>46196</v>
      </c>
      <c r="M1732" s="175" t="n">
        <v>0.01488</v>
      </c>
      <c r="N1732" s="176" t="n">
        <v>0.0162</v>
      </c>
      <c r="O1732" s="172" t="n">
        <v>2.65</v>
      </c>
      <c r="P1732" s="172" t="inlineStr">
        <is>
          <t>优先级</t>
        </is>
      </c>
      <c r="Q1732" s="175" t="n">
        <v>0.99</v>
      </c>
      <c r="R1732" s="192" t="n">
        <v>9.9</v>
      </c>
      <c r="S1732" s="172" t="inlineStr">
        <is>
          <t>AAA</t>
        </is>
      </c>
      <c r="T1732" s="175" t="n">
        <v>0.0155</v>
      </c>
      <c r="U1732" s="172" t="n"/>
      <c r="V1732" s="172" t="n"/>
      <c r="W1732" s="175" t="n">
        <v>0.0158</v>
      </c>
      <c r="X1732" s="172" t="inlineStr">
        <is>
          <t>杭银理财</t>
        </is>
      </c>
      <c r="Y1732" s="191" t="n">
        <v>0.99</v>
      </c>
    </row>
    <row r="1733">
      <c r="A1733" s="172" t="n">
        <v>96</v>
      </c>
      <c r="B1733" s="172" t="inlineStr">
        <is>
          <t>6月</t>
        </is>
      </c>
      <c r="C1733" s="172" t="inlineStr">
        <is>
          <t>企金</t>
        </is>
      </c>
      <c r="D1733" s="172" t="inlineStr">
        <is>
          <t>保理</t>
        </is>
      </c>
      <c r="E1733" s="172" t="inlineStr">
        <is>
          <t>京诚14-12</t>
        </is>
      </c>
      <c r="F1733" s="172" t="inlineStr">
        <is>
          <t>上交所</t>
        </is>
      </c>
      <c r="G1733" s="172" t="inlineStr">
        <is>
          <t>中信证券</t>
        </is>
      </c>
      <c r="H1733" s="172" t="inlineStr">
        <is>
          <t>光大证券</t>
        </is>
      </c>
      <c r="I1733" s="172" t="inlineStr">
        <is>
          <t>华夏北分</t>
        </is>
      </c>
      <c r="J1733" s="172" t="n">
        <v>10</v>
      </c>
      <c r="K1733" s="172" t="inlineStr">
        <is>
          <t>2+4</t>
        </is>
      </c>
      <c r="L1733" s="200" t="n">
        <v>46196</v>
      </c>
      <c r="M1733" s="175" t="n">
        <v>0.01488</v>
      </c>
      <c r="N1733" s="176" t="n">
        <v>0.0162</v>
      </c>
      <c r="O1733" s="172" t="n">
        <v>2.65</v>
      </c>
      <c r="P1733" s="172" t="inlineStr">
        <is>
          <t>优先级</t>
        </is>
      </c>
      <c r="Q1733" s="175" t="n">
        <v>0.99</v>
      </c>
      <c r="R1733" s="192" t="n">
        <v>9.9</v>
      </c>
      <c r="S1733" s="172" t="inlineStr">
        <is>
          <t>AAA</t>
        </is>
      </c>
      <c r="T1733" s="175" t="n">
        <v>0.0155</v>
      </c>
      <c r="U1733" s="172" t="n"/>
      <c r="V1733" s="172" t="n"/>
      <c r="W1733" s="175" t="n">
        <v>0.016</v>
      </c>
      <c r="X1733" s="172" t="inlineStr">
        <is>
          <t>中信证券（投行上报)</t>
        </is>
      </c>
      <c r="Y1733" s="191" t="n">
        <v>1.4</v>
      </c>
    </row>
    <row r="1734">
      <c r="A1734" s="172" t="n">
        <v>96</v>
      </c>
      <c r="B1734" s="172" t="inlineStr">
        <is>
          <t>6月</t>
        </is>
      </c>
      <c r="C1734" s="172" t="inlineStr">
        <is>
          <t>企金</t>
        </is>
      </c>
      <c r="D1734" s="172" t="inlineStr">
        <is>
          <t>保理</t>
        </is>
      </c>
      <c r="E1734" s="172" t="inlineStr">
        <is>
          <t>京诚14-12</t>
        </is>
      </c>
      <c r="F1734" s="172" t="inlineStr">
        <is>
          <t>上交所</t>
        </is>
      </c>
      <c r="G1734" s="172" t="inlineStr">
        <is>
          <t>中信证券</t>
        </is>
      </c>
      <c r="H1734" s="172" t="inlineStr">
        <is>
          <t>光大证券</t>
        </is>
      </c>
      <c r="I1734" s="172" t="inlineStr">
        <is>
          <t>华夏北分</t>
        </is>
      </c>
      <c r="J1734" s="172" t="n">
        <v>10</v>
      </c>
      <c r="K1734" s="172" t="inlineStr">
        <is>
          <t>2+4</t>
        </is>
      </c>
      <c r="L1734" s="200" t="n">
        <v>46196</v>
      </c>
      <c r="M1734" s="175" t="n">
        <v>0.01488</v>
      </c>
      <c r="N1734" s="176" t="n">
        <v>0.0162</v>
      </c>
      <c r="O1734" s="172" t="n">
        <v>2.65</v>
      </c>
      <c r="P1734" s="172" t="inlineStr">
        <is>
          <t>优先级</t>
        </is>
      </c>
      <c r="Q1734" s="175" t="n">
        <v>0.99</v>
      </c>
      <c r="R1734" s="192" t="n">
        <v>9.9</v>
      </c>
      <c r="S1734" s="172" t="inlineStr">
        <is>
          <t>AAA</t>
        </is>
      </c>
      <c r="T1734" s="175" t="n">
        <v>0.0155</v>
      </c>
      <c r="U1734" s="172" t="n"/>
      <c r="V1734" s="172" t="n"/>
      <c r="W1734" s="175" t="n">
        <v>0.016</v>
      </c>
      <c r="X1734" s="172" t="inlineStr">
        <is>
          <t>光大证券（投行上报）</t>
        </is>
      </c>
      <c r="Y1734" s="191" t="n">
        <v>1</v>
      </c>
    </row>
    <row r="1735">
      <c r="A1735" s="172" t="n">
        <v>96</v>
      </c>
      <c r="B1735" s="172" t="inlineStr">
        <is>
          <t>6月</t>
        </is>
      </c>
      <c r="C1735" s="172" t="inlineStr">
        <is>
          <t>企金</t>
        </is>
      </c>
      <c r="D1735" s="172" t="inlineStr">
        <is>
          <t>保理</t>
        </is>
      </c>
      <c r="E1735" s="172" t="inlineStr">
        <is>
          <t>京诚14-12</t>
        </is>
      </c>
      <c r="F1735" s="172" t="inlineStr">
        <is>
          <t>上交所</t>
        </is>
      </c>
      <c r="G1735" s="172" t="inlineStr">
        <is>
          <t>中信证券</t>
        </is>
      </c>
      <c r="H1735" s="172" t="inlineStr">
        <is>
          <t>光大证券</t>
        </is>
      </c>
      <c r="I1735" s="172" t="inlineStr">
        <is>
          <t>华夏北分</t>
        </is>
      </c>
      <c r="J1735" s="172" t="n">
        <v>10</v>
      </c>
      <c r="K1735" s="172" t="inlineStr">
        <is>
          <t>2+4</t>
        </is>
      </c>
      <c r="L1735" s="200" t="n">
        <v>46196</v>
      </c>
      <c r="M1735" s="175" t="n">
        <v>0.01488</v>
      </c>
      <c r="N1735" s="176" t="n">
        <v>0.0162</v>
      </c>
      <c r="O1735" s="172" t="n">
        <v>2.65</v>
      </c>
      <c r="P1735" s="172" t="inlineStr">
        <is>
          <t>优先级</t>
        </is>
      </c>
      <c r="Q1735" s="175" t="n">
        <v>0.99</v>
      </c>
      <c r="R1735" s="192" t="n">
        <v>9.9</v>
      </c>
      <c r="S1735" s="172" t="inlineStr">
        <is>
          <t>AAA</t>
        </is>
      </c>
      <c r="T1735" s="175" t="n">
        <v>0.0155</v>
      </c>
      <c r="U1735" s="172" t="n"/>
      <c r="V1735" s="172" t="n"/>
      <c r="W1735" s="175" t="n">
        <v>0.016</v>
      </c>
      <c r="X1735" s="172" t="inlineStr">
        <is>
          <t>交银理财</t>
        </is>
      </c>
      <c r="Y1735" s="191" t="n">
        <v>0.5</v>
      </c>
    </row>
    <row r="1736">
      <c r="A1736" s="172" t="n">
        <v>96</v>
      </c>
      <c r="B1736" s="172" t="inlineStr">
        <is>
          <t>6月</t>
        </is>
      </c>
      <c r="C1736" s="172" t="inlineStr">
        <is>
          <t>企金</t>
        </is>
      </c>
      <c r="D1736" s="172" t="inlineStr">
        <is>
          <t>保理</t>
        </is>
      </c>
      <c r="E1736" s="172" t="inlineStr">
        <is>
          <t>京诚14-12</t>
        </is>
      </c>
      <c r="F1736" s="172" t="inlineStr">
        <is>
          <t>上交所</t>
        </is>
      </c>
      <c r="G1736" s="172" t="inlineStr">
        <is>
          <t>中信证券</t>
        </is>
      </c>
      <c r="H1736" s="172" t="inlineStr">
        <is>
          <t>光大证券</t>
        </is>
      </c>
      <c r="I1736" s="172" t="inlineStr">
        <is>
          <t>华夏北分</t>
        </is>
      </c>
      <c r="J1736" s="172" t="n">
        <v>10</v>
      </c>
      <c r="K1736" s="172" t="inlineStr">
        <is>
          <t>2+4</t>
        </is>
      </c>
      <c r="L1736" s="200" t="n">
        <v>46196</v>
      </c>
      <c r="M1736" s="175" t="n">
        <v>0.01488</v>
      </c>
      <c r="N1736" s="176" t="n">
        <v>0.0162</v>
      </c>
      <c r="O1736" s="172" t="n">
        <v>2.65</v>
      </c>
      <c r="P1736" s="172" t="inlineStr">
        <is>
          <t>优先级</t>
        </is>
      </c>
      <c r="Q1736" s="175" t="n">
        <v>0.99</v>
      </c>
      <c r="R1736" s="192" t="n">
        <v>9.9</v>
      </c>
      <c r="S1736" s="172" t="inlineStr">
        <is>
          <t>AAA</t>
        </is>
      </c>
      <c r="T1736" s="175" t="n">
        <v>0.0155</v>
      </c>
      <c r="U1736" s="172" t="n"/>
      <c r="V1736" s="172" t="n"/>
      <c r="W1736" s="175" t="n">
        <v>0.016</v>
      </c>
      <c r="X1736" s="172" t="inlineStr">
        <is>
          <t>中银理财</t>
        </is>
      </c>
      <c r="Y1736" s="191" t="n">
        <v>1</v>
      </c>
    </row>
    <row r="1737">
      <c r="A1737" s="172" t="n">
        <v>96</v>
      </c>
      <c r="B1737" s="172" t="inlineStr">
        <is>
          <t>6月</t>
        </is>
      </c>
      <c r="C1737" s="172" t="inlineStr">
        <is>
          <t>企金</t>
        </is>
      </c>
      <c r="D1737" s="172" t="inlineStr">
        <is>
          <t>保理</t>
        </is>
      </c>
      <c r="E1737" s="172" t="inlineStr">
        <is>
          <t>京诚14-12</t>
        </is>
      </c>
      <c r="F1737" s="172" t="inlineStr">
        <is>
          <t>上交所</t>
        </is>
      </c>
      <c r="G1737" s="172" t="inlineStr">
        <is>
          <t>中信证券</t>
        </is>
      </c>
      <c r="H1737" s="172" t="inlineStr">
        <is>
          <t>光大证券</t>
        </is>
      </c>
      <c r="I1737" s="172" t="inlineStr">
        <is>
          <t>华夏北分</t>
        </is>
      </c>
      <c r="J1737" s="172" t="n">
        <v>10</v>
      </c>
      <c r="K1737" s="172" t="inlineStr">
        <is>
          <t>2+4</t>
        </is>
      </c>
      <c r="L1737" s="200" t="n">
        <v>46196</v>
      </c>
      <c r="M1737" s="175" t="n">
        <v>0.01488</v>
      </c>
      <c r="N1737" s="176" t="n">
        <v>0.0162</v>
      </c>
      <c r="O1737" s="172" t="n">
        <v>2.65</v>
      </c>
      <c r="P1737" s="172" t="inlineStr">
        <is>
          <t>优先级</t>
        </is>
      </c>
      <c r="Q1737" s="175" t="n">
        <v>0.99</v>
      </c>
      <c r="R1737" s="192" t="n">
        <v>9.9</v>
      </c>
      <c r="S1737" s="172" t="inlineStr">
        <is>
          <t>AAA</t>
        </is>
      </c>
      <c r="T1737" s="175" t="n">
        <v>0.0155</v>
      </c>
      <c r="U1737" s="172" t="n"/>
      <c r="V1737" s="172" t="n"/>
      <c r="W1737" s="175" t="n">
        <v>0.016</v>
      </c>
      <c r="X1737" s="172" t="inlineStr">
        <is>
          <t>中邮理财</t>
        </is>
      </c>
      <c r="Y1737" s="191" t="n">
        <v>0.3</v>
      </c>
    </row>
    <row r="1738">
      <c r="A1738" s="172" t="n">
        <v>96</v>
      </c>
      <c r="B1738" s="172" t="inlineStr">
        <is>
          <t>6月</t>
        </is>
      </c>
      <c r="C1738" s="172" t="inlineStr">
        <is>
          <t>企金</t>
        </is>
      </c>
      <c r="D1738" s="172" t="inlineStr">
        <is>
          <t>保理</t>
        </is>
      </c>
      <c r="E1738" s="172" t="inlineStr">
        <is>
          <t>京诚14-12</t>
        </is>
      </c>
      <c r="F1738" s="172" t="inlineStr">
        <is>
          <t>上交所</t>
        </is>
      </c>
      <c r="G1738" s="172" t="inlineStr">
        <is>
          <t>中信证券</t>
        </is>
      </c>
      <c r="H1738" s="172" t="inlineStr">
        <is>
          <t>光大证券</t>
        </is>
      </c>
      <c r="I1738" s="172" t="inlineStr">
        <is>
          <t>华夏北分</t>
        </is>
      </c>
      <c r="J1738" s="172" t="n">
        <v>10</v>
      </c>
      <c r="K1738" s="172" t="inlineStr">
        <is>
          <t>2+4</t>
        </is>
      </c>
      <c r="L1738" s="200" t="n">
        <v>46196</v>
      </c>
      <c r="M1738" s="175" t="n">
        <v>0.01488</v>
      </c>
      <c r="N1738" s="176" t="n">
        <v>0.0162</v>
      </c>
      <c r="O1738" s="172" t="n">
        <v>2.65</v>
      </c>
      <c r="P1738" s="172" t="inlineStr">
        <is>
          <t>优先级</t>
        </is>
      </c>
      <c r="Q1738" s="175" t="n">
        <v>0.99</v>
      </c>
      <c r="R1738" s="192" t="n">
        <v>9.9</v>
      </c>
      <c r="S1738" s="172" t="inlineStr">
        <is>
          <t>AAA</t>
        </is>
      </c>
      <c r="T1738" s="175" t="n">
        <v>0.0155</v>
      </c>
      <c r="U1738" s="172" t="n"/>
      <c r="V1738" s="172" t="n"/>
      <c r="W1738" s="175" t="n">
        <v>0.0162</v>
      </c>
      <c r="X1738" s="172" t="inlineStr">
        <is>
          <t>中邮理财</t>
        </is>
      </c>
      <c r="Y1738" s="191" t="n">
        <v>1.2</v>
      </c>
    </row>
    <row r="1739">
      <c r="A1739" s="172" t="n">
        <v>96</v>
      </c>
      <c r="B1739" s="172" t="inlineStr">
        <is>
          <t>6月</t>
        </is>
      </c>
      <c r="C1739" s="172" t="inlineStr">
        <is>
          <t>企金</t>
        </is>
      </c>
      <c r="D1739" s="172" t="inlineStr">
        <is>
          <t>保理</t>
        </is>
      </c>
      <c r="E1739" s="172" t="inlineStr">
        <is>
          <t>京诚14-12</t>
        </is>
      </c>
      <c r="F1739" s="172" t="inlineStr">
        <is>
          <t>上交所</t>
        </is>
      </c>
      <c r="G1739" s="172" t="inlineStr">
        <is>
          <t>中信证券</t>
        </is>
      </c>
      <c r="H1739" s="172" t="inlineStr">
        <is>
          <t>光大证券</t>
        </is>
      </c>
      <c r="I1739" s="172" t="inlineStr">
        <is>
          <t>华夏北分</t>
        </is>
      </c>
      <c r="J1739" s="172" t="n">
        <v>10</v>
      </c>
      <c r="K1739" s="172" t="inlineStr">
        <is>
          <t>2+4</t>
        </is>
      </c>
      <c r="L1739" s="200" t="n">
        <v>46196</v>
      </c>
      <c r="M1739" s="175" t="n">
        <v>0.01488</v>
      </c>
      <c r="N1739" s="176" t="n">
        <v>0.0162</v>
      </c>
      <c r="O1739" s="172" t="n">
        <v>2.65</v>
      </c>
      <c r="P1739" s="172" t="inlineStr">
        <is>
          <t>优先级</t>
        </is>
      </c>
      <c r="Q1739" s="175" t="n">
        <v>0.99</v>
      </c>
      <c r="R1739" s="192" t="n">
        <v>9.9</v>
      </c>
      <c r="S1739" s="172" t="inlineStr">
        <is>
          <t>AAA</t>
        </is>
      </c>
      <c r="T1739" s="175" t="n">
        <v>0.0155</v>
      </c>
      <c r="U1739" s="172" t="n"/>
      <c r="V1739" s="172" t="n"/>
      <c r="W1739" s="175" t="n">
        <v>0.0164</v>
      </c>
      <c r="X1739" s="172" t="inlineStr">
        <is>
          <t>中邮理财</t>
        </is>
      </c>
      <c r="Y1739" s="191" t="n">
        <v>1.47</v>
      </c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0" t="n">
        <v>46196</v>
      </c>
      <c r="M1740" s="175" t="n">
        <v>0.01488</v>
      </c>
      <c r="N1740" s="176" t="n">
        <v>0.0162</v>
      </c>
      <c r="O1740" s="172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n"/>
      <c r="V1740" s="172" t="n"/>
      <c r="W1740" s="175" t="n">
        <v>0.0162</v>
      </c>
      <c r="X1740" s="172" t="inlineStr">
        <is>
          <t>平安理财</t>
        </is>
      </c>
      <c r="Y1740" s="191" t="n">
        <v>1.29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0.024</v>
      </c>
      <c r="X1741" s="172" t="inlineStr">
        <is>
          <t>上海利曦私募</t>
        </is>
      </c>
      <c r="Y1741" s="191" t="n">
        <v>2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次级</t>
        </is>
      </c>
      <c r="Q1742" s="175" t="n">
        <v>0.01</v>
      </c>
      <c r="R1742" s="192" t="n">
        <v>0.1</v>
      </c>
      <c r="S1742" s="175" t="inlineStr">
        <is>
          <t>无</t>
        </is>
      </c>
      <c r="T1742" s="175" t="n">
        <v>0.043</v>
      </c>
      <c r="U1742" s="172" t="inlineStr">
        <is>
          <t>利曦基金</t>
        </is>
      </c>
      <c r="V1742" s="191" t="n">
        <v>0.1</v>
      </c>
      <c r="W1742" s="172" t="n"/>
      <c r="X1742" s="172" t="n"/>
      <c r="Y1742" s="172" t="n"/>
    </row>
    <row r="1743">
      <c r="A1743" s="172" t="n">
        <v>97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金采</t>
        </is>
      </c>
      <c r="E1743" s="172" t="inlineStr">
        <is>
          <t>金采8-4</t>
        </is>
      </c>
      <c r="F1743" s="172" t="inlineStr">
        <is>
          <t>上交所</t>
        </is>
      </c>
      <c r="G1743" s="172" t="inlineStr">
        <is>
          <t>招商证券</t>
        </is>
      </c>
      <c r="H1743" s="172" t="inlineStr">
        <is>
          <t>信达证券</t>
        </is>
      </c>
      <c r="I1743" s="172" t="inlineStr">
        <is>
          <t>民生北分</t>
        </is>
      </c>
      <c r="J1743" s="172" t="n">
        <v>10</v>
      </c>
      <c r="K1743" s="172" t="inlineStr">
        <is>
          <t>7+12</t>
        </is>
      </c>
      <c r="L1743" s="202" t="n">
        <v>46196</v>
      </c>
      <c r="M1743" s="175" t="n">
        <v>0.01488</v>
      </c>
      <c r="N1743" s="176" t="n">
        <v>0.0187</v>
      </c>
      <c r="O1743" s="191" t="n">
        <v>1.78</v>
      </c>
      <c r="P1743" s="172" t="inlineStr">
        <is>
          <t>优先级</t>
        </is>
      </c>
      <c r="Q1743" s="175" t="n">
        <v>0.9</v>
      </c>
      <c r="R1743" s="192" t="n">
        <v>9</v>
      </c>
      <c r="S1743" s="172" t="inlineStr">
        <is>
          <t>AAA</t>
        </is>
      </c>
      <c r="T1743" s="175" t="n">
        <v>0.016</v>
      </c>
      <c r="U1743" s="172" t="inlineStr">
        <is>
          <t>中邮理财</t>
        </is>
      </c>
      <c r="V1743" s="191" t="n">
        <v>2.6</v>
      </c>
      <c r="W1743" s="175" t="n">
        <v>0.016</v>
      </c>
      <c r="X1743" s="172" t="inlineStr">
        <is>
          <t>中邮理财</t>
        </is>
      </c>
      <c r="Y1743" s="191" t="n">
        <v>2.7</v>
      </c>
    </row>
    <row r="1744">
      <c r="A1744" s="172" t="n">
        <v>97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金采</t>
        </is>
      </c>
      <c r="E1744" s="172" t="inlineStr">
        <is>
          <t>金采8-4</t>
        </is>
      </c>
      <c r="F1744" s="172" t="inlineStr">
        <is>
          <t>上交所</t>
        </is>
      </c>
      <c r="G1744" s="172" t="inlineStr">
        <is>
          <t>招商证券</t>
        </is>
      </c>
      <c r="H1744" s="172" t="inlineStr">
        <is>
          <t>信达证券</t>
        </is>
      </c>
      <c r="I1744" s="172" t="inlineStr">
        <is>
          <t>民生北分</t>
        </is>
      </c>
      <c r="J1744" s="172" t="n">
        <v>10</v>
      </c>
      <c r="K1744" s="172" t="inlineStr">
        <is>
          <t>7+12</t>
        </is>
      </c>
      <c r="L1744" s="202" t="n">
        <v>46196</v>
      </c>
      <c r="M1744" s="175" t="n">
        <v>0.01488</v>
      </c>
      <c r="N1744" s="176" t="n">
        <v>0.0187</v>
      </c>
      <c r="O1744" s="191" t="n">
        <v>1.78</v>
      </c>
      <c r="P1744" s="172" t="inlineStr">
        <is>
          <t>优先级</t>
        </is>
      </c>
      <c r="Q1744" s="175" t="n">
        <v>0.9</v>
      </c>
      <c r="R1744" s="192" t="n">
        <v>9</v>
      </c>
      <c r="S1744" s="172" t="inlineStr">
        <is>
          <t>AAA</t>
        </is>
      </c>
      <c r="T1744" s="175" t="n">
        <v>0.016</v>
      </c>
      <c r="U1744" s="172" t="inlineStr">
        <is>
          <t>民生理财</t>
        </is>
      </c>
      <c r="V1744" s="191" t="n">
        <v>2.7</v>
      </c>
      <c r="W1744" s="175" t="n">
        <v>0.0158</v>
      </c>
      <c r="X1744" s="172" t="inlineStr">
        <is>
          <t>民生理财</t>
        </is>
      </c>
      <c r="Y1744" s="191" t="n">
        <v>2.7</v>
      </c>
    </row>
    <row r="1745">
      <c r="A1745" s="172" t="n">
        <v>97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金采</t>
        </is>
      </c>
      <c r="E1745" s="172" t="inlineStr">
        <is>
          <t>金采8-4</t>
        </is>
      </c>
      <c r="F1745" s="172" t="inlineStr">
        <is>
          <t>上交所</t>
        </is>
      </c>
      <c r="G1745" s="172" t="inlineStr">
        <is>
          <t>招商证券</t>
        </is>
      </c>
      <c r="H1745" s="172" t="inlineStr">
        <is>
          <t>信达证券</t>
        </is>
      </c>
      <c r="I1745" s="172" t="inlineStr">
        <is>
          <t>民生北分</t>
        </is>
      </c>
      <c r="J1745" s="172" t="n">
        <v>10</v>
      </c>
      <c r="K1745" s="172" t="inlineStr">
        <is>
          <t>7+12</t>
        </is>
      </c>
      <c r="L1745" s="202" t="n">
        <v>46196</v>
      </c>
      <c r="M1745" s="175" t="n">
        <v>0.01488</v>
      </c>
      <c r="N1745" s="176" t="n">
        <v>0.0187</v>
      </c>
      <c r="O1745" s="191" t="n">
        <v>1.78</v>
      </c>
      <c r="P1745" s="172" t="inlineStr">
        <is>
          <t>优先级</t>
        </is>
      </c>
      <c r="Q1745" s="175" t="n">
        <v>0.9</v>
      </c>
      <c r="R1745" s="192" t="n">
        <v>9</v>
      </c>
      <c r="S1745" s="172" t="inlineStr">
        <is>
          <t>AAA</t>
        </is>
      </c>
      <c r="T1745" s="175" t="n">
        <v>0.016</v>
      </c>
      <c r="U1745" s="172" t="inlineStr">
        <is>
          <t>交银理财</t>
        </is>
      </c>
      <c r="V1745" s="191" t="n">
        <v>0.95</v>
      </c>
      <c r="W1745" s="175" t="n">
        <v>0.016</v>
      </c>
      <c r="X1745" s="172" t="inlineStr">
        <is>
          <t>交银理财</t>
        </is>
      </c>
      <c r="Y1745" s="191" t="n">
        <v>1</v>
      </c>
    </row>
    <row r="1746">
      <c r="A1746" s="172" t="n">
        <v>97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金采</t>
        </is>
      </c>
      <c r="E1746" s="172" t="inlineStr">
        <is>
          <t>金采8-4</t>
        </is>
      </c>
      <c r="F1746" s="172" t="inlineStr">
        <is>
          <t>上交所</t>
        </is>
      </c>
      <c r="G1746" s="172" t="inlineStr">
        <is>
          <t>招商证券</t>
        </is>
      </c>
      <c r="H1746" s="172" t="inlineStr">
        <is>
          <t>信达证券</t>
        </is>
      </c>
      <c r="I1746" s="172" t="inlineStr">
        <is>
          <t>民生北分</t>
        </is>
      </c>
      <c r="J1746" s="172" t="n">
        <v>10</v>
      </c>
      <c r="K1746" s="172" t="inlineStr">
        <is>
          <t>7+12</t>
        </is>
      </c>
      <c r="L1746" s="202" t="n">
        <v>46196</v>
      </c>
      <c r="M1746" s="175" t="n">
        <v>0.01488</v>
      </c>
      <c r="N1746" s="176" t="n">
        <v>0.0187</v>
      </c>
      <c r="O1746" s="191" t="n">
        <v>1.78</v>
      </c>
      <c r="P1746" s="172" t="inlineStr">
        <is>
          <t>优先级</t>
        </is>
      </c>
      <c r="Q1746" s="175" t="n">
        <v>0.9</v>
      </c>
      <c r="R1746" s="192" t="n">
        <v>9</v>
      </c>
      <c r="S1746" s="172" t="inlineStr">
        <is>
          <t>AAA</t>
        </is>
      </c>
      <c r="T1746" s="175" t="n">
        <v>0.016</v>
      </c>
      <c r="U1746" s="172" t="inlineStr">
        <is>
          <t>建信理财</t>
        </is>
      </c>
      <c r="V1746" s="191" t="n">
        <v>1.92</v>
      </c>
      <c r="W1746" s="172" t="n"/>
      <c r="X1746" s="172" t="n"/>
      <c r="Y1746" s="172" t="n"/>
    </row>
    <row r="1747">
      <c r="A1747" s="172" t="n">
        <v>97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金采</t>
        </is>
      </c>
      <c r="E1747" s="172" t="inlineStr">
        <is>
          <t>金采8-4</t>
        </is>
      </c>
      <c r="F1747" s="172" t="inlineStr">
        <is>
          <t>上交所</t>
        </is>
      </c>
      <c r="G1747" s="172" t="inlineStr">
        <is>
          <t>招商证券</t>
        </is>
      </c>
      <c r="H1747" s="172" t="inlineStr">
        <is>
          <t>信达证券</t>
        </is>
      </c>
      <c r="I1747" s="172" t="inlineStr">
        <is>
          <t>民生北分</t>
        </is>
      </c>
      <c r="J1747" s="172" t="n">
        <v>10</v>
      </c>
      <c r="K1747" s="172" t="inlineStr">
        <is>
          <t>7+12</t>
        </is>
      </c>
      <c r="L1747" s="202" t="n">
        <v>46196</v>
      </c>
      <c r="M1747" s="175" t="n">
        <v>0.01488</v>
      </c>
      <c r="N1747" s="176" t="n">
        <v>0.0187</v>
      </c>
      <c r="O1747" s="191" t="n">
        <v>1.78</v>
      </c>
      <c r="P1747" s="172" t="inlineStr">
        <is>
          <t>优先级</t>
        </is>
      </c>
      <c r="Q1747" s="175" t="n">
        <v>0.9</v>
      </c>
      <c r="R1747" s="192" t="n">
        <v>9</v>
      </c>
      <c r="S1747" s="172" t="inlineStr">
        <is>
          <t>AAA</t>
        </is>
      </c>
      <c r="T1747" s="175" t="n">
        <v>0.016</v>
      </c>
      <c r="U1747" s="172" t="inlineStr">
        <is>
          <t>华夏基金</t>
        </is>
      </c>
      <c r="V1747" s="191" t="n">
        <v>0.38</v>
      </c>
      <c r="W1747" s="175" t="n">
        <v>0.016</v>
      </c>
      <c r="X1747" s="172" t="inlineStr">
        <is>
          <t>华夏基金</t>
        </is>
      </c>
      <c r="Y1747" s="191" t="n">
        <v>0.4</v>
      </c>
    </row>
    <row r="1748">
      <c r="A1748" s="172" t="n">
        <v>97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金采</t>
        </is>
      </c>
      <c r="E1748" s="172" t="inlineStr">
        <is>
          <t>金采8-4</t>
        </is>
      </c>
      <c r="F1748" s="172" t="inlineStr">
        <is>
          <t>上交所</t>
        </is>
      </c>
      <c r="G1748" s="172" t="inlineStr">
        <is>
          <t>招商证券</t>
        </is>
      </c>
      <c r="H1748" s="172" t="inlineStr">
        <is>
          <t>信达证券</t>
        </is>
      </c>
      <c r="I1748" s="172" t="inlineStr">
        <is>
          <t>民生北分</t>
        </is>
      </c>
      <c r="J1748" s="172" t="n">
        <v>10</v>
      </c>
      <c r="K1748" s="172" t="inlineStr">
        <is>
          <t>7+12</t>
        </is>
      </c>
      <c r="L1748" s="202" t="n">
        <v>46196</v>
      </c>
      <c r="M1748" s="175" t="n">
        <v>0.01488</v>
      </c>
      <c r="N1748" s="176" t="n">
        <v>0.0187</v>
      </c>
      <c r="O1748" s="191" t="n">
        <v>1.78</v>
      </c>
      <c r="P1748" s="172" t="inlineStr">
        <is>
          <t>优先级</t>
        </is>
      </c>
      <c r="Q1748" s="175" t="n">
        <v>0.9</v>
      </c>
      <c r="R1748" s="192" t="n">
        <v>9</v>
      </c>
      <c r="S1748" s="172" t="inlineStr">
        <is>
          <t>AAA</t>
        </is>
      </c>
      <c r="T1748" s="175" t="n">
        <v>0.016</v>
      </c>
      <c r="U1748" s="172" t="inlineStr">
        <is>
          <t>邦汇保理</t>
        </is>
      </c>
      <c r="V1748" s="191" t="n">
        <v>0.45</v>
      </c>
      <c r="W1748" s="172" t="n"/>
      <c r="X1748" s="172" t="n"/>
      <c r="Y1748" s="172" t="n"/>
    </row>
    <row r="1749">
      <c r="A1749" s="172" t="n">
        <v>97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金采</t>
        </is>
      </c>
      <c r="E1749" s="172" t="inlineStr">
        <is>
          <t>金采8-4</t>
        </is>
      </c>
      <c r="F1749" s="172" t="inlineStr">
        <is>
          <t>上交所</t>
        </is>
      </c>
      <c r="G1749" s="172" t="inlineStr">
        <is>
          <t>招商证券</t>
        </is>
      </c>
      <c r="H1749" s="172" t="inlineStr">
        <is>
          <t>信达证券</t>
        </is>
      </c>
      <c r="I1749" s="172" t="inlineStr">
        <is>
          <t>民生北分</t>
        </is>
      </c>
      <c r="J1749" s="172" t="n">
        <v>10</v>
      </c>
      <c r="K1749" s="172" t="inlineStr">
        <is>
          <t>7+12</t>
        </is>
      </c>
      <c r="L1749" s="208" t="n">
        <v>46196</v>
      </c>
      <c r="M1749" s="175" t="n">
        <v>0.01488</v>
      </c>
      <c r="N1749" s="176" t="n">
        <v>0.0187</v>
      </c>
      <c r="O1749" s="172" t="n">
        <v>1.78</v>
      </c>
      <c r="P1749" s="172" t="inlineStr">
        <is>
          <t>优先级</t>
        </is>
      </c>
      <c r="Q1749" s="175" t="n">
        <v>0.9</v>
      </c>
      <c r="R1749" s="192" t="n">
        <v>9</v>
      </c>
      <c r="S1749" s="172" t="inlineStr">
        <is>
          <t>AAA</t>
        </is>
      </c>
      <c r="T1749" s="175" t="n">
        <v>0.016</v>
      </c>
      <c r="U1749" s="172" t="n"/>
      <c r="V1749" s="172" t="n"/>
      <c r="W1749" s="175" t="n">
        <v>0.024</v>
      </c>
      <c r="X1749" s="172" t="inlineStr">
        <is>
          <t>利曦基金</t>
        </is>
      </c>
      <c r="Y1749" s="191" t="n">
        <v>2</v>
      </c>
    </row>
    <row r="1750">
      <c r="A1750" s="172" t="n">
        <v>97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金采</t>
        </is>
      </c>
      <c r="E1750" s="172" t="inlineStr">
        <is>
          <t>金采8-4</t>
        </is>
      </c>
      <c r="F1750" s="172" t="inlineStr">
        <is>
          <t>上交所</t>
        </is>
      </c>
      <c r="G1750" s="172" t="inlineStr">
        <is>
          <t>招商证券</t>
        </is>
      </c>
      <c r="H1750" s="172" t="inlineStr">
        <is>
          <t>信达证券</t>
        </is>
      </c>
      <c r="I1750" s="172" t="inlineStr">
        <is>
          <t>民生北分</t>
        </is>
      </c>
      <c r="J1750" s="172" t="n">
        <v>10</v>
      </c>
      <c r="K1750" s="172" t="inlineStr">
        <is>
          <t>7+12</t>
        </is>
      </c>
      <c r="L1750" s="208" t="n">
        <v>46196</v>
      </c>
      <c r="M1750" s="175" t="n">
        <v>0.01488</v>
      </c>
      <c r="N1750" s="176" t="n">
        <v>0.0187</v>
      </c>
      <c r="O1750" s="172" t="n">
        <v>1.78</v>
      </c>
      <c r="P1750" s="172" t="inlineStr">
        <is>
          <t>优先级</t>
        </is>
      </c>
      <c r="Q1750" s="175" t="n">
        <v>0.9</v>
      </c>
      <c r="R1750" s="192" t="n">
        <v>9</v>
      </c>
      <c r="S1750" s="172" t="inlineStr">
        <is>
          <t>AAA</t>
        </is>
      </c>
      <c r="T1750" s="175" t="n">
        <v>0.016</v>
      </c>
      <c r="U1750" s="172" t="n"/>
      <c r="V1750" s="172" t="n"/>
      <c r="W1750" s="175" t="n">
        <v>0.0164</v>
      </c>
      <c r="X1750" s="172" t="inlineStr">
        <is>
          <t>宝武财务</t>
        </is>
      </c>
      <c r="Y1750" s="191" t="n">
        <v>0.2</v>
      </c>
    </row>
    <row r="1751">
      <c r="A1751" s="172" t="n">
        <v>97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金采</t>
        </is>
      </c>
      <c r="E1751" s="172" t="inlineStr">
        <is>
          <t>金采8-4</t>
        </is>
      </c>
      <c r="F1751" s="172" t="inlineStr">
        <is>
          <t>上交所</t>
        </is>
      </c>
      <c r="G1751" s="172" t="inlineStr">
        <is>
          <t>招商证券</t>
        </is>
      </c>
      <c r="H1751" s="172" t="inlineStr">
        <is>
          <t>信达证券</t>
        </is>
      </c>
      <c r="I1751" s="172" t="inlineStr">
        <is>
          <t>民生北分</t>
        </is>
      </c>
      <c r="J1751" s="172" t="n">
        <v>10</v>
      </c>
      <c r="K1751" s="172" t="inlineStr">
        <is>
          <t>7+12</t>
        </is>
      </c>
      <c r="L1751" s="208" t="n">
        <v>46196</v>
      </c>
      <c r="M1751" s="175" t="n">
        <v>0.01488</v>
      </c>
      <c r="N1751" s="176" t="n">
        <v>0.0187</v>
      </c>
      <c r="O1751" s="172" t="n">
        <v>1.78</v>
      </c>
      <c r="P1751" s="172" t="inlineStr">
        <is>
          <t>优先级</t>
        </is>
      </c>
      <c r="Q1751" s="175" t="n">
        <v>0.9</v>
      </c>
      <c r="R1751" s="192" t="n">
        <v>9</v>
      </c>
      <c r="S1751" s="172" t="inlineStr">
        <is>
          <t>AAA</t>
        </is>
      </c>
      <c r="T1751" s="175" t="n">
        <v>0.016</v>
      </c>
      <c r="U1751" s="172" t="n"/>
      <c r="V1751" s="172" t="n"/>
      <c r="W1751" s="175" t="n">
        <v>0.017</v>
      </c>
      <c r="X1751" s="172" t="inlineStr">
        <is>
          <t>广银理财</t>
        </is>
      </c>
      <c r="Y1751" s="191" t="n">
        <v>0.5</v>
      </c>
    </row>
    <row r="1752">
      <c r="A1752" s="172" t="n">
        <v>97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金采</t>
        </is>
      </c>
      <c r="E1752" s="172" t="inlineStr">
        <is>
          <t>金采8-4</t>
        </is>
      </c>
      <c r="F1752" s="172" t="inlineStr">
        <is>
          <t>上交所</t>
        </is>
      </c>
      <c r="G1752" s="172" t="inlineStr">
        <is>
          <t>招商证券</t>
        </is>
      </c>
      <c r="H1752" s="172" t="inlineStr">
        <is>
          <t>信达证券</t>
        </is>
      </c>
      <c r="I1752" s="172" t="inlineStr">
        <is>
          <t>民生北分</t>
        </is>
      </c>
      <c r="J1752" s="172" t="n">
        <v>10</v>
      </c>
      <c r="K1752" s="172" t="inlineStr">
        <is>
          <t>7+12</t>
        </is>
      </c>
      <c r="L1752" s="208" t="n">
        <v>46196</v>
      </c>
      <c r="M1752" s="175" t="n">
        <v>0.01488</v>
      </c>
      <c r="N1752" s="176" t="n">
        <v>0.0187</v>
      </c>
      <c r="O1752" s="172" t="n">
        <v>1.78</v>
      </c>
      <c r="P1752" s="172" t="inlineStr">
        <is>
          <t>优先级</t>
        </is>
      </c>
      <c r="Q1752" s="175" t="n">
        <v>0.9</v>
      </c>
      <c r="R1752" s="192" t="n">
        <v>9</v>
      </c>
      <c r="S1752" s="172" t="inlineStr">
        <is>
          <t>AAA</t>
        </is>
      </c>
      <c r="T1752" s="175" t="n">
        <v>0.016</v>
      </c>
      <c r="U1752" s="172" t="n"/>
      <c r="V1752" s="172" t="n"/>
      <c r="W1752" s="175" t="n">
        <v>0.016</v>
      </c>
      <c r="X1752" s="172" t="inlineStr">
        <is>
          <t>建信信托单1</t>
        </is>
      </c>
      <c r="Y1752" s="191" t="n">
        <v>2</v>
      </c>
    </row>
    <row r="1753">
      <c r="A1753" s="172" t="n">
        <v>97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金采</t>
        </is>
      </c>
      <c r="E1753" s="172" t="inlineStr">
        <is>
          <t>金采8-4</t>
        </is>
      </c>
      <c r="F1753" s="172" t="inlineStr">
        <is>
          <t>上交所</t>
        </is>
      </c>
      <c r="G1753" s="172" t="inlineStr">
        <is>
          <t>招商证券</t>
        </is>
      </c>
      <c r="H1753" s="172" t="inlineStr">
        <is>
          <t>信达证券</t>
        </is>
      </c>
      <c r="I1753" s="172" t="inlineStr">
        <is>
          <t>民生北分</t>
        </is>
      </c>
      <c r="J1753" s="172" t="n">
        <v>10</v>
      </c>
      <c r="K1753" s="172" t="inlineStr">
        <is>
          <t>7+12</t>
        </is>
      </c>
      <c r="L1753" s="208" t="n">
        <v>46196</v>
      </c>
      <c r="M1753" s="175" t="n">
        <v>0.01488</v>
      </c>
      <c r="N1753" s="176" t="n">
        <v>0.0187</v>
      </c>
      <c r="O1753" s="172" t="n">
        <v>1.78</v>
      </c>
      <c r="P1753" s="172" t="inlineStr">
        <is>
          <t>优先级</t>
        </is>
      </c>
      <c r="Q1753" s="175" t="n">
        <v>0.9</v>
      </c>
      <c r="R1753" s="192" t="n">
        <v>9</v>
      </c>
      <c r="S1753" s="172" t="inlineStr">
        <is>
          <t>AAA</t>
        </is>
      </c>
      <c r="T1753" s="175" t="n">
        <v>0.016</v>
      </c>
      <c r="U1753" s="172" t="n"/>
      <c r="V1753" s="172" t="n"/>
      <c r="W1753" s="175" t="n">
        <v>0.0165</v>
      </c>
      <c r="X1753" s="172" t="inlineStr">
        <is>
          <t>华夏理财</t>
        </is>
      </c>
      <c r="Y1753" s="191" t="n">
        <v>2.7</v>
      </c>
    </row>
    <row r="1754">
      <c r="A1754" s="172" t="n">
        <v>97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金采</t>
        </is>
      </c>
      <c r="E1754" s="172" t="inlineStr">
        <is>
          <t>金采8-4</t>
        </is>
      </c>
      <c r="F1754" s="172" t="inlineStr">
        <is>
          <t>上交所</t>
        </is>
      </c>
      <c r="G1754" s="172" t="inlineStr">
        <is>
          <t>招商证券</t>
        </is>
      </c>
      <c r="H1754" s="172" t="inlineStr">
        <is>
          <t>信达证券</t>
        </is>
      </c>
      <c r="I1754" s="172" t="inlineStr">
        <is>
          <t>民生北分</t>
        </is>
      </c>
      <c r="J1754" s="172" t="n">
        <v>10</v>
      </c>
      <c r="K1754" s="172" t="inlineStr">
        <is>
          <t>7+12</t>
        </is>
      </c>
      <c r="L1754" s="208" t="n">
        <v>46196</v>
      </c>
      <c r="M1754" s="175" t="n">
        <v>0.01488</v>
      </c>
      <c r="N1754" s="176" t="n">
        <v>0.0187</v>
      </c>
      <c r="O1754" s="172" t="n">
        <v>1.78</v>
      </c>
      <c r="P1754" s="172" t="inlineStr">
        <is>
          <t>优先级</t>
        </is>
      </c>
      <c r="Q1754" s="175" t="n">
        <v>0.9</v>
      </c>
      <c r="R1754" s="192" t="n">
        <v>9</v>
      </c>
      <c r="S1754" s="172" t="inlineStr">
        <is>
          <t>AAA</t>
        </is>
      </c>
      <c r="T1754" s="175" t="n">
        <v>0.016</v>
      </c>
      <c r="U1754" s="172" t="n"/>
      <c r="V1754" s="172" t="n"/>
      <c r="W1754" s="175" t="n">
        <v>0.0164</v>
      </c>
      <c r="X1754" s="172" t="inlineStr">
        <is>
          <t>建信信托单2</t>
        </is>
      </c>
      <c r="Y1754" s="191" t="n">
        <v>1</v>
      </c>
    </row>
    <row r="1755">
      <c r="A1755" s="172" t="n">
        <v>97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金采</t>
        </is>
      </c>
      <c r="E1755" s="172" t="inlineStr">
        <is>
          <t>金采8-4</t>
        </is>
      </c>
      <c r="F1755" s="172" t="inlineStr">
        <is>
          <t>上交所</t>
        </is>
      </c>
      <c r="G1755" s="172" t="inlineStr">
        <is>
          <t>招商证券</t>
        </is>
      </c>
      <c r="H1755" s="172" t="inlineStr">
        <is>
          <t>信达证券</t>
        </is>
      </c>
      <c r="I1755" s="172" t="inlineStr">
        <is>
          <t>民生北分</t>
        </is>
      </c>
      <c r="J1755" s="172" t="n">
        <v>10</v>
      </c>
      <c r="K1755" s="172" t="inlineStr">
        <is>
          <t>7+12</t>
        </is>
      </c>
      <c r="L1755" s="202" t="n">
        <v>46196</v>
      </c>
      <c r="M1755" s="175" t="n">
        <v>0.01488</v>
      </c>
      <c r="N1755" s="176" t="n">
        <v>0.0187</v>
      </c>
      <c r="O1755" s="191" t="n">
        <v>1.78</v>
      </c>
      <c r="P1755" s="172" t="inlineStr">
        <is>
          <t>中间级</t>
        </is>
      </c>
      <c r="Q1755" s="175" t="n">
        <v>0.05</v>
      </c>
      <c r="R1755" s="192" t="n">
        <v>0.5</v>
      </c>
      <c r="S1755" s="175" t="inlineStr">
        <is>
          <t>AA</t>
        </is>
      </c>
      <c r="T1755" s="175" t="n">
        <v>0.031</v>
      </c>
      <c r="U1755" s="172" t="inlineStr">
        <is>
          <t>利曦基金</t>
        </is>
      </c>
      <c r="V1755" s="201" t="n">
        <v>0.2375</v>
      </c>
      <c r="W1755" s="172" t="n"/>
      <c r="X1755" s="172" t="n"/>
      <c r="Y1755" s="172" t="n"/>
    </row>
    <row r="1756">
      <c r="A1756" s="172" t="n">
        <v>97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金采</t>
        </is>
      </c>
      <c r="E1756" s="172" t="inlineStr">
        <is>
          <t>金采8-4</t>
        </is>
      </c>
      <c r="F1756" s="172" t="inlineStr">
        <is>
          <t>上交所</t>
        </is>
      </c>
      <c r="G1756" s="172" t="inlineStr">
        <is>
          <t>招商证券</t>
        </is>
      </c>
      <c r="H1756" s="172" t="inlineStr">
        <is>
          <t>信达证券</t>
        </is>
      </c>
      <c r="I1756" s="172" t="inlineStr">
        <is>
          <t>民生北分</t>
        </is>
      </c>
      <c r="J1756" s="172" t="n">
        <v>10</v>
      </c>
      <c r="K1756" s="172" t="inlineStr">
        <is>
          <t>7+12</t>
        </is>
      </c>
      <c r="L1756" s="202" t="n">
        <v>46196</v>
      </c>
      <c r="M1756" s="175" t="n">
        <v>0.01488</v>
      </c>
      <c r="N1756" s="176" t="n">
        <v>0.0187</v>
      </c>
      <c r="O1756" s="191" t="n">
        <v>1.78</v>
      </c>
      <c r="P1756" s="172" t="inlineStr">
        <is>
          <t>中间级</t>
        </is>
      </c>
      <c r="Q1756" s="175" t="n">
        <v>0.05</v>
      </c>
      <c r="R1756" s="192" t="n">
        <v>0.5</v>
      </c>
      <c r="S1756" s="175" t="inlineStr">
        <is>
          <t>AA</t>
        </is>
      </c>
      <c r="T1756" s="175" t="n">
        <v>0.031</v>
      </c>
      <c r="U1756" s="172" t="inlineStr">
        <is>
          <t>建信信托</t>
        </is>
      </c>
      <c r="V1756" s="201" t="n">
        <v>0.1375</v>
      </c>
      <c r="W1756" s="172" t="n"/>
      <c r="X1756" s="172" t="n"/>
      <c r="Y1756" s="172" t="n"/>
    </row>
    <row r="1757">
      <c r="A1757" s="172" t="n">
        <v>97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金采</t>
        </is>
      </c>
      <c r="E1757" s="172" t="inlineStr">
        <is>
          <t>金采8-4</t>
        </is>
      </c>
      <c r="F1757" s="172" t="inlineStr">
        <is>
          <t>上交所</t>
        </is>
      </c>
      <c r="G1757" s="172" t="inlineStr">
        <is>
          <t>招商证券</t>
        </is>
      </c>
      <c r="H1757" s="172" t="inlineStr">
        <is>
          <t>信达证券</t>
        </is>
      </c>
      <c r="I1757" s="172" t="inlineStr">
        <is>
          <t>民生北分</t>
        </is>
      </c>
      <c r="J1757" s="172" t="n">
        <v>10</v>
      </c>
      <c r="K1757" s="172" t="inlineStr">
        <is>
          <t>7+12</t>
        </is>
      </c>
      <c r="L1757" s="202" t="n">
        <v>46196</v>
      </c>
      <c r="M1757" s="175" t="n">
        <v>0.01488</v>
      </c>
      <c r="N1757" s="176" t="n">
        <v>0.0187</v>
      </c>
      <c r="O1757" s="191" t="n">
        <v>1.78</v>
      </c>
      <c r="P1757" s="172" t="inlineStr">
        <is>
          <t>中间级</t>
        </is>
      </c>
      <c r="Q1757" s="175" t="n">
        <v>0.05</v>
      </c>
      <c r="R1757" s="192" t="n">
        <v>0.5</v>
      </c>
      <c r="S1757" s="175" t="inlineStr">
        <is>
          <t>AA</t>
        </is>
      </c>
      <c r="T1757" s="175" t="n">
        <v>0.031</v>
      </c>
      <c r="U1757" s="172" t="inlineStr">
        <is>
          <t>沛轩投资</t>
        </is>
      </c>
      <c r="V1757" s="191" t="n">
        <v>0.1</v>
      </c>
      <c r="W1757" s="172" t="n"/>
      <c r="X1757" s="172" t="n"/>
      <c r="Y1757" s="172" t="n"/>
    </row>
    <row r="1758">
      <c r="A1758" s="172" t="n">
        <v>97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金采</t>
        </is>
      </c>
      <c r="E1758" s="172" t="inlineStr">
        <is>
          <t>金采8-4</t>
        </is>
      </c>
      <c r="F1758" s="172" t="inlineStr">
        <is>
          <t>上交所</t>
        </is>
      </c>
      <c r="G1758" s="172" t="inlineStr">
        <is>
          <t>招商证券</t>
        </is>
      </c>
      <c r="H1758" s="172" t="inlineStr">
        <is>
          <t>信达证券</t>
        </is>
      </c>
      <c r="I1758" s="172" t="inlineStr">
        <is>
          <t>民生北分</t>
        </is>
      </c>
      <c r="J1758" s="172" t="n">
        <v>10</v>
      </c>
      <c r="K1758" s="172" t="inlineStr">
        <is>
          <t>7+12</t>
        </is>
      </c>
      <c r="L1758" s="202" t="n">
        <v>46196</v>
      </c>
      <c r="M1758" s="175" t="n">
        <v>0.01488</v>
      </c>
      <c r="N1758" s="176" t="n">
        <v>0.0187</v>
      </c>
      <c r="O1758" s="191" t="n">
        <v>1.78</v>
      </c>
      <c r="P1758" s="172" t="inlineStr">
        <is>
          <t>中间级</t>
        </is>
      </c>
      <c r="Q1758" s="175" t="n">
        <v>0.05</v>
      </c>
      <c r="R1758" s="192" t="n">
        <v>0.5</v>
      </c>
      <c r="S1758" s="175" t="inlineStr">
        <is>
          <t>AA</t>
        </is>
      </c>
      <c r="T1758" s="175" t="n">
        <v>0.031</v>
      </c>
      <c r="U1758" s="172" t="inlineStr">
        <is>
          <t>邦汇保理</t>
        </is>
      </c>
      <c r="V1758" s="193" t="n">
        <v>0.025</v>
      </c>
      <c r="W1758" s="172" t="n"/>
      <c r="X1758" s="172" t="n"/>
      <c r="Y1758" s="172" t="n"/>
    </row>
    <row r="1759">
      <c r="A1759" s="172" t="n">
        <v>97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金采</t>
        </is>
      </c>
      <c r="E1759" s="172" t="inlineStr">
        <is>
          <t>金采8-4</t>
        </is>
      </c>
      <c r="F1759" s="172" t="inlineStr">
        <is>
          <t>上交所</t>
        </is>
      </c>
      <c r="G1759" s="172" t="inlineStr">
        <is>
          <t>招商证券</t>
        </is>
      </c>
      <c r="H1759" s="172" t="inlineStr">
        <is>
          <t>信达证券</t>
        </is>
      </c>
      <c r="I1759" s="172" t="inlineStr">
        <is>
          <t>民生北分</t>
        </is>
      </c>
      <c r="J1759" s="172" t="n">
        <v>10</v>
      </c>
      <c r="K1759" s="172" t="inlineStr">
        <is>
          <t>7+12</t>
        </is>
      </c>
      <c r="L1759" s="202" t="n">
        <v>46196</v>
      </c>
      <c r="M1759" s="175" t="n">
        <v>0.01488</v>
      </c>
      <c r="N1759" s="176" t="n">
        <v>0.0187</v>
      </c>
      <c r="O1759" s="191" t="n">
        <v>1.78</v>
      </c>
      <c r="P1759" s="172" t="inlineStr">
        <is>
          <t>次级</t>
        </is>
      </c>
      <c r="Q1759" s="175" t="n">
        <v>0.05</v>
      </c>
      <c r="R1759" s="192" t="n">
        <v>0.5</v>
      </c>
      <c r="S1759" s="175" t="inlineStr">
        <is>
          <t>无</t>
        </is>
      </c>
      <c r="T1759" s="175" t="n">
        <v>0.0455</v>
      </c>
      <c r="U1759" s="172" t="inlineStr">
        <is>
          <t>中泰自营</t>
        </is>
      </c>
      <c r="V1759" s="191" t="n">
        <v>0.2</v>
      </c>
      <c r="W1759" s="172" t="n"/>
      <c r="X1759" s="172" t="n"/>
      <c r="Y1759" s="172" t="n"/>
    </row>
    <row r="1760">
      <c r="A1760" s="172" t="n">
        <v>97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金采</t>
        </is>
      </c>
      <c r="E1760" s="172" t="inlineStr">
        <is>
          <t>金采8-4</t>
        </is>
      </c>
      <c r="F1760" s="172" t="inlineStr">
        <is>
          <t>上交所</t>
        </is>
      </c>
      <c r="G1760" s="172" t="inlineStr">
        <is>
          <t>招商证券</t>
        </is>
      </c>
      <c r="H1760" s="172" t="inlineStr">
        <is>
          <t>信达证券</t>
        </is>
      </c>
      <c r="I1760" s="172" t="inlineStr">
        <is>
          <t>民生北分</t>
        </is>
      </c>
      <c r="J1760" s="172" t="n">
        <v>10</v>
      </c>
      <c r="K1760" s="172" t="inlineStr">
        <is>
          <t>7+12</t>
        </is>
      </c>
      <c r="L1760" s="202" t="n">
        <v>46196</v>
      </c>
      <c r="M1760" s="175" t="n">
        <v>0.01488</v>
      </c>
      <c r="N1760" s="176" t="n">
        <v>0.0187</v>
      </c>
      <c r="O1760" s="191" t="n">
        <v>1.78</v>
      </c>
      <c r="P1760" s="172" t="inlineStr">
        <is>
          <t>次级</t>
        </is>
      </c>
      <c r="Q1760" s="175" t="n">
        <v>0.05</v>
      </c>
      <c r="R1760" s="192" t="n">
        <v>0.5</v>
      </c>
      <c r="S1760" s="175" t="inlineStr">
        <is>
          <t>无</t>
        </is>
      </c>
      <c r="T1760" s="175" t="n">
        <v>0.0455</v>
      </c>
      <c r="U1760" s="172" t="inlineStr">
        <is>
          <t>德邦自营</t>
        </is>
      </c>
      <c r="V1760" s="201" t="n">
        <v>0.1375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次级</t>
        </is>
      </c>
      <c r="Q1761" s="175" t="n">
        <v>0.05</v>
      </c>
      <c r="R1761" s="192" t="n">
        <v>0.5</v>
      </c>
      <c r="S1761" s="175" t="inlineStr">
        <is>
          <t>无</t>
        </is>
      </c>
      <c r="T1761" s="175" t="n">
        <v>0.0455</v>
      </c>
      <c r="U1761" s="172" t="inlineStr">
        <is>
          <t>思达星汇</t>
        </is>
      </c>
      <c r="V1761" s="201" t="n">
        <v>0.1375</v>
      </c>
      <c r="W1761" s="172" t="n"/>
      <c r="X1761" s="172" t="n"/>
      <c r="Y1761" s="172" t="n"/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次级</t>
        </is>
      </c>
      <c r="Q1762" s="175" t="n">
        <v>0.05</v>
      </c>
      <c r="R1762" s="192" t="n">
        <v>0.5</v>
      </c>
      <c r="S1762" s="175" t="inlineStr">
        <is>
          <t>无</t>
        </is>
      </c>
      <c r="T1762" s="175" t="n">
        <v>0.0455</v>
      </c>
      <c r="U1762" s="172" t="inlineStr">
        <is>
          <t>邦汇保理</t>
        </is>
      </c>
      <c r="V1762" s="193" t="n">
        <v>0.025</v>
      </c>
      <c r="W1762" s="172" t="n"/>
      <c r="X1762" s="172" t="n"/>
      <c r="Y1762" s="172" t="n"/>
    </row>
    <row r="1763">
      <c r="A1763" s="172" t="n">
        <v>98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金采8-6</t>
        </is>
      </c>
      <c r="F1763" s="172" t="inlineStr">
        <is>
          <t>上交所</t>
        </is>
      </c>
      <c r="G1763" s="172" t="inlineStr">
        <is>
          <t>国泰海通</t>
        </is>
      </c>
      <c r="H1763" s="172" t="inlineStr">
        <is>
          <t>申万宏源资管</t>
        </is>
      </c>
      <c r="I1763" s="172" t="inlineStr">
        <is>
          <t>光大北分</t>
        </is>
      </c>
      <c r="J1763" s="172" t="n">
        <v>5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>
        <f>Q1179*J1179</f>
        <v/>
      </c>
      <c r="S1763" s="172" t="inlineStr">
        <is>
          <t>AAA</t>
        </is>
      </c>
      <c r="T1763" s="175" t="n">
        <v>0.016</v>
      </c>
      <c r="U1763" s="172" t="inlineStr">
        <is>
          <t>建信信托</t>
        </is>
      </c>
      <c r="V1763" s="191" t="n">
        <v>1.2</v>
      </c>
      <c r="W1763" s="172" t="n"/>
      <c r="X1763" s="172" t="n"/>
      <c r="Y1763" s="172" t="n"/>
    </row>
    <row r="1764">
      <c r="A1764" s="172" t="n">
        <v>98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金采8-6</t>
        </is>
      </c>
      <c r="F1764" s="172" t="inlineStr">
        <is>
          <t>上交所</t>
        </is>
      </c>
      <c r="G1764" s="172" t="inlineStr">
        <is>
          <t>国泰海通</t>
        </is>
      </c>
      <c r="H1764" s="172" t="inlineStr">
        <is>
          <t>申万宏源资管</t>
        </is>
      </c>
      <c r="I1764" s="172" t="inlineStr">
        <is>
          <t>光大北分</t>
        </is>
      </c>
      <c r="J1764" s="172" t="n">
        <v>5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>
        <f>Q1179*J1179</f>
        <v/>
      </c>
      <c r="S1764" s="172" t="inlineStr">
        <is>
          <t>AAA</t>
        </is>
      </c>
      <c r="T1764" s="175" t="n">
        <v>0.016</v>
      </c>
      <c r="U1764" s="172" t="inlineStr">
        <is>
          <t>招银理财</t>
        </is>
      </c>
      <c r="V1764" s="193" t="n">
        <v>1.35</v>
      </c>
      <c r="W1764" s="172" t="n"/>
      <c r="X1764" s="172" t="n"/>
      <c r="Y1764" s="172" t="n"/>
    </row>
    <row r="1765">
      <c r="A1765" s="172" t="n">
        <v>98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金采8-6</t>
        </is>
      </c>
      <c r="F1765" s="172" t="inlineStr">
        <is>
          <t>上交所</t>
        </is>
      </c>
      <c r="G1765" s="172" t="inlineStr">
        <is>
          <t>国泰海通</t>
        </is>
      </c>
      <c r="H1765" s="172" t="inlineStr">
        <is>
          <t>申万宏源资管</t>
        </is>
      </c>
      <c r="I1765" s="172" t="inlineStr">
        <is>
          <t>光大北分</t>
        </is>
      </c>
      <c r="J1765" s="172" t="n">
        <v>5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>
        <f>Q1179*J1179</f>
        <v/>
      </c>
      <c r="S1765" s="172" t="inlineStr">
        <is>
          <t>AAA</t>
        </is>
      </c>
      <c r="T1765" s="175" t="n">
        <v>0.016</v>
      </c>
      <c r="U1765" s="172" t="inlineStr">
        <is>
          <t>国泰海通投行</t>
        </is>
      </c>
      <c r="V1765" s="193" t="n">
        <v>0.225</v>
      </c>
      <c r="W1765" s="172" t="n"/>
      <c r="X1765" s="172" t="n"/>
      <c r="Y1765" s="172" t="n"/>
    </row>
    <row r="1766">
      <c r="A1766" s="172" t="n">
        <v>98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金采8-6</t>
        </is>
      </c>
      <c r="F1766" s="172" t="inlineStr">
        <is>
          <t>上交所</t>
        </is>
      </c>
      <c r="G1766" s="172" t="inlineStr">
        <is>
          <t>国泰海通</t>
        </is>
      </c>
      <c r="H1766" s="172" t="inlineStr">
        <is>
          <t>申万宏源资管</t>
        </is>
      </c>
      <c r="I1766" s="172" t="inlineStr">
        <is>
          <t>光大北分</t>
        </is>
      </c>
      <c r="J1766" s="172" t="n">
        <v>5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>
        <f>Q1179*J1179</f>
        <v/>
      </c>
      <c r="S1766" s="172" t="inlineStr">
        <is>
          <t>AAA</t>
        </is>
      </c>
      <c r="T1766" s="175" t="n">
        <v>0.016</v>
      </c>
      <c r="U1766" s="172" t="inlineStr">
        <is>
          <t>申万宏源自营</t>
        </is>
      </c>
      <c r="V1766" s="191" t="n">
        <v>0.1</v>
      </c>
      <c r="W1766" s="172" t="n"/>
      <c r="X1766" s="172" t="n"/>
      <c r="Y1766" s="172" t="n"/>
    </row>
    <row r="1767">
      <c r="A1767" s="172" t="n">
        <v>98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金采8-6</t>
        </is>
      </c>
      <c r="F1767" s="172" t="inlineStr">
        <is>
          <t>上交所</t>
        </is>
      </c>
      <c r="G1767" s="172" t="inlineStr">
        <is>
          <t>国泰海通</t>
        </is>
      </c>
      <c r="H1767" s="172" t="inlineStr">
        <is>
          <t>申万宏源资管</t>
        </is>
      </c>
      <c r="I1767" s="172" t="inlineStr">
        <is>
          <t>光大北分</t>
        </is>
      </c>
      <c r="J1767" s="172" t="n">
        <v>5</v>
      </c>
      <c r="K1767" s="172" t="inlineStr">
        <is>
          <t>7+12</t>
        </is>
      </c>
      <c r="L1767" s="202" t="n">
        <v>46196</v>
      </c>
      <c r="M1767" s="175" t="n">
        <v>0.01488</v>
      </c>
      <c r="N1767" s="176" t="n">
        <v>0.0187</v>
      </c>
      <c r="O1767" s="191" t="n">
        <v>1.78</v>
      </c>
      <c r="P1767" s="172" t="inlineStr">
        <is>
          <t>优先级</t>
        </is>
      </c>
      <c r="Q1767" s="175" t="n">
        <v>0.9</v>
      </c>
      <c r="R1767" s="192">
        <f>Q1179*J1179</f>
        <v/>
      </c>
      <c r="S1767" s="172" t="inlineStr">
        <is>
          <t>AAA</t>
        </is>
      </c>
      <c r="T1767" s="175" t="n">
        <v>0.016</v>
      </c>
      <c r="U1767" s="172" t="inlineStr">
        <is>
          <t>华夏基金</t>
        </is>
      </c>
      <c r="V1767" s="191" t="n">
        <v>0.4</v>
      </c>
      <c r="W1767" s="172" t="n"/>
      <c r="X1767" s="172" t="n"/>
      <c r="Y1767" s="172" t="n"/>
    </row>
    <row r="1768">
      <c r="A1768" s="172" t="n">
        <v>98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金采8-6</t>
        </is>
      </c>
      <c r="F1768" s="172" t="inlineStr">
        <is>
          <t>上交所</t>
        </is>
      </c>
      <c r="G1768" s="172" t="inlineStr">
        <is>
          <t>国泰海通</t>
        </is>
      </c>
      <c r="H1768" s="172" t="inlineStr">
        <is>
          <t>申万宏源资管</t>
        </is>
      </c>
      <c r="I1768" s="172" t="inlineStr">
        <is>
          <t>光大北分</t>
        </is>
      </c>
      <c r="J1768" s="172" t="n">
        <v>5</v>
      </c>
      <c r="K1768" s="172" t="inlineStr">
        <is>
          <t>7+12</t>
        </is>
      </c>
      <c r="L1768" s="202" t="n">
        <v>46196</v>
      </c>
      <c r="M1768" s="175" t="n">
        <v>0.01488</v>
      </c>
      <c r="N1768" s="176" t="n">
        <v>0.0187</v>
      </c>
      <c r="O1768" s="191" t="n">
        <v>1.78</v>
      </c>
      <c r="P1768" s="172" t="inlineStr">
        <is>
          <t>优先级</t>
        </is>
      </c>
      <c r="Q1768" s="175" t="n">
        <v>0.9</v>
      </c>
      <c r="R1768" s="192">
        <f>Q1179*J1179</f>
        <v/>
      </c>
      <c r="S1768" s="172" t="inlineStr">
        <is>
          <t>AAA</t>
        </is>
      </c>
      <c r="T1768" s="175" t="n">
        <v>0.016</v>
      </c>
      <c r="U1768" s="172" t="inlineStr">
        <is>
          <t>交银理财</t>
        </is>
      </c>
      <c r="V1768" s="191" t="n">
        <v>1</v>
      </c>
      <c r="W1768" s="172" t="n"/>
      <c r="X1768" s="172" t="n"/>
      <c r="Y1768" s="172" t="n"/>
    </row>
    <row r="1769">
      <c r="A1769" s="172" t="n">
        <v>98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金采8-6</t>
        </is>
      </c>
      <c r="F1769" s="172" t="inlineStr">
        <is>
          <t>上交所</t>
        </is>
      </c>
      <c r="G1769" s="172" t="inlineStr">
        <is>
          <t>国泰海通</t>
        </is>
      </c>
      <c r="H1769" s="172" t="inlineStr">
        <is>
          <t>申万宏源资管</t>
        </is>
      </c>
      <c r="I1769" s="172" t="inlineStr">
        <is>
          <t>光大北分</t>
        </is>
      </c>
      <c r="J1769" s="172" t="n">
        <v>5</v>
      </c>
      <c r="K1769" s="172" t="inlineStr">
        <is>
          <t>7+12</t>
        </is>
      </c>
      <c r="L1769" s="202" t="n">
        <v>46196</v>
      </c>
      <c r="M1769" s="175" t="n">
        <v>0.01488</v>
      </c>
      <c r="N1769" s="176" t="n">
        <v>0.0187</v>
      </c>
      <c r="O1769" s="191" t="n">
        <v>1.78</v>
      </c>
      <c r="P1769" s="172" t="inlineStr">
        <is>
          <t>优先级</t>
        </is>
      </c>
      <c r="Q1769" s="175" t="n">
        <v>0.9</v>
      </c>
      <c r="R1769" s="192">
        <f>Q1179*J1179</f>
        <v/>
      </c>
      <c r="S1769" s="172" t="inlineStr">
        <is>
          <t>AAA</t>
        </is>
      </c>
      <c r="T1769" s="175" t="n">
        <v>0.016</v>
      </c>
      <c r="U1769" s="172" t="inlineStr">
        <is>
          <t>邦汇保理</t>
        </is>
      </c>
      <c r="V1769" s="193" t="n">
        <v>0.225</v>
      </c>
      <c r="W1769" s="172" t="n"/>
      <c r="X1769" s="172" t="n"/>
      <c r="Y1769" s="172" t="n"/>
    </row>
    <row r="1770">
      <c r="A1770" s="172" t="n">
        <v>98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金采8-6</t>
        </is>
      </c>
      <c r="F1770" s="172" t="inlineStr">
        <is>
          <t>上交所</t>
        </is>
      </c>
      <c r="G1770" s="172" t="inlineStr">
        <is>
          <t>国泰海通</t>
        </is>
      </c>
      <c r="H1770" s="172" t="inlineStr">
        <is>
          <t>申万宏源资管</t>
        </is>
      </c>
      <c r="I1770" s="172" t="inlineStr">
        <is>
          <t>光大北分</t>
        </is>
      </c>
      <c r="J1770" s="172" t="n">
        <v>5</v>
      </c>
      <c r="K1770" s="172" t="inlineStr">
        <is>
          <t>7+12</t>
        </is>
      </c>
      <c r="L1770" s="202" t="n">
        <v>46196</v>
      </c>
      <c r="M1770" s="175" t="n">
        <v>0.01488</v>
      </c>
      <c r="N1770" s="176" t="n">
        <v>0.0187</v>
      </c>
      <c r="O1770" s="191" t="n">
        <v>1.78</v>
      </c>
      <c r="P1770" s="172" t="inlineStr">
        <is>
          <t>中间级</t>
        </is>
      </c>
      <c r="Q1770" s="175" t="n">
        <v>0.05</v>
      </c>
      <c r="R1770" s="192">
        <f>Q1186*J1179</f>
        <v/>
      </c>
      <c r="S1770" s="175" t="inlineStr">
        <is>
          <t>AA</t>
        </is>
      </c>
      <c r="T1770" s="175" t="n">
        <v>0.031</v>
      </c>
      <c r="U1770" s="172" t="inlineStr">
        <is>
          <t>建信信托</t>
        </is>
      </c>
      <c r="V1770" s="201" t="n">
        <v>0.1375</v>
      </c>
      <c r="W1770" s="172" t="n"/>
      <c r="X1770" s="172" t="n"/>
      <c r="Y1770" s="172" t="n"/>
    </row>
    <row r="1771">
      <c r="A1771" s="172" t="n">
        <v>98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金采8-6</t>
        </is>
      </c>
      <c r="F1771" s="172" t="inlineStr">
        <is>
          <t>上交所</t>
        </is>
      </c>
      <c r="G1771" s="172" t="inlineStr">
        <is>
          <t>国泰海通</t>
        </is>
      </c>
      <c r="H1771" s="172" t="inlineStr">
        <is>
          <t>申万宏源资管</t>
        </is>
      </c>
      <c r="I1771" s="172" t="inlineStr">
        <is>
          <t>光大北分</t>
        </is>
      </c>
      <c r="J1771" s="172" t="n">
        <v>5</v>
      </c>
      <c r="K1771" s="172" t="inlineStr">
        <is>
          <t>7+12</t>
        </is>
      </c>
      <c r="L1771" s="202" t="n">
        <v>46196</v>
      </c>
      <c r="M1771" s="175" t="n">
        <v>0.01488</v>
      </c>
      <c r="N1771" s="176" t="n">
        <v>0.0187</v>
      </c>
      <c r="O1771" s="191" t="n">
        <v>1.78</v>
      </c>
      <c r="P1771" s="172" t="inlineStr">
        <is>
          <t>中间级</t>
        </is>
      </c>
      <c r="Q1771" s="175" t="n">
        <v>0.05</v>
      </c>
      <c r="R1771" s="192">
        <f>Q1186*J1179</f>
        <v/>
      </c>
      <c r="S1771" s="175" t="inlineStr">
        <is>
          <t>AA</t>
        </is>
      </c>
      <c r="T1771" s="175" t="n">
        <v>0.031</v>
      </c>
      <c r="U1771" s="172" t="inlineStr">
        <is>
          <t>中泰证券自营</t>
        </is>
      </c>
      <c r="V1771" s="191" t="n">
        <v>0.1</v>
      </c>
      <c r="W1771" s="172" t="n"/>
      <c r="X1771" s="172" t="n"/>
      <c r="Y1771" s="172" t="n"/>
    </row>
    <row r="1772">
      <c r="A1772" s="172" t="n">
        <v>98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金采8-6</t>
        </is>
      </c>
      <c r="F1772" s="172" t="inlineStr">
        <is>
          <t>上交所</t>
        </is>
      </c>
      <c r="G1772" s="172" t="inlineStr">
        <is>
          <t>国泰海通</t>
        </is>
      </c>
      <c r="H1772" s="172" t="inlineStr">
        <is>
          <t>申万宏源资管</t>
        </is>
      </c>
      <c r="I1772" s="172" t="inlineStr">
        <is>
          <t>光大北分</t>
        </is>
      </c>
      <c r="J1772" s="172" t="n">
        <v>5</v>
      </c>
      <c r="K1772" s="172" t="inlineStr">
        <is>
          <t>7+12</t>
        </is>
      </c>
      <c r="L1772" s="202" t="n">
        <v>46196</v>
      </c>
      <c r="M1772" s="175" t="n">
        <v>0.01488</v>
      </c>
      <c r="N1772" s="176" t="n">
        <v>0.0187</v>
      </c>
      <c r="O1772" s="191" t="n">
        <v>1.78</v>
      </c>
      <c r="P1772" s="172" t="inlineStr">
        <is>
          <t>中间级</t>
        </is>
      </c>
      <c r="Q1772" s="175" t="n">
        <v>0.05</v>
      </c>
      <c r="R1772" s="192">
        <f>Q1186*J1179</f>
        <v/>
      </c>
      <c r="S1772" s="175" t="inlineStr">
        <is>
          <t>AA</t>
        </is>
      </c>
      <c r="T1772" s="175" t="n">
        <v>0.031</v>
      </c>
      <c r="U1772" s="172" t="inlineStr">
        <is>
          <t>邦汇保理</t>
        </is>
      </c>
      <c r="V1772" s="201">
        <f>0.0125</f>
        <v/>
      </c>
      <c r="W1772" s="172" t="n"/>
      <c r="X1772" s="172" t="n"/>
      <c r="Y1772" s="172" t="n"/>
    </row>
    <row r="1773">
      <c r="A1773" s="172" t="n">
        <v>98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金采8-6</t>
        </is>
      </c>
      <c r="F1773" s="172" t="inlineStr">
        <is>
          <t>上交所</t>
        </is>
      </c>
      <c r="G1773" s="172" t="inlineStr">
        <is>
          <t>国泰海通</t>
        </is>
      </c>
      <c r="H1773" s="172" t="inlineStr">
        <is>
          <t>申万宏源资管</t>
        </is>
      </c>
      <c r="I1773" s="172" t="inlineStr">
        <is>
          <t>光大北分</t>
        </is>
      </c>
      <c r="J1773" s="172" t="n">
        <v>5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次级</t>
        </is>
      </c>
      <c r="Q1773" s="175" t="n">
        <v>0.05</v>
      </c>
      <c r="R1773" s="192">
        <f>J1179*Q1189</f>
        <v/>
      </c>
      <c r="S1773" s="175" t="inlineStr">
        <is>
          <t>无</t>
        </is>
      </c>
      <c r="T1773" s="175" t="n">
        <v>0.0455</v>
      </c>
      <c r="U1773" s="172" t="inlineStr">
        <is>
          <t>华宝证券资管</t>
        </is>
      </c>
      <c r="V1773" s="201" t="n">
        <v>0.2375</v>
      </c>
      <c r="W1773" s="172" t="n"/>
      <c r="X1773" s="172" t="n"/>
      <c r="Y1773" s="172" t="n"/>
    </row>
    <row r="1774">
      <c r="A1774" s="172" t="n">
        <v>98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金采8-6</t>
        </is>
      </c>
      <c r="F1774" s="172" t="inlineStr">
        <is>
          <t>上交所</t>
        </is>
      </c>
      <c r="G1774" s="172" t="inlineStr">
        <is>
          <t>国泰海通</t>
        </is>
      </c>
      <c r="H1774" s="172" t="inlineStr">
        <is>
          <t>申万宏源资管</t>
        </is>
      </c>
      <c r="I1774" s="172" t="inlineStr">
        <is>
          <t>光大北分</t>
        </is>
      </c>
      <c r="J1774" s="172" t="n">
        <v>5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次级</t>
        </is>
      </c>
      <c r="Q1774" s="175" t="n">
        <v>0.05</v>
      </c>
      <c r="R1774" s="192">
        <f>J1179*Q1189</f>
        <v/>
      </c>
      <c r="S1774" s="175" t="inlineStr">
        <is>
          <t>无</t>
        </is>
      </c>
      <c r="T1774" s="175" t="n">
        <v>0.0455</v>
      </c>
      <c r="U1774" s="172" t="inlineStr">
        <is>
          <t>邦汇保理</t>
        </is>
      </c>
      <c r="V1774" s="201">
        <f>0.25-0.2375</f>
        <v/>
      </c>
      <c r="W1774" s="172" t="n"/>
      <c r="X1774" s="172" t="n"/>
      <c r="Y1774" s="172" t="n"/>
    </row>
    <row r="1775">
      <c r="A1775" s="172" t="n">
        <v>99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动产质押</t>
        </is>
      </c>
      <c r="E1775" s="172" t="inlineStr">
        <is>
          <t>尚亦2-3</t>
        </is>
      </c>
      <c r="F1775" s="172" t="inlineStr">
        <is>
          <t>上交所</t>
        </is>
      </c>
      <c r="G1775" s="172" t="inlineStr">
        <is>
          <t>申万宏源资管</t>
        </is>
      </c>
      <c r="H1775" s="172" t="inlineStr">
        <is>
          <t>国联证券</t>
        </is>
      </c>
      <c r="I1775" s="172" t="inlineStr">
        <is>
          <t>光大重分</t>
        </is>
      </c>
      <c r="J1775" s="172" t="n">
        <v>5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0.0189</v>
      </c>
      <c r="O1775" s="191" t="n">
        <v>3.39</v>
      </c>
      <c r="P1775" s="172" t="inlineStr">
        <is>
          <t>优先A</t>
        </is>
      </c>
      <c r="Q1775" s="175" t="n">
        <v>0.86</v>
      </c>
      <c r="R1775" s="192">
        <f>Q1191*J1191</f>
        <v/>
      </c>
      <c r="S1775" s="172" t="inlineStr">
        <is>
          <t>AAA</t>
        </is>
      </c>
      <c r="T1775" s="175" t="n">
        <v>0.0162</v>
      </c>
      <c r="U1775" s="172" t="inlineStr">
        <is>
          <t>华夏理财</t>
        </is>
      </c>
      <c r="V1775" s="191" t="n">
        <v>0.52</v>
      </c>
      <c r="W1775" s="175" t="n">
        <v>0.0162</v>
      </c>
      <c r="X1775" s="172" t="inlineStr">
        <is>
          <t>华夏理财</t>
        </is>
      </c>
      <c r="Y1775" s="191" t="n">
        <v>1.2</v>
      </c>
    </row>
    <row r="1776">
      <c r="A1776" s="172" t="n">
        <v>99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动产质押</t>
        </is>
      </c>
      <c r="E1776" s="172" t="inlineStr">
        <is>
          <t>尚亦2-3</t>
        </is>
      </c>
      <c r="F1776" s="172" t="inlineStr">
        <is>
          <t>上交所</t>
        </is>
      </c>
      <c r="G1776" s="172" t="inlineStr">
        <is>
          <t>申万宏源资管</t>
        </is>
      </c>
      <c r="H1776" s="172" t="inlineStr">
        <is>
          <t>国联证券</t>
        </is>
      </c>
      <c r="I1776" s="172" t="inlineStr">
        <is>
          <t>光大重分</t>
        </is>
      </c>
      <c r="J1776" s="172" t="n">
        <v>5</v>
      </c>
      <c r="K1776" s="172" t="inlineStr">
        <is>
          <t>7+12</t>
        </is>
      </c>
      <c r="L1776" s="208" t="n">
        <v>46196</v>
      </c>
      <c r="M1776" s="175" t="n">
        <v>0.01488</v>
      </c>
      <c r="N1776" s="176" t="n">
        <v>0.0189</v>
      </c>
      <c r="O1776" s="172" t="n">
        <v>3.39</v>
      </c>
      <c r="P1776" s="172" t="inlineStr">
        <is>
          <t>优先A</t>
        </is>
      </c>
      <c r="Q1776" s="175" t="n">
        <v>0.86</v>
      </c>
      <c r="R1776" s="172">
        <f>Q1191*J1191</f>
        <v/>
      </c>
      <c r="S1776" s="172" t="inlineStr">
        <is>
          <t>AAA</t>
        </is>
      </c>
      <c r="T1776" s="175" t="n">
        <v>0.0162</v>
      </c>
      <c r="U1776" s="172" t="n"/>
      <c r="V1776" s="172" t="n"/>
      <c r="W1776" s="175" t="n">
        <v>0.017</v>
      </c>
      <c r="X1776" s="172" t="inlineStr">
        <is>
          <t>华夏理财</t>
        </is>
      </c>
      <c r="Y1776" s="191" t="n">
        <v>0.09</v>
      </c>
    </row>
    <row r="1777">
      <c r="A1777" s="172" t="n">
        <v>99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动产质押</t>
        </is>
      </c>
      <c r="E1777" s="172" t="inlineStr">
        <is>
          <t>尚亦2-3</t>
        </is>
      </c>
      <c r="F1777" s="172" t="inlineStr">
        <is>
          <t>上交所</t>
        </is>
      </c>
      <c r="G1777" s="172" t="inlineStr">
        <is>
          <t>申万宏源资管</t>
        </is>
      </c>
      <c r="H1777" s="172" t="inlineStr">
        <is>
          <t>国联证券</t>
        </is>
      </c>
      <c r="I1777" s="172" t="inlineStr">
        <is>
          <t>光大重分</t>
        </is>
      </c>
      <c r="J1777" s="172" t="n">
        <v>5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0.0189</v>
      </c>
      <c r="O1777" s="191" t="n">
        <v>3.39</v>
      </c>
      <c r="P1777" s="172" t="inlineStr">
        <is>
          <t>优先A</t>
        </is>
      </c>
      <c r="Q1777" s="175" t="n">
        <v>0.86</v>
      </c>
      <c r="R1777" s="192">
        <f>Q1191*J1191</f>
        <v/>
      </c>
      <c r="S1777" s="172" t="inlineStr">
        <is>
          <t>AAA</t>
        </is>
      </c>
      <c r="T1777" s="175" t="n">
        <v>0.0162</v>
      </c>
      <c r="U1777" s="172" t="inlineStr">
        <is>
          <t>招银理财</t>
        </is>
      </c>
      <c r="V1777" s="191" t="n">
        <v>1.29</v>
      </c>
      <c r="W1777" s="175" t="n">
        <v>0.0158</v>
      </c>
      <c r="X1777" s="172" t="inlineStr">
        <is>
          <t>招银理财</t>
        </is>
      </c>
      <c r="Y1777" s="191" t="n">
        <v>1.2</v>
      </c>
    </row>
    <row r="1778">
      <c r="A1778" s="172" t="n">
        <v>99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动产质押</t>
        </is>
      </c>
      <c r="E1778" s="172" t="inlineStr">
        <is>
          <t>尚亦2-3</t>
        </is>
      </c>
      <c r="F1778" s="172" t="inlineStr">
        <is>
          <t>上交所</t>
        </is>
      </c>
      <c r="G1778" s="172" t="inlineStr">
        <is>
          <t>申万宏源资管</t>
        </is>
      </c>
      <c r="H1778" s="172" t="inlineStr">
        <is>
          <t>国联证券</t>
        </is>
      </c>
      <c r="I1778" s="172" t="inlineStr">
        <is>
          <t>光大重分</t>
        </is>
      </c>
      <c r="J1778" s="172" t="n">
        <v>5</v>
      </c>
      <c r="K1778" s="172" t="inlineStr">
        <is>
          <t>7+12</t>
        </is>
      </c>
      <c r="L1778" s="208" t="n">
        <v>46196</v>
      </c>
      <c r="M1778" s="175" t="n">
        <v>0.01488</v>
      </c>
      <c r="N1778" s="176" t="n">
        <v>0.0189</v>
      </c>
      <c r="O1778" s="172" t="n">
        <v>3.39</v>
      </c>
      <c r="P1778" s="172" t="inlineStr">
        <is>
          <t>优先A</t>
        </is>
      </c>
      <c r="Q1778" s="175" t="n">
        <v>0.86</v>
      </c>
      <c r="R1778" s="172">
        <f>Q1191*J1191</f>
        <v/>
      </c>
      <c r="S1778" s="172" t="inlineStr">
        <is>
          <t>AAA</t>
        </is>
      </c>
      <c r="T1778" s="175" t="n">
        <v>0.0162</v>
      </c>
      <c r="U1778" s="172" t="n"/>
      <c r="V1778" s="172" t="n"/>
      <c r="W1778" s="175" t="n">
        <v>0.0159</v>
      </c>
      <c r="X1778" s="172" t="inlineStr">
        <is>
          <t>招银理财</t>
        </is>
      </c>
      <c r="Y1778" s="191" t="n">
        <v>0.09</v>
      </c>
    </row>
    <row r="1779">
      <c r="A1779" s="172" t="n">
        <v>99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动产质押</t>
        </is>
      </c>
      <c r="E1779" s="172" t="inlineStr">
        <is>
          <t>尚亦2-3</t>
        </is>
      </c>
      <c r="F1779" s="172" t="inlineStr">
        <is>
          <t>上交所</t>
        </is>
      </c>
      <c r="G1779" s="172" t="inlineStr">
        <is>
          <t>申万宏源资管</t>
        </is>
      </c>
      <c r="H1779" s="172" t="inlineStr">
        <is>
          <t>国联证券</t>
        </is>
      </c>
      <c r="I1779" s="172" t="inlineStr">
        <is>
          <t>光大重分</t>
        </is>
      </c>
      <c r="J1779" s="172" t="n">
        <v>5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0.0189</v>
      </c>
      <c r="O1779" s="191" t="n">
        <v>3.39</v>
      </c>
      <c r="P1779" s="172" t="inlineStr">
        <is>
          <t>优先A</t>
        </is>
      </c>
      <c r="Q1779" s="175" t="n">
        <v>0.86</v>
      </c>
      <c r="R1779" s="192">
        <f>Q1191*J1191</f>
        <v/>
      </c>
      <c r="S1779" s="172" t="inlineStr">
        <is>
          <t>AAA</t>
        </is>
      </c>
      <c r="T1779" s="175" t="n">
        <v>0.0162</v>
      </c>
      <c r="U1779" s="172" t="inlineStr">
        <is>
          <t>建信信托</t>
        </is>
      </c>
      <c r="V1779" s="191" t="n">
        <v>1.2</v>
      </c>
      <c r="W1779" s="175" t="n">
        <v>0.016</v>
      </c>
      <c r="X1779" s="172" t="inlineStr">
        <is>
          <t>建信信托</t>
        </is>
      </c>
      <c r="Y1779" s="191" t="n">
        <v>1.2</v>
      </c>
    </row>
    <row r="1780">
      <c r="A1780" s="172" t="n">
        <v>99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动产质押</t>
        </is>
      </c>
      <c r="E1780" s="172" t="inlineStr">
        <is>
          <t>尚亦2-3</t>
        </is>
      </c>
      <c r="F1780" s="172" t="inlineStr">
        <is>
          <t>上交所</t>
        </is>
      </c>
      <c r="G1780" s="172" t="inlineStr">
        <is>
          <t>申万宏源资管</t>
        </is>
      </c>
      <c r="H1780" s="172" t="inlineStr">
        <is>
          <t>国联证券</t>
        </is>
      </c>
      <c r="I1780" s="172" t="inlineStr">
        <is>
          <t>光大重分</t>
        </is>
      </c>
      <c r="J1780" s="172" t="n">
        <v>5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0.0189</v>
      </c>
      <c r="O1780" s="191" t="n">
        <v>3.39</v>
      </c>
      <c r="P1780" s="172" t="inlineStr">
        <is>
          <t>优先A</t>
        </is>
      </c>
      <c r="Q1780" s="175" t="n">
        <v>0.86</v>
      </c>
      <c r="R1780" s="192">
        <f>Q1191*J1191</f>
        <v/>
      </c>
      <c r="S1780" s="172" t="inlineStr">
        <is>
          <t>AAA</t>
        </is>
      </c>
      <c r="T1780" s="175" t="n">
        <v>0.0162</v>
      </c>
      <c r="U1780" s="172" t="inlineStr">
        <is>
          <t>中邮理财</t>
        </is>
      </c>
      <c r="V1780" s="191" t="n">
        <v>1.29</v>
      </c>
      <c r="W1780" s="175" t="n">
        <v>0.016</v>
      </c>
      <c r="X1780" s="172" t="inlineStr">
        <is>
          <t>中邮理财</t>
        </is>
      </c>
      <c r="Y1780" s="191" t="n">
        <v>1.29</v>
      </c>
    </row>
    <row r="1781">
      <c r="A1781" s="172" t="n">
        <v>99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动产质押</t>
        </is>
      </c>
      <c r="E1781" s="172" t="inlineStr">
        <is>
          <t>尚亦2-3</t>
        </is>
      </c>
      <c r="F1781" s="172" t="inlineStr">
        <is>
          <t>上交所</t>
        </is>
      </c>
      <c r="G1781" s="172" t="inlineStr">
        <is>
          <t>申万宏源资管</t>
        </is>
      </c>
      <c r="H1781" s="172" t="inlineStr">
        <is>
          <t>国联证券</t>
        </is>
      </c>
      <c r="I1781" s="172" t="inlineStr">
        <is>
          <t>光大重分</t>
        </is>
      </c>
      <c r="J1781" s="172" t="n">
        <v>5</v>
      </c>
      <c r="K1781" s="172" t="inlineStr">
        <is>
          <t>7+12</t>
        </is>
      </c>
      <c r="L1781" s="208" t="n">
        <v>46196</v>
      </c>
      <c r="M1781" s="175" t="n">
        <v>0.01488</v>
      </c>
      <c r="N1781" s="176" t="n">
        <v>0.0189</v>
      </c>
      <c r="O1781" s="172" t="n">
        <v>3.39</v>
      </c>
      <c r="P1781" s="172" t="inlineStr">
        <is>
          <t>优先A</t>
        </is>
      </c>
      <c r="Q1781" s="175" t="n">
        <v>0.86</v>
      </c>
      <c r="R1781" s="172">
        <f>Q1191*J1191</f>
        <v/>
      </c>
      <c r="S1781" s="172" t="inlineStr">
        <is>
          <t>AAA</t>
        </is>
      </c>
      <c r="T1781" s="175" t="n">
        <v>0.0162</v>
      </c>
      <c r="U1781" s="172" t="n"/>
      <c r="V1781" s="172" t="n"/>
      <c r="W1781" s="175" t="n">
        <v>0.0164</v>
      </c>
      <c r="X1781" s="172" t="inlineStr">
        <is>
          <t>易方达基金</t>
        </is>
      </c>
      <c r="Y1781" s="191" t="n">
        <v>0.4</v>
      </c>
    </row>
    <row r="1782">
      <c r="A1782" s="172" t="n">
        <v>99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动产质押</t>
        </is>
      </c>
      <c r="E1782" s="172" t="inlineStr">
        <is>
          <t>尚亦2-3</t>
        </is>
      </c>
      <c r="F1782" s="172" t="inlineStr">
        <is>
          <t>上交所</t>
        </is>
      </c>
      <c r="G1782" s="172" t="inlineStr">
        <is>
          <t>申万宏源资管</t>
        </is>
      </c>
      <c r="H1782" s="172" t="inlineStr">
        <is>
          <t>国联证券</t>
        </is>
      </c>
      <c r="I1782" s="172" t="inlineStr">
        <is>
          <t>光大重分</t>
        </is>
      </c>
      <c r="J1782" s="172" t="n">
        <v>5</v>
      </c>
      <c r="K1782" s="172" t="inlineStr">
        <is>
          <t>7+12</t>
        </is>
      </c>
      <c r="L1782" s="208" t="n">
        <v>46196</v>
      </c>
      <c r="M1782" s="175" t="n">
        <v>0.01488</v>
      </c>
      <c r="N1782" s="176" t="n">
        <v>0.0189</v>
      </c>
      <c r="O1782" s="172" t="n">
        <v>3.39</v>
      </c>
      <c r="P1782" s="172" t="inlineStr">
        <is>
          <t>优先A</t>
        </is>
      </c>
      <c r="Q1782" s="175" t="n">
        <v>0.86</v>
      </c>
      <c r="R1782" s="172">
        <f>Q1191*J1191</f>
        <v/>
      </c>
      <c r="S1782" s="172" t="inlineStr">
        <is>
          <t>AAA</t>
        </is>
      </c>
      <c r="T1782" s="175" t="n">
        <v>0.0162</v>
      </c>
      <c r="U1782" s="172" t="n"/>
      <c r="V1782" s="172" t="n"/>
      <c r="W1782" s="175" t="n">
        <v>0.017</v>
      </c>
      <c r="X1782" s="172" t="inlineStr">
        <is>
          <t>中金自营</t>
        </is>
      </c>
      <c r="Y1782" s="191" t="n">
        <v>0.4</v>
      </c>
    </row>
    <row r="1783">
      <c r="A1783" s="172" t="n">
        <v>99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动产质押</t>
        </is>
      </c>
      <c r="E1783" s="172" t="inlineStr">
        <is>
          <t>尚亦2-3</t>
        </is>
      </c>
      <c r="F1783" s="172" t="inlineStr">
        <is>
          <t>上交所</t>
        </is>
      </c>
      <c r="G1783" s="172" t="inlineStr">
        <is>
          <t>申万宏源资管</t>
        </is>
      </c>
      <c r="H1783" s="172" t="inlineStr">
        <is>
          <t>国联证券</t>
        </is>
      </c>
      <c r="I1783" s="172" t="inlineStr">
        <is>
          <t>光大重分</t>
        </is>
      </c>
      <c r="J1783" s="172" t="n">
        <v>5</v>
      </c>
      <c r="K1783" s="172" t="inlineStr">
        <is>
          <t>7+12</t>
        </is>
      </c>
      <c r="L1783" s="208" t="n">
        <v>46196</v>
      </c>
      <c r="M1783" s="175" t="n">
        <v>0.01488</v>
      </c>
      <c r="N1783" s="176" t="n">
        <v>0.0189</v>
      </c>
      <c r="O1783" s="172" t="n">
        <v>3.39</v>
      </c>
      <c r="P1783" s="172" t="inlineStr">
        <is>
          <t>优先A</t>
        </is>
      </c>
      <c r="Q1783" s="175" t="n">
        <v>0.86</v>
      </c>
      <c r="R1783" s="172">
        <f>Q1191*J1191</f>
        <v/>
      </c>
      <c r="S1783" s="172" t="inlineStr">
        <is>
          <t>AAA</t>
        </is>
      </c>
      <c r="T1783" s="175" t="n">
        <v>0.0162</v>
      </c>
      <c r="U1783" s="172" t="n"/>
      <c r="V1783" s="172" t="n"/>
      <c r="W1783" s="175" t="n">
        <v>0.0175</v>
      </c>
      <c r="X1783" s="172" t="inlineStr">
        <is>
          <t>广银理财</t>
        </is>
      </c>
      <c r="Y1783" s="191" t="n">
        <v>0.5</v>
      </c>
    </row>
    <row r="1784">
      <c r="A1784" s="172" t="n">
        <v>99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动产质押</t>
        </is>
      </c>
      <c r="E1784" s="172" t="inlineStr">
        <is>
          <t>尚亦2-3</t>
        </is>
      </c>
      <c r="F1784" s="172" t="inlineStr">
        <is>
          <t>上交所</t>
        </is>
      </c>
      <c r="G1784" s="172" t="inlineStr">
        <is>
          <t>申万宏源资管</t>
        </is>
      </c>
      <c r="H1784" s="172" t="inlineStr">
        <is>
          <t>国联证券</t>
        </is>
      </c>
      <c r="I1784" s="172" t="inlineStr">
        <is>
          <t>光大重分</t>
        </is>
      </c>
      <c r="J1784" s="172" t="n">
        <v>5</v>
      </c>
      <c r="K1784" s="172" t="inlineStr">
        <is>
          <t>7+12</t>
        </is>
      </c>
      <c r="L1784" s="208" t="n">
        <v>46196</v>
      </c>
      <c r="M1784" s="175" t="n">
        <v>0.01488</v>
      </c>
      <c r="N1784" s="176" t="n">
        <v>0.0189</v>
      </c>
      <c r="O1784" s="172" t="n">
        <v>3.39</v>
      </c>
      <c r="P1784" s="172" t="inlineStr">
        <is>
          <t>优先A</t>
        </is>
      </c>
      <c r="Q1784" s="175" t="n">
        <v>0.86</v>
      </c>
      <c r="R1784" s="172">
        <f>Q1191*J1191</f>
        <v/>
      </c>
      <c r="S1784" s="172" t="inlineStr">
        <is>
          <t>AAA</t>
        </is>
      </c>
      <c r="T1784" s="175" t="n">
        <v>0.0162</v>
      </c>
      <c r="U1784" s="172" t="n"/>
      <c r="V1784" s="172" t="n"/>
      <c r="W1784" s="175" t="n">
        <v>0.018</v>
      </c>
      <c r="X1784" s="172" t="inlineStr">
        <is>
          <t>申万宏源资管</t>
        </is>
      </c>
      <c r="Y1784" s="191" t="n">
        <v>0.68</v>
      </c>
    </row>
    <row r="1785">
      <c r="A1785" s="172" t="n">
        <v>99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动产质押</t>
        </is>
      </c>
      <c r="E1785" s="172" t="inlineStr">
        <is>
          <t>尚亦2-3</t>
        </is>
      </c>
      <c r="F1785" s="172" t="inlineStr">
        <is>
          <t>上交所</t>
        </is>
      </c>
      <c r="G1785" s="172" t="inlineStr">
        <is>
          <t>申万宏源资管</t>
        </is>
      </c>
      <c r="H1785" s="172" t="inlineStr">
        <is>
          <t>国联证券</t>
        </is>
      </c>
      <c r="I1785" s="172" t="inlineStr">
        <is>
          <t>光大重分</t>
        </is>
      </c>
      <c r="J1785" s="172" t="n">
        <v>5</v>
      </c>
      <c r="K1785" s="172" t="inlineStr">
        <is>
          <t>7+12</t>
        </is>
      </c>
      <c r="L1785" s="208" t="n">
        <v>46196</v>
      </c>
      <c r="M1785" s="175" t="n">
        <v>0.01488</v>
      </c>
      <c r="N1785" s="176" t="n">
        <v>0.0189</v>
      </c>
      <c r="O1785" s="172" t="n">
        <v>3.39</v>
      </c>
      <c r="P1785" s="172" t="inlineStr">
        <is>
          <t>优先A</t>
        </is>
      </c>
      <c r="Q1785" s="175" t="n">
        <v>0.86</v>
      </c>
      <c r="R1785" s="172">
        <f>Q1191*J1191</f>
        <v/>
      </c>
      <c r="S1785" s="172" t="inlineStr">
        <is>
          <t>AAA</t>
        </is>
      </c>
      <c r="T1785" s="175" t="n">
        <v>0.0162</v>
      </c>
      <c r="U1785" s="172" t="n"/>
      <c r="V1785" s="172" t="n"/>
      <c r="W1785" s="175" t="n">
        <v>0.018</v>
      </c>
      <c r="X1785" s="172" t="inlineStr">
        <is>
          <t>东方财富证券</t>
        </is>
      </c>
      <c r="Y1785" s="191" t="n">
        <v>0.2</v>
      </c>
    </row>
    <row r="1786">
      <c r="A1786" s="172" t="n">
        <v>99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动产质押</t>
        </is>
      </c>
      <c r="E1786" s="172" t="inlineStr">
        <is>
          <t>尚亦2-3</t>
        </is>
      </c>
      <c r="F1786" s="172" t="inlineStr">
        <is>
          <t>上交所</t>
        </is>
      </c>
      <c r="G1786" s="172" t="inlineStr">
        <is>
          <t>申万宏源资管</t>
        </is>
      </c>
      <c r="H1786" s="172" t="inlineStr">
        <is>
          <t>国联证券</t>
        </is>
      </c>
      <c r="I1786" s="172" t="inlineStr">
        <is>
          <t>光大重分</t>
        </is>
      </c>
      <c r="J1786" s="172" t="n">
        <v>5</v>
      </c>
      <c r="K1786" s="172" t="inlineStr">
        <is>
          <t>7+12</t>
        </is>
      </c>
      <c r="L1786" s="208" t="n">
        <v>46196</v>
      </c>
      <c r="M1786" s="175" t="n">
        <v>0.01488</v>
      </c>
      <c r="N1786" s="176" t="n">
        <v>0.0189</v>
      </c>
      <c r="O1786" s="172" t="n">
        <v>3.39</v>
      </c>
      <c r="P1786" s="172" t="inlineStr">
        <is>
          <t>优先A</t>
        </is>
      </c>
      <c r="Q1786" s="175" t="n">
        <v>0.86</v>
      </c>
      <c r="R1786" s="172">
        <f>Q1191*J1191</f>
        <v/>
      </c>
      <c r="S1786" s="172" t="inlineStr">
        <is>
          <t>AAA</t>
        </is>
      </c>
      <c r="T1786" s="175" t="n">
        <v>0.0162</v>
      </c>
      <c r="U1786" s="172" t="n"/>
      <c r="V1786" s="172" t="n"/>
      <c r="W1786" s="175" t="n">
        <v>0.018</v>
      </c>
      <c r="X1786" s="172" t="inlineStr">
        <is>
          <t>国联证券</t>
        </is>
      </c>
      <c r="Y1786" s="191" t="n">
        <v>0.68</v>
      </c>
    </row>
    <row r="1787">
      <c r="A1787" s="172" t="n">
        <v>99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动产质押</t>
        </is>
      </c>
      <c r="E1787" s="172" t="inlineStr">
        <is>
          <t>尚亦2-3</t>
        </is>
      </c>
      <c r="F1787" s="172" t="inlineStr">
        <is>
          <t>上交所</t>
        </is>
      </c>
      <c r="G1787" s="172" t="inlineStr">
        <is>
          <t>申万宏源资管</t>
        </is>
      </c>
      <c r="H1787" s="172" t="inlineStr">
        <is>
          <t>国联证券</t>
        </is>
      </c>
      <c r="I1787" s="172" t="inlineStr">
        <is>
          <t>光大重分</t>
        </is>
      </c>
      <c r="J1787" s="172" t="n">
        <v>5</v>
      </c>
      <c r="K1787" s="172" t="inlineStr">
        <is>
          <t>7+12</t>
        </is>
      </c>
      <c r="L1787" s="208" t="n">
        <v>46196</v>
      </c>
      <c r="M1787" s="175" t="n">
        <v>0.01488</v>
      </c>
      <c r="N1787" s="176" t="n">
        <v>0.0189</v>
      </c>
      <c r="O1787" s="172" t="n">
        <v>3.39</v>
      </c>
      <c r="P1787" s="172" t="inlineStr">
        <is>
          <t>优先A</t>
        </is>
      </c>
      <c r="Q1787" s="175" t="n">
        <v>0.86</v>
      </c>
      <c r="R1787" s="172">
        <f>Q1191*J1191</f>
        <v/>
      </c>
      <c r="S1787" s="172" t="inlineStr">
        <is>
          <t>AAA</t>
        </is>
      </c>
      <c r="T1787" s="175" t="n">
        <v>0.0162</v>
      </c>
      <c r="U1787" s="172" t="n"/>
      <c r="V1787" s="172" t="n"/>
      <c r="W1787" s="175" t="n">
        <v>0.019</v>
      </c>
      <c r="X1787" s="172" t="inlineStr">
        <is>
          <t>中金投顾</t>
        </is>
      </c>
      <c r="Y1787" s="191" t="n">
        <v>0.5</v>
      </c>
    </row>
    <row r="1788">
      <c r="A1788" s="172" t="n">
        <v>99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动产质押</t>
        </is>
      </c>
      <c r="E1788" s="172" t="inlineStr">
        <is>
          <t>尚亦2-3</t>
        </is>
      </c>
      <c r="F1788" s="172" t="inlineStr">
        <is>
          <t>上交所</t>
        </is>
      </c>
      <c r="G1788" s="172" t="inlineStr">
        <is>
          <t>申万宏源资管</t>
        </is>
      </c>
      <c r="H1788" s="172" t="inlineStr">
        <is>
          <t>国联证券</t>
        </is>
      </c>
      <c r="I1788" s="172" t="inlineStr">
        <is>
          <t>光大重分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0.0189</v>
      </c>
      <c r="O1788" s="172" t="n">
        <v>3.39</v>
      </c>
      <c r="P1788" s="172" t="inlineStr">
        <is>
          <t>优先A</t>
        </is>
      </c>
      <c r="Q1788" s="175" t="n">
        <v>0.86</v>
      </c>
      <c r="R1788" s="172">
        <f>Q1191*J1191</f>
        <v/>
      </c>
      <c r="S1788" s="172" t="inlineStr">
        <is>
          <t>AAA</t>
        </is>
      </c>
      <c r="T1788" s="175" t="n">
        <v>0.0162</v>
      </c>
      <c r="U1788" s="172" t="n"/>
      <c r="V1788" s="172" t="n"/>
      <c r="W1788" s="175" t="n">
        <v>0.02</v>
      </c>
      <c r="X1788" s="172" t="inlineStr">
        <is>
          <t>建投机构部</t>
        </is>
      </c>
      <c r="Y1788" s="191" t="n">
        <v>0.6</v>
      </c>
    </row>
    <row r="1789">
      <c r="A1789" s="172" t="n">
        <v>99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动产质押</t>
        </is>
      </c>
      <c r="E1789" s="172" t="inlineStr">
        <is>
          <t>尚亦2-3</t>
        </is>
      </c>
      <c r="F1789" s="172" t="inlineStr">
        <is>
          <t>上交所</t>
        </is>
      </c>
      <c r="G1789" s="172" t="inlineStr">
        <is>
          <t>申万宏源资管</t>
        </is>
      </c>
      <c r="H1789" s="172" t="inlineStr">
        <is>
          <t>国联证券</t>
        </is>
      </c>
      <c r="I1789" s="172" t="inlineStr">
        <is>
          <t>光大重分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0.0189</v>
      </c>
      <c r="O1789" s="172" t="n">
        <v>3.39</v>
      </c>
      <c r="P1789" s="172" t="inlineStr">
        <is>
          <t>优先A</t>
        </is>
      </c>
      <c r="Q1789" s="175" t="n">
        <v>0.86</v>
      </c>
      <c r="R1789" s="172">
        <f>Q1191*J1191</f>
        <v/>
      </c>
      <c r="S1789" s="172" t="inlineStr">
        <is>
          <t>AAA</t>
        </is>
      </c>
      <c r="T1789" s="175" t="n">
        <v>0.0162</v>
      </c>
      <c r="U1789" s="172" t="n"/>
      <c r="V1789" s="172" t="n"/>
      <c r="W1789" s="175" t="n">
        <v>0.023</v>
      </c>
      <c r="X1789" s="172" t="inlineStr">
        <is>
          <t>信达证券</t>
        </is>
      </c>
      <c r="Y1789" s="191" t="n">
        <v>0.8</v>
      </c>
    </row>
    <row r="1790">
      <c r="A1790" s="172" t="n">
        <v>99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动产质押</t>
        </is>
      </c>
      <c r="E1790" s="172" t="inlineStr">
        <is>
          <t>尚亦2-3</t>
        </is>
      </c>
      <c r="F1790" s="172" t="inlineStr">
        <is>
          <t>上交所</t>
        </is>
      </c>
      <c r="G1790" s="172" t="inlineStr">
        <is>
          <t>申万宏源资管</t>
        </is>
      </c>
      <c r="H1790" s="172" t="inlineStr">
        <is>
          <t>国联证券</t>
        </is>
      </c>
      <c r="I1790" s="172" t="inlineStr">
        <is>
          <t>光大重分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0.0189</v>
      </c>
      <c r="O1790" s="172" t="n">
        <v>3.39</v>
      </c>
      <c r="P1790" s="172" t="inlineStr">
        <is>
          <t>优先A</t>
        </is>
      </c>
      <c r="Q1790" s="175" t="n">
        <v>0.86</v>
      </c>
      <c r="R1790" s="172">
        <f>Q1191*J1191</f>
        <v/>
      </c>
      <c r="S1790" s="172" t="inlineStr">
        <is>
          <t>AAA</t>
        </is>
      </c>
      <c r="T1790" s="175" t="n">
        <v>0.0162</v>
      </c>
      <c r="U1790" s="172" t="n"/>
      <c r="V1790" s="172" t="n"/>
      <c r="W1790" s="175" t="n">
        <v>0.024</v>
      </c>
      <c r="X1790" s="172" t="inlineStr">
        <is>
          <t>上海利曦私募基金管理合伙企业</t>
        </is>
      </c>
      <c r="Y1790" s="191" t="n">
        <v>1.5</v>
      </c>
    </row>
    <row r="1791">
      <c r="A1791" s="172" t="n">
        <v>99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动产质押</t>
        </is>
      </c>
      <c r="E1791" s="172" t="inlineStr">
        <is>
          <t>尚亦2-3</t>
        </is>
      </c>
      <c r="F1791" s="172" t="inlineStr">
        <is>
          <t>上交所</t>
        </is>
      </c>
      <c r="G1791" s="172" t="inlineStr">
        <is>
          <t>申万宏源资管</t>
        </is>
      </c>
      <c r="H1791" s="172" t="inlineStr">
        <is>
          <t>国联证券</t>
        </is>
      </c>
      <c r="I1791" s="172" t="inlineStr">
        <is>
          <t>光大重分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0.0189</v>
      </c>
      <c r="O1791" s="172" t="n">
        <v>3.39</v>
      </c>
      <c r="P1791" s="172" t="inlineStr">
        <is>
          <t>优先A</t>
        </is>
      </c>
      <c r="Q1791" s="175" t="n">
        <v>0.86</v>
      </c>
      <c r="R1791" s="172">
        <f>Q1191*J1191</f>
        <v/>
      </c>
      <c r="S1791" s="172" t="inlineStr">
        <is>
          <t>AAA</t>
        </is>
      </c>
      <c r="T1791" s="175" t="n">
        <v>0.0162</v>
      </c>
      <c r="U1791" s="172" t="n"/>
      <c r="V1791" s="172" t="n"/>
      <c r="W1791" s="175" t="n">
        <v>0.024</v>
      </c>
      <c r="X1791" s="172" t="inlineStr">
        <is>
          <t>中信建投证券</t>
        </is>
      </c>
      <c r="Y1791" s="191" t="n">
        <v>1.5</v>
      </c>
    </row>
    <row r="1792">
      <c r="A1792" s="172" t="n">
        <v>99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动产质押</t>
        </is>
      </c>
      <c r="E1792" s="172" t="inlineStr">
        <is>
          <t>尚亦2-3</t>
        </is>
      </c>
      <c r="F1792" s="172" t="inlineStr">
        <is>
          <t>上交所</t>
        </is>
      </c>
      <c r="G1792" s="172" t="inlineStr">
        <is>
          <t>申万宏源资管</t>
        </is>
      </c>
      <c r="H1792" s="172" t="inlineStr">
        <is>
          <t>国联证券</t>
        </is>
      </c>
      <c r="I1792" s="172" t="inlineStr">
        <is>
          <t>光大重分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0.0189</v>
      </c>
      <c r="O1792" s="172" t="n">
        <v>3.39</v>
      </c>
      <c r="P1792" s="172" t="inlineStr">
        <is>
          <t>优先A</t>
        </is>
      </c>
      <c r="Q1792" s="175" t="n">
        <v>0.86</v>
      </c>
      <c r="R1792" s="172">
        <f>Q1191*J1191</f>
        <v/>
      </c>
      <c r="S1792" s="172" t="inlineStr">
        <is>
          <t>AAA</t>
        </is>
      </c>
      <c r="T1792" s="175" t="n">
        <v>0.0162</v>
      </c>
      <c r="U1792" s="172" t="n"/>
      <c r="V1792" s="172" t="n"/>
      <c r="W1792" s="175" t="n">
        <v>0.024</v>
      </c>
      <c r="X1792" s="172" t="inlineStr">
        <is>
          <t>建投衍生品</t>
        </is>
      </c>
      <c r="Y1792" s="191" t="n">
        <v>1</v>
      </c>
    </row>
    <row r="1793">
      <c r="A1793" s="172" t="n">
        <v>99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动产质押</t>
        </is>
      </c>
      <c r="E1793" s="172" t="inlineStr">
        <is>
          <t>尚亦2-3</t>
        </is>
      </c>
      <c r="F1793" s="172" t="inlineStr">
        <is>
          <t>上交所</t>
        </is>
      </c>
      <c r="G1793" s="172" t="inlineStr">
        <is>
          <t>申万宏源资管</t>
        </is>
      </c>
      <c r="H1793" s="172" t="inlineStr">
        <is>
          <t>国联证券</t>
        </is>
      </c>
      <c r="I1793" s="172" t="inlineStr">
        <is>
          <t>光大重分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0.0189</v>
      </c>
      <c r="O1793" s="172" t="n">
        <v>3.39</v>
      </c>
      <c r="P1793" s="172" t="inlineStr">
        <is>
          <t>优先A</t>
        </is>
      </c>
      <c r="Q1793" s="175" t="n">
        <v>0.86</v>
      </c>
      <c r="R1793" s="172">
        <f>Q1191*J1191</f>
        <v/>
      </c>
      <c r="S1793" s="172" t="inlineStr">
        <is>
          <t>AAA</t>
        </is>
      </c>
      <c r="T1793" s="175" t="n">
        <v>0.0162</v>
      </c>
      <c r="U1793" s="172" t="n"/>
      <c r="V1793" s="172" t="n"/>
      <c r="W1793" s="175" t="n">
        <v>0.024</v>
      </c>
      <c r="X1793" s="172" t="inlineStr">
        <is>
          <t>国信证券</t>
        </is>
      </c>
      <c r="Y1793" s="191" t="n">
        <v>0.75</v>
      </c>
    </row>
    <row r="1794">
      <c r="A1794" s="172" t="n">
        <v>99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动产质押</t>
        </is>
      </c>
      <c r="E1794" s="172" t="inlineStr">
        <is>
          <t>尚亦2-3</t>
        </is>
      </c>
      <c r="F1794" s="172" t="inlineStr">
        <is>
          <t>上交所</t>
        </is>
      </c>
      <c r="G1794" s="172" t="inlineStr">
        <is>
          <t>申万宏源资管</t>
        </is>
      </c>
      <c r="H1794" s="172" t="inlineStr">
        <is>
          <t>国联证券</t>
        </is>
      </c>
      <c r="I1794" s="172" t="inlineStr">
        <is>
          <t>光大重分</t>
        </is>
      </c>
      <c r="J1794" s="172" t="n">
        <v>5</v>
      </c>
      <c r="K1794" s="172" t="inlineStr">
        <is>
          <t>7+12</t>
        </is>
      </c>
      <c r="L1794" s="202" t="n">
        <v>46196</v>
      </c>
      <c r="M1794" s="175" t="n">
        <v>0.01488</v>
      </c>
      <c r="N1794" s="176" t="n">
        <v>0.0189</v>
      </c>
      <c r="O1794" s="191" t="n">
        <v>3.39</v>
      </c>
      <c r="P1794" s="172" t="inlineStr">
        <is>
          <t>优先B</t>
        </is>
      </c>
      <c r="Q1794" s="175" t="n">
        <v>0.04</v>
      </c>
      <c r="R1794" s="192">
        <f>J1191*Q1195</f>
        <v/>
      </c>
      <c r="S1794" s="175" t="inlineStr">
        <is>
          <t>AA+</t>
        </is>
      </c>
      <c r="T1794" s="175" t="n">
        <v>0.017</v>
      </c>
      <c r="U1794" s="172" t="inlineStr">
        <is>
          <t>中金财富</t>
        </is>
      </c>
      <c r="V1794" s="191" t="n">
        <v>0.14</v>
      </c>
      <c r="W1794" s="175" t="n">
        <v>0.017</v>
      </c>
      <c r="X1794" s="172" t="inlineStr">
        <is>
          <t>中金财富证券</t>
        </is>
      </c>
      <c r="Y1794" s="191" t="n">
        <v>0.14</v>
      </c>
    </row>
    <row r="1795">
      <c r="A1795" s="172" t="n">
        <v>99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动产质押</t>
        </is>
      </c>
      <c r="E1795" s="172" t="inlineStr">
        <is>
          <t>尚亦2-3</t>
        </is>
      </c>
      <c r="F1795" s="172" t="inlineStr">
        <is>
          <t>上交所</t>
        </is>
      </c>
      <c r="G1795" s="172" t="inlineStr">
        <is>
          <t>申万宏源资管</t>
        </is>
      </c>
      <c r="H1795" s="172" t="inlineStr">
        <is>
          <t>国联证券</t>
        </is>
      </c>
      <c r="I1795" s="172" t="inlineStr">
        <is>
          <t>光大重分</t>
        </is>
      </c>
      <c r="J1795" s="172" t="n">
        <v>5</v>
      </c>
      <c r="K1795" s="172" t="inlineStr">
        <is>
          <t>7+12</t>
        </is>
      </c>
      <c r="L1795" s="202" t="n">
        <v>46196</v>
      </c>
      <c r="M1795" s="175" t="n">
        <v>0.01488</v>
      </c>
      <c r="N1795" s="176" t="n">
        <v>0.0189</v>
      </c>
      <c r="O1795" s="191" t="n">
        <v>3.39</v>
      </c>
      <c r="P1795" s="172" t="inlineStr">
        <is>
          <t>优先B</t>
        </is>
      </c>
      <c r="Q1795" s="175" t="n">
        <v>0.04</v>
      </c>
      <c r="R1795" s="192">
        <f>J1191*Q1195</f>
        <v/>
      </c>
      <c r="S1795" s="175" t="inlineStr">
        <is>
          <t>AA+</t>
        </is>
      </c>
      <c r="T1795" s="175" t="n">
        <v>0.017</v>
      </c>
      <c r="U1795" s="172" t="inlineStr">
        <is>
          <t>招银理财</t>
        </is>
      </c>
      <c r="V1795" s="191" t="n">
        <v>0.06</v>
      </c>
      <c r="W1795" s="175" t="n">
        <v>0.017</v>
      </c>
      <c r="X1795" s="172" t="inlineStr">
        <is>
          <t>招银理财</t>
        </is>
      </c>
      <c r="Y1795" s="191" t="n">
        <v>0.06</v>
      </c>
    </row>
    <row r="1796">
      <c r="A1796" s="172" t="n">
        <v>99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动产质押</t>
        </is>
      </c>
      <c r="E1796" s="172" t="inlineStr">
        <is>
          <t>尚亦2-3</t>
        </is>
      </c>
      <c r="F1796" s="172" t="inlineStr">
        <is>
          <t>上交所</t>
        </is>
      </c>
      <c r="G1796" s="172" t="inlineStr">
        <is>
          <t>申万宏源资管</t>
        </is>
      </c>
      <c r="H1796" s="172" t="inlineStr">
        <is>
          <t>国联证券</t>
        </is>
      </c>
      <c r="I1796" s="172" t="inlineStr">
        <is>
          <t>光大重分</t>
        </is>
      </c>
      <c r="J1796" s="172" t="n">
        <v>5</v>
      </c>
      <c r="K1796" s="172" t="inlineStr">
        <is>
          <t>7+12</t>
        </is>
      </c>
      <c r="L1796" s="208" t="n">
        <v>46196</v>
      </c>
      <c r="M1796" s="175" t="n">
        <v>0.01488</v>
      </c>
      <c r="N1796" s="176" t="n">
        <v>0.0189</v>
      </c>
      <c r="O1796" s="172" t="n">
        <v>3.39</v>
      </c>
      <c r="P1796" s="172" t="inlineStr">
        <is>
          <t>优先B</t>
        </is>
      </c>
      <c r="Q1796" s="175" t="n">
        <v>0.04</v>
      </c>
      <c r="R1796" s="172">
        <f>J1191*Q1195</f>
        <v/>
      </c>
      <c r="S1796" s="172" t="inlineStr">
        <is>
          <t>AA+</t>
        </is>
      </c>
      <c r="T1796" s="175" t="n">
        <v>0.017</v>
      </c>
      <c r="U1796" s="172" t="n"/>
      <c r="V1796" s="172" t="n"/>
      <c r="W1796" s="175" t="n">
        <v>0.019</v>
      </c>
      <c r="X1796" s="172" t="inlineStr">
        <is>
          <t>中金自营</t>
        </is>
      </c>
      <c r="Y1796" s="191" t="n">
        <v>0.1</v>
      </c>
    </row>
    <row r="1797">
      <c r="A1797" s="172" t="n">
        <v>99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动产质押</t>
        </is>
      </c>
      <c r="E1797" s="172" t="inlineStr">
        <is>
          <t>尚亦2-3</t>
        </is>
      </c>
      <c r="F1797" s="172" t="inlineStr">
        <is>
          <t>上交所</t>
        </is>
      </c>
      <c r="G1797" s="172" t="inlineStr">
        <is>
          <t>申万宏源资管</t>
        </is>
      </c>
      <c r="H1797" s="172" t="inlineStr">
        <is>
          <t>国联证券</t>
        </is>
      </c>
      <c r="I1797" s="172" t="inlineStr">
        <is>
          <t>光大重分</t>
        </is>
      </c>
      <c r="J1797" s="172" t="n">
        <v>5</v>
      </c>
      <c r="K1797" s="172" t="inlineStr">
        <is>
          <t>7+12</t>
        </is>
      </c>
      <c r="L1797" s="208" t="n">
        <v>46196</v>
      </c>
      <c r="M1797" s="175" t="n">
        <v>0.01488</v>
      </c>
      <c r="N1797" s="176" t="n">
        <v>0.0189</v>
      </c>
      <c r="O1797" s="172" t="n">
        <v>3.39</v>
      </c>
      <c r="P1797" s="172" t="inlineStr">
        <is>
          <t>优先B</t>
        </is>
      </c>
      <c r="Q1797" s="175" t="n">
        <v>0.04</v>
      </c>
      <c r="R1797" s="172">
        <f>J1191*Q1195</f>
        <v/>
      </c>
      <c r="S1797" s="172" t="inlineStr">
        <is>
          <t>AA+</t>
        </is>
      </c>
      <c r="T1797" s="175" t="n">
        <v>0.017</v>
      </c>
      <c r="U1797" s="172" t="n"/>
      <c r="V1797" s="172" t="n"/>
      <c r="W1797" s="175" t="n">
        <v>0.019</v>
      </c>
      <c r="X1797" s="172" t="inlineStr">
        <is>
          <t>申万宏源资管</t>
        </is>
      </c>
      <c r="Y1797" s="191" t="n">
        <v>0.03</v>
      </c>
    </row>
    <row r="1798">
      <c r="A1798" s="172" t="n">
        <v>99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动产质押</t>
        </is>
      </c>
      <c r="E1798" s="172" t="inlineStr">
        <is>
          <t>尚亦2-3</t>
        </is>
      </c>
      <c r="F1798" s="172" t="inlineStr">
        <is>
          <t>上交所</t>
        </is>
      </c>
      <c r="G1798" s="172" t="inlineStr">
        <is>
          <t>申万宏源资管</t>
        </is>
      </c>
      <c r="H1798" s="172" t="inlineStr">
        <is>
          <t>国联证券</t>
        </is>
      </c>
      <c r="I1798" s="172" t="inlineStr">
        <is>
          <t>光大重分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0.0189</v>
      </c>
      <c r="O1798" s="191" t="n">
        <v>3.39</v>
      </c>
      <c r="P1798" s="172" t="inlineStr">
        <is>
          <t>中间级</t>
        </is>
      </c>
      <c r="Q1798" s="175" t="n">
        <v>0.05</v>
      </c>
      <c r="R1798" s="192">
        <f>J1191*Q1197</f>
        <v/>
      </c>
      <c r="S1798" s="175" t="inlineStr">
        <is>
          <t>A-</t>
        </is>
      </c>
      <c r="T1798" s="175" t="n">
        <v>0.031</v>
      </c>
      <c r="U1798" s="172" t="inlineStr">
        <is>
          <t>利曦基金</t>
        </is>
      </c>
      <c r="V1798" s="191" t="n">
        <v>0.25</v>
      </c>
      <c r="W1798" s="172" t="n"/>
      <c r="X1798" s="172" t="n"/>
      <c r="Y1798" s="172" t="n"/>
    </row>
    <row r="1799">
      <c r="A1799" s="172" t="n">
        <v>99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动产质押</t>
        </is>
      </c>
      <c r="E1799" s="172" t="inlineStr">
        <is>
          <t>尚亦2-3</t>
        </is>
      </c>
      <c r="F1799" s="172" t="inlineStr">
        <is>
          <t>上交所</t>
        </is>
      </c>
      <c r="G1799" s="172" t="inlineStr">
        <is>
          <t>申万宏源资管</t>
        </is>
      </c>
      <c r="H1799" s="172" t="inlineStr">
        <is>
          <t>国联证券</t>
        </is>
      </c>
      <c r="I1799" s="172" t="inlineStr">
        <is>
          <t>光大重分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0.0189</v>
      </c>
      <c r="O1799" s="191" t="n">
        <v>3.39</v>
      </c>
      <c r="P1799" s="172" t="inlineStr">
        <is>
          <t>受益权</t>
        </is>
      </c>
      <c r="Q1799" s="175" t="n">
        <v>0.05</v>
      </c>
      <c r="R1799" s="192">
        <f>J1191*Q1198</f>
        <v/>
      </c>
      <c r="S1799" s="175" t="inlineStr">
        <is>
          <t>无</t>
        </is>
      </c>
      <c r="T1799" s="175" t="n">
        <v>0.0455</v>
      </c>
      <c r="U1799" s="172" t="inlineStr">
        <is>
          <t>员工理财</t>
        </is>
      </c>
      <c r="V1799" s="191" t="n">
        <v>0.25</v>
      </c>
      <c r="W1799" s="172" t="n"/>
      <c r="X1799" s="172" t="n"/>
      <c r="Y1799" s="172" t="n"/>
    </row>
    <row r="1800">
      <c r="A1800" s="172" t="n">
        <v>100</v>
      </c>
      <c r="B1800" s="172" t="inlineStr">
        <is>
          <t>6月</t>
        </is>
      </c>
      <c r="C1800" s="173" t="inlineStr">
        <is>
          <t>消金</t>
        </is>
      </c>
      <c r="D1800" s="173" t="inlineStr">
        <is>
          <t>金条&amp;白取混发</t>
        </is>
      </c>
      <c r="E1800" s="173" t="inlineStr">
        <is>
          <t>东樾4号春樾（4-1）</t>
        </is>
      </c>
      <c r="F1800" s="173" t="inlineStr">
        <is>
          <t>上交所</t>
        </is>
      </c>
      <c r="G1800" s="173" t="inlineStr">
        <is>
          <t>国泰海通</t>
        </is>
      </c>
      <c r="H1800" s="173" t="inlineStr">
        <is>
          <t>中信建投/招商证券/光大证券/中信证券</t>
        </is>
      </c>
      <c r="I1800" s="173" t="inlineStr">
        <is>
          <t>中行北分</t>
        </is>
      </c>
      <c r="J1800" s="172" t="n">
        <v>15</v>
      </c>
      <c r="K1800" s="173" t="inlineStr">
        <is>
          <t>12+10+12</t>
        </is>
      </c>
      <c r="L1800" s="202" t="n">
        <v>46198</v>
      </c>
      <c r="M1800" s="175" t="n">
        <v>0.0148</v>
      </c>
      <c r="N1800" s="176" t="n">
        <v>0.02104</v>
      </c>
      <c r="O1800" s="172" t="n">
        <v>1.1</v>
      </c>
      <c r="P1800" s="177" t="inlineStr">
        <is>
          <t>优先A</t>
        </is>
      </c>
      <c r="Q1800" s="178" t="n">
        <v>0.9</v>
      </c>
      <c r="R1800" s="179">
        <f>Q1199*J1199</f>
        <v/>
      </c>
      <c r="S1800" s="177" t="inlineStr">
        <is>
          <t>AAA</t>
        </is>
      </c>
      <c r="T1800" s="178" t="n">
        <v>0.0162</v>
      </c>
      <c r="U1800" s="177" t="inlineStr">
        <is>
          <t>招银理财</t>
        </is>
      </c>
      <c r="V1800" s="192" t="n">
        <v>3.5</v>
      </c>
      <c r="W1800" s="172" t="n"/>
      <c r="X1800" s="172" t="n"/>
      <c r="Y1800" s="172" t="n"/>
    </row>
    <row r="1801">
      <c r="A1801" s="172" t="n">
        <v>100</v>
      </c>
      <c r="B1801" s="172" t="inlineStr">
        <is>
          <t>6月</t>
        </is>
      </c>
      <c r="C1801" s="173" t="inlineStr">
        <is>
          <t>消金</t>
        </is>
      </c>
      <c r="D1801" s="173" t="inlineStr">
        <is>
          <t>金条&amp;白取混发</t>
        </is>
      </c>
      <c r="E1801" s="173" t="inlineStr">
        <is>
          <t>东樾4号春樾（4-1）</t>
        </is>
      </c>
      <c r="F1801" s="173" t="inlineStr">
        <is>
          <t>上交所</t>
        </is>
      </c>
      <c r="G1801" s="173" t="inlineStr">
        <is>
          <t>国泰海通</t>
        </is>
      </c>
      <c r="H1801" s="173" t="inlineStr">
        <is>
          <t>中信建投/招商证券/光大证券/中信证券</t>
        </is>
      </c>
      <c r="I1801" s="173" t="inlineStr">
        <is>
          <t>中行北分</t>
        </is>
      </c>
      <c r="J1801" s="172" t="n">
        <v>15</v>
      </c>
      <c r="K1801" s="173" t="inlineStr">
        <is>
          <t>12+10+12</t>
        </is>
      </c>
      <c r="L1801" s="202" t="n">
        <v>46198</v>
      </c>
      <c r="M1801" s="175" t="n">
        <v>0.0148</v>
      </c>
      <c r="N1801" s="176" t="n">
        <v>0.02104</v>
      </c>
      <c r="O1801" s="172" t="n">
        <v>1.1</v>
      </c>
      <c r="P1801" s="172" t="inlineStr">
        <is>
          <t>优先A</t>
        </is>
      </c>
      <c r="Q1801" s="178" t="n">
        <v>0.9</v>
      </c>
      <c r="R1801" s="179">
        <f>Q1199*J1199</f>
        <v/>
      </c>
      <c r="S1801" s="177" t="inlineStr">
        <is>
          <t>AAA</t>
        </is>
      </c>
      <c r="T1801" s="178" t="n">
        <v>0.0162</v>
      </c>
      <c r="U1801" s="177" t="inlineStr">
        <is>
          <t>平安理财</t>
        </is>
      </c>
      <c r="V1801" s="192" t="n">
        <v>2.09</v>
      </c>
      <c r="W1801" s="172" t="n"/>
      <c r="X1801" s="172" t="n"/>
      <c r="Y1801" s="172" t="n"/>
    </row>
    <row r="1802">
      <c r="A1802" s="172" t="n">
        <v>100</v>
      </c>
      <c r="B1802" s="172" t="inlineStr">
        <is>
          <t>6月</t>
        </is>
      </c>
      <c r="C1802" s="173" t="inlineStr">
        <is>
          <t>消金</t>
        </is>
      </c>
      <c r="D1802" s="173" t="inlineStr">
        <is>
          <t>金条&amp;白取混发</t>
        </is>
      </c>
      <c r="E1802" s="173" t="inlineStr">
        <is>
          <t>东樾4号春樾（4-1）</t>
        </is>
      </c>
      <c r="F1802" s="173" t="inlineStr">
        <is>
          <t>上交所</t>
        </is>
      </c>
      <c r="G1802" s="173" t="inlineStr">
        <is>
          <t>国泰海通</t>
        </is>
      </c>
      <c r="H1802" s="173" t="inlineStr">
        <is>
          <t>中信建投/招商证券/光大证券/中信证券</t>
        </is>
      </c>
      <c r="I1802" s="173" t="inlineStr">
        <is>
          <t>中行北分</t>
        </is>
      </c>
      <c r="J1802" s="172" t="n">
        <v>15</v>
      </c>
      <c r="K1802" s="173" t="inlineStr">
        <is>
          <t>12+10+12</t>
        </is>
      </c>
      <c r="L1802" s="202" t="n">
        <v>46198</v>
      </c>
      <c r="M1802" s="175" t="n">
        <v>0.0148</v>
      </c>
      <c r="N1802" s="176" t="n">
        <v>0.02104</v>
      </c>
      <c r="O1802" s="172" t="n">
        <v>1.1</v>
      </c>
      <c r="P1802" s="172" t="inlineStr">
        <is>
          <t>优先A</t>
        </is>
      </c>
      <c r="Q1802" s="178" t="n">
        <v>0.9</v>
      </c>
      <c r="R1802" s="179">
        <f>Q1199*J1199</f>
        <v/>
      </c>
      <c r="S1802" s="177" t="inlineStr">
        <is>
          <t>AAA</t>
        </is>
      </c>
      <c r="T1802" s="178" t="n">
        <v>0.0162</v>
      </c>
      <c r="U1802" s="177" t="inlineStr">
        <is>
          <t>中邮理财</t>
        </is>
      </c>
      <c r="V1802" s="192" t="n">
        <v>4.05</v>
      </c>
      <c r="W1802" s="172" t="n"/>
      <c r="X1802" s="172" t="n"/>
      <c r="Y1802" s="172" t="n"/>
    </row>
    <row r="1803">
      <c r="A1803" s="172" t="n">
        <v>100</v>
      </c>
      <c r="B1803" s="172" t="inlineStr">
        <is>
          <t>6月</t>
        </is>
      </c>
      <c r="C1803" s="173" t="inlineStr">
        <is>
          <t>消金</t>
        </is>
      </c>
      <c r="D1803" s="173" t="inlineStr">
        <is>
          <t>金条&amp;白取混发</t>
        </is>
      </c>
      <c r="E1803" s="173" t="inlineStr">
        <is>
          <t>东樾4号春樾（4-1）</t>
        </is>
      </c>
      <c r="F1803" s="173" t="inlineStr">
        <is>
          <t>上交所</t>
        </is>
      </c>
      <c r="G1803" s="173" t="inlineStr">
        <is>
          <t>国泰海通</t>
        </is>
      </c>
      <c r="H1803" s="173" t="inlineStr">
        <is>
          <t>中信建投/招商证券/光大证券/中信证券</t>
        </is>
      </c>
      <c r="I1803" s="173" t="inlineStr">
        <is>
          <t>中行北分</t>
        </is>
      </c>
      <c r="J1803" s="172" t="n">
        <v>15</v>
      </c>
      <c r="K1803" s="173" t="inlineStr">
        <is>
          <t>12+10+12</t>
        </is>
      </c>
      <c r="L1803" s="202" t="n">
        <v>46198</v>
      </c>
      <c r="M1803" s="175" t="n">
        <v>0.0148</v>
      </c>
      <c r="N1803" s="176" t="n">
        <v>0.02104</v>
      </c>
      <c r="O1803" s="172" t="n">
        <v>1.1</v>
      </c>
      <c r="P1803" s="172" t="inlineStr">
        <is>
          <t>优先A</t>
        </is>
      </c>
      <c r="Q1803" s="178" t="n">
        <v>0.9</v>
      </c>
      <c r="R1803" s="179">
        <f>Q1199*J1199</f>
        <v/>
      </c>
      <c r="S1803" s="177" t="inlineStr">
        <is>
          <t>AAA</t>
        </is>
      </c>
      <c r="T1803" s="178" t="n">
        <v>0.0162</v>
      </c>
      <c r="U1803" s="177" t="inlineStr">
        <is>
          <t>交银理财</t>
        </is>
      </c>
      <c r="V1803" s="192" t="n">
        <v>0.5</v>
      </c>
      <c r="W1803" s="172" t="n"/>
      <c r="X1803" s="172" t="n"/>
      <c r="Y1803" s="172" t="n"/>
    </row>
    <row r="1804">
      <c r="A1804" s="172" t="n">
        <v>100</v>
      </c>
      <c r="B1804" s="172" t="inlineStr">
        <is>
          <t>6月</t>
        </is>
      </c>
      <c r="C1804" s="173" t="inlineStr">
        <is>
          <t>消金</t>
        </is>
      </c>
      <c r="D1804" s="173" t="inlineStr">
        <is>
          <t>金条&amp;白取混发</t>
        </is>
      </c>
      <c r="E1804" s="173" t="inlineStr">
        <is>
          <t>东樾4号春樾（4-1）</t>
        </is>
      </c>
      <c r="F1804" s="173" t="inlineStr">
        <is>
          <t>上交所</t>
        </is>
      </c>
      <c r="G1804" s="173" t="inlineStr">
        <is>
          <t>国泰海通</t>
        </is>
      </c>
      <c r="H1804" s="173" t="inlineStr">
        <is>
          <t>中信建投/招商证券/光大证券/中信证券</t>
        </is>
      </c>
      <c r="I1804" s="173" t="inlineStr">
        <is>
          <t>中行北分</t>
        </is>
      </c>
      <c r="J1804" s="172" t="n">
        <v>15</v>
      </c>
      <c r="K1804" s="173" t="inlineStr">
        <is>
          <t>12+10+12</t>
        </is>
      </c>
      <c r="L1804" s="202" t="n">
        <v>46198</v>
      </c>
      <c r="M1804" s="175" t="n">
        <v>0.0148</v>
      </c>
      <c r="N1804" s="176" t="n">
        <v>0.02104</v>
      </c>
      <c r="O1804" s="172" t="n">
        <v>1.1</v>
      </c>
      <c r="P1804" s="172" t="inlineStr">
        <is>
          <t>优先A</t>
        </is>
      </c>
      <c r="Q1804" s="178" t="n">
        <v>0.9</v>
      </c>
      <c r="R1804" s="179">
        <f>Q1199*J1199</f>
        <v/>
      </c>
      <c r="S1804" s="177" t="inlineStr">
        <is>
          <t>AAA</t>
        </is>
      </c>
      <c r="T1804" s="178" t="n">
        <v>0.0162</v>
      </c>
      <c r="U1804" s="177" t="inlineStr">
        <is>
          <t>德邦证券自营</t>
        </is>
      </c>
      <c r="V1804" s="192" t="n">
        <v>0.5</v>
      </c>
      <c r="W1804" s="172" t="n"/>
      <c r="X1804" s="172" t="n"/>
      <c r="Y1804" s="172" t="n"/>
    </row>
    <row r="1805">
      <c r="A1805" s="172" t="n">
        <v>100</v>
      </c>
      <c r="B1805" s="172" t="inlineStr">
        <is>
          <t>6月</t>
        </is>
      </c>
      <c r="C1805" s="173" t="inlineStr">
        <is>
          <t>消金</t>
        </is>
      </c>
      <c r="D1805" s="173" t="inlineStr">
        <is>
          <t>金条&amp;白取混发</t>
        </is>
      </c>
      <c r="E1805" s="173" t="inlineStr">
        <is>
          <t>东樾4号春樾（4-1）</t>
        </is>
      </c>
      <c r="F1805" s="173" t="inlineStr">
        <is>
          <t>上交所</t>
        </is>
      </c>
      <c r="G1805" s="173" t="inlineStr">
        <is>
          <t>国泰海通</t>
        </is>
      </c>
      <c r="H1805" s="173" t="inlineStr">
        <is>
          <t>中信建投/招商证券/光大证券/中信证券</t>
        </is>
      </c>
      <c r="I1805" s="173" t="inlineStr">
        <is>
          <t>中行北分</t>
        </is>
      </c>
      <c r="J1805" s="172" t="n">
        <v>15</v>
      </c>
      <c r="K1805" s="173" t="inlineStr">
        <is>
          <t>12+10+12</t>
        </is>
      </c>
      <c r="L1805" s="202" t="n">
        <v>46198</v>
      </c>
      <c r="M1805" s="175" t="n">
        <v>0.0148</v>
      </c>
      <c r="N1805" s="176" t="n">
        <v>0.02104</v>
      </c>
      <c r="O1805" s="172" t="n">
        <v>1.1</v>
      </c>
      <c r="P1805" s="172" t="inlineStr">
        <is>
          <t>优先A</t>
        </is>
      </c>
      <c r="Q1805" s="178" t="n">
        <v>0.9</v>
      </c>
      <c r="R1805" s="179">
        <f>Q1199*J1199</f>
        <v/>
      </c>
      <c r="S1805" s="177" t="inlineStr">
        <is>
          <t>AAA</t>
        </is>
      </c>
      <c r="T1805" s="178" t="n">
        <v>0.0162</v>
      </c>
      <c r="U1805" s="177" t="inlineStr">
        <is>
          <t>国泰海通投行</t>
        </is>
      </c>
      <c r="V1805" s="192" t="n">
        <v>0.5600000000000001</v>
      </c>
      <c r="W1805" s="172" t="n"/>
      <c r="X1805" s="172" t="n"/>
      <c r="Y1805" s="172" t="n"/>
    </row>
    <row r="1806">
      <c r="A1806" s="172" t="n">
        <v>100</v>
      </c>
      <c r="B1806" s="172" t="inlineStr">
        <is>
          <t>6月</t>
        </is>
      </c>
      <c r="C1806" s="173" t="inlineStr">
        <is>
          <t>消金</t>
        </is>
      </c>
      <c r="D1806" s="173" t="inlineStr">
        <is>
          <t>金条&amp;白取混发</t>
        </is>
      </c>
      <c r="E1806" s="173" t="inlineStr">
        <is>
          <t>东樾4号春樾（4-1）</t>
        </is>
      </c>
      <c r="F1806" s="173" t="inlineStr">
        <is>
          <t>上交所</t>
        </is>
      </c>
      <c r="G1806" s="173" t="inlineStr">
        <is>
          <t>国泰海通</t>
        </is>
      </c>
      <c r="H1806" s="173" t="inlineStr">
        <is>
          <t>中信建投/招商证券/光大证券/中信证券</t>
        </is>
      </c>
      <c r="I1806" s="173" t="inlineStr">
        <is>
          <t>中行北分</t>
        </is>
      </c>
      <c r="J1806" s="172" t="n">
        <v>15</v>
      </c>
      <c r="K1806" s="173" t="inlineStr">
        <is>
          <t>12+10+12</t>
        </is>
      </c>
      <c r="L1806" s="202" t="n">
        <v>46198</v>
      </c>
      <c r="M1806" s="175" t="n">
        <v>0.0148</v>
      </c>
      <c r="N1806" s="176" t="n">
        <v>0.02104</v>
      </c>
      <c r="O1806" s="172" t="n">
        <v>1.1</v>
      </c>
      <c r="P1806" s="172" t="inlineStr">
        <is>
          <t>优先A</t>
        </is>
      </c>
      <c r="Q1806" s="178" t="n">
        <v>0.9</v>
      </c>
      <c r="R1806" s="179">
        <f>Q1199*J1199</f>
        <v/>
      </c>
      <c r="S1806" s="177" t="inlineStr">
        <is>
          <t>AAA</t>
        </is>
      </c>
      <c r="T1806" s="178" t="n">
        <v>0.0162</v>
      </c>
      <c r="U1806" s="177" t="inlineStr">
        <is>
          <t>光大证券投行</t>
        </is>
      </c>
      <c r="V1806" s="192" t="n">
        <v>0.25</v>
      </c>
      <c r="W1806" s="172" t="n"/>
      <c r="X1806" s="172" t="n"/>
      <c r="Y1806" s="172" t="n"/>
    </row>
    <row r="1807">
      <c r="A1807" s="172" t="n">
        <v>100</v>
      </c>
      <c r="B1807" s="172" t="inlineStr">
        <is>
          <t>6月</t>
        </is>
      </c>
      <c r="C1807" s="173" t="inlineStr">
        <is>
          <t>消金</t>
        </is>
      </c>
      <c r="D1807" s="173" t="inlineStr">
        <is>
          <t>金条&amp;白取混发</t>
        </is>
      </c>
      <c r="E1807" s="173" t="inlineStr">
        <is>
          <t>东樾4号春樾（4-1）</t>
        </is>
      </c>
      <c r="F1807" s="173" t="inlineStr">
        <is>
          <t>上交所</t>
        </is>
      </c>
      <c r="G1807" s="173" t="inlineStr">
        <is>
          <t>国泰海通</t>
        </is>
      </c>
      <c r="H1807" s="173" t="inlineStr">
        <is>
          <t>中信建投/招商证券/光大证券/中信证券</t>
        </is>
      </c>
      <c r="I1807" s="173" t="inlineStr">
        <is>
          <t>中行北分</t>
        </is>
      </c>
      <c r="J1807" s="172" t="n">
        <v>15</v>
      </c>
      <c r="K1807" s="173" t="inlineStr">
        <is>
          <t>12+10+12</t>
        </is>
      </c>
      <c r="L1807" s="202" t="n">
        <v>46198</v>
      </c>
      <c r="M1807" s="175" t="n">
        <v>0.0148</v>
      </c>
      <c r="N1807" s="176" t="n">
        <v>0.02104</v>
      </c>
      <c r="O1807" s="172" t="n">
        <v>1.1</v>
      </c>
      <c r="P1807" s="172" t="inlineStr">
        <is>
          <t>优先A</t>
        </is>
      </c>
      <c r="Q1807" s="178" t="n">
        <v>0.9</v>
      </c>
      <c r="R1807" s="179">
        <f>Q1199*J1199</f>
        <v/>
      </c>
      <c r="S1807" s="177" t="inlineStr">
        <is>
          <t>AAA</t>
        </is>
      </c>
      <c r="T1807" s="178" t="n">
        <v>0.0162</v>
      </c>
      <c r="U1807" s="177" t="inlineStr">
        <is>
          <t>招商证券投行</t>
        </is>
      </c>
      <c r="V1807" s="192" t="n">
        <v>0.25</v>
      </c>
      <c r="W1807" s="172" t="n"/>
      <c r="X1807" s="172" t="n"/>
      <c r="Y1807" s="172" t="n"/>
    </row>
    <row r="1808">
      <c r="A1808" s="172" t="n">
        <v>100</v>
      </c>
      <c r="B1808" s="172" t="inlineStr">
        <is>
          <t>6月</t>
        </is>
      </c>
      <c r="C1808" s="173" t="inlineStr">
        <is>
          <t>消金</t>
        </is>
      </c>
      <c r="D1808" s="173" t="inlineStr">
        <is>
          <t>金条&amp;白取混发</t>
        </is>
      </c>
      <c r="E1808" s="173" t="inlineStr">
        <is>
          <t>东樾4号春樾（4-1）</t>
        </is>
      </c>
      <c r="F1808" s="173" t="inlineStr">
        <is>
          <t>上交所</t>
        </is>
      </c>
      <c r="G1808" s="173" t="inlineStr">
        <is>
          <t>国泰海通</t>
        </is>
      </c>
      <c r="H1808" s="173" t="inlineStr">
        <is>
          <t>中信建投/招商证券/光大证券/中信证券</t>
        </is>
      </c>
      <c r="I1808" s="173" t="inlineStr">
        <is>
          <t>中行北分</t>
        </is>
      </c>
      <c r="J1808" s="172" t="n">
        <v>15</v>
      </c>
      <c r="K1808" s="173" t="inlineStr">
        <is>
          <t>12+10+12</t>
        </is>
      </c>
      <c r="L1808" s="202" t="n">
        <v>46198</v>
      </c>
      <c r="M1808" s="175" t="n">
        <v>0.0148</v>
      </c>
      <c r="N1808" s="176" t="n">
        <v>0.02104</v>
      </c>
      <c r="O1808" s="172" t="n">
        <v>1.1</v>
      </c>
      <c r="P1808" s="172" t="inlineStr">
        <is>
          <t>优先A</t>
        </is>
      </c>
      <c r="Q1808" s="178" t="n">
        <v>0.9</v>
      </c>
      <c r="R1808" s="179">
        <f>Q1199*J1199</f>
        <v/>
      </c>
      <c r="S1808" s="177" t="inlineStr">
        <is>
          <t>AAA</t>
        </is>
      </c>
      <c r="T1808" s="178" t="n">
        <v>0.0162</v>
      </c>
      <c r="U1808" s="177" t="inlineStr">
        <is>
          <t>中信建投投行</t>
        </is>
      </c>
      <c r="V1808" s="192" t="n">
        <v>0.25</v>
      </c>
      <c r="W1808" s="172" t="n"/>
      <c r="X1808" s="172" t="n"/>
      <c r="Y1808" s="172" t="n"/>
    </row>
    <row r="1809">
      <c r="A1809" s="172" t="n">
        <v>100</v>
      </c>
      <c r="B1809" s="172" t="inlineStr">
        <is>
          <t>6月</t>
        </is>
      </c>
      <c r="C1809" s="173" t="inlineStr">
        <is>
          <t>消金</t>
        </is>
      </c>
      <c r="D1809" s="173" t="inlineStr">
        <is>
          <t>金条&amp;白取混发</t>
        </is>
      </c>
      <c r="E1809" s="173" t="inlineStr">
        <is>
          <t>东樾4号春樾（4-1）</t>
        </is>
      </c>
      <c r="F1809" s="173" t="inlineStr">
        <is>
          <t>上交所</t>
        </is>
      </c>
      <c r="G1809" s="173" t="inlineStr">
        <is>
          <t>国泰海通</t>
        </is>
      </c>
      <c r="H1809" s="173" t="inlineStr">
        <is>
          <t>中信建投/招商证券/光大证券/中信证券</t>
        </is>
      </c>
      <c r="I1809" s="173" t="inlineStr">
        <is>
          <t>中行北分</t>
        </is>
      </c>
      <c r="J1809" s="172" t="n">
        <v>15</v>
      </c>
      <c r="K1809" s="173" t="inlineStr">
        <is>
          <t>12+10+12</t>
        </is>
      </c>
      <c r="L1809" s="202" t="n">
        <v>46198</v>
      </c>
      <c r="M1809" s="175" t="n">
        <v>0.0148</v>
      </c>
      <c r="N1809" s="176" t="n">
        <v>0.02104</v>
      </c>
      <c r="O1809" s="172" t="n">
        <v>1.1</v>
      </c>
      <c r="P1809" s="172" t="inlineStr">
        <is>
          <t>优先A</t>
        </is>
      </c>
      <c r="Q1809" s="178" t="n">
        <v>0.9</v>
      </c>
      <c r="R1809" s="179">
        <f>Q1199*J1199</f>
        <v/>
      </c>
      <c r="S1809" s="177" t="inlineStr">
        <is>
          <t>AAA</t>
        </is>
      </c>
      <c r="T1809" s="178" t="n">
        <v>0.0162</v>
      </c>
      <c r="U1809" s="177" t="inlineStr">
        <is>
          <t>中信证券投行</t>
        </is>
      </c>
      <c r="V1809" s="192" t="n">
        <v>0.25</v>
      </c>
      <c r="W1809" s="172" t="n"/>
      <c r="X1809" s="172" t="n"/>
      <c r="Y1809" s="172" t="n"/>
    </row>
    <row r="1810">
      <c r="A1810" s="172" t="n">
        <v>100</v>
      </c>
      <c r="B1810" s="172" t="inlineStr">
        <is>
          <t>6月</t>
        </is>
      </c>
      <c r="C1810" s="173" t="inlineStr">
        <is>
          <t>消金</t>
        </is>
      </c>
      <c r="D1810" s="173" t="inlineStr">
        <is>
          <t>金条&amp;白取混发</t>
        </is>
      </c>
      <c r="E1810" s="173" t="inlineStr">
        <is>
          <t>东樾4号春樾（4-1）</t>
        </is>
      </c>
      <c r="F1810" s="173" t="inlineStr">
        <is>
          <t>上交所</t>
        </is>
      </c>
      <c r="G1810" s="173" t="inlineStr">
        <is>
          <t>国泰海通</t>
        </is>
      </c>
      <c r="H1810" s="173" t="inlineStr">
        <is>
          <t>中信建投/招商证券/光大证券/中信证券</t>
        </is>
      </c>
      <c r="I1810" s="173" t="inlineStr">
        <is>
          <t>中行北分</t>
        </is>
      </c>
      <c r="J1810" s="172" t="n">
        <v>15</v>
      </c>
      <c r="K1810" s="173" t="inlineStr">
        <is>
          <t>12+10+12</t>
        </is>
      </c>
      <c r="L1810" s="202" t="n">
        <v>46198</v>
      </c>
      <c r="M1810" s="175" t="n">
        <v>0.0148</v>
      </c>
      <c r="N1810" s="176" t="n">
        <v>0.02104</v>
      </c>
      <c r="O1810" s="172" t="n">
        <v>1.1</v>
      </c>
      <c r="P1810" s="172" t="inlineStr">
        <is>
          <t>优先A</t>
        </is>
      </c>
      <c r="Q1810" s="178" t="n">
        <v>0.9</v>
      </c>
      <c r="R1810" s="179">
        <f>Q1199*J1199</f>
        <v/>
      </c>
      <c r="S1810" s="177" t="inlineStr">
        <is>
          <t>AAA</t>
        </is>
      </c>
      <c r="T1810" s="178" t="n">
        <v>0.0162</v>
      </c>
      <c r="U1810" s="177" t="inlineStr">
        <is>
          <t>国信证券自营</t>
        </is>
      </c>
      <c r="V1810" s="192" t="n">
        <v>0.8</v>
      </c>
      <c r="W1810" s="172" t="n"/>
      <c r="X1810" s="172" t="n"/>
      <c r="Y1810" s="172" t="n"/>
    </row>
    <row r="1811">
      <c r="A1811" s="172" t="n">
        <v>100</v>
      </c>
      <c r="B1811" s="172" t="inlineStr">
        <is>
          <t>6月</t>
        </is>
      </c>
      <c r="C1811" s="173" t="inlineStr">
        <is>
          <t>消金</t>
        </is>
      </c>
      <c r="D1811" s="173" t="inlineStr">
        <is>
          <t>金条&amp;白取混发</t>
        </is>
      </c>
      <c r="E1811" s="173" t="inlineStr">
        <is>
          <t>东樾4号春樾（4-1）</t>
        </is>
      </c>
      <c r="F1811" s="173" t="inlineStr">
        <is>
          <t>上交所</t>
        </is>
      </c>
      <c r="G1811" s="173" t="inlineStr">
        <is>
          <t>国泰海通</t>
        </is>
      </c>
      <c r="H1811" s="173" t="inlineStr">
        <is>
          <t>中信建投/招商证券/光大证券/中信证券</t>
        </is>
      </c>
      <c r="I1811" s="173" t="inlineStr">
        <is>
          <t>中行北分</t>
        </is>
      </c>
      <c r="J1811" s="172" t="n">
        <v>15</v>
      </c>
      <c r="K1811" s="173" t="inlineStr">
        <is>
          <t>12+10+12</t>
        </is>
      </c>
      <c r="L1811" s="202" t="n">
        <v>46198</v>
      </c>
      <c r="M1811" s="175" t="n">
        <v>0.0148</v>
      </c>
      <c r="N1811" s="176" t="n">
        <v>0.02104</v>
      </c>
      <c r="O1811" s="172" t="n">
        <v>1.1</v>
      </c>
      <c r="P1811" s="172" t="inlineStr">
        <is>
          <t>优先A</t>
        </is>
      </c>
      <c r="Q1811" s="178" t="n">
        <v>0.9</v>
      </c>
      <c r="R1811" s="179">
        <f>Q1199*J1199</f>
        <v/>
      </c>
      <c r="S1811" s="177" t="inlineStr">
        <is>
          <t>AAA</t>
        </is>
      </c>
      <c r="T1811" s="178" t="n">
        <v>0.0162</v>
      </c>
      <c r="U1811" s="177" t="inlineStr">
        <is>
          <t>中金自营</t>
        </is>
      </c>
      <c r="V1811" s="192" t="n">
        <v>0.5</v>
      </c>
      <c r="W1811" s="172" t="n"/>
      <c r="X1811" s="172" t="n"/>
      <c r="Y1811" s="172" t="n"/>
    </row>
    <row r="1812">
      <c r="A1812" s="172" t="n">
        <v>100</v>
      </c>
      <c r="B1812" s="172" t="inlineStr">
        <is>
          <t>6月</t>
        </is>
      </c>
      <c r="C1812" s="173" t="inlineStr">
        <is>
          <t>消金</t>
        </is>
      </c>
      <c r="D1812" s="173" t="inlineStr">
        <is>
          <t>金条&amp;白取混发</t>
        </is>
      </c>
      <c r="E1812" s="173" t="inlineStr">
        <is>
          <t>东樾4号春樾（4-1）</t>
        </is>
      </c>
      <c r="F1812" s="173" t="inlineStr">
        <is>
          <t>上交所</t>
        </is>
      </c>
      <c r="G1812" s="173" t="inlineStr">
        <is>
          <t>国泰海通</t>
        </is>
      </c>
      <c r="H1812" s="173" t="inlineStr">
        <is>
          <t>中信建投/招商证券/光大证券/中信证券</t>
        </is>
      </c>
      <c r="I1812" s="173" t="inlineStr">
        <is>
          <t>中行北分</t>
        </is>
      </c>
      <c r="J1812" s="172" t="n">
        <v>15</v>
      </c>
      <c r="K1812" s="173" t="inlineStr">
        <is>
          <t>12+10+12</t>
        </is>
      </c>
      <c r="L1812" s="202" t="n">
        <v>46198</v>
      </c>
      <c r="M1812" s="175" t="n">
        <v>0.0148</v>
      </c>
      <c r="N1812" s="176" t="n">
        <v>0.02104</v>
      </c>
      <c r="O1812" s="172" t="n">
        <v>1.1</v>
      </c>
      <c r="P1812" s="177" t="inlineStr">
        <is>
          <t>优先B</t>
        </is>
      </c>
      <c r="Q1812" s="178" t="n">
        <v>0.03</v>
      </c>
      <c r="R1812" s="179">
        <f>J1199*Q1211</f>
        <v/>
      </c>
      <c r="S1812" s="177" t="inlineStr">
        <is>
          <t>AA+</t>
        </is>
      </c>
      <c r="T1812" s="178" t="n">
        <v>0.0178</v>
      </c>
      <c r="U1812" s="177" t="inlineStr">
        <is>
          <t>招银理财</t>
        </is>
      </c>
      <c r="V1812" s="192" t="n">
        <v>0.13</v>
      </c>
      <c r="W1812" s="172" t="n"/>
      <c r="X1812" s="172" t="n"/>
      <c r="Y1812" s="172" t="n"/>
    </row>
    <row r="1813">
      <c r="A1813" s="172" t="n">
        <v>100</v>
      </c>
      <c r="B1813" s="172" t="inlineStr">
        <is>
          <t>6月</t>
        </is>
      </c>
      <c r="C1813" s="173" t="inlineStr">
        <is>
          <t>消金</t>
        </is>
      </c>
      <c r="D1813" s="173" t="inlineStr">
        <is>
          <t>金条&amp;白取混发</t>
        </is>
      </c>
      <c r="E1813" s="173" t="inlineStr">
        <is>
          <t>东樾4号春樾（4-1）</t>
        </is>
      </c>
      <c r="F1813" s="173" t="inlineStr">
        <is>
          <t>上交所</t>
        </is>
      </c>
      <c r="G1813" s="173" t="inlineStr">
        <is>
          <t>国泰海通</t>
        </is>
      </c>
      <c r="H1813" s="173" t="inlineStr">
        <is>
          <t>中信建投/招商证券/光大证券/中信证券</t>
        </is>
      </c>
      <c r="I1813" s="173" t="inlineStr">
        <is>
          <t>中行北分</t>
        </is>
      </c>
      <c r="J1813" s="172" t="n">
        <v>15</v>
      </c>
      <c r="K1813" s="173" t="inlineStr">
        <is>
          <t>12+10+12</t>
        </is>
      </c>
      <c r="L1813" s="202" t="n">
        <v>46198</v>
      </c>
      <c r="M1813" s="175" t="n">
        <v>0.0148</v>
      </c>
      <c r="N1813" s="176" t="n">
        <v>0.02104</v>
      </c>
      <c r="O1813" s="172" t="n">
        <v>1.1</v>
      </c>
      <c r="P1813" s="172" t="inlineStr">
        <is>
          <t>优先B</t>
        </is>
      </c>
      <c r="Q1813" s="178" t="n">
        <v>0.03</v>
      </c>
      <c r="R1813" s="179">
        <f>J1199*Q1211</f>
        <v/>
      </c>
      <c r="S1813" s="177" t="inlineStr">
        <is>
          <t>AA+</t>
        </is>
      </c>
      <c r="T1813" s="178" t="n">
        <v>0.0178</v>
      </c>
      <c r="U1813" s="177" t="inlineStr">
        <is>
          <t>平安理财</t>
        </is>
      </c>
      <c r="V1813" s="192" t="n">
        <v>0.11</v>
      </c>
      <c r="W1813" s="172" t="n"/>
      <c r="X1813" s="172" t="n"/>
      <c r="Y1813" s="172" t="n"/>
    </row>
    <row r="1814">
      <c r="A1814" s="172" t="n">
        <v>100</v>
      </c>
      <c r="B1814" s="172" t="inlineStr">
        <is>
          <t>6月</t>
        </is>
      </c>
      <c r="C1814" s="173" t="inlineStr">
        <is>
          <t>消金</t>
        </is>
      </c>
      <c r="D1814" s="173" t="inlineStr">
        <is>
          <t>金条&amp;白取混发</t>
        </is>
      </c>
      <c r="E1814" s="173" t="inlineStr">
        <is>
          <t>东樾4号春樾（4-1）</t>
        </is>
      </c>
      <c r="F1814" s="173" t="inlineStr">
        <is>
          <t>上交所</t>
        </is>
      </c>
      <c r="G1814" s="173" t="inlineStr">
        <is>
          <t>国泰海通</t>
        </is>
      </c>
      <c r="H1814" s="173" t="inlineStr">
        <is>
          <t>中信建投/招商证券/光大证券/中信证券</t>
        </is>
      </c>
      <c r="I1814" s="173" t="inlineStr">
        <is>
          <t>中行北分</t>
        </is>
      </c>
      <c r="J1814" s="172" t="n">
        <v>15</v>
      </c>
      <c r="K1814" s="173" t="inlineStr">
        <is>
          <t>12+10+12</t>
        </is>
      </c>
      <c r="L1814" s="202" t="n">
        <v>46198</v>
      </c>
      <c r="M1814" s="175" t="n">
        <v>0.0148</v>
      </c>
      <c r="N1814" s="176" t="n">
        <v>0.02104</v>
      </c>
      <c r="O1814" s="172" t="n">
        <v>1.1</v>
      </c>
      <c r="P1814" s="172" t="inlineStr">
        <is>
          <t>优先B</t>
        </is>
      </c>
      <c r="Q1814" s="178" t="n">
        <v>0.03</v>
      </c>
      <c r="R1814" s="179">
        <f>J1199*Q1211</f>
        <v/>
      </c>
      <c r="S1814" s="177" t="inlineStr">
        <is>
          <t>AA+</t>
        </is>
      </c>
      <c r="T1814" s="178" t="n">
        <v>0.0178</v>
      </c>
      <c r="U1814" s="177" t="inlineStr">
        <is>
          <t>交银理财</t>
        </is>
      </c>
      <c r="V1814" s="195" t="n">
        <v>0.135</v>
      </c>
      <c r="W1814" s="172" t="n"/>
      <c r="X1814" s="172" t="n"/>
      <c r="Y1814" s="172" t="n"/>
    </row>
    <row r="1815">
      <c r="A1815" s="172" t="n">
        <v>100</v>
      </c>
      <c r="B1815" s="172" t="inlineStr">
        <is>
          <t>6月</t>
        </is>
      </c>
      <c r="C1815" s="173" t="inlineStr">
        <is>
          <t>消金</t>
        </is>
      </c>
      <c r="D1815" s="173" t="inlineStr">
        <is>
          <t>金条&amp;白取混发</t>
        </is>
      </c>
      <c r="E1815" s="173" t="inlineStr">
        <is>
          <t>东樾4号春樾（4-1）</t>
        </is>
      </c>
      <c r="F1815" s="173" t="inlineStr">
        <is>
          <t>上交所</t>
        </is>
      </c>
      <c r="G1815" s="173" t="inlineStr">
        <is>
          <t>国泰海通</t>
        </is>
      </c>
      <c r="H1815" s="173" t="inlineStr">
        <is>
          <t>中信建投/招商证券/光大证券/中信证券</t>
        </is>
      </c>
      <c r="I1815" s="173" t="inlineStr">
        <is>
          <t>中行北分</t>
        </is>
      </c>
      <c r="J1815" s="172" t="n">
        <v>15</v>
      </c>
      <c r="K1815" s="173" t="inlineStr">
        <is>
          <t>12+10+12</t>
        </is>
      </c>
      <c r="L1815" s="202" t="n">
        <v>46198</v>
      </c>
      <c r="M1815" s="175" t="n">
        <v>0.0148</v>
      </c>
      <c r="N1815" s="176" t="n">
        <v>0.02104</v>
      </c>
      <c r="O1815" s="172" t="n">
        <v>1.1</v>
      </c>
      <c r="P1815" s="172" t="inlineStr">
        <is>
          <t>优先B</t>
        </is>
      </c>
      <c r="Q1815" s="178" t="n">
        <v>0.03</v>
      </c>
      <c r="R1815" s="179">
        <f>J1199*Q1211</f>
        <v/>
      </c>
      <c r="S1815" s="177" t="inlineStr">
        <is>
          <t>AA+</t>
        </is>
      </c>
      <c r="T1815" s="178" t="n">
        <v>0.0178</v>
      </c>
      <c r="U1815" s="177" t="inlineStr">
        <is>
          <t>国泰海通投行</t>
        </is>
      </c>
      <c r="V1815" s="195" t="n">
        <v>0.075</v>
      </c>
      <c r="W1815" s="172" t="n"/>
      <c r="X1815" s="172" t="n"/>
      <c r="Y1815" s="172" t="n"/>
    </row>
    <row r="1816">
      <c r="A1816" s="172" t="n">
        <v>100</v>
      </c>
      <c r="B1816" s="172" t="inlineStr">
        <is>
          <t>6月</t>
        </is>
      </c>
      <c r="C1816" s="173" t="inlineStr">
        <is>
          <t>消金</t>
        </is>
      </c>
      <c r="D1816" s="173" t="inlineStr">
        <is>
          <t>金条&amp;白取混发</t>
        </is>
      </c>
      <c r="E1816" s="173" t="inlineStr">
        <is>
          <t>东樾4号春樾（4-1）</t>
        </is>
      </c>
      <c r="F1816" s="173" t="inlineStr">
        <is>
          <t>上交所</t>
        </is>
      </c>
      <c r="G1816" s="173" t="inlineStr">
        <is>
          <t>国泰海通</t>
        </is>
      </c>
      <c r="H1816" s="173" t="inlineStr">
        <is>
          <t>中信建投/招商证券/光大证券/中信证券</t>
        </is>
      </c>
      <c r="I1816" s="173" t="inlineStr">
        <is>
          <t>中行北分</t>
        </is>
      </c>
      <c r="J1816" s="172" t="n">
        <v>15</v>
      </c>
      <c r="K1816" s="173" t="inlineStr">
        <is>
          <t>12+10+12</t>
        </is>
      </c>
      <c r="L1816" s="202" t="n">
        <v>46198</v>
      </c>
      <c r="M1816" s="175" t="n">
        <v>0.0148</v>
      </c>
      <c r="N1816" s="176" t="n">
        <v>0.02104</v>
      </c>
      <c r="O1816" s="172" t="n">
        <v>1.1</v>
      </c>
      <c r="P1816" s="177" t="inlineStr">
        <is>
          <t>中间级</t>
        </is>
      </c>
      <c r="Q1816" s="178" t="n">
        <v>0.02</v>
      </c>
      <c r="R1816" s="179">
        <f>Q1215*J1199</f>
        <v/>
      </c>
      <c r="S1816" s="177" t="inlineStr">
        <is>
          <t>A+</t>
        </is>
      </c>
      <c r="T1816" s="178" t="n">
        <v>0.031</v>
      </c>
      <c r="U1816" s="177" t="inlineStr">
        <is>
          <t>申万宏源自营</t>
        </is>
      </c>
      <c r="V1816" s="192" t="n">
        <v>0.1</v>
      </c>
      <c r="W1816" s="172" t="n"/>
      <c r="X1816" s="172" t="n"/>
      <c r="Y1816" s="172" t="n"/>
    </row>
    <row r="1817">
      <c r="A1817" s="172" t="n">
        <v>100</v>
      </c>
      <c r="B1817" s="172" t="inlineStr">
        <is>
          <t>6月</t>
        </is>
      </c>
      <c r="C1817" s="173" t="inlineStr">
        <is>
          <t>消金</t>
        </is>
      </c>
      <c r="D1817" s="173" t="inlineStr">
        <is>
          <t>金条&amp;白取混发</t>
        </is>
      </c>
      <c r="E1817" s="173" t="inlineStr">
        <is>
          <t>东樾4号春樾（4-1）</t>
        </is>
      </c>
      <c r="F1817" s="173" t="inlineStr">
        <is>
          <t>上交所</t>
        </is>
      </c>
      <c r="G1817" s="173" t="inlineStr">
        <is>
          <t>国泰海通</t>
        </is>
      </c>
      <c r="H1817" s="173" t="inlineStr">
        <is>
          <t>中信建投/招商证券/光大证券/中信证券</t>
        </is>
      </c>
      <c r="I1817" s="173" t="inlineStr">
        <is>
          <t>中行北分</t>
        </is>
      </c>
      <c r="J1817" s="172" t="n">
        <v>15</v>
      </c>
      <c r="K1817" s="173" t="inlineStr">
        <is>
          <t>12+10+12</t>
        </is>
      </c>
      <c r="L1817" s="202" t="n">
        <v>46198</v>
      </c>
      <c r="M1817" s="175" t="n">
        <v>0.0148</v>
      </c>
      <c r="N1817" s="176" t="n">
        <v>0.02104</v>
      </c>
      <c r="O1817" s="172" t="n">
        <v>1.1</v>
      </c>
      <c r="P1817" s="172" t="inlineStr">
        <is>
          <t>中间级</t>
        </is>
      </c>
      <c r="Q1817" s="178" t="n">
        <v>0.02</v>
      </c>
      <c r="R1817" s="179">
        <f>Q1215*J1199</f>
        <v/>
      </c>
      <c r="S1817" s="177" t="inlineStr">
        <is>
          <t>A+</t>
        </is>
      </c>
      <c r="T1817" s="178" t="n">
        <v>0.031</v>
      </c>
      <c r="U1817" s="177" t="inlineStr">
        <is>
          <t>中金财富</t>
        </is>
      </c>
      <c r="V1817" s="192" t="n">
        <v>0.1</v>
      </c>
      <c r="W1817" s="172" t="n"/>
      <c r="X1817" s="172" t="n"/>
      <c r="Y1817" s="172" t="n"/>
    </row>
    <row r="1818">
      <c r="A1818" s="172" t="n">
        <v>100</v>
      </c>
      <c r="B1818" s="172" t="inlineStr">
        <is>
          <t>6月</t>
        </is>
      </c>
      <c r="C1818" s="173" t="inlineStr">
        <is>
          <t>消金</t>
        </is>
      </c>
      <c r="D1818" s="173" t="inlineStr">
        <is>
          <t>金条&amp;白取混发</t>
        </is>
      </c>
      <c r="E1818" s="173" t="inlineStr">
        <is>
          <t>东樾4号春樾（4-1）</t>
        </is>
      </c>
      <c r="F1818" s="173" t="inlineStr">
        <is>
          <t>上交所</t>
        </is>
      </c>
      <c r="G1818" s="173" t="inlineStr">
        <is>
          <t>国泰海通</t>
        </is>
      </c>
      <c r="H1818" s="173" t="inlineStr">
        <is>
          <t>中信建投/招商证券/光大证券/中信证券</t>
        </is>
      </c>
      <c r="I1818" s="173" t="inlineStr">
        <is>
          <t>中行北分</t>
        </is>
      </c>
      <c r="J1818" s="172" t="n">
        <v>15</v>
      </c>
      <c r="K1818" s="173" t="inlineStr">
        <is>
          <t>12+10+12</t>
        </is>
      </c>
      <c r="L1818" s="202" t="n">
        <v>46198</v>
      </c>
      <c r="M1818" s="175" t="n">
        <v>0.0148</v>
      </c>
      <c r="N1818" s="176" t="n">
        <v>0.02104</v>
      </c>
      <c r="O1818" s="172" t="n">
        <v>1.1</v>
      </c>
      <c r="P1818" s="172" t="inlineStr">
        <is>
          <t>中间级</t>
        </is>
      </c>
      <c r="Q1818" s="178" t="n">
        <v>0.02</v>
      </c>
      <c r="R1818" s="179">
        <f>Q1215*J1199</f>
        <v/>
      </c>
      <c r="S1818" s="177" t="inlineStr">
        <is>
          <t>A+</t>
        </is>
      </c>
      <c r="T1818" s="178" t="n">
        <v>0.031</v>
      </c>
      <c r="U1818" s="177" t="inlineStr">
        <is>
          <t>中信证券投顾</t>
        </is>
      </c>
      <c r="V1818" s="192" t="n">
        <v>0.1</v>
      </c>
      <c r="W1818" s="172" t="n"/>
      <c r="X1818" s="172" t="n"/>
      <c r="Y1818" s="172" t="n"/>
    </row>
    <row r="1819">
      <c r="A1819" s="172" t="n">
        <v>100</v>
      </c>
      <c r="B1819" s="172" t="inlineStr">
        <is>
          <t>6月</t>
        </is>
      </c>
      <c r="C1819" s="173" t="inlineStr">
        <is>
          <t>消金</t>
        </is>
      </c>
      <c r="D1819" s="173" t="inlineStr">
        <is>
          <t>金条&amp;白取混发</t>
        </is>
      </c>
      <c r="E1819" s="173" t="inlineStr">
        <is>
          <t>东樾4号春樾（4-1）</t>
        </is>
      </c>
      <c r="F1819" s="173" t="inlineStr">
        <is>
          <t>上交所</t>
        </is>
      </c>
      <c r="G1819" s="173" t="inlineStr">
        <is>
          <t>国泰海通</t>
        </is>
      </c>
      <c r="H1819" s="173" t="inlineStr">
        <is>
          <t>中信建投/招商证券/光大证券/中信证券</t>
        </is>
      </c>
      <c r="I1819" s="173" t="inlineStr">
        <is>
          <t>中行北分</t>
        </is>
      </c>
      <c r="J1819" s="172" t="n">
        <v>15</v>
      </c>
      <c r="K1819" s="173" t="inlineStr">
        <is>
          <t>12+10+12</t>
        </is>
      </c>
      <c r="L1819" s="202" t="n">
        <v>46198</v>
      </c>
      <c r="M1819" s="175" t="n">
        <v>0.0148</v>
      </c>
      <c r="N1819" s="176" t="n">
        <v>0.02104</v>
      </c>
      <c r="O1819" s="172" t="n">
        <v>1.1</v>
      </c>
      <c r="P1819" s="177" t="inlineStr">
        <is>
          <t>受益权</t>
        </is>
      </c>
      <c r="Q1819" s="178" t="n">
        <v>0.05</v>
      </c>
      <c r="R1819" s="179">
        <f>Q1218*J1199</f>
        <v/>
      </c>
      <c r="S1819" s="177" t="inlineStr">
        <is>
          <t>无</t>
        </is>
      </c>
      <c r="T1819" s="178" t="n">
        <v>0.0495</v>
      </c>
      <c r="U1819" s="177" t="inlineStr">
        <is>
          <t>中信建投衍生品</t>
        </is>
      </c>
      <c r="V1819" s="192" t="n">
        <v>0.3</v>
      </c>
      <c r="W1819" s="172" t="n"/>
      <c r="X1819" s="172" t="n"/>
      <c r="Y1819" s="172" t="n"/>
    </row>
    <row r="1820">
      <c r="A1820" s="172" t="n">
        <v>100</v>
      </c>
      <c r="B1820" s="172" t="inlineStr">
        <is>
          <t>6月</t>
        </is>
      </c>
      <c r="C1820" s="173" t="inlineStr">
        <is>
          <t>消金</t>
        </is>
      </c>
      <c r="D1820" s="173" t="inlineStr">
        <is>
          <t>金条&amp;白取混发</t>
        </is>
      </c>
      <c r="E1820" s="173" t="inlineStr">
        <is>
          <t>东樾4号春樾（4-1）</t>
        </is>
      </c>
      <c r="F1820" s="173" t="inlineStr">
        <is>
          <t>上交所</t>
        </is>
      </c>
      <c r="G1820" s="173" t="inlineStr">
        <is>
          <t>国泰海通</t>
        </is>
      </c>
      <c r="H1820" s="173" t="inlineStr">
        <is>
          <t>中信建投/招商证券/光大证券/中信证券</t>
        </is>
      </c>
      <c r="I1820" s="173" t="inlineStr">
        <is>
          <t>中行北分</t>
        </is>
      </c>
      <c r="J1820" s="172" t="n">
        <v>15</v>
      </c>
      <c r="K1820" s="173" t="inlineStr">
        <is>
          <t>12+10+12</t>
        </is>
      </c>
      <c r="L1820" s="202" t="n">
        <v>46198</v>
      </c>
      <c r="M1820" s="175" t="n">
        <v>0.0148</v>
      </c>
      <c r="N1820" s="176" t="n">
        <v>0.02104</v>
      </c>
      <c r="O1820" s="172" t="n">
        <v>1.1</v>
      </c>
      <c r="P1820" s="172" t="inlineStr">
        <is>
          <t>受益权</t>
        </is>
      </c>
      <c r="Q1820" s="178" t="n">
        <v>0.05</v>
      </c>
      <c r="R1820" s="179">
        <f>Q1218*J1199</f>
        <v/>
      </c>
      <c r="S1820" s="177" t="inlineStr">
        <is>
          <t>无</t>
        </is>
      </c>
      <c r="T1820" s="178" t="n">
        <v>0.0495</v>
      </c>
      <c r="U1820" s="177" t="inlineStr">
        <is>
          <t>中信证券自营</t>
        </is>
      </c>
      <c r="V1820" s="195" t="n">
        <v>0.075</v>
      </c>
      <c r="W1820" s="172" t="n"/>
      <c r="X1820" s="172" t="n"/>
      <c r="Y1820" s="172" t="n"/>
    </row>
    <row r="1821">
      <c r="A1821" s="172" t="n">
        <v>100</v>
      </c>
      <c r="B1821" s="172" t="inlineStr">
        <is>
          <t>6月</t>
        </is>
      </c>
      <c r="C1821" s="173" t="inlineStr">
        <is>
          <t>消金</t>
        </is>
      </c>
      <c r="D1821" s="173" t="inlineStr">
        <is>
          <t>金条&amp;白取混发</t>
        </is>
      </c>
      <c r="E1821" s="173" t="inlineStr">
        <is>
          <t>东樾4号春樾（4-1）</t>
        </is>
      </c>
      <c r="F1821" s="173" t="inlineStr">
        <is>
          <t>上交所</t>
        </is>
      </c>
      <c r="G1821" s="173" t="inlineStr">
        <is>
          <t>国泰海通</t>
        </is>
      </c>
      <c r="H1821" s="173" t="inlineStr">
        <is>
          <t>中信建投/招商证券/光大证券/中信证券</t>
        </is>
      </c>
      <c r="I1821" s="173" t="inlineStr">
        <is>
          <t>中行北分</t>
        </is>
      </c>
      <c r="J1821" s="172" t="n">
        <v>15</v>
      </c>
      <c r="K1821" s="173" t="inlineStr">
        <is>
          <t>12+10+12</t>
        </is>
      </c>
      <c r="L1821" s="202" t="n">
        <v>46198</v>
      </c>
      <c r="M1821" s="175" t="n">
        <v>0.0148</v>
      </c>
      <c r="N1821" s="176" t="n">
        <v>0.02104</v>
      </c>
      <c r="O1821" s="172" t="n">
        <v>1.1</v>
      </c>
      <c r="P1821" s="172" t="inlineStr">
        <is>
          <t>受益权</t>
        </is>
      </c>
      <c r="Q1821" s="178" t="n">
        <v>0.05</v>
      </c>
      <c r="R1821" s="179">
        <f>Q1218*J1199</f>
        <v/>
      </c>
      <c r="S1821" s="177" t="inlineStr">
        <is>
          <t>无</t>
        </is>
      </c>
      <c r="T1821" s="178" t="n">
        <v>0.0495</v>
      </c>
      <c r="U1821" s="177" t="inlineStr">
        <is>
          <t>中信建投机构部</t>
        </is>
      </c>
      <c r="V1821" s="195" t="n">
        <v>0.225</v>
      </c>
      <c r="W1821" s="172" t="n"/>
      <c r="X1821" s="172" t="n"/>
      <c r="Y1821" s="172" t="n"/>
    </row>
    <row r="1822">
      <c r="A1822" s="172" t="n">
        <v>100</v>
      </c>
      <c r="B1822" s="172" t="inlineStr">
        <is>
          <t>6月</t>
        </is>
      </c>
      <c r="C1822" s="173" t="inlineStr">
        <is>
          <t>消金</t>
        </is>
      </c>
      <c r="D1822" s="173" t="inlineStr">
        <is>
          <t>金条&amp;白取混发</t>
        </is>
      </c>
      <c r="E1822" s="173" t="inlineStr">
        <is>
          <t>东樾4号春樾（4-1）</t>
        </is>
      </c>
      <c r="F1822" s="173" t="inlineStr">
        <is>
          <t>上交所</t>
        </is>
      </c>
      <c r="G1822" s="173" t="inlineStr">
        <is>
          <t>国泰海通</t>
        </is>
      </c>
      <c r="H1822" s="173" t="inlineStr">
        <is>
          <t>中信建投/招商证券/光大证券/中信证券</t>
        </is>
      </c>
      <c r="I1822" s="173" t="inlineStr">
        <is>
          <t>中行北分</t>
        </is>
      </c>
      <c r="J1822" s="172" t="n">
        <v>15</v>
      </c>
      <c r="K1822" s="173" t="inlineStr">
        <is>
          <t>12+10+12</t>
        </is>
      </c>
      <c r="L1822" s="202" t="n">
        <v>46198</v>
      </c>
      <c r="M1822" s="175" t="n">
        <v>0.0148</v>
      </c>
      <c r="N1822" s="176" t="n">
        <v>0.02104</v>
      </c>
      <c r="O1822" s="172" t="n">
        <v>1.1</v>
      </c>
      <c r="P1822" s="172" t="inlineStr">
        <is>
          <t>受益权</t>
        </is>
      </c>
      <c r="Q1822" s="178" t="n">
        <v>0.05</v>
      </c>
      <c r="R1822" s="179">
        <f>Q1218*J1199</f>
        <v/>
      </c>
      <c r="S1822" s="177" t="inlineStr">
        <is>
          <t>无</t>
        </is>
      </c>
      <c r="T1822" s="178" t="n">
        <v>0.0495</v>
      </c>
      <c r="U1822" s="177" t="inlineStr">
        <is>
          <t>中金投顾</t>
        </is>
      </c>
      <c r="V1822" s="192" t="n">
        <v>0.15</v>
      </c>
      <c r="W1822" s="172" t="n"/>
      <c r="X1822" s="172" t="n"/>
      <c r="Y1822" s="172" t="n"/>
    </row>
    <row r="1823">
      <c r="A1823" s="172" t="n">
        <v>101</v>
      </c>
      <c r="B1823" s="173" t="inlineStr">
        <is>
          <t>6月</t>
        </is>
      </c>
      <c r="C1823" s="173" t="inlineStr">
        <is>
          <t>消金</t>
        </is>
      </c>
      <c r="D1823" s="173" t="inlineStr">
        <is>
          <t>赊销白条</t>
        </is>
      </c>
      <c r="E1823" s="173" t="inlineStr">
        <is>
          <t>东裕11号仲裕</t>
        </is>
      </c>
      <c r="F1823" s="173" t="inlineStr">
        <is>
          <t>银行间</t>
        </is>
      </c>
      <c r="G1823" s="173" t="inlineStr">
        <is>
          <t>中信建投</t>
        </is>
      </c>
      <c r="H1823" s="173" t="inlineStr">
        <is>
          <t>江苏银行/杭州银行/国信证券/国开证券</t>
        </is>
      </c>
      <c r="I1823" s="173" t="inlineStr">
        <is>
          <t>招行北分</t>
        </is>
      </c>
      <c r="J1823" s="172" t="n">
        <v>10</v>
      </c>
      <c r="K1823" s="173" t="inlineStr">
        <is>
          <t>12+12+9+3</t>
        </is>
      </c>
      <c r="L1823" s="202" t="n">
        <v>46198</v>
      </c>
      <c r="M1823" s="175" t="n">
        <v>0.0148</v>
      </c>
      <c r="N1823" s="176" t="n">
        <v>0.0182</v>
      </c>
      <c r="O1823" s="191" t="n">
        <v>2.3</v>
      </c>
      <c r="P1823" s="177" t="inlineStr">
        <is>
          <t>优先A</t>
        </is>
      </c>
      <c r="Q1823" s="178" t="n">
        <v>0.9</v>
      </c>
      <c r="R1823" s="179" t="n">
        <v>9</v>
      </c>
      <c r="S1823" s="177" t="inlineStr">
        <is>
          <t>AAA</t>
        </is>
      </c>
      <c r="T1823" s="178" t="n">
        <v>0.016</v>
      </c>
      <c r="U1823" s="177" t="inlineStr">
        <is>
          <t>杭州银行</t>
        </is>
      </c>
      <c r="V1823" s="192" t="n">
        <v>0.8</v>
      </c>
      <c r="W1823" s="175" t="n">
        <v>0.0159</v>
      </c>
      <c r="X1823" s="172" t="inlineStr">
        <is>
          <t>杭州银行</t>
        </is>
      </c>
      <c r="Y1823" s="191" t="n">
        <v>0.8</v>
      </c>
    </row>
    <row r="1824">
      <c r="A1824" s="172" t="n">
        <v>101</v>
      </c>
      <c r="B1824" s="172" t="inlineStr">
        <is>
          <t>6月</t>
        </is>
      </c>
      <c r="C1824" s="172" t="inlineStr">
        <is>
          <t>消金</t>
        </is>
      </c>
      <c r="D1824" s="172" t="inlineStr">
        <is>
          <t>赊销白条</t>
        </is>
      </c>
      <c r="E1824" s="172" t="inlineStr">
        <is>
          <t>东裕11号仲裕</t>
        </is>
      </c>
      <c r="F1824" s="172" t="inlineStr">
        <is>
          <t>银行间</t>
        </is>
      </c>
      <c r="G1824" s="172" t="inlineStr">
        <is>
          <t>中信建投</t>
        </is>
      </c>
      <c r="H1824" s="172" t="inlineStr">
        <is>
          <t>江苏银行/杭州银行/国信证券/国开证券</t>
        </is>
      </c>
      <c r="I1824" s="172" t="inlineStr">
        <is>
          <t>招行北分</t>
        </is>
      </c>
      <c r="J1824" s="172" t="n">
        <v>10</v>
      </c>
      <c r="K1824" s="172" t="inlineStr">
        <is>
          <t>12+12+9+3</t>
        </is>
      </c>
      <c r="L1824" s="200" t="n">
        <v>46198</v>
      </c>
      <c r="M1824" s="175" t="n">
        <v>0.0148</v>
      </c>
      <c r="N1824" s="176" t="n">
        <v>0.0182</v>
      </c>
      <c r="O1824" s="172" t="n">
        <v>2.3</v>
      </c>
      <c r="P1824" s="172" t="inlineStr">
        <is>
          <t>优先A</t>
        </is>
      </c>
      <c r="Q1824" s="175" t="n">
        <v>0.9</v>
      </c>
      <c r="R1824" s="192" t="n">
        <v>9</v>
      </c>
      <c r="S1824" s="172" t="inlineStr">
        <is>
          <t>AAA</t>
        </is>
      </c>
      <c r="T1824" s="175" t="n">
        <v>0.016</v>
      </c>
      <c r="U1824" s="172" t="n"/>
      <c r="V1824" s="172" t="n"/>
      <c r="W1824" s="175" t="n">
        <v>0.0161</v>
      </c>
      <c r="X1824" s="172" t="inlineStr">
        <is>
          <t>杭州银行</t>
        </is>
      </c>
      <c r="Y1824" s="191" t="n">
        <v>0.55</v>
      </c>
    </row>
    <row r="1825">
      <c r="A1825" s="172" t="n">
        <v>101</v>
      </c>
      <c r="B1825" s="173" t="inlineStr">
        <is>
          <t>6月</t>
        </is>
      </c>
      <c r="C1825" s="173" t="inlineStr">
        <is>
          <t>消金</t>
        </is>
      </c>
      <c r="D1825" s="173" t="inlineStr">
        <is>
          <t>赊销白条</t>
        </is>
      </c>
      <c r="E1825" s="173" t="inlineStr">
        <is>
          <t>东裕11号仲裕</t>
        </is>
      </c>
      <c r="F1825" s="173" t="inlineStr">
        <is>
          <t>银行间</t>
        </is>
      </c>
      <c r="G1825" s="173" t="inlineStr">
        <is>
          <t>中信建投</t>
        </is>
      </c>
      <c r="H1825" s="173" t="inlineStr">
        <is>
          <t>江苏银行/杭州银行/国信证券/国开证券</t>
        </is>
      </c>
      <c r="I1825" s="173" t="inlineStr">
        <is>
          <t>招行北分</t>
        </is>
      </c>
      <c r="J1825" s="172" t="n">
        <v>10</v>
      </c>
      <c r="K1825" s="173" t="inlineStr">
        <is>
          <t>12+12+9+3</t>
        </is>
      </c>
      <c r="L1825" s="202" t="n">
        <v>46198</v>
      </c>
      <c r="M1825" s="175" t="n">
        <v>0.0148</v>
      </c>
      <c r="N1825" s="176" t="n">
        <v>0.0182</v>
      </c>
      <c r="O1825" s="191" t="n">
        <v>2.3</v>
      </c>
      <c r="P1825" s="172" t="inlineStr">
        <is>
          <t>优先A</t>
        </is>
      </c>
      <c r="Q1825" s="178" t="n">
        <v>0.9</v>
      </c>
      <c r="R1825" s="179" t="n">
        <v>9</v>
      </c>
      <c r="S1825" s="177" t="inlineStr">
        <is>
          <t>AAA</t>
        </is>
      </c>
      <c r="T1825" s="178" t="n">
        <v>0.016</v>
      </c>
      <c r="U1825" s="177" t="inlineStr">
        <is>
          <t>平安养老</t>
        </is>
      </c>
      <c r="V1825" s="192" t="n">
        <v>0.5</v>
      </c>
      <c r="W1825" s="175" t="n">
        <v>0.016</v>
      </c>
      <c r="X1825" s="172" t="inlineStr">
        <is>
          <t>平安养老</t>
        </is>
      </c>
      <c r="Y1825" s="191" t="n">
        <v>0.9</v>
      </c>
    </row>
    <row r="1826">
      <c r="A1826" s="172" t="n">
        <v>101</v>
      </c>
      <c r="B1826" s="172" t="inlineStr">
        <is>
          <t>6月</t>
        </is>
      </c>
      <c r="C1826" s="172" t="inlineStr">
        <is>
          <t>消金</t>
        </is>
      </c>
      <c r="D1826" s="172" t="inlineStr">
        <is>
          <t>赊销白条</t>
        </is>
      </c>
      <c r="E1826" s="172" t="inlineStr">
        <is>
          <t>东裕11号仲裕</t>
        </is>
      </c>
      <c r="F1826" s="172" t="inlineStr">
        <is>
          <t>银行间</t>
        </is>
      </c>
      <c r="G1826" s="172" t="inlineStr">
        <is>
          <t>中信建投</t>
        </is>
      </c>
      <c r="H1826" s="172" t="inlineStr">
        <is>
          <t>江苏银行/杭州银行/国信证券/国开证券</t>
        </is>
      </c>
      <c r="I1826" s="172" t="inlineStr">
        <is>
          <t>招行北分</t>
        </is>
      </c>
      <c r="J1826" s="172" t="n">
        <v>10</v>
      </c>
      <c r="K1826" s="172" t="inlineStr">
        <is>
          <t>12+12+9+3</t>
        </is>
      </c>
      <c r="L1826" s="200" t="n">
        <v>46198</v>
      </c>
      <c r="M1826" s="175" t="n">
        <v>0.0148</v>
      </c>
      <c r="N1826" s="176" t="n">
        <v>0.0182</v>
      </c>
      <c r="O1826" s="172" t="n">
        <v>2.3</v>
      </c>
      <c r="P1826" s="172" t="inlineStr">
        <is>
          <t>优先A</t>
        </is>
      </c>
      <c r="Q1826" s="175" t="n">
        <v>0.9</v>
      </c>
      <c r="R1826" s="192" t="n">
        <v>9</v>
      </c>
      <c r="S1826" s="172" t="inlineStr">
        <is>
          <t>AAA</t>
        </is>
      </c>
      <c r="T1826" s="175" t="n">
        <v>0.016</v>
      </c>
      <c r="U1826" s="172" t="n"/>
      <c r="V1826" s="172" t="n"/>
      <c r="W1826" s="175" t="n">
        <v>0.0162</v>
      </c>
      <c r="X1826" s="172" t="inlineStr">
        <is>
          <t>平安养老</t>
        </is>
      </c>
      <c r="Y1826" s="191" t="n">
        <v>0.45</v>
      </c>
    </row>
    <row r="1827">
      <c r="A1827" s="172" t="n">
        <v>101</v>
      </c>
      <c r="B1827" s="173" t="inlineStr">
        <is>
          <t>6月</t>
        </is>
      </c>
      <c r="C1827" s="173" t="inlineStr">
        <is>
          <t>消金</t>
        </is>
      </c>
      <c r="D1827" s="173" t="inlineStr">
        <is>
          <t>赊销白条</t>
        </is>
      </c>
      <c r="E1827" s="173" t="inlineStr">
        <is>
          <t>东裕11号仲裕</t>
        </is>
      </c>
      <c r="F1827" s="173" t="inlineStr">
        <is>
          <t>银行间</t>
        </is>
      </c>
      <c r="G1827" s="173" t="inlineStr">
        <is>
          <t>中信建投</t>
        </is>
      </c>
      <c r="H1827" s="173" t="inlineStr">
        <is>
          <t>江苏银行/杭州银行/国信证券/国开证券</t>
        </is>
      </c>
      <c r="I1827" s="173" t="inlineStr">
        <is>
          <t>招行北分</t>
        </is>
      </c>
      <c r="J1827" s="172" t="n">
        <v>10</v>
      </c>
      <c r="K1827" s="173" t="inlineStr">
        <is>
          <t>12+12+9+3</t>
        </is>
      </c>
      <c r="L1827" s="202" t="n">
        <v>46198</v>
      </c>
      <c r="M1827" s="175" t="n">
        <v>0.0148</v>
      </c>
      <c r="N1827" s="176" t="n">
        <v>0.0182</v>
      </c>
      <c r="O1827" s="191" t="n">
        <v>2.3</v>
      </c>
      <c r="P1827" s="172" t="inlineStr">
        <is>
          <t>优先A</t>
        </is>
      </c>
      <c r="Q1827" s="178" t="n">
        <v>0.9</v>
      </c>
      <c r="R1827" s="179" t="n">
        <v>9</v>
      </c>
      <c r="S1827" s="177" t="inlineStr">
        <is>
          <t>AAA</t>
        </is>
      </c>
      <c r="T1827" s="178" t="n">
        <v>0.016</v>
      </c>
      <c r="U1827" s="177" t="inlineStr">
        <is>
          <t>中邮理财</t>
        </is>
      </c>
      <c r="V1827" s="192" t="n">
        <v>0.9</v>
      </c>
      <c r="W1827" s="175" t="n">
        <v>0.016</v>
      </c>
      <c r="X1827" s="172" t="inlineStr">
        <is>
          <t>中邮理财</t>
        </is>
      </c>
      <c r="Y1827" s="191" t="n">
        <v>1.7</v>
      </c>
    </row>
    <row r="1828">
      <c r="A1828" s="172" t="n">
        <v>101</v>
      </c>
      <c r="B1828" s="172" t="inlineStr">
        <is>
          <t>6月</t>
        </is>
      </c>
      <c r="C1828" s="172" t="inlineStr">
        <is>
          <t>消金</t>
        </is>
      </c>
      <c r="D1828" s="172" t="inlineStr">
        <is>
          <t>赊销白条</t>
        </is>
      </c>
      <c r="E1828" s="172" t="inlineStr">
        <is>
          <t>东裕11号仲裕</t>
        </is>
      </c>
      <c r="F1828" s="172" t="inlineStr">
        <is>
          <t>银行间</t>
        </is>
      </c>
      <c r="G1828" s="172" t="inlineStr">
        <is>
          <t>中信建投</t>
        </is>
      </c>
      <c r="H1828" s="172" t="inlineStr">
        <is>
          <t>江苏银行/杭州银行/国信证券/国开证券</t>
        </is>
      </c>
      <c r="I1828" s="172" t="inlineStr">
        <is>
          <t>招行北分</t>
        </is>
      </c>
      <c r="J1828" s="172" t="n">
        <v>10</v>
      </c>
      <c r="K1828" s="172" t="inlineStr">
        <is>
          <t>12+12+9+3</t>
        </is>
      </c>
      <c r="L1828" s="200" t="n">
        <v>46198</v>
      </c>
      <c r="M1828" s="175" t="n">
        <v>0.0148</v>
      </c>
      <c r="N1828" s="176" t="n">
        <v>0.0182</v>
      </c>
      <c r="O1828" s="172" t="n">
        <v>2.3</v>
      </c>
      <c r="P1828" s="172" t="inlineStr">
        <is>
          <t>优先A</t>
        </is>
      </c>
      <c r="Q1828" s="175" t="n">
        <v>0.9</v>
      </c>
      <c r="R1828" s="192" t="n">
        <v>9</v>
      </c>
      <c r="S1828" s="172" t="inlineStr">
        <is>
          <t>AAA</t>
        </is>
      </c>
      <c r="T1828" s="175" t="n">
        <v>0.016</v>
      </c>
      <c r="U1828" s="172" t="n"/>
      <c r="V1828" s="172" t="n"/>
      <c r="W1828" s="175" t="n">
        <v>0.0162</v>
      </c>
      <c r="X1828" s="172" t="inlineStr">
        <is>
          <t>中邮理财</t>
        </is>
      </c>
      <c r="Y1828" s="191" t="n">
        <v>1</v>
      </c>
    </row>
    <row r="1829">
      <c r="A1829" s="172" t="n">
        <v>101</v>
      </c>
      <c r="B1829" s="173" t="inlineStr">
        <is>
          <t>6月</t>
        </is>
      </c>
      <c r="C1829" s="173" t="inlineStr">
        <is>
          <t>消金</t>
        </is>
      </c>
      <c r="D1829" s="173" t="inlineStr">
        <is>
          <t>赊销白条</t>
        </is>
      </c>
      <c r="E1829" s="173" t="inlineStr">
        <is>
          <t>东裕11号仲裕</t>
        </is>
      </c>
      <c r="F1829" s="173" t="inlineStr">
        <is>
          <t>银行间</t>
        </is>
      </c>
      <c r="G1829" s="173" t="inlineStr">
        <is>
          <t>中信建投</t>
        </is>
      </c>
      <c r="H1829" s="173" t="inlineStr">
        <is>
          <t>江苏银行/杭州银行/国信证券/国开证券</t>
        </is>
      </c>
      <c r="I1829" s="173" t="inlineStr">
        <is>
          <t>招行北分</t>
        </is>
      </c>
      <c r="J1829" s="172" t="n">
        <v>10</v>
      </c>
      <c r="K1829" s="173" t="inlineStr">
        <is>
          <t>12+12+9+3</t>
        </is>
      </c>
      <c r="L1829" s="202" t="n">
        <v>46198</v>
      </c>
      <c r="M1829" s="175" t="n">
        <v>0.0148</v>
      </c>
      <c r="N1829" s="176" t="n">
        <v>0.0182</v>
      </c>
      <c r="O1829" s="191" t="n">
        <v>2.3</v>
      </c>
      <c r="P1829" s="172" t="inlineStr">
        <is>
          <t>优先A</t>
        </is>
      </c>
      <c r="Q1829" s="178" t="n">
        <v>0.9</v>
      </c>
      <c r="R1829" s="179" t="n">
        <v>9</v>
      </c>
      <c r="S1829" s="177" t="inlineStr">
        <is>
          <t>AAA</t>
        </is>
      </c>
      <c r="T1829" s="178" t="n">
        <v>0.016</v>
      </c>
      <c r="U1829" s="177" t="inlineStr">
        <is>
          <t>交银理财</t>
        </is>
      </c>
      <c r="V1829" s="192" t="n">
        <v>0.25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101</v>
      </c>
      <c r="B1830" s="172" t="inlineStr">
        <is>
          <t>6月</t>
        </is>
      </c>
      <c r="C1830" s="172" t="inlineStr">
        <is>
          <t>消金</t>
        </is>
      </c>
      <c r="D1830" s="172" t="inlineStr">
        <is>
          <t>赊销白条</t>
        </is>
      </c>
      <c r="E1830" s="172" t="inlineStr">
        <is>
          <t>东裕11号仲裕</t>
        </is>
      </c>
      <c r="F1830" s="172" t="inlineStr">
        <is>
          <t>银行间</t>
        </is>
      </c>
      <c r="G1830" s="172" t="inlineStr">
        <is>
          <t>中信建投</t>
        </is>
      </c>
      <c r="H1830" s="172" t="inlineStr">
        <is>
          <t>江苏银行/杭州银行/国信证券/国开证券</t>
        </is>
      </c>
      <c r="I1830" s="172" t="inlineStr">
        <is>
          <t>招行北分</t>
        </is>
      </c>
      <c r="J1830" s="172" t="n">
        <v>10</v>
      </c>
      <c r="K1830" s="172" t="inlineStr">
        <is>
          <t>12+12+9+3</t>
        </is>
      </c>
      <c r="L1830" s="200" t="n">
        <v>46198</v>
      </c>
      <c r="M1830" s="175" t="n">
        <v>0.0148</v>
      </c>
      <c r="N1830" s="176" t="n">
        <v>0.0182</v>
      </c>
      <c r="O1830" s="172" t="n">
        <v>2.3</v>
      </c>
      <c r="P1830" s="172" t="inlineStr">
        <is>
          <t>优先A</t>
        </is>
      </c>
      <c r="Q1830" s="175" t="n">
        <v>0.9</v>
      </c>
      <c r="R1830" s="192" t="n">
        <v>9</v>
      </c>
      <c r="S1830" s="172" t="inlineStr">
        <is>
          <t>AAA</t>
        </is>
      </c>
      <c r="T1830" s="175" t="n">
        <v>0.016</v>
      </c>
      <c r="U1830" s="172" t="n"/>
      <c r="V1830" s="172" t="n"/>
      <c r="W1830" s="175" t="n">
        <v>0.0165</v>
      </c>
      <c r="X1830" s="172" t="inlineStr">
        <is>
          <t>交银理财</t>
        </is>
      </c>
      <c r="Y1830" s="191" t="n">
        <v>0.3</v>
      </c>
    </row>
    <row r="1831">
      <c r="A1831" s="172" t="n">
        <v>101</v>
      </c>
      <c r="B1831" s="173" t="inlineStr">
        <is>
          <t>6月</t>
        </is>
      </c>
      <c r="C1831" s="173" t="inlineStr">
        <is>
          <t>消金</t>
        </is>
      </c>
      <c r="D1831" s="173" t="inlineStr">
        <is>
          <t>赊销白条</t>
        </is>
      </c>
      <c r="E1831" s="173" t="inlineStr">
        <is>
          <t>东裕11号仲裕</t>
        </is>
      </c>
      <c r="F1831" s="173" t="inlineStr">
        <is>
          <t>银行间</t>
        </is>
      </c>
      <c r="G1831" s="173" t="inlineStr">
        <is>
          <t>中信建投</t>
        </is>
      </c>
      <c r="H1831" s="173" t="inlineStr">
        <is>
          <t>江苏银行/杭州银行/国信证券/国开证券</t>
        </is>
      </c>
      <c r="I1831" s="173" t="inlineStr">
        <is>
          <t>招行北分</t>
        </is>
      </c>
      <c r="J1831" s="172" t="n">
        <v>10</v>
      </c>
      <c r="K1831" s="173" t="inlineStr">
        <is>
          <t>12+12+9+3</t>
        </is>
      </c>
      <c r="L1831" s="202" t="n">
        <v>46198</v>
      </c>
      <c r="M1831" s="175" t="n">
        <v>0.0148</v>
      </c>
      <c r="N1831" s="176" t="n">
        <v>0.0182</v>
      </c>
      <c r="O1831" s="191" t="n">
        <v>2.3</v>
      </c>
      <c r="P1831" s="172" t="inlineStr">
        <is>
          <t>优先A</t>
        </is>
      </c>
      <c r="Q1831" s="178" t="n">
        <v>0.9</v>
      </c>
      <c r="R1831" s="179" t="n">
        <v>9</v>
      </c>
      <c r="S1831" s="177" t="inlineStr">
        <is>
          <t>AAA</t>
        </is>
      </c>
      <c r="T1831" s="178" t="n">
        <v>0.016</v>
      </c>
      <c r="U1831" s="177" t="inlineStr">
        <is>
          <t>江苏银行</t>
        </is>
      </c>
      <c r="V1831" s="192" t="n">
        <v>1.8</v>
      </c>
      <c r="W1831" s="175" t="n">
        <v>0.015</v>
      </c>
      <c r="X1831" s="172" t="inlineStr">
        <is>
          <t>江苏银行</t>
        </is>
      </c>
      <c r="Y1831" s="191" t="n">
        <v>1.8</v>
      </c>
    </row>
    <row r="1832">
      <c r="A1832" s="172" t="n">
        <v>101</v>
      </c>
      <c r="B1832" s="173" t="inlineStr">
        <is>
          <t>6月</t>
        </is>
      </c>
      <c r="C1832" s="173" t="inlineStr">
        <is>
          <t>消金</t>
        </is>
      </c>
      <c r="D1832" s="173" t="inlineStr">
        <is>
          <t>赊销白条</t>
        </is>
      </c>
      <c r="E1832" s="173" t="inlineStr">
        <is>
          <t>东裕11号仲裕</t>
        </is>
      </c>
      <c r="F1832" s="173" t="inlineStr">
        <is>
          <t>银行间</t>
        </is>
      </c>
      <c r="G1832" s="173" t="inlineStr">
        <is>
          <t>中信建投</t>
        </is>
      </c>
      <c r="H1832" s="173" t="inlineStr">
        <is>
          <t>江苏银行/杭州银行/国信证券/国开证券</t>
        </is>
      </c>
      <c r="I1832" s="173" t="inlineStr">
        <is>
          <t>招行北分</t>
        </is>
      </c>
      <c r="J1832" s="172" t="n">
        <v>10</v>
      </c>
      <c r="K1832" s="173" t="inlineStr">
        <is>
          <t>12+12+9+3</t>
        </is>
      </c>
      <c r="L1832" s="202" t="n">
        <v>46198</v>
      </c>
      <c r="M1832" s="175" t="n">
        <v>0.0148</v>
      </c>
      <c r="N1832" s="176" t="n">
        <v>0.0182</v>
      </c>
      <c r="O1832" s="191" t="n">
        <v>2.3</v>
      </c>
      <c r="P1832" s="172" t="inlineStr">
        <is>
          <t>优先A</t>
        </is>
      </c>
      <c r="Q1832" s="178" t="n">
        <v>0.9</v>
      </c>
      <c r="R1832" s="179" t="n">
        <v>9</v>
      </c>
      <c r="S1832" s="177" t="inlineStr">
        <is>
          <t>AAA</t>
        </is>
      </c>
      <c r="T1832" s="178" t="n">
        <v>0.016</v>
      </c>
      <c r="U1832" s="177" t="inlineStr">
        <is>
          <t>兴银理财</t>
        </is>
      </c>
      <c r="V1832" s="192" t="n">
        <v>1.5</v>
      </c>
      <c r="W1832" s="175" t="n">
        <v>0.016</v>
      </c>
      <c r="X1832" s="172" t="inlineStr">
        <is>
          <t>兴银理财</t>
        </is>
      </c>
      <c r="Y1832" s="191" t="n">
        <v>2.7</v>
      </c>
    </row>
    <row r="1833">
      <c r="A1833" s="172" t="n">
        <v>101</v>
      </c>
      <c r="B1833" s="173" t="inlineStr">
        <is>
          <t>6月</t>
        </is>
      </c>
      <c r="C1833" s="173" t="inlineStr">
        <is>
          <t>消金</t>
        </is>
      </c>
      <c r="D1833" s="173" t="inlineStr">
        <is>
          <t>赊销白条</t>
        </is>
      </c>
      <c r="E1833" s="173" t="inlineStr">
        <is>
          <t>东裕11号仲裕</t>
        </is>
      </c>
      <c r="F1833" s="173" t="inlineStr">
        <is>
          <t>银行间</t>
        </is>
      </c>
      <c r="G1833" s="173" t="inlineStr">
        <is>
          <t>中信建投</t>
        </is>
      </c>
      <c r="H1833" s="173" t="inlineStr">
        <is>
          <t>江苏银行/杭州银行/国信证券/国开证券</t>
        </is>
      </c>
      <c r="I1833" s="173" t="inlineStr">
        <is>
          <t>招行北分</t>
        </is>
      </c>
      <c r="J1833" s="172" t="n">
        <v>10</v>
      </c>
      <c r="K1833" s="173" t="inlineStr">
        <is>
          <t>12+12+9+3</t>
        </is>
      </c>
      <c r="L1833" s="202" t="n">
        <v>46198</v>
      </c>
      <c r="M1833" s="175" t="n">
        <v>0.0148</v>
      </c>
      <c r="N1833" s="176" t="n">
        <v>0.0182</v>
      </c>
      <c r="O1833" s="191" t="n">
        <v>2.3</v>
      </c>
      <c r="P1833" s="172" t="inlineStr">
        <is>
          <t>优先A</t>
        </is>
      </c>
      <c r="Q1833" s="178" t="n">
        <v>0.9</v>
      </c>
      <c r="R1833" s="179" t="n">
        <v>9</v>
      </c>
      <c r="S1833" s="177" t="inlineStr">
        <is>
          <t>AAA</t>
        </is>
      </c>
      <c r="T1833" s="178" t="n">
        <v>0.016</v>
      </c>
      <c r="U1833" s="177" t="inlineStr">
        <is>
          <t>杭银理财</t>
        </is>
      </c>
      <c r="V1833" s="192" t="n">
        <v>0.45</v>
      </c>
      <c r="W1833" s="175" t="n">
        <v>0.0158</v>
      </c>
      <c r="X1833" s="172" t="inlineStr">
        <is>
          <t>杭银理财</t>
        </is>
      </c>
      <c r="Y1833" s="191" t="n">
        <v>0.45</v>
      </c>
    </row>
    <row r="1834">
      <c r="A1834" s="172" t="n">
        <v>101</v>
      </c>
      <c r="B1834" s="173" t="inlineStr">
        <is>
          <t>6月</t>
        </is>
      </c>
      <c r="C1834" s="173" t="inlineStr">
        <is>
          <t>消金</t>
        </is>
      </c>
      <c r="D1834" s="173" t="inlineStr">
        <is>
          <t>赊销白条</t>
        </is>
      </c>
      <c r="E1834" s="173" t="inlineStr">
        <is>
          <t>东裕11号仲裕</t>
        </is>
      </c>
      <c r="F1834" s="173" t="inlineStr">
        <is>
          <t>银行间</t>
        </is>
      </c>
      <c r="G1834" s="173" t="inlineStr">
        <is>
          <t>中信建投</t>
        </is>
      </c>
      <c r="H1834" s="173" t="inlineStr">
        <is>
          <t>江苏银行/杭州银行/国信证券/国开证券</t>
        </is>
      </c>
      <c r="I1834" s="173" t="inlineStr">
        <is>
          <t>招行北分</t>
        </is>
      </c>
      <c r="J1834" s="172" t="n">
        <v>10</v>
      </c>
      <c r="K1834" s="173" t="inlineStr">
        <is>
          <t>12+12+9+3</t>
        </is>
      </c>
      <c r="L1834" s="202" t="n">
        <v>46198</v>
      </c>
      <c r="M1834" s="175" t="n">
        <v>0.0148</v>
      </c>
      <c r="N1834" s="176" t="n">
        <v>0.0182</v>
      </c>
      <c r="O1834" s="191" t="n">
        <v>2.3</v>
      </c>
      <c r="P1834" s="172" t="inlineStr">
        <is>
          <t>优先A</t>
        </is>
      </c>
      <c r="Q1834" s="178" t="n">
        <v>0.9</v>
      </c>
      <c r="R1834" s="179" t="n">
        <v>9</v>
      </c>
      <c r="S1834" s="177" t="inlineStr">
        <is>
          <t>AAA</t>
        </is>
      </c>
      <c r="T1834" s="178" t="n">
        <v>0.016</v>
      </c>
      <c r="U1834" s="177" t="inlineStr">
        <is>
          <t>招银理财</t>
        </is>
      </c>
      <c r="V1834" s="192" t="n">
        <v>2.7</v>
      </c>
      <c r="W1834" s="175" t="n">
        <v>0.0158</v>
      </c>
      <c r="X1834" s="172" t="inlineStr">
        <is>
          <t>招银理财</t>
        </is>
      </c>
      <c r="Y1834" s="191" t="n">
        <v>2.7</v>
      </c>
    </row>
    <row r="1835">
      <c r="A1835" s="172" t="n">
        <v>101</v>
      </c>
      <c r="B1835" s="173" t="inlineStr">
        <is>
          <t>6月</t>
        </is>
      </c>
      <c r="C1835" s="173" t="inlineStr">
        <is>
          <t>消金</t>
        </is>
      </c>
      <c r="D1835" s="173" t="inlineStr">
        <is>
          <t>赊销白条</t>
        </is>
      </c>
      <c r="E1835" s="173" t="inlineStr">
        <is>
          <t>东裕11号仲裕</t>
        </is>
      </c>
      <c r="F1835" s="173" t="inlineStr">
        <is>
          <t>银行间</t>
        </is>
      </c>
      <c r="G1835" s="173" t="inlineStr">
        <is>
          <t>中信建投</t>
        </is>
      </c>
      <c r="H1835" s="173" t="inlineStr">
        <is>
          <t>江苏银行/杭州银行/国信证券/国开证券</t>
        </is>
      </c>
      <c r="I1835" s="173" t="inlineStr">
        <is>
          <t>招行北分</t>
        </is>
      </c>
      <c r="J1835" s="172" t="n">
        <v>10</v>
      </c>
      <c r="K1835" s="173" t="inlineStr">
        <is>
          <t>12+12+9+3</t>
        </is>
      </c>
      <c r="L1835" s="202" t="n">
        <v>46198</v>
      </c>
      <c r="M1835" s="175" t="n">
        <v>0.0148</v>
      </c>
      <c r="N1835" s="176" t="n">
        <v>0.0182</v>
      </c>
      <c r="O1835" s="191" t="n">
        <v>2.3</v>
      </c>
      <c r="P1835" s="172" t="inlineStr">
        <is>
          <t>优先A</t>
        </is>
      </c>
      <c r="Q1835" s="178" t="n">
        <v>0.9</v>
      </c>
      <c r="R1835" s="179" t="n">
        <v>9</v>
      </c>
      <c r="S1835" s="177" t="inlineStr">
        <is>
          <t>AAA</t>
        </is>
      </c>
      <c r="T1835" s="178" t="n">
        <v>0.016</v>
      </c>
      <c r="U1835" s="177" t="inlineStr">
        <is>
          <t>平安理财</t>
        </is>
      </c>
      <c r="V1835" s="192" t="n">
        <v>0.1</v>
      </c>
      <c r="W1835" s="175" t="n">
        <v>0.016</v>
      </c>
      <c r="X1835" s="172" t="inlineStr">
        <is>
          <t>平安理财</t>
        </is>
      </c>
      <c r="Y1835" s="191" t="n">
        <v>0.115</v>
      </c>
    </row>
    <row r="1836">
      <c r="A1836" s="172" t="n">
        <v>101</v>
      </c>
      <c r="B1836" s="172" t="inlineStr">
        <is>
          <t>6月</t>
        </is>
      </c>
      <c r="C1836" s="172" t="inlineStr">
        <is>
          <t>消金</t>
        </is>
      </c>
      <c r="D1836" s="172" t="inlineStr">
        <is>
          <t>赊销白条</t>
        </is>
      </c>
      <c r="E1836" s="172" t="inlineStr">
        <is>
          <t>东裕11号仲裕</t>
        </is>
      </c>
      <c r="F1836" s="172" t="inlineStr">
        <is>
          <t>银行间</t>
        </is>
      </c>
      <c r="G1836" s="172" t="inlineStr">
        <is>
          <t>中信建投</t>
        </is>
      </c>
      <c r="H1836" s="172" t="inlineStr">
        <is>
          <t>江苏银行/杭州银行/国信证券/国开证券</t>
        </is>
      </c>
      <c r="I1836" s="172" t="inlineStr">
        <is>
          <t>招行北分</t>
        </is>
      </c>
      <c r="J1836" s="172" t="n">
        <v>10</v>
      </c>
      <c r="K1836" s="172" t="inlineStr">
        <is>
          <t>12+12+9+3</t>
        </is>
      </c>
      <c r="L1836" s="200" t="n">
        <v>46198</v>
      </c>
      <c r="M1836" s="175" t="n">
        <v>0.0148</v>
      </c>
      <c r="N1836" s="176" t="n">
        <v>0.0182</v>
      </c>
      <c r="O1836" s="172" t="n">
        <v>2.3</v>
      </c>
      <c r="P1836" s="172" t="inlineStr">
        <is>
          <t>优先A</t>
        </is>
      </c>
      <c r="Q1836" s="175" t="n">
        <v>0.9</v>
      </c>
      <c r="R1836" s="192" t="n">
        <v>9</v>
      </c>
      <c r="S1836" s="172" t="inlineStr">
        <is>
          <t>AAA</t>
        </is>
      </c>
      <c r="T1836" s="175" t="n">
        <v>0.016</v>
      </c>
      <c r="U1836" s="172" t="n"/>
      <c r="V1836" s="172" t="n"/>
      <c r="W1836" s="175" t="n">
        <v>0.016</v>
      </c>
      <c r="X1836" s="172" t="inlineStr">
        <is>
          <t>国开证券</t>
        </is>
      </c>
      <c r="Y1836" s="191" t="n">
        <v>1</v>
      </c>
    </row>
    <row r="1837">
      <c r="A1837" s="172" t="n">
        <v>101</v>
      </c>
      <c r="B1837" s="172" t="inlineStr">
        <is>
          <t>6月</t>
        </is>
      </c>
      <c r="C1837" s="172" t="inlineStr">
        <is>
          <t>消金</t>
        </is>
      </c>
      <c r="D1837" s="172" t="inlineStr">
        <is>
          <t>赊销白条</t>
        </is>
      </c>
      <c r="E1837" s="172" t="inlineStr">
        <is>
          <t>东裕11号仲裕</t>
        </is>
      </c>
      <c r="F1837" s="172" t="inlineStr">
        <is>
          <t>银行间</t>
        </is>
      </c>
      <c r="G1837" s="172" t="inlineStr">
        <is>
          <t>中信建投</t>
        </is>
      </c>
      <c r="H1837" s="172" t="inlineStr">
        <is>
          <t>江苏银行/杭州银行/国信证券/国开证券</t>
        </is>
      </c>
      <c r="I1837" s="172" t="inlineStr">
        <is>
          <t>招行北分</t>
        </is>
      </c>
      <c r="J1837" s="172" t="n">
        <v>10</v>
      </c>
      <c r="K1837" s="172" t="inlineStr">
        <is>
          <t>12+12+9+3</t>
        </is>
      </c>
      <c r="L1837" s="200" t="n">
        <v>46198</v>
      </c>
      <c r="M1837" s="175" t="n">
        <v>0.0148</v>
      </c>
      <c r="N1837" s="176" t="n">
        <v>0.0182</v>
      </c>
      <c r="O1837" s="172" t="n">
        <v>2.3</v>
      </c>
      <c r="P1837" s="172" t="inlineStr">
        <is>
          <t>优先A</t>
        </is>
      </c>
      <c r="Q1837" s="175" t="n">
        <v>0.9</v>
      </c>
      <c r="R1837" s="192" t="n">
        <v>9</v>
      </c>
      <c r="S1837" s="172" t="inlineStr">
        <is>
          <t>AAA</t>
        </is>
      </c>
      <c r="T1837" s="175" t="n">
        <v>0.016</v>
      </c>
      <c r="U1837" s="172" t="n"/>
      <c r="V1837" s="172" t="n"/>
      <c r="W1837" s="175" t="n">
        <v>0.018</v>
      </c>
      <c r="X1837" s="172" t="inlineStr">
        <is>
          <t>国信证券（投行）</t>
        </is>
      </c>
      <c r="Y1837" s="191" t="n">
        <v>1.3</v>
      </c>
    </row>
    <row r="1838">
      <c r="A1838" s="172" t="n">
        <v>101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赊销白条</t>
        </is>
      </c>
      <c r="E1838" s="172" t="inlineStr">
        <is>
          <t>东裕11号仲裕</t>
        </is>
      </c>
      <c r="F1838" s="172" t="inlineStr">
        <is>
          <t>银行间</t>
        </is>
      </c>
      <c r="G1838" s="172" t="inlineStr">
        <is>
          <t>中信建投</t>
        </is>
      </c>
      <c r="H1838" s="172" t="inlineStr">
        <is>
          <t>江苏银行/杭州银行/国信证券/国开证券</t>
        </is>
      </c>
      <c r="I1838" s="172" t="inlineStr">
        <is>
          <t>招行北分</t>
        </is>
      </c>
      <c r="J1838" s="172" t="n">
        <v>10</v>
      </c>
      <c r="K1838" s="172" t="inlineStr">
        <is>
          <t>12+12+9+3</t>
        </is>
      </c>
      <c r="L1838" s="200" t="n">
        <v>46198</v>
      </c>
      <c r="M1838" s="175" t="n">
        <v>0.0148</v>
      </c>
      <c r="N1838" s="176" t="n">
        <v>0.0182</v>
      </c>
      <c r="O1838" s="172" t="n">
        <v>2.3</v>
      </c>
      <c r="P1838" s="172" t="inlineStr">
        <is>
          <t>优先A</t>
        </is>
      </c>
      <c r="Q1838" s="175" t="n">
        <v>0.9</v>
      </c>
      <c r="R1838" s="192" t="n">
        <v>9</v>
      </c>
      <c r="S1838" s="172" t="inlineStr">
        <is>
          <t>AAA</t>
        </is>
      </c>
      <c r="T1838" s="175" t="n">
        <v>0.016</v>
      </c>
      <c r="U1838" s="172" t="n"/>
      <c r="V1838" s="172" t="n"/>
      <c r="W1838" s="175" t="n">
        <v>0.02</v>
      </c>
      <c r="X1838" s="172" t="inlineStr">
        <is>
          <t>信达证券</t>
        </is>
      </c>
      <c r="Y1838" s="191" t="n">
        <v>0.8</v>
      </c>
    </row>
    <row r="1839">
      <c r="A1839" s="172" t="n">
        <v>101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赊销白条</t>
        </is>
      </c>
      <c r="E1839" s="172" t="inlineStr">
        <is>
          <t>东裕11号仲裕</t>
        </is>
      </c>
      <c r="F1839" s="172" t="inlineStr">
        <is>
          <t>银行间</t>
        </is>
      </c>
      <c r="G1839" s="172" t="inlineStr">
        <is>
          <t>中信建投</t>
        </is>
      </c>
      <c r="H1839" s="172" t="inlineStr">
        <is>
          <t>江苏银行/杭州银行/国信证券/国开证券</t>
        </is>
      </c>
      <c r="I1839" s="172" t="inlineStr">
        <is>
          <t>招行北分</t>
        </is>
      </c>
      <c r="J1839" s="172" t="n">
        <v>10</v>
      </c>
      <c r="K1839" s="172" t="inlineStr">
        <is>
          <t>12+12+9+3</t>
        </is>
      </c>
      <c r="L1839" s="200" t="n">
        <v>46198</v>
      </c>
      <c r="M1839" s="175" t="n">
        <v>0.0148</v>
      </c>
      <c r="N1839" s="176" t="n">
        <v>0.0182</v>
      </c>
      <c r="O1839" s="172" t="n">
        <v>2.3</v>
      </c>
      <c r="P1839" s="172" t="inlineStr">
        <is>
          <t>优先A</t>
        </is>
      </c>
      <c r="Q1839" s="175" t="n">
        <v>0.9</v>
      </c>
      <c r="R1839" s="192" t="n">
        <v>9</v>
      </c>
      <c r="S1839" s="172" t="inlineStr">
        <is>
          <t>AAA</t>
        </is>
      </c>
      <c r="T1839" s="175" t="n">
        <v>0.016</v>
      </c>
      <c r="U1839" s="172" t="n"/>
      <c r="V1839" s="172" t="n"/>
      <c r="W1839" s="175" t="n">
        <v>0.02</v>
      </c>
      <c r="X1839" s="172" t="inlineStr">
        <is>
          <t>中信证券自营</t>
        </is>
      </c>
      <c r="Y1839" s="191" t="n">
        <v>1</v>
      </c>
    </row>
    <row r="1840">
      <c r="A1840" s="172" t="n">
        <v>101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赊销白条</t>
        </is>
      </c>
      <c r="E1840" s="172" t="inlineStr">
        <is>
          <t>东裕11号仲裕</t>
        </is>
      </c>
      <c r="F1840" s="172" t="inlineStr">
        <is>
          <t>银行间</t>
        </is>
      </c>
      <c r="G1840" s="172" t="inlineStr">
        <is>
          <t>中信建投</t>
        </is>
      </c>
      <c r="H1840" s="172" t="inlineStr">
        <is>
          <t>江苏银行/杭州银行/国信证券/国开证券</t>
        </is>
      </c>
      <c r="I1840" s="172" t="inlineStr">
        <is>
          <t>招行北分</t>
        </is>
      </c>
      <c r="J1840" s="172" t="n">
        <v>10</v>
      </c>
      <c r="K1840" s="172" t="inlineStr">
        <is>
          <t>12+12+9+3</t>
        </is>
      </c>
      <c r="L1840" s="200" t="n">
        <v>46198</v>
      </c>
      <c r="M1840" s="175" t="n">
        <v>0.0148</v>
      </c>
      <c r="N1840" s="176" t="n">
        <v>0.0182</v>
      </c>
      <c r="O1840" s="172" t="n">
        <v>2.3</v>
      </c>
      <c r="P1840" s="172" t="inlineStr">
        <is>
          <t>优先A</t>
        </is>
      </c>
      <c r="Q1840" s="175" t="n">
        <v>0.9</v>
      </c>
      <c r="R1840" s="192" t="n">
        <v>9</v>
      </c>
      <c r="S1840" s="172" t="inlineStr">
        <is>
          <t>AAA</t>
        </is>
      </c>
      <c r="T1840" s="175" t="n">
        <v>0.016</v>
      </c>
      <c r="U1840" s="172" t="n"/>
      <c r="V1840" s="172" t="n"/>
      <c r="W1840" s="175" t="n">
        <v>0.02</v>
      </c>
      <c r="X1840" s="172" t="inlineStr">
        <is>
          <t>建投机构部</t>
        </is>
      </c>
      <c r="Y1840" s="191" t="n">
        <v>0.5</v>
      </c>
    </row>
    <row r="1841">
      <c r="A1841" s="172" t="n">
        <v>101</v>
      </c>
      <c r="B1841" s="172" t="inlineStr">
        <is>
          <t>6月</t>
        </is>
      </c>
      <c r="C1841" s="172" t="inlineStr">
        <is>
          <t>消金</t>
        </is>
      </c>
      <c r="D1841" s="172" t="inlineStr">
        <is>
          <t>赊销白条</t>
        </is>
      </c>
      <c r="E1841" s="172" t="inlineStr">
        <is>
          <t>东裕11号仲裕</t>
        </is>
      </c>
      <c r="F1841" s="172" t="inlineStr">
        <is>
          <t>银行间</t>
        </is>
      </c>
      <c r="G1841" s="172" t="inlineStr">
        <is>
          <t>中信建投</t>
        </is>
      </c>
      <c r="H1841" s="172" t="inlineStr">
        <is>
          <t>江苏银行/杭州银行/国信证券/国开证券</t>
        </is>
      </c>
      <c r="I1841" s="172" t="inlineStr">
        <is>
          <t>招行北分</t>
        </is>
      </c>
      <c r="J1841" s="172" t="n">
        <v>10</v>
      </c>
      <c r="K1841" s="172" t="inlineStr">
        <is>
          <t>12+12+9+3</t>
        </is>
      </c>
      <c r="L1841" s="200" t="n">
        <v>46198</v>
      </c>
      <c r="M1841" s="175" t="n">
        <v>0.0148</v>
      </c>
      <c r="N1841" s="176" t="n">
        <v>0.0182</v>
      </c>
      <c r="O1841" s="172" t="n">
        <v>2.3</v>
      </c>
      <c r="P1841" s="172" t="inlineStr">
        <is>
          <t>优先A</t>
        </is>
      </c>
      <c r="Q1841" s="175" t="n">
        <v>0.9</v>
      </c>
      <c r="R1841" s="192" t="n">
        <v>9</v>
      </c>
      <c r="S1841" s="172" t="inlineStr">
        <is>
          <t>AAA</t>
        </is>
      </c>
      <c r="T1841" s="175" t="n">
        <v>0.016</v>
      </c>
      <c r="U1841" s="172" t="n"/>
      <c r="V1841" s="172" t="n"/>
      <c r="W1841" s="175" t="n">
        <v>0.024</v>
      </c>
      <c r="X1841" s="172" t="inlineStr">
        <is>
          <t>国信证券（固收）</t>
        </is>
      </c>
      <c r="Y1841" s="191" t="n">
        <v>0.8</v>
      </c>
    </row>
    <row r="1842">
      <c r="A1842" s="172" t="n">
        <v>101</v>
      </c>
      <c r="B1842" s="172" t="inlineStr">
        <is>
          <t>6月</t>
        </is>
      </c>
      <c r="C1842" s="172" t="inlineStr">
        <is>
          <t>消金</t>
        </is>
      </c>
      <c r="D1842" s="172" t="inlineStr">
        <is>
          <t>赊销白条</t>
        </is>
      </c>
      <c r="E1842" s="172" t="inlineStr">
        <is>
          <t>东裕11号仲裕</t>
        </is>
      </c>
      <c r="F1842" s="172" t="inlineStr">
        <is>
          <t>银行间</t>
        </is>
      </c>
      <c r="G1842" s="172" t="inlineStr">
        <is>
          <t>中信建投</t>
        </is>
      </c>
      <c r="H1842" s="172" t="inlineStr">
        <is>
          <t>江苏银行/杭州银行/国信证券/国开证券</t>
        </is>
      </c>
      <c r="I1842" s="172" t="inlineStr">
        <is>
          <t>招行北分</t>
        </is>
      </c>
      <c r="J1842" s="172" t="n">
        <v>10</v>
      </c>
      <c r="K1842" s="172" t="inlineStr">
        <is>
          <t>12+12+9+3</t>
        </is>
      </c>
      <c r="L1842" s="200" t="n">
        <v>46198</v>
      </c>
      <c r="M1842" s="175" t="n">
        <v>0.0148</v>
      </c>
      <c r="N1842" s="176" t="n">
        <v>0.0182</v>
      </c>
      <c r="O1842" s="172" t="n">
        <v>2.3</v>
      </c>
      <c r="P1842" s="172" t="inlineStr">
        <is>
          <t>优先A</t>
        </is>
      </c>
      <c r="Q1842" s="175" t="n">
        <v>0.9</v>
      </c>
      <c r="R1842" s="192" t="n">
        <v>9</v>
      </c>
      <c r="S1842" s="172" t="inlineStr">
        <is>
          <t>AAA</t>
        </is>
      </c>
      <c r="T1842" s="175" t="n">
        <v>0.016</v>
      </c>
      <c r="U1842" s="172" t="n"/>
      <c r="V1842" s="172" t="n"/>
      <c r="W1842" s="175" t="n">
        <v>0.024</v>
      </c>
      <c r="X1842" s="172" t="inlineStr">
        <is>
          <t>建投衍生品自营</t>
        </is>
      </c>
      <c r="Y1842" s="191" t="n">
        <v>1.35</v>
      </c>
    </row>
    <row r="1843">
      <c r="A1843" s="172" t="n">
        <v>101</v>
      </c>
      <c r="B1843" s="173" t="inlineStr">
        <is>
          <t>6月</t>
        </is>
      </c>
      <c r="C1843" s="173" t="inlineStr">
        <is>
          <t>消金</t>
        </is>
      </c>
      <c r="D1843" s="173" t="inlineStr">
        <is>
          <t>赊销白条</t>
        </is>
      </c>
      <c r="E1843" s="173" t="inlineStr">
        <is>
          <t>东裕11号仲裕</t>
        </is>
      </c>
      <c r="F1843" s="173" t="inlineStr">
        <is>
          <t>银行间</t>
        </is>
      </c>
      <c r="G1843" s="173" t="inlineStr">
        <is>
          <t>中信建投</t>
        </is>
      </c>
      <c r="H1843" s="173" t="inlineStr">
        <is>
          <t>江苏银行/杭州银行/国信证券/国开证券</t>
        </is>
      </c>
      <c r="I1843" s="173" t="inlineStr">
        <is>
          <t>招行北分</t>
        </is>
      </c>
      <c r="J1843" s="172" t="n">
        <v>10</v>
      </c>
      <c r="K1843" s="173" t="inlineStr">
        <is>
          <t>12+12+9+3</t>
        </is>
      </c>
      <c r="L1843" s="202" t="n">
        <v>46198</v>
      </c>
      <c r="M1843" s="175" t="n">
        <v>0.0148</v>
      </c>
      <c r="N1843" s="176" t="n">
        <v>0.0182</v>
      </c>
      <c r="O1843" s="191" t="n">
        <v>2.3</v>
      </c>
      <c r="P1843" s="177" t="inlineStr">
        <is>
          <t>优先B</t>
        </is>
      </c>
      <c r="Q1843" s="178" t="n">
        <v>0.03</v>
      </c>
      <c r="R1843" s="179" t="n">
        <v>0.3</v>
      </c>
      <c r="S1843" s="177" t="inlineStr">
        <is>
          <t>AA+</t>
        </is>
      </c>
      <c r="T1843" s="178" t="n">
        <v>0.0177</v>
      </c>
      <c r="U1843" s="177" t="inlineStr">
        <is>
          <t>交银理财</t>
        </is>
      </c>
      <c r="V1843" s="192" t="n">
        <v>0.09</v>
      </c>
      <c r="W1843" s="175" t="n">
        <v>0.017</v>
      </c>
      <c r="X1843" s="172" t="inlineStr">
        <is>
          <t>交银理财</t>
        </is>
      </c>
      <c r="Y1843" s="191" t="n">
        <v>0.09</v>
      </c>
    </row>
    <row r="1844">
      <c r="A1844" s="172" t="n">
        <v>101</v>
      </c>
      <c r="B1844" s="173" t="inlineStr">
        <is>
          <t>6月</t>
        </is>
      </c>
      <c r="C1844" s="173" t="inlineStr">
        <is>
          <t>消金</t>
        </is>
      </c>
      <c r="D1844" s="173" t="inlineStr">
        <is>
          <t>赊销白条</t>
        </is>
      </c>
      <c r="E1844" s="173" t="inlineStr">
        <is>
          <t>东裕11号仲裕</t>
        </is>
      </c>
      <c r="F1844" s="173" t="inlineStr">
        <is>
          <t>银行间</t>
        </is>
      </c>
      <c r="G1844" s="173" t="inlineStr">
        <is>
          <t>中信建投</t>
        </is>
      </c>
      <c r="H1844" s="173" t="inlineStr">
        <is>
          <t>江苏银行/杭州银行/国信证券/国开证券</t>
        </is>
      </c>
      <c r="I1844" s="173" t="inlineStr">
        <is>
          <t>招行北分</t>
        </is>
      </c>
      <c r="J1844" s="172" t="n">
        <v>10</v>
      </c>
      <c r="K1844" s="173" t="inlineStr">
        <is>
          <t>12+12+9+3</t>
        </is>
      </c>
      <c r="L1844" s="202" t="n">
        <v>46198</v>
      </c>
      <c r="M1844" s="175" t="n">
        <v>0.0148</v>
      </c>
      <c r="N1844" s="176" t="n">
        <v>0.0182</v>
      </c>
      <c r="O1844" s="191" t="n">
        <v>2.3</v>
      </c>
      <c r="P1844" s="172" t="inlineStr">
        <is>
          <t>优先B</t>
        </is>
      </c>
      <c r="Q1844" s="178" t="n">
        <v>0.03</v>
      </c>
      <c r="R1844" s="179" t="n">
        <v>0.3</v>
      </c>
      <c r="S1844" s="177" t="inlineStr">
        <is>
          <t>AA+</t>
        </is>
      </c>
      <c r="T1844" s="178" t="n">
        <v>0.0177</v>
      </c>
      <c r="U1844" s="177" t="inlineStr">
        <is>
          <t>招银理财</t>
        </is>
      </c>
      <c r="V1844" s="192" t="n">
        <v>0.09</v>
      </c>
      <c r="W1844" s="175" t="n">
        <v>0.017</v>
      </c>
      <c r="X1844" s="172" t="inlineStr">
        <is>
          <t>招银理财</t>
        </is>
      </c>
      <c r="Y1844" s="191" t="n">
        <v>0.09</v>
      </c>
    </row>
    <row r="1845">
      <c r="A1845" s="172" t="n">
        <v>101</v>
      </c>
      <c r="B1845" s="173" t="inlineStr">
        <is>
          <t>6月</t>
        </is>
      </c>
      <c r="C1845" s="173" t="inlineStr">
        <is>
          <t>消金</t>
        </is>
      </c>
      <c r="D1845" s="173" t="inlineStr">
        <is>
          <t>赊销白条</t>
        </is>
      </c>
      <c r="E1845" s="173" t="inlineStr">
        <is>
          <t>东裕11号仲裕</t>
        </is>
      </c>
      <c r="F1845" s="173" t="inlineStr">
        <is>
          <t>银行间</t>
        </is>
      </c>
      <c r="G1845" s="173" t="inlineStr">
        <is>
          <t>中信建投</t>
        </is>
      </c>
      <c r="H1845" s="173" t="inlineStr">
        <is>
          <t>江苏银行/杭州银行/国信证券/国开证券</t>
        </is>
      </c>
      <c r="I1845" s="173" t="inlineStr">
        <is>
          <t>招行北分</t>
        </is>
      </c>
      <c r="J1845" s="172" t="n">
        <v>10</v>
      </c>
      <c r="K1845" s="173" t="inlineStr">
        <is>
          <t>12+12+9+3</t>
        </is>
      </c>
      <c r="L1845" s="202" t="n">
        <v>46198</v>
      </c>
      <c r="M1845" s="175" t="n">
        <v>0.0148</v>
      </c>
      <c r="N1845" s="176" t="n">
        <v>0.0182</v>
      </c>
      <c r="O1845" s="191" t="n">
        <v>2.3</v>
      </c>
      <c r="P1845" s="172" t="inlineStr">
        <is>
          <t>优先B</t>
        </is>
      </c>
      <c r="Q1845" s="178" t="n">
        <v>0.03</v>
      </c>
      <c r="R1845" s="179" t="n">
        <v>0.3</v>
      </c>
      <c r="S1845" s="177" t="inlineStr">
        <is>
          <t>AA+</t>
        </is>
      </c>
      <c r="T1845" s="178" t="n">
        <v>0.0177</v>
      </c>
      <c r="U1845" s="177" t="inlineStr">
        <is>
          <t>平安理财</t>
        </is>
      </c>
      <c r="V1845" s="192" t="n">
        <v>0.07000000000000001</v>
      </c>
      <c r="W1845" s="175" t="n">
        <v>0.0172</v>
      </c>
      <c r="X1845" s="172" t="inlineStr">
        <is>
          <t>平安理财</t>
        </is>
      </c>
      <c r="Y1845" s="191" t="n">
        <v>0.07000000000000001</v>
      </c>
    </row>
    <row r="1846">
      <c r="A1846" s="172" t="n">
        <v>101</v>
      </c>
      <c r="B1846" s="173" t="inlineStr">
        <is>
          <t>6月</t>
        </is>
      </c>
      <c r="C1846" s="173" t="inlineStr">
        <is>
          <t>消金</t>
        </is>
      </c>
      <c r="D1846" s="173" t="inlineStr">
        <is>
          <t>赊销白条</t>
        </is>
      </c>
      <c r="E1846" s="173" t="inlineStr">
        <is>
          <t>东裕11号仲裕</t>
        </is>
      </c>
      <c r="F1846" s="173" t="inlineStr">
        <is>
          <t>银行间</t>
        </is>
      </c>
      <c r="G1846" s="173" t="inlineStr">
        <is>
          <t>中信建投</t>
        </is>
      </c>
      <c r="H1846" s="173" t="inlineStr">
        <is>
          <t>江苏银行/杭州银行/国信证券/国开证券</t>
        </is>
      </c>
      <c r="I1846" s="173" t="inlineStr">
        <is>
          <t>招行北分</t>
        </is>
      </c>
      <c r="J1846" s="172" t="n">
        <v>10</v>
      </c>
      <c r="K1846" s="173" t="inlineStr">
        <is>
          <t>12+12+9+3</t>
        </is>
      </c>
      <c r="L1846" s="202" t="n">
        <v>46198</v>
      </c>
      <c r="M1846" s="175" t="n">
        <v>0.0148</v>
      </c>
      <c r="N1846" s="176" t="n">
        <v>0.0182</v>
      </c>
      <c r="O1846" s="191" t="n">
        <v>2.3</v>
      </c>
      <c r="P1846" s="172" t="inlineStr">
        <is>
          <t>优先B</t>
        </is>
      </c>
      <c r="Q1846" s="178" t="n">
        <v>0.03</v>
      </c>
      <c r="R1846" s="179" t="n">
        <v>0.3</v>
      </c>
      <c r="S1846" s="177" t="inlineStr">
        <is>
          <t>AA+</t>
        </is>
      </c>
      <c r="T1846" s="178" t="n">
        <v>0.0177</v>
      </c>
      <c r="U1846" s="177" t="inlineStr">
        <is>
          <t>杭州联合银行</t>
        </is>
      </c>
      <c r="V1846" s="192" t="n">
        <v>0.05</v>
      </c>
      <c r="W1846" s="175" t="n">
        <v>0.0177</v>
      </c>
      <c r="X1846" s="172" t="inlineStr">
        <is>
          <t>杭州联合银行</t>
        </is>
      </c>
      <c r="Y1846" s="191" t="n">
        <v>0.09</v>
      </c>
    </row>
    <row r="1847">
      <c r="A1847" s="172" t="n">
        <v>101</v>
      </c>
      <c r="B1847" s="172" t="inlineStr">
        <is>
          <t>6月</t>
        </is>
      </c>
      <c r="C1847" s="172" t="inlineStr">
        <is>
          <t>消金</t>
        </is>
      </c>
      <c r="D1847" s="172" t="inlineStr">
        <is>
          <t>赊销白条</t>
        </is>
      </c>
      <c r="E1847" s="172" t="inlineStr">
        <is>
          <t>东裕11号仲裕</t>
        </is>
      </c>
      <c r="F1847" s="172" t="inlineStr">
        <is>
          <t>银行间</t>
        </is>
      </c>
      <c r="G1847" s="172" t="inlineStr">
        <is>
          <t>中信建投</t>
        </is>
      </c>
      <c r="H1847" s="172" t="inlineStr">
        <is>
          <t>江苏银行/杭州银行/国信证券/国开证券</t>
        </is>
      </c>
      <c r="I1847" s="172" t="inlineStr">
        <is>
          <t>招行北分</t>
        </is>
      </c>
      <c r="J1847" s="172" t="n">
        <v>10</v>
      </c>
      <c r="K1847" s="172" t="inlineStr">
        <is>
          <t>12+12+9+3</t>
        </is>
      </c>
      <c r="L1847" s="200" t="n">
        <v>46198</v>
      </c>
      <c r="M1847" s="175" t="n">
        <v>0.0148</v>
      </c>
      <c r="N1847" s="176" t="n">
        <v>0.0182</v>
      </c>
      <c r="O1847" s="172" t="n">
        <v>2.3</v>
      </c>
      <c r="P1847" s="172" t="inlineStr">
        <is>
          <t>优先B</t>
        </is>
      </c>
      <c r="Q1847" s="175" t="n">
        <v>0.03</v>
      </c>
      <c r="R1847" s="192" t="n">
        <v>0.3</v>
      </c>
      <c r="S1847" s="172" t="inlineStr">
        <is>
          <t>AA+</t>
        </is>
      </c>
      <c r="T1847" s="175" t="n">
        <v>0.0177</v>
      </c>
      <c r="U1847" s="172" t="n"/>
      <c r="V1847" s="172" t="n"/>
      <c r="W1847" s="175" t="n">
        <v>0.023</v>
      </c>
      <c r="X1847" s="172" t="inlineStr">
        <is>
          <t>中信证券自营</t>
        </is>
      </c>
      <c r="Y1847" s="191" t="n">
        <v>0.3</v>
      </c>
    </row>
    <row r="1848">
      <c r="A1848" s="172" t="n">
        <v>101</v>
      </c>
      <c r="B1848" s="173" t="inlineStr">
        <is>
          <t>6月</t>
        </is>
      </c>
      <c r="C1848" s="173" t="inlineStr">
        <is>
          <t>消金</t>
        </is>
      </c>
      <c r="D1848" s="173" t="inlineStr">
        <is>
          <t>赊销白条</t>
        </is>
      </c>
      <c r="E1848" s="173" t="inlineStr">
        <is>
          <t>东裕11号仲裕</t>
        </is>
      </c>
      <c r="F1848" s="173" t="inlineStr">
        <is>
          <t>银行间</t>
        </is>
      </c>
      <c r="G1848" s="173" t="inlineStr">
        <is>
          <t>中信建投</t>
        </is>
      </c>
      <c r="H1848" s="173" t="inlineStr">
        <is>
          <t>江苏银行/杭州银行/国信证券/国开证券</t>
        </is>
      </c>
      <c r="I1848" s="173" t="inlineStr">
        <is>
          <t>招行北分</t>
        </is>
      </c>
      <c r="J1848" s="172" t="n">
        <v>10</v>
      </c>
      <c r="K1848" s="173" t="inlineStr">
        <is>
          <t>12+12+9+3</t>
        </is>
      </c>
      <c r="L1848" s="202" t="n">
        <v>46198</v>
      </c>
      <c r="M1848" s="175" t="n">
        <v>0.0148</v>
      </c>
      <c r="N1848" s="176" t="n">
        <v>0.0182</v>
      </c>
      <c r="O1848" s="191" t="n">
        <v>2.3</v>
      </c>
      <c r="P1848" s="177" t="inlineStr">
        <is>
          <t>中间级</t>
        </is>
      </c>
      <c r="Q1848" s="178" t="n">
        <v>0.02</v>
      </c>
      <c r="R1848" s="179" t="n">
        <v>0.2</v>
      </c>
      <c r="S1848" s="177" t="inlineStr">
        <is>
          <t>A+</t>
        </is>
      </c>
      <c r="T1848" s="178" t="n">
        <v>0.031</v>
      </c>
      <c r="U1848" s="177" t="inlineStr">
        <is>
          <t>杭州联合银行</t>
        </is>
      </c>
      <c r="V1848" s="192" t="n">
        <v>0.06</v>
      </c>
      <c r="W1848" s="172" t="n"/>
      <c r="X1848" s="172" t="n"/>
      <c r="Y1848" s="172" t="n"/>
    </row>
    <row r="1849">
      <c r="A1849" s="172" t="n">
        <v>101</v>
      </c>
      <c r="B1849" s="173" t="inlineStr">
        <is>
          <t>6月</t>
        </is>
      </c>
      <c r="C1849" s="173" t="inlineStr">
        <is>
          <t>消金</t>
        </is>
      </c>
      <c r="D1849" s="173" t="inlineStr">
        <is>
          <t>赊销白条</t>
        </is>
      </c>
      <c r="E1849" s="173" t="inlineStr">
        <is>
          <t>东裕11号仲裕</t>
        </is>
      </c>
      <c r="F1849" s="173" t="inlineStr">
        <is>
          <t>银行间</t>
        </is>
      </c>
      <c r="G1849" s="173" t="inlineStr">
        <is>
          <t>中信建投</t>
        </is>
      </c>
      <c r="H1849" s="173" t="inlineStr">
        <is>
          <t>江苏银行/杭州银行/国信证券/国开证券</t>
        </is>
      </c>
      <c r="I1849" s="173" t="inlineStr">
        <is>
          <t>招行北分</t>
        </is>
      </c>
      <c r="J1849" s="172" t="n">
        <v>10</v>
      </c>
      <c r="K1849" s="173" t="inlineStr">
        <is>
          <t>12+12+9+3</t>
        </is>
      </c>
      <c r="L1849" s="202" t="n">
        <v>46198</v>
      </c>
      <c r="M1849" s="175" t="n">
        <v>0.0148</v>
      </c>
      <c r="N1849" s="176" t="n">
        <v>0.0182</v>
      </c>
      <c r="O1849" s="191" t="n">
        <v>2.3</v>
      </c>
      <c r="P1849" s="172" t="inlineStr">
        <is>
          <t>中间级</t>
        </is>
      </c>
      <c r="Q1849" s="178" t="n">
        <v>0.02</v>
      </c>
      <c r="R1849" s="179" t="n">
        <v>0.2</v>
      </c>
      <c r="S1849" s="177" t="inlineStr">
        <is>
          <t>A+</t>
        </is>
      </c>
      <c r="T1849" s="178" t="n">
        <v>0.031</v>
      </c>
      <c r="U1849" s="177" t="inlineStr">
        <is>
          <t>平安理财</t>
        </is>
      </c>
      <c r="V1849" s="192" t="n">
        <v>0.06</v>
      </c>
      <c r="W1849" s="172" t="n"/>
      <c r="X1849" s="172" t="n"/>
      <c r="Y1849" s="172" t="n"/>
    </row>
    <row r="1850">
      <c r="A1850" s="172" t="n">
        <v>101</v>
      </c>
      <c r="B1850" s="173" t="inlineStr">
        <is>
          <t>6月</t>
        </is>
      </c>
      <c r="C1850" s="173" t="inlineStr">
        <is>
          <t>消金</t>
        </is>
      </c>
      <c r="D1850" s="173" t="inlineStr">
        <is>
          <t>赊销白条</t>
        </is>
      </c>
      <c r="E1850" s="173" t="inlineStr">
        <is>
          <t>东裕11号仲裕</t>
        </is>
      </c>
      <c r="F1850" s="173" t="inlineStr">
        <is>
          <t>银行间</t>
        </is>
      </c>
      <c r="G1850" s="173" t="inlineStr">
        <is>
          <t>中信建投</t>
        </is>
      </c>
      <c r="H1850" s="173" t="inlineStr">
        <is>
          <t>江苏银行/杭州银行/国信证券/国开证券</t>
        </is>
      </c>
      <c r="I1850" s="173" t="inlineStr">
        <is>
          <t>招行北分</t>
        </is>
      </c>
      <c r="J1850" s="172" t="n">
        <v>10</v>
      </c>
      <c r="K1850" s="173" t="inlineStr">
        <is>
          <t>12+12+9+3</t>
        </is>
      </c>
      <c r="L1850" s="202" t="n">
        <v>46198</v>
      </c>
      <c r="M1850" s="175" t="n">
        <v>0.0148</v>
      </c>
      <c r="N1850" s="176" t="n">
        <v>0.0182</v>
      </c>
      <c r="O1850" s="191" t="n">
        <v>2.3</v>
      </c>
      <c r="P1850" s="172" t="inlineStr">
        <is>
          <t>中间级</t>
        </is>
      </c>
      <c r="Q1850" s="178" t="n">
        <v>0.02</v>
      </c>
      <c r="R1850" s="179" t="n">
        <v>0.2</v>
      </c>
      <c r="S1850" s="177" t="inlineStr">
        <is>
          <t>A+</t>
        </is>
      </c>
      <c r="T1850" s="178" t="n">
        <v>0.031</v>
      </c>
      <c r="U1850" s="177" t="inlineStr">
        <is>
          <t>招银理财</t>
        </is>
      </c>
      <c r="V1850" s="192" t="n">
        <v>0.06</v>
      </c>
      <c r="W1850" s="172" t="n"/>
      <c r="X1850" s="172" t="n"/>
      <c r="Y1850" s="172" t="n"/>
    </row>
    <row r="1851">
      <c r="A1851" s="172" t="n">
        <v>101</v>
      </c>
      <c r="B1851" s="173" t="inlineStr">
        <is>
          <t>6月</t>
        </is>
      </c>
      <c r="C1851" s="173" t="inlineStr">
        <is>
          <t>消金</t>
        </is>
      </c>
      <c r="D1851" s="173" t="inlineStr">
        <is>
          <t>赊销白条</t>
        </is>
      </c>
      <c r="E1851" s="173" t="inlineStr">
        <is>
          <t>东裕11号仲裕</t>
        </is>
      </c>
      <c r="F1851" s="173" t="inlineStr">
        <is>
          <t>银行间</t>
        </is>
      </c>
      <c r="G1851" s="173" t="inlineStr">
        <is>
          <t>中信建投</t>
        </is>
      </c>
      <c r="H1851" s="173" t="inlineStr">
        <is>
          <t>江苏银行/杭州银行/国信证券/国开证券</t>
        </is>
      </c>
      <c r="I1851" s="173" t="inlineStr">
        <is>
          <t>招行北分</t>
        </is>
      </c>
      <c r="J1851" s="172" t="n">
        <v>10</v>
      </c>
      <c r="K1851" s="173" t="inlineStr">
        <is>
          <t>12+12+9+3</t>
        </is>
      </c>
      <c r="L1851" s="202" t="n">
        <v>46198</v>
      </c>
      <c r="M1851" s="175" t="n">
        <v>0.0148</v>
      </c>
      <c r="N1851" s="176" t="n">
        <v>0.0182</v>
      </c>
      <c r="O1851" s="191" t="n">
        <v>2.3</v>
      </c>
      <c r="P1851" s="172" t="inlineStr">
        <is>
          <t>中间级</t>
        </is>
      </c>
      <c r="Q1851" s="178" t="n">
        <v>0.02</v>
      </c>
      <c r="R1851" s="179" t="n">
        <v>0.2</v>
      </c>
      <c r="S1851" s="177" t="inlineStr">
        <is>
          <t>A+</t>
        </is>
      </c>
      <c r="T1851" s="178" t="n">
        <v>0.031</v>
      </c>
      <c r="U1851" s="177" t="inlineStr">
        <is>
          <t>中信建投机构部</t>
        </is>
      </c>
      <c r="V1851" s="192" t="n">
        <v>0.02</v>
      </c>
      <c r="W1851" s="172" t="n"/>
      <c r="X1851" s="172" t="n"/>
      <c r="Y1851" s="172" t="n"/>
    </row>
    <row r="1852">
      <c r="A1852" s="172" t="n">
        <v>101</v>
      </c>
      <c r="B1852" s="173" t="inlineStr">
        <is>
          <t>6月</t>
        </is>
      </c>
      <c r="C1852" s="173" t="inlineStr">
        <is>
          <t>消金</t>
        </is>
      </c>
      <c r="D1852" s="173" t="inlineStr">
        <is>
          <t>赊销白条</t>
        </is>
      </c>
      <c r="E1852" s="173" t="inlineStr">
        <is>
          <t>东裕11号仲裕</t>
        </is>
      </c>
      <c r="F1852" s="173" t="inlineStr">
        <is>
          <t>银行间</t>
        </is>
      </c>
      <c r="G1852" s="173" t="inlineStr">
        <is>
          <t>中信建投</t>
        </is>
      </c>
      <c r="H1852" s="173" t="inlineStr">
        <is>
          <t>江苏银行/杭州银行/国信证券/国开证券</t>
        </is>
      </c>
      <c r="I1852" s="173" t="inlineStr">
        <is>
          <t>招行北分</t>
        </is>
      </c>
      <c r="J1852" s="172" t="n">
        <v>10</v>
      </c>
      <c r="K1852" s="173" t="inlineStr">
        <is>
          <t>12+12+9+3</t>
        </is>
      </c>
      <c r="L1852" s="202" t="n">
        <v>46198</v>
      </c>
      <c r="M1852" s="175" t="n">
        <v>0.0148</v>
      </c>
      <c r="N1852" s="176" t="n">
        <v>0.0182</v>
      </c>
      <c r="O1852" s="191" t="n">
        <v>2.3</v>
      </c>
      <c r="P1852" s="177" t="inlineStr">
        <is>
          <t>次级</t>
        </is>
      </c>
      <c r="Q1852" s="178" t="n">
        <v>0.05</v>
      </c>
      <c r="R1852" s="179" t="n">
        <v>0.5</v>
      </c>
      <c r="S1852" s="177" t="inlineStr">
        <is>
          <t>无</t>
        </is>
      </c>
      <c r="T1852" s="178" t="n">
        <v>0.045</v>
      </c>
      <c r="U1852" s="177" t="inlineStr">
        <is>
          <t>中信证券自营</t>
        </is>
      </c>
      <c r="V1852" s="195" t="n">
        <v>0.275</v>
      </c>
      <c r="W1852" s="172" t="n"/>
      <c r="X1852" s="172" t="n"/>
      <c r="Y1852" s="172" t="n"/>
    </row>
    <row r="1853">
      <c r="A1853" s="172" t="n">
        <v>101</v>
      </c>
      <c r="B1853" s="173" t="inlineStr">
        <is>
          <t>6月</t>
        </is>
      </c>
      <c r="C1853" s="173" t="inlineStr">
        <is>
          <t>消金</t>
        </is>
      </c>
      <c r="D1853" s="173" t="inlineStr">
        <is>
          <t>赊销白条</t>
        </is>
      </c>
      <c r="E1853" s="173" t="inlineStr">
        <is>
          <t>东裕11号仲裕</t>
        </is>
      </c>
      <c r="F1853" s="173" t="inlineStr">
        <is>
          <t>银行间</t>
        </is>
      </c>
      <c r="G1853" s="173" t="inlineStr">
        <is>
          <t>中信建投</t>
        </is>
      </c>
      <c r="H1853" s="173" t="inlineStr">
        <is>
          <t>江苏银行/杭州银行/国信证券/国开证券</t>
        </is>
      </c>
      <c r="I1853" s="173" t="inlineStr">
        <is>
          <t>招行北分</t>
        </is>
      </c>
      <c r="J1853" s="172" t="n">
        <v>10</v>
      </c>
      <c r="K1853" s="173" t="inlineStr">
        <is>
          <t>12+12+9+3</t>
        </is>
      </c>
      <c r="L1853" s="202" t="n">
        <v>46198</v>
      </c>
      <c r="M1853" s="175" t="n">
        <v>0.0148</v>
      </c>
      <c r="N1853" s="176" t="n">
        <v>0.0182</v>
      </c>
      <c r="O1853" s="191" t="n">
        <v>2.3</v>
      </c>
      <c r="P1853" s="172" t="inlineStr">
        <is>
          <t>次级</t>
        </is>
      </c>
      <c r="Q1853" s="178" t="n">
        <v>0.05</v>
      </c>
      <c r="R1853" s="179" t="n">
        <v>0.5</v>
      </c>
      <c r="S1853" s="177" t="inlineStr">
        <is>
          <t>无</t>
        </is>
      </c>
      <c r="T1853" s="178" t="n">
        <v>0.045</v>
      </c>
      <c r="U1853" s="177" t="inlineStr">
        <is>
          <t>中信证券投顾</t>
        </is>
      </c>
      <c r="V1853" s="195" t="n">
        <v>0.225</v>
      </c>
      <c r="W1853" s="172" t="n"/>
      <c r="X1853" s="172" t="n"/>
      <c r="Y1853" s="172" t="n"/>
    </row>
    <row r="1854">
      <c r="A1854" s="172" t="n">
        <v>102</v>
      </c>
      <c r="B1854" s="172" t="inlineStr">
        <is>
          <t>6月</t>
        </is>
      </c>
      <c r="C1854" s="172" t="inlineStr">
        <is>
          <t>企金</t>
        </is>
      </c>
      <c r="D1854" s="172" t="inlineStr">
        <is>
          <t>金采</t>
        </is>
      </c>
      <c r="E1854" s="172" t="inlineStr">
        <is>
          <t>金采8-5</t>
        </is>
      </c>
      <c r="F1854" s="172" t="inlineStr">
        <is>
          <t>上交所</t>
        </is>
      </c>
      <c r="G1854" s="172" t="inlineStr">
        <is>
          <t>华泰资管</t>
        </is>
      </c>
      <c r="H1854" s="172" t="inlineStr">
        <is>
          <t>华福证券</t>
        </is>
      </c>
      <c r="I1854" s="172" t="inlineStr">
        <is>
          <t>招行北分</t>
        </is>
      </c>
      <c r="J1854" s="172" t="n">
        <v>10</v>
      </c>
      <c r="K1854" s="172" t="inlineStr">
        <is>
          <t>7+12</t>
        </is>
      </c>
      <c r="L1854" s="202" t="n">
        <v>46198</v>
      </c>
      <c r="M1854" s="175" t="n">
        <v>0.0148</v>
      </c>
      <c r="N1854" s="176" t="n">
        <v>0.0191</v>
      </c>
      <c r="O1854" s="191" t="n">
        <v>1.1</v>
      </c>
      <c r="P1854" s="172" t="inlineStr">
        <is>
          <t>优先级</t>
        </is>
      </c>
      <c r="Q1854" s="175" t="n">
        <v>0.9</v>
      </c>
      <c r="R1854" s="192" t="n">
        <v>9</v>
      </c>
      <c r="S1854" s="172" t="inlineStr">
        <is>
          <t>AAA</t>
        </is>
      </c>
      <c r="T1854" s="175" t="n">
        <v>0.0165</v>
      </c>
      <c r="U1854" s="172" t="inlineStr">
        <is>
          <t>民生理财</t>
        </is>
      </c>
      <c r="V1854" s="191" t="n">
        <v>2.7</v>
      </c>
      <c r="W1854" s="175" t="n">
        <v>0.0155</v>
      </c>
      <c r="X1854" s="172" t="inlineStr">
        <is>
          <t>民生理财</t>
        </is>
      </c>
      <c r="Y1854" s="191" t="n">
        <v>2.7</v>
      </c>
    </row>
    <row r="1855">
      <c r="A1855" s="172" t="n">
        <v>102</v>
      </c>
      <c r="B1855" s="172" t="inlineStr">
        <is>
          <t>6月</t>
        </is>
      </c>
      <c r="C1855" s="172" t="inlineStr">
        <is>
          <t>企金</t>
        </is>
      </c>
      <c r="D1855" s="172" t="inlineStr">
        <is>
          <t>金采</t>
        </is>
      </c>
      <c r="E1855" s="172" t="inlineStr">
        <is>
          <t>金采8-5</t>
        </is>
      </c>
      <c r="F1855" s="172" t="inlineStr">
        <is>
          <t>上交所</t>
        </is>
      </c>
      <c r="G1855" s="172" t="inlineStr">
        <is>
          <t>华泰资管</t>
        </is>
      </c>
      <c r="H1855" s="172" t="inlineStr">
        <is>
          <t>华福证券</t>
        </is>
      </c>
      <c r="I1855" s="172" t="inlineStr">
        <is>
          <t>招行北分</t>
        </is>
      </c>
      <c r="J1855" s="172" t="n">
        <v>10</v>
      </c>
      <c r="K1855" s="172" t="inlineStr">
        <is>
          <t>7+12</t>
        </is>
      </c>
      <c r="L1855" s="202" t="n">
        <v>46198</v>
      </c>
      <c r="M1855" s="175" t="n">
        <v>0.0148</v>
      </c>
      <c r="N1855" s="176" t="n">
        <v>0.0191</v>
      </c>
      <c r="O1855" s="191" t="n">
        <v>1.1</v>
      </c>
      <c r="P1855" s="172" t="inlineStr">
        <is>
          <t>优先级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0.0165</v>
      </c>
      <c r="U1855" s="172" t="inlineStr">
        <is>
          <t>交银理财</t>
        </is>
      </c>
      <c r="V1855" s="191" t="n">
        <v>0.5</v>
      </c>
      <c r="W1855" s="175" t="n">
        <v>0.016</v>
      </c>
      <c r="X1855" s="172" t="inlineStr">
        <is>
          <t>交银理财</t>
        </is>
      </c>
      <c r="Y1855" s="191" t="n">
        <v>0.5</v>
      </c>
    </row>
    <row r="1856">
      <c r="A1856" s="172" t="n">
        <v>102</v>
      </c>
      <c r="B1856" s="172" t="inlineStr">
        <is>
          <t>6月</t>
        </is>
      </c>
      <c r="C1856" s="172" t="inlineStr">
        <is>
          <t>企金</t>
        </is>
      </c>
      <c r="D1856" s="172" t="inlineStr">
        <is>
          <t>金采</t>
        </is>
      </c>
      <c r="E1856" s="172" t="inlineStr">
        <is>
          <t>金采8-5</t>
        </is>
      </c>
      <c r="F1856" s="172" t="inlineStr">
        <is>
          <t>上交所</t>
        </is>
      </c>
      <c r="G1856" s="172" t="inlineStr">
        <is>
          <t>华泰资管</t>
        </is>
      </c>
      <c r="H1856" s="172" t="inlineStr">
        <is>
          <t>华福证券</t>
        </is>
      </c>
      <c r="I1856" s="172" t="inlineStr">
        <is>
          <t>招行北分</t>
        </is>
      </c>
      <c r="J1856" s="172" t="n">
        <v>10</v>
      </c>
      <c r="K1856" s="172" t="inlineStr">
        <is>
          <t>7+12</t>
        </is>
      </c>
      <c r="L1856" s="202" t="n">
        <v>46198</v>
      </c>
      <c r="M1856" s="175" t="n">
        <v>0.0148</v>
      </c>
      <c r="N1856" s="176" t="n">
        <v>0.0191</v>
      </c>
      <c r="O1856" s="191" t="n">
        <v>1.1</v>
      </c>
      <c r="P1856" s="172" t="inlineStr">
        <is>
          <t>优先级</t>
        </is>
      </c>
      <c r="Q1856" s="175" t="n">
        <v>0.9</v>
      </c>
      <c r="R1856" s="192" t="n">
        <v>9</v>
      </c>
      <c r="S1856" s="172" t="inlineStr">
        <is>
          <t>AAA</t>
        </is>
      </c>
      <c r="T1856" s="175" t="n">
        <v>0.0165</v>
      </c>
      <c r="U1856" s="172" t="inlineStr">
        <is>
          <t>中邮理财</t>
        </is>
      </c>
      <c r="V1856" s="191" t="n">
        <v>2.7</v>
      </c>
      <c r="W1856" s="175" t="n">
        <v>0.016</v>
      </c>
      <c r="X1856" s="172" t="inlineStr">
        <is>
          <t>中邮理财</t>
        </is>
      </c>
      <c r="Y1856" s="191" t="n">
        <v>2.7</v>
      </c>
    </row>
    <row r="1857">
      <c r="A1857" s="172" t="n">
        <v>102</v>
      </c>
      <c r="B1857" s="172" t="inlineStr">
        <is>
          <t>6月</t>
        </is>
      </c>
      <c r="C1857" s="172" t="inlineStr">
        <is>
          <t>企金</t>
        </is>
      </c>
      <c r="D1857" s="172" t="inlineStr">
        <is>
          <t>金采</t>
        </is>
      </c>
      <c r="E1857" s="172" t="inlineStr">
        <is>
          <t>金采8-5</t>
        </is>
      </c>
      <c r="F1857" s="172" t="inlineStr">
        <is>
          <t>上交所</t>
        </is>
      </c>
      <c r="G1857" s="172" t="inlineStr">
        <is>
          <t>华泰资管</t>
        </is>
      </c>
      <c r="H1857" s="172" t="inlineStr">
        <is>
          <t>华福证券</t>
        </is>
      </c>
      <c r="I1857" s="172" t="inlineStr">
        <is>
          <t>招行北分</t>
        </is>
      </c>
      <c r="J1857" s="172" t="n">
        <v>10</v>
      </c>
      <c r="K1857" s="172" t="inlineStr">
        <is>
          <t>7+12</t>
        </is>
      </c>
      <c r="L1857" s="202" t="n">
        <v>46198</v>
      </c>
      <c r="M1857" s="175" t="n">
        <v>0.0148</v>
      </c>
      <c r="N1857" s="176" t="n">
        <v>0.0191</v>
      </c>
      <c r="O1857" s="191" t="n">
        <v>1.1</v>
      </c>
      <c r="P1857" s="172" t="inlineStr">
        <is>
          <t>优先级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0.0165</v>
      </c>
      <c r="U1857" s="172" t="inlineStr">
        <is>
          <t>建信理财</t>
        </is>
      </c>
      <c r="V1857" s="191" t="n">
        <v>2.2</v>
      </c>
      <c r="W1857" s="175" t="n">
        <v>0.0165</v>
      </c>
      <c r="X1857" s="172" t="inlineStr">
        <is>
          <t>建信理财</t>
        </is>
      </c>
      <c r="Y1857" s="191" t="n">
        <v>2.2</v>
      </c>
    </row>
    <row r="1858">
      <c r="A1858" s="172" t="n">
        <v>102</v>
      </c>
      <c r="B1858" s="172" t="inlineStr">
        <is>
          <t>6月</t>
        </is>
      </c>
      <c r="C1858" s="172" t="inlineStr">
        <is>
          <t>企金</t>
        </is>
      </c>
      <c r="D1858" s="172" t="inlineStr">
        <is>
          <t>金采</t>
        </is>
      </c>
      <c r="E1858" s="172" t="inlineStr">
        <is>
          <t>金采8-5</t>
        </is>
      </c>
      <c r="F1858" s="172" t="inlineStr">
        <is>
          <t>上交所</t>
        </is>
      </c>
      <c r="G1858" s="172" t="inlineStr">
        <is>
          <t>华泰资管</t>
        </is>
      </c>
      <c r="H1858" s="172" t="inlineStr">
        <is>
          <t>华福证券</t>
        </is>
      </c>
      <c r="I1858" s="172" t="inlineStr">
        <is>
          <t>招行北分</t>
        </is>
      </c>
      <c r="J1858" s="172" t="n">
        <v>10</v>
      </c>
      <c r="K1858" s="172" t="inlineStr">
        <is>
          <t>7+12</t>
        </is>
      </c>
      <c r="L1858" s="202" t="n">
        <v>46198</v>
      </c>
      <c r="M1858" s="175" t="n">
        <v>0.0148</v>
      </c>
      <c r="N1858" s="176" t="n">
        <v>0.0191</v>
      </c>
      <c r="O1858" s="191" t="n">
        <v>1.1</v>
      </c>
      <c r="P1858" s="172" t="inlineStr">
        <is>
          <t>优先级</t>
        </is>
      </c>
      <c r="Q1858" s="175" t="n">
        <v>0.9</v>
      </c>
      <c r="R1858" s="192" t="n">
        <v>9</v>
      </c>
      <c r="S1858" s="172" t="inlineStr">
        <is>
          <t>AAA</t>
        </is>
      </c>
      <c r="T1858" s="175" t="n">
        <v>0.0165</v>
      </c>
      <c r="U1858" s="172" t="inlineStr">
        <is>
          <t>宝武财务</t>
        </is>
      </c>
      <c r="V1858" s="191" t="n">
        <v>0.35</v>
      </c>
      <c r="W1858" s="175" t="n">
        <v>0.0165</v>
      </c>
      <c r="X1858" s="172" t="inlineStr">
        <is>
          <t>宝武财务</t>
        </is>
      </c>
      <c r="Y1858" s="191" t="n">
        <v>0.35</v>
      </c>
    </row>
    <row r="1859">
      <c r="A1859" s="172" t="n">
        <v>102</v>
      </c>
      <c r="B1859" s="172" t="inlineStr">
        <is>
          <t>6月</t>
        </is>
      </c>
      <c r="C1859" s="172" t="inlineStr">
        <is>
          <t>企金</t>
        </is>
      </c>
      <c r="D1859" s="172" t="inlineStr">
        <is>
          <t>金采</t>
        </is>
      </c>
      <c r="E1859" s="172" t="inlineStr">
        <is>
          <t>金采8-5</t>
        </is>
      </c>
      <c r="F1859" s="172" t="inlineStr">
        <is>
          <t>上交所</t>
        </is>
      </c>
      <c r="G1859" s="172" t="inlineStr">
        <is>
          <t>华泰资管</t>
        </is>
      </c>
      <c r="H1859" s="172" t="inlineStr">
        <is>
          <t>华福证券</t>
        </is>
      </c>
      <c r="I1859" s="172" t="inlineStr">
        <is>
          <t>招行北分</t>
        </is>
      </c>
      <c r="J1859" s="172" t="n">
        <v>10</v>
      </c>
      <c r="K1859" s="172" t="inlineStr">
        <is>
          <t>7+12</t>
        </is>
      </c>
      <c r="L1859" s="202" t="n">
        <v>46198</v>
      </c>
      <c r="M1859" s="175" t="n">
        <v>0.0148</v>
      </c>
      <c r="N1859" s="176" t="n">
        <v>0.0191</v>
      </c>
      <c r="O1859" s="191" t="n">
        <v>1.1</v>
      </c>
      <c r="P1859" s="172" t="inlineStr">
        <is>
          <t>优先级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0.0165</v>
      </c>
      <c r="U1859" s="172" t="inlineStr">
        <is>
          <t>华泰资管</t>
        </is>
      </c>
      <c r="V1859" s="191" t="n">
        <v>0.1</v>
      </c>
      <c r="W1859" s="175" t="n">
        <v>0.0165</v>
      </c>
      <c r="X1859" s="172" t="inlineStr">
        <is>
          <t>华泰资管</t>
        </is>
      </c>
      <c r="Y1859" s="191" t="n">
        <v>0.1</v>
      </c>
    </row>
    <row r="1860">
      <c r="A1860" s="172" t="n">
        <v>102</v>
      </c>
      <c r="B1860" s="172" t="inlineStr">
        <is>
          <t>6月</t>
        </is>
      </c>
      <c r="C1860" s="172" t="inlineStr">
        <is>
          <t>企金</t>
        </is>
      </c>
      <c r="D1860" s="172" t="inlineStr">
        <is>
          <t>金采</t>
        </is>
      </c>
      <c r="E1860" s="172" t="inlineStr">
        <is>
          <t>金采8-5</t>
        </is>
      </c>
      <c r="F1860" s="172" t="inlineStr">
        <is>
          <t>上交所</t>
        </is>
      </c>
      <c r="G1860" s="172" t="inlineStr">
        <is>
          <t>华泰资管</t>
        </is>
      </c>
      <c r="H1860" s="172" t="inlineStr">
        <is>
          <t>华福证券</t>
        </is>
      </c>
      <c r="I1860" s="172" t="inlineStr">
        <is>
          <t>招行北分</t>
        </is>
      </c>
      <c r="J1860" s="172" t="n">
        <v>10</v>
      </c>
      <c r="K1860" s="172" t="inlineStr">
        <is>
          <t>7+12</t>
        </is>
      </c>
      <c r="L1860" s="202" t="n">
        <v>46198</v>
      </c>
      <c r="M1860" s="175" t="n">
        <v>0.0148</v>
      </c>
      <c r="N1860" s="176" t="n">
        <v>0.0191</v>
      </c>
      <c r="O1860" s="191" t="n">
        <v>1.1</v>
      </c>
      <c r="P1860" s="172" t="inlineStr">
        <is>
          <t>优先级</t>
        </is>
      </c>
      <c r="Q1860" s="175" t="n">
        <v>0.9</v>
      </c>
      <c r="R1860" s="192" t="n">
        <v>9</v>
      </c>
      <c r="S1860" s="172" t="inlineStr">
        <is>
          <t>AAA</t>
        </is>
      </c>
      <c r="T1860" s="175" t="n">
        <v>0.0165</v>
      </c>
      <c r="U1860" s="172" t="inlineStr">
        <is>
          <t>邦汇保理</t>
        </is>
      </c>
      <c r="V1860" s="191" t="n">
        <v>0.45</v>
      </c>
      <c r="W1860" s="172" t="n"/>
      <c r="X1860" s="172" t="n"/>
      <c r="Y1860" s="172" t="n"/>
    </row>
    <row r="1861">
      <c r="A1861" s="172" t="n">
        <v>102</v>
      </c>
      <c r="B1861" s="172" t="inlineStr">
        <is>
          <t>6月</t>
        </is>
      </c>
      <c r="C1861" s="172" t="inlineStr">
        <is>
          <t>企金</t>
        </is>
      </c>
      <c r="D1861" s="172" t="inlineStr">
        <is>
          <t>金采</t>
        </is>
      </c>
      <c r="E1861" s="172" t="inlineStr">
        <is>
          <t>金采8-5</t>
        </is>
      </c>
      <c r="F1861" s="172" t="inlineStr">
        <is>
          <t>上交所</t>
        </is>
      </c>
      <c r="G1861" s="172" t="inlineStr">
        <is>
          <t>华泰资管</t>
        </is>
      </c>
      <c r="H1861" s="172" t="inlineStr">
        <is>
          <t>华福证券</t>
        </is>
      </c>
      <c r="I1861" s="172" t="inlineStr">
        <is>
          <t>招行北分</t>
        </is>
      </c>
      <c r="J1861" s="172" t="n">
        <v>10</v>
      </c>
      <c r="K1861" s="172" t="inlineStr">
        <is>
          <t>7+12</t>
        </is>
      </c>
      <c r="L1861" s="200" t="n">
        <v>46198</v>
      </c>
      <c r="M1861" s="175" t="n">
        <v>0.0148</v>
      </c>
      <c r="N1861" s="176" t="n">
        <v>0.0191</v>
      </c>
      <c r="O1861" s="172" t="n">
        <v>1.1</v>
      </c>
      <c r="P1861" s="172" t="inlineStr">
        <is>
          <t>优先级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0.0165</v>
      </c>
      <c r="U1861" s="172" t="n"/>
      <c r="V1861" s="172" t="n"/>
      <c r="W1861" s="175" t="n">
        <v>0.015</v>
      </c>
      <c r="X1861" s="172" t="inlineStr">
        <is>
          <t>厦门汇正</t>
        </is>
      </c>
      <c r="Y1861" s="191" t="n">
        <v>0.45</v>
      </c>
    </row>
    <row r="1862">
      <c r="A1862" s="172" t="n">
        <v>102</v>
      </c>
      <c r="B1862" s="172" t="inlineStr">
        <is>
          <t>6月</t>
        </is>
      </c>
      <c r="C1862" s="172" t="inlineStr">
        <is>
          <t>企金</t>
        </is>
      </c>
      <c r="D1862" s="172" t="inlineStr">
        <is>
          <t>金采</t>
        </is>
      </c>
      <c r="E1862" s="172" t="inlineStr">
        <is>
          <t>金采8-5</t>
        </is>
      </c>
      <c r="F1862" s="172" t="inlineStr">
        <is>
          <t>上交所</t>
        </is>
      </c>
      <c r="G1862" s="172" t="inlineStr">
        <is>
          <t>华泰资管</t>
        </is>
      </c>
      <c r="H1862" s="172" t="inlineStr">
        <is>
          <t>华福证券</t>
        </is>
      </c>
      <c r="I1862" s="172" t="inlineStr">
        <is>
          <t>招行北分</t>
        </is>
      </c>
      <c r="J1862" s="172" t="n">
        <v>10</v>
      </c>
      <c r="K1862" s="172" t="inlineStr">
        <is>
          <t>7+12</t>
        </is>
      </c>
      <c r="L1862" s="200" t="n">
        <v>46198</v>
      </c>
      <c r="M1862" s="175" t="n">
        <v>0.0148</v>
      </c>
      <c r="N1862" s="176" t="n">
        <v>0.0191</v>
      </c>
      <c r="O1862" s="172" t="n">
        <v>1.1</v>
      </c>
      <c r="P1862" s="172" t="inlineStr">
        <is>
          <t>优先级</t>
        </is>
      </c>
      <c r="Q1862" s="175" t="n">
        <v>0.9</v>
      </c>
      <c r="R1862" s="192" t="n">
        <v>9</v>
      </c>
      <c r="S1862" s="172" t="inlineStr">
        <is>
          <t>AAA</t>
        </is>
      </c>
      <c r="T1862" s="175" t="n">
        <v>0.0165</v>
      </c>
      <c r="U1862" s="172" t="n"/>
      <c r="V1862" s="172" t="n"/>
      <c r="W1862" s="175" t="n">
        <v>0.017</v>
      </c>
      <c r="X1862" s="172" t="inlineStr">
        <is>
          <t>华福证券</t>
        </is>
      </c>
      <c r="Y1862" s="191" t="n">
        <v>1.35</v>
      </c>
    </row>
    <row r="1863">
      <c r="A1863" s="172" t="n">
        <v>102</v>
      </c>
      <c r="B1863" s="172" t="inlineStr">
        <is>
          <t>6月</t>
        </is>
      </c>
      <c r="C1863" s="172" t="inlineStr">
        <is>
          <t>企金</t>
        </is>
      </c>
      <c r="D1863" s="172" t="inlineStr">
        <is>
          <t>金采</t>
        </is>
      </c>
      <c r="E1863" s="172" t="inlineStr">
        <is>
          <t>金采8-5</t>
        </is>
      </c>
      <c r="F1863" s="172" t="inlineStr">
        <is>
          <t>上交所</t>
        </is>
      </c>
      <c r="G1863" s="172" t="inlineStr">
        <is>
          <t>华泰资管</t>
        </is>
      </c>
      <c r="H1863" s="172" t="inlineStr">
        <is>
          <t>华福证券</t>
        </is>
      </c>
      <c r="I1863" s="172" t="inlineStr">
        <is>
          <t>招行北分</t>
        </is>
      </c>
      <c r="J1863" s="172" t="n">
        <v>10</v>
      </c>
      <c r="K1863" s="172" t="inlineStr">
        <is>
          <t>7+12</t>
        </is>
      </c>
      <c r="L1863" s="200" t="n">
        <v>46198</v>
      </c>
      <c r="M1863" s="175" t="n">
        <v>0.0148</v>
      </c>
      <c r="N1863" s="176" t="n">
        <v>0.0191</v>
      </c>
      <c r="O1863" s="172" t="n">
        <v>1.1</v>
      </c>
      <c r="P1863" s="172" t="inlineStr">
        <is>
          <t>优先级</t>
        </is>
      </c>
      <c r="Q1863" s="175" t="n">
        <v>0.9</v>
      </c>
      <c r="R1863" s="192" t="n">
        <v>9</v>
      </c>
      <c r="S1863" s="172" t="inlineStr">
        <is>
          <t>AAA</t>
        </is>
      </c>
      <c r="T1863" s="175" t="n">
        <v>0.0165</v>
      </c>
      <c r="U1863" s="172" t="n"/>
      <c r="V1863" s="172" t="n"/>
      <c r="W1863" s="175" t="n">
        <v>0.02</v>
      </c>
      <c r="X1863" s="172" t="inlineStr">
        <is>
          <t>朗姿韩亚</t>
        </is>
      </c>
      <c r="Y1863" s="191" t="n">
        <v>0.5</v>
      </c>
    </row>
    <row r="1864">
      <c r="A1864" s="172" t="n">
        <v>102</v>
      </c>
      <c r="B1864" s="172" t="inlineStr">
        <is>
          <t>6月</t>
        </is>
      </c>
      <c r="C1864" s="172" t="inlineStr">
        <is>
          <t>企金</t>
        </is>
      </c>
      <c r="D1864" s="172" t="inlineStr">
        <is>
          <t>金采</t>
        </is>
      </c>
      <c r="E1864" s="172" t="inlineStr">
        <is>
          <t>金采8-5</t>
        </is>
      </c>
      <c r="F1864" s="172" t="inlineStr">
        <is>
          <t>上交所</t>
        </is>
      </c>
      <c r="G1864" s="172" t="inlineStr">
        <is>
          <t>华泰资管</t>
        </is>
      </c>
      <c r="H1864" s="172" t="inlineStr">
        <is>
          <t>华福证券</t>
        </is>
      </c>
      <c r="I1864" s="172" t="inlineStr">
        <is>
          <t>招行北分</t>
        </is>
      </c>
      <c r="J1864" s="172" t="n">
        <v>10</v>
      </c>
      <c r="K1864" s="172" t="inlineStr">
        <is>
          <t>7+12</t>
        </is>
      </c>
      <c r="L1864" s="200" t="n">
        <v>46198</v>
      </c>
      <c r="M1864" s="175" t="n">
        <v>0.0148</v>
      </c>
      <c r="N1864" s="176" t="n">
        <v>0.0191</v>
      </c>
      <c r="O1864" s="172" t="n">
        <v>1.1</v>
      </c>
      <c r="P1864" s="172" t="inlineStr">
        <is>
          <t>优先级</t>
        </is>
      </c>
      <c r="Q1864" s="175" t="n">
        <v>0.9</v>
      </c>
      <c r="R1864" s="192" t="n">
        <v>9</v>
      </c>
      <c r="S1864" s="172" t="inlineStr">
        <is>
          <t>AAA</t>
        </is>
      </c>
      <c r="T1864" s="175" t="n">
        <v>0.0165</v>
      </c>
      <c r="U1864" s="172" t="n"/>
      <c r="V1864" s="172" t="n"/>
      <c r="W1864" s="175" t="n">
        <v>0.024</v>
      </c>
      <c r="X1864" s="172" t="inlineStr">
        <is>
          <t>国联证券</t>
        </is>
      </c>
      <c r="Y1864" s="191" t="n">
        <v>1</v>
      </c>
    </row>
    <row r="1865">
      <c r="A1865" s="172" t="n">
        <v>102</v>
      </c>
      <c r="B1865" s="172" t="inlineStr">
        <is>
          <t>6月</t>
        </is>
      </c>
      <c r="C1865" s="172" t="inlineStr">
        <is>
          <t>企金</t>
        </is>
      </c>
      <c r="D1865" s="172" t="inlineStr">
        <is>
          <t>金采</t>
        </is>
      </c>
      <c r="E1865" s="172" t="inlineStr">
        <is>
          <t>金采8-5</t>
        </is>
      </c>
      <c r="F1865" s="172" t="inlineStr">
        <is>
          <t>上交所</t>
        </is>
      </c>
      <c r="G1865" s="172" t="inlineStr">
        <is>
          <t>华泰资管</t>
        </is>
      </c>
      <c r="H1865" s="172" t="inlineStr">
        <is>
          <t>华福证券</t>
        </is>
      </c>
      <c r="I1865" s="172" t="inlineStr">
        <is>
          <t>招行北分</t>
        </is>
      </c>
      <c r="J1865" s="172" t="n">
        <v>10</v>
      </c>
      <c r="K1865" s="172" t="inlineStr">
        <is>
          <t>7+12</t>
        </is>
      </c>
      <c r="L1865" s="200" t="n">
        <v>46198</v>
      </c>
      <c r="M1865" s="175" t="n">
        <v>0.0148</v>
      </c>
      <c r="N1865" s="176" t="n">
        <v>0.0191</v>
      </c>
      <c r="O1865" s="172" t="n">
        <v>1.1</v>
      </c>
      <c r="P1865" s="172" t="inlineStr">
        <is>
          <t>优先级</t>
        </is>
      </c>
      <c r="Q1865" s="175" t="n">
        <v>0.9</v>
      </c>
      <c r="R1865" s="192" t="n">
        <v>9</v>
      </c>
      <c r="S1865" s="172" t="inlineStr">
        <is>
          <t>AAA</t>
        </is>
      </c>
      <c r="T1865" s="175" t="n">
        <v>0.0165</v>
      </c>
      <c r="U1865" s="172" t="n"/>
      <c r="V1865" s="172" t="n"/>
      <c r="W1865" s="175" t="n">
        <v>0.024</v>
      </c>
      <c r="X1865" s="172" t="inlineStr">
        <is>
          <t>利曦基金</t>
        </is>
      </c>
      <c r="Y1865" s="191" t="n">
        <v>2</v>
      </c>
    </row>
    <row r="1866">
      <c r="A1866" s="172" t="n">
        <v>102</v>
      </c>
      <c r="B1866" s="172" t="inlineStr">
        <is>
          <t>6月</t>
        </is>
      </c>
      <c r="C1866" s="172" t="inlineStr">
        <is>
          <t>企金</t>
        </is>
      </c>
      <c r="D1866" s="172" t="inlineStr">
        <is>
          <t>金采</t>
        </is>
      </c>
      <c r="E1866" s="172" t="inlineStr">
        <is>
          <t>金采8-5</t>
        </is>
      </c>
      <c r="F1866" s="172" t="inlineStr">
        <is>
          <t>上交所</t>
        </is>
      </c>
      <c r="G1866" s="172" t="inlineStr">
        <is>
          <t>华泰资管</t>
        </is>
      </c>
      <c r="H1866" s="172" t="inlineStr">
        <is>
          <t>华福证券</t>
        </is>
      </c>
      <c r="I1866" s="172" t="inlineStr">
        <is>
          <t>招行北分</t>
        </is>
      </c>
      <c r="J1866" s="172" t="n">
        <v>10</v>
      </c>
      <c r="K1866" s="172" t="inlineStr">
        <is>
          <t>7+12</t>
        </is>
      </c>
      <c r="L1866" s="202" t="n">
        <v>46198</v>
      </c>
      <c r="M1866" s="175" t="n">
        <v>0.0148</v>
      </c>
      <c r="N1866" s="176" t="n">
        <v>0.0191</v>
      </c>
      <c r="O1866" s="191" t="n">
        <v>1.1</v>
      </c>
      <c r="P1866" s="172" t="inlineStr">
        <is>
          <t>中间级</t>
        </is>
      </c>
      <c r="Q1866" s="175" t="n">
        <v>0.05</v>
      </c>
      <c r="R1866" s="192" t="n">
        <v>0.5</v>
      </c>
      <c r="S1866" s="175" t="inlineStr">
        <is>
          <t>AA</t>
        </is>
      </c>
      <c r="T1866" s="175" t="n">
        <v>0.031</v>
      </c>
      <c r="U1866" s="172" t="inlineStr">
        <is>
          <t>邦汇保理</t>
        </is>
      </c>
      <c r="V1866" s="193" t="n">
        <v>0.025</v>
      </c>
      <c r="W1866" s="172" t="n"/>
      <c r="X1866" s="172" t="n"/>
      <c r="Y1866" s="172" t="n"/>
    </row>
    <row r="1867">
      <c r="A1867" s="172" t="n">
        <v>102</v>
      </c>
      <c r="B1867" s="172" t="inlineStr">
        <is>
          <t>6月</t>
        </is>
      </c>
      <c r="C1867" s="172" t="inlineStr">
        <is>
          <t>企金</t>
        </is>
      </c>
      <c r="D1867" s="172" t="inlineStr">
        <is>
          <t>金采</t>
        </is>
      </c>
      <c r="E1867" s="172" t="inlineStr">
        <is>
          <t>金采8-5</t>
        </is>
      </c>
      <c r="F1867" s="172" t="inlineStr">
        <is>
          <t>上交所</t>
        </is>
      </c>
      <c r="G1867" s="172" t="inlineStr">
        <is>
          <t>华泰资管</t>
        </is>
      </c>
      <c r="H1867" s="172" t="inlineStr">
        <is>
          <t>华福证券</t>
        </is>
      </c>
      <c r="I1867" s="172" t="inlineStr">
        <is>
          <t>招行北分</t>
        </is>
      </c>
      <c r="J1867" s="172" t="n">
        <v>10</v>
      </c>
      <c r="K1867" s="172" t="inlineStr">
        <is>
          <t>7+12</t>
        </is>
      </c>
      <c r="L1867" s="202" t="n">
        <v>46198</v>
      </c>
      <c r="M1867" s="175" t="n">
        <v>0.0148</v>
      </c>
      <c r="N1867" s="176" t="n">
        <v>0.0191</v>
      </c>
      <c r="O1867" s="191" t="n">
        <v>1.1</v>
      </c>
      <c r="P1867" s="172" t="inlineStr">
        <is>
          <t>中间级</t>
        </is>
      </c>
      <c r="Q1867" s="175" t="n">
        <v>0.05</v>
      </c>
      <c r="R1867" s="192" t="n">
        <v>0.5</v>
      </c>
      <c r="S1867" s="175" t="inlineStr">
        <is>
          <t>AA</t>
        </is>
      </c>
      <c r="T1867" s="175" t="n">
        <v>0.031</v>
      </c>
      <c r="U1867" s="172" t="inlineStr">
        <is>
          <t>利曦基金</t>
        </is>
      </c>
      <c r="V1867" s="191" t="n">
        <v>0.2</v>
      </c>
      <c r="W1867" s="172" t="n"/>
      <c r="X1867" s="172" t="n"/>
      <c r="Y1867" s="172" t="n"/>
    </row>
    <row r="1868">
      <c r="A1868" s="172" t="n">
        <v>102</v>
      </c>
      <c r="B1868" s="172" t="inlineStr">
        <is>
          <t>6月</t>
        </is>
      </c>
      <c r="C1868" s="172" t="inlineStr">
        <is>
          <t>企金</t>
        </is>
      </c>
      <c r="D1868" s="172" t="inlineStr">
        <is>
          <t>金采</t>
        </is>
      </c>
      <c r="E1868" s="172" t="inlineStr">
        <is>
          <t>金采8-5</t>
        </is>
      </c>
      <c r="F1868" s="172" t="inlineStr">
        <is>
          <t>上交所</t>
        </is>
      </c>
      <c r="G1868" s="172" t="inlineStr">
        <is>
          <t>华泰资管</t>
        </is>
      </c>
      <c r="H1868" s="172" t="inlineStr">
        <is>
          <t>华福证券</t>
        </is>
      </c>
      <c r="I1868" s="172" t="inlineStr">
        <is>
          <t>招行北分</t>
        </is>
      </c>
      <c r="J1868" s="172" t="n">
        <v>10</v>
      </c>
      <c r="K1868" s="172" t="inlineStr">
        <is>
          <t>7+12</t>
        </is>
      </c>
      <c r="L1868" s="202" t="n">
        <v>46198</v>
      </c>
      <c r="M1868" s="175" t="n">
        <v>0.0148</v>
      </c>
      <c r="N1868" s="176" t="n">
        <v>0.0191</v>
      </c>
      <c r="O1868" s="191" t="n">
        <v>1.1</v>
      </c>
      <c r="P1868" s="172" t="inlineStr">
        <is>
          <t>中间级</t>
        </is>
      </c>
      <c r="Q1868" s="175" t="n">
        <v>0.05</v>
      </c>
      <c r="R1868" s="192" t="n">
        <v>0.5</v>
      </c>
      <c r="S1868" s="175" t="inlineStr">
        <is>
          <t>AA</t>
        </is>
      </c>
      <c r="T1868" s="175" t="n">
        <v>0.031</v>
      </c>
      <c r="U1868" s="172" t="inlineStr">
        <is>
          <t>广发证券自营</t>
        </is>
      </c>
      <c r="V1868" s="193" t="n">
        <v>0.075</v>
      </c>
      <c r="W1868" s="172" t="n"/>
      <c r="X1868" s="172" t="n"/>
      <c r="Y1868" s="172" t="n"/>
    </row>
    <row r="1869">
      <c r="A1869" s="172" t="n">
        <v>102</v>
      </c>
      <c r="B1869" s="172" t="inlineStr">
        <is>
          <t>6月</t>
        </is>
      </c>
      <c r="C1869" s="172" t="inlineStr">
        <is>
          <t>企金</t>
        </is>
      </c>
      <c r="D1869" s="172" t="inlineStr">
        <is>
          <t>金采</t>
        </is>
      </c>
      <c r="E1869" s="172" t="inlineStr">
        <is>
          <t>金采8-5</t>
        </is>
      </c>
      <c r="F1869" s="172" t="inlineStr">
        <is>
          <t>上交所</t>
        </is>
      </c>
      <c r="G1869" s="172" t="inlineStr">
        <is>
          <t>华泰资管</t>
        </is>
      </c>
      <c r="H1869" s="172" t="inlineStr">
        <is>
          <t>华福证券</t>
        </is>
      </c>
      <c r="I1869" s="172" t="inlineStr">
        <is>
          <t>招行北分</t>
        </is>
      </c>
      <c r="J1869" s="172" t="n">
        <v>10</v>
      </c>
      <c r="K1869" s="172" t="inlineStr">
        <is>
          <t>7+12</t>
        </is>
      </c>
      <c r="L1869" s="202" t="n">
        <v>46198</v>
      </c>
      <c r="M1869" s="175" t="n">
        <v>0.0148</v>
      </c>
      <c r="N1869" s="176" t="n">
        <v>0.0191</v>
      </c>
      <c r="O1869" s="191" t="n">
        <v>1.1</v>
      </c>
      <c r="P1869" s="172" t="inlineStr">
        <is>
          <t>中间级</t>
        </is>
      </c>
      <c r="Q1869" s="175" t="n">
        <v>0.05</v>
      </c>
      <c r="R1869" s="192" t="n">
        <v>0.5</v>
      </c>
      <c r="S1869" s="175" t="inlineStr">
        <is>
          <t>AA</t>
        </is>
      </c>
      <c r="T1869" s="175" t="n">
        <v>0.031</v>
      </c>
      <c r="U1869" s="172" t="inlineStr">
        <is>
          <t>申万宏源自营</t>
        </is>
      </c>
      <c r="V1869" s="191" t="n">
        <v>0.08</v>
      </c>
      <c r="W1869" s="172" t="n"/>
      <c r="X1869" s="172" t="n"/>
      <c r="Y1869" s="172" t="n"/>
    </row>
    <row r="1870">
      <c r="A1870" s="172" t="n">
        <v>102</v>
      </c>
      <c r="B1870" s="172" t="inlineStr">
        <is>
          <t>6月</t>
        </is>
      </c>
      <c r="C1870" s="172" t="inlineStr">
        <is>
          <t>企金</t>
        </is>
      </c>
      <c r="D1870" s="172" t="inlineStr">
        <is>
          <t>金采</t>
        </is>
      </c>
      <c r="E1870" s="172" t="inlineStr">
        <is>
          <t>金采8-5</t>
        </is>
      </c>
      <c r="F1870" s="172" t="inlineStr">
        <is>
          <t>上交所</t>
        </is>
      </c>
      <c r="G1870" s="172" t="inlineStr">
        <is>
          <t>华泰资管</t>
        </is>
      </c>
      <c r="H1870" s="172" t="inlineStr">
        <is>
          <t>华福证券</t>
        </is>
      </c>
      <c r="I1870" s="172" t="inlineStr">
        <is>
          <t>招行北分</t>
        </is>
      </c>
      <c r="J1870" s="172" t="n">
        <v>10</v>
      </c>
      <c r="K1870" s="172" t="inlineStr">
        <is>
          <t>7+12</t>
        </is>
      </c>
      <c r="L1870" s="202" t="n">
        <v>46198</v>
      </c>
      <c r="M1870" s="175" t="n">
        <v>0.0148</v>
      </c>
      <c r="N1870" s="176" t="n">
        <v>0.0191</v>
      </c>
      <c r="O1870" s="191" t="n">
        <v>1.1</v>
      </c>
      <c r="P1870" s="172" t="inlineStr">
        <is>
          <t>中间级</t>
        </is>
      </c>
      <c r="Q1870" s="175" t="n">
        <v>0.05</v>
      </c>
      <c r="R1870" s="192" t="n">
        <v>0.5</v>
      </c>
      <c r="S1870" s="175" t="inlineStr">
        <is>
          <t>AA</t>
        </is>
      </c>
      <c r="T1870" s="175" t="n">
        <v>0.031</v>
      </c>
      <c r="U1870" s="172" t="inlineStr">
        <is>
          <t>朗姿韩亚</t>
        </is>
      </c>
      <c r="V1870" s="191" t="n">
        <v>0.12</v>
      </c>
      <c r="W1870" s="172" t="n"/>
      <c r="X1870" s="172" t="n"/>
      <c r="Y1870" s="172" t="n"/>
    </row>
    <row r="1871">
      <c r="A1871" s="172" t="n">
        <v>102</v>
      </c>
      <c r="B1871" s="172" t="inlineStr">
        <is>
          <t>6月</t>
        </is>
      </c>
      <c r="C1871" s="172" t="inlineStr">
        <is>
          <t>企金</t>
        </is>
      </c>
      <c r="D1871" s="172" t="inlineStr">
        <is>
          <t>金采</t>
        </is>
      </c>
      <c r="E1871" s="172" t="inlineStr">
        <is>
          <t>金采8-5</t>
        </is>
      </c>
      <c r="F1871" s="172" t="inlineStr">
        <is>
          <t>上交所</t>
        </is>
      </c>
      <c r="G1871" s="172" t="inlineStr">
        <is>
          <t>华泰资管</t>
        </is>
      </c>
      <c r="H1871" s="172" t="inlineStr">
        <is>
          <t>华福证券</t>
        </is>
      </c>
      <c r="I1871" s="172" t="inlineStr">
        <is>
          <t>招行北分</t>
        </is>
      </c>
      <c r="J1871" s="172" t="n">
        <v>10</v>
      </c>
      <c r="K1871" s="172" t="inlineStr">
        <is>
          <t>7+12</t>
        </is>
      </c>
      <c r="L1871" s="202" t="n">
        <v>46198</v>
      </c>
      <c r="M1871" s="175" t="n">
        <v>0.0148</v>
      </c>
      <c r="N1871" s="176" t="n">
        <v>0.0191</v>
      </c>
      <c r="O1871" s="191" t="n">
        <v>1.1</v>
      </c>
      <c r="P1871" s="172" t="inlineStr">
        <is>
          <t>次级</t>
        </is>
      </c>
      <c r="Q1871" s="175" t="n">
        <v>0.05</v>
      </c>
      <c r="R1871" s="192" t="n">
        <v>0.5</v>
      </c>
      <c r="S1871" s="175" t="inlineStr">
        <is>
          <t>无</t>
        </is>
      </c>
      <c r="T1871" s="175" t="n">
        <v>0.0455</v>
      </c>
      <c r="U1871" s="172" t="inlineStr">
        <is>
          <t>朗姿韩亚</t>
        </is>
      </c>
      <c r="V1871" s="191" t="n">
        <v>0.2</v>
      </c>
      <c r="W1871" s="172" t="n"/>
      <c r="X1871" s="172" t="n"/>
      <c r="Y1871" s="172" t="n"/>
    </row>
    <row r="1872">
      <c r="A1872" s="172" t="n">
        <v>102</v>
      </c>
      <c r="B1872" s="172" t="inlineStr">
        <is>
          <t>6月</t>
        </is>
      </c>
      <c r="C1872" s="172" t="inlineStr">
        <is>
          <t>企金</t>
        </is>
      </c>
      <c r="D1872" s="172" t="inlineStr">
        <is>
          <t>金采</t>
        </is>
      </c>
      <c r="E1872" s="172" t="inlineStr">
        <is>
          <t>金采8-5</t>
        </is>
      </c>
      <c r="F1872" s="172" t="inlineStr">
        <is>
          <t>上交所</t>
        </is>
      </c>
      <c r="G1872" s="172" t="inlineStr">
        <is>
          <t>华泰资管</t>
        </is>
      </c>
      <c r="H1872" s="172" t="inlineStr">
        <is>
          <t>华福证券</t>
        </is>
      </c>
      <c r="I1872" s="172" t="inlineStr">
        <is>
          <t>招行北分</t>
        </is>
      </c>
      <c r="J1872" s="172" t="n">
        <v>10</v>
      </c>
      <c r="K1872" s="172" t="inlineStr">
        <is>
          <t>7+12</t>
        </is>
      </c>
      <c r="L1872" s="202" t="n">
        <v>46198</v>
      </c>
      <c r="M1872" s="175" t="n">
        <v>0.0148</v>
      </c>
      <c r="N1872" s="176" t="n">
        <v>0.0191</v>
      </c>
      <c r="O1872" s="191" t="n">
        <v>1.1</v>
      </c>
      <c r="P1872" s="172" t="inlineStr">
        <is>
          <t>次级</t>
        </is>
      </c>
      <c r="Q1872" s="175" t="n">
        <v>0.05</v>
      </c>
      <c r="R1872" s="192" t="n">
        <v>0.5</v>
      </c>
      <c r="S1872" s="175" t="inlineStr">
        <is>
          <t>无</t>
        </is>
      </c>
      <c r="T1872" s="175" t="n">
        <v>0.0455</v>
      </c>
      <c r="U1872" s="172" t="inlineStr">
        <is>
          <t>中泰证券自营</t>
        </is>
      </c>
      <c r="V1872" s="191" t="n">
        <v>0.1</v>
      </c>
      <c r="W1872" s="172" t="n"/>
      <c r="X1872" s="172" t="n"/>
      <c r="Y1872" s="172" t="n"/>
    </row>
    <row r="1873">
      <c r="A1873" s="172" t="n">
        <v>102</v>
      </c>
      <c r="B1873" s="172" t="inlineStr">
        <is>
          <t>6月</t>
        </is>
      </c>
      <c r="C1873" s="172" t="inlineStr">
        <is>
          <t>企金</t>
        </is>
      </c>
      <c r="D1873" s="172" t="inlineStr">
        <is>
          <t>金采</t>
        </is>
      </c>
      <c r="E1873" s="172" t="inlineStr">
        <is>
          <t>金采8-5</t>
        </is>
      </c>
      <c r="F1873" s="172" t="inlineStr">
        <is>
          <t>上交所</t>
        </is>
      </c>
      <c r="G1873" s="172" t="inlineStr">
        <is>
          <t>华泰资管</t>
        </is>
      </c>
      <c r="H1873" s="172" t="inlineStr">
        <is>
          <t>华福证券</t>
        </is>
      </c>
      <c r="I1873" s="172" t="inlineStr">
        <is>
          <t>招行北分</t>
        </is>
      </c>
      <c r="J1873" s="172" t="n">
        <v>10</v>
      </c>
      <c r="K1873" s="172" t="inlineStr">
        <is>
          <t>7+12</t>
        </is>
      </c>
      <c r="L1873" s="202" t="n">
        <v>46198</v>
      </c>
      <c r="M1873" s="175" t="n">
        <v>0.0148</v>
      </c>
      <c r="N1873" s="176" t="n">
        <v>0.0191</v>
      </c>
      <c r="O1873" s="191" t="n">
        <v>1.1</v>
      </c>
      <c r="P1873" s="172" t="inlineStr">
        <is>
          <t>次级</t>
        </is>
      </c>
      <c r="Q1873" s="175" t="n">
        <v>0.05</v>
      </c>
      <c r="R1873" s="192" t="n">
        <v>0.5</v>
      </c>
      <c r="S1873" s="175" t="inlineStr">
        <is>
          <t>无</t>
        </is>
      </c>
      <c r="T1873" s="175" t="n">
        <v>0.0455</v>
      </c>
      <c r="U1873" s="172" t="inlineStr">
        <is>
          <t>国联证券自营</t>
        </is>
      </c>
      <c r="V1873" s="193" t="n">
        <v>0.175</v>
      </c>
      <c r="W1873" s="172" t="n"/>
      <c r="X1873" s="172" t="n"/>
      <c r="Y1873" s="172" t="n"/>
    </row>
    <row r="1874">
      <c r="A1874" s="172" t="n">
        <v>102</v>
      </c>
      <c r="B1874" s="172" t="inlineStr">
        <is>
          <t>6月</t>
        </is>
      </c>
      <c r="C1874" s="172" t="inlineStr">
        <is>
          <t>企金</t>
        </is>
      </c>
      <c r="D1874" s="172" t="inlineStr">
        <is>
          <t>金采</t>
        </is>
      </c>
      <c r="E1874" s="172" t="inlineStr">
        <is>
          <t>金采8-5</t>
        </is>
      </c>
      <c r="F1874" s="172" t="inlineStr">
        <is>
          <t>上交所</t>
        </is>
      </c>
      <c r="G1874" s="172" t="inlineStr">
        <is>
          <t>华泰资管</t>
        </is>
      </c>
      <c r="H1874" s="172" t="inlineStr">
        <is>
          <t>华福证券</t>
        </is>
      </c>
      <c r="I1874" s="172" t="inlineStr">
        <is>
          <t>招行北分</t>
        </is>
      </c>
      <c r="J1874" s="172" t="n">
        <v>10</v>
      </c>
      <c r="K1874" s="172" t="inlineStr">
        <is>
          <t>7+12</t>
        </is>
      </c>
      <c r="L1874" s="202" t="n">
        <v>46198</v>
      </c>
      <c r="M1874" s="175" t="n">
        <v>0.0148</v>
      </c>
      <c r="N1874" s="176" t="n">
        <v>0.0191</v>
      </c>
      <c r="O1874" s="191" t="n">
        <v>1.1</v>
      </c>
      <c r="P1874" s="172" t="inlineStr">
        <is>
          <t>次级</t>
        </is>
      </c>
      <c r="Q1874" s="175" t="n">
        <v>0.05</v>
      </c>
      <c r="R1874" s="192" t="n">
        <v>0.5</v>
      </c>
      <c r="S1874" s="175" t="inlineStr">
        <is>
          <t>无</t>
        </is>
      </c>
      <c r="T1874" s="175" t="n">
        <v>0.0455</v>
      </c>
      <c r="U1874" s="172" t="inlineStr">
        <is>
          <t>邦汇保理</t>
        </is>
      </c>
      <c r="V1874" s="193" t="n">
        <v>0.025</v>
      </c>
      <c r="W1874" s="172" t="n"/>
      <c r="X1874" s="172" t="n"/>
      <c r="Y1874" s="172" t="n"/>
    </row>
    <row r="1875">
      <c r="A1875" s="172" t="n">
        <v>103</v>
      </c>
      <c r="B1875" s="172" t="inlineStr">
        <is>
          <t>6月</t>
        </is>
      </c>
      <c r="C1875" s="172" t="inlineStr">
        <is>
          <t>企金</t>
        </is>
      </c>
      <c r="D1875" s="172" t="inlineStr">
        <is>
          <t>信托企业主贷</t>
        </is>
      </c>
      <c r="E1875" s="172" t="inlineStr">
        <is>
          <t>启赢3-3</t>
        </is>
      </c>
      <c r="F1875" s="172" t="inlineStr">
        <is>
          <t>银行间</t>
        </is>
      </c>
      <c r="G1875" s="172" t="inlineStr">
        <is>
          <t>中信建投</t>
        </is>
      </c>
      <c r="H1875" s="172" t="inlineStr">
        <is>
          <t>国泰海通/中信证券/光大证券</t>
        </is>
      </c>
      <c r="I1875" s="172" t="inlineStr">
        <is>
          <t>工银天津</t>
        </is>
      </c>
      <c r="J1875" s="172" t="n">
        <v>15</v>
      </c>
      <c r="K1875" s="172" t="inlineStr">
        <is>
          <t>9+24</t>
        </is>
      </c>
      <c r="L1875" s="202" t="n">
        <v>46198</v>
      </c>
      <c r="M1875" s="175" t="n">
        <v>0.0148</v>
      </c>
      <c r="N1875" s="176" t="n">
        <v>0.0199</v>
      </c>
      <c r="O1875" s="191" t="n">
        <v>1.73</v>
      </c>
      <c r="P1875" s="172" t="inlineStr">
        <is>
          <t>优先A</t>
        </is>
      </c>
      <c r="Q1875" s="175" t="n">
        <v>0.83</v>
      </c>
      <c r="R1875" s="192">
        <f>Q1257*J1257</f>
        <v/>
      </c>
      <c r="S1875" s="172" t="inlineStr">
        <is>
          <t>AAA</t>
        </is>
      </c>
      <c r="T1875" s="175" t="n">
        <v>0.0168</v>
      </c>
      <c r="U1875" s="172" t="inlineStr">
        <is>
          <t>渝农商理财</t>
        </is>
      </c>
      <c r="V1875" s="191" t="n">
        <v>2.93</v>
      </c>
      <c r="W1875" s="175" t="n">
        <v>0.016</v>
      </c>
      <c r="X1875" s="172" t="inlineStr">
        <is>
          <t>渝农商理财</t>
        </is>
      </c>
      <c r="Y1875" s="191" t="n">
        <v>1.06</v>
      </c>
    </row>
    <row r="1876">
      <c r="A1876" s="172" t="n">
        <v>103</v>
      </c>
      <c r="B1876" s="172" t="inlineStr">
        <is>
          <t>6月</t>
        </is>
      </c>
      <c r="C1876" s="172" t="inlineStr">
        <is>
          <t>企金</t>
        </is>
      </c>
      <c r="D1876" s="172" t="inlineStr">
        <is>
          <t>信托企业主贷</t>
        </is>
      </c>
      <c r="E1876" s="172" t="inlineStr">
        <is>
          <t>启赢3-3</t>
        </is>
      </c>
      <c r="F1876" s="172" t="inlineStr">
        <is>
          <t>银行间</t>
        </is>
      </c>
      <c r="G1876" s="172" t="inlineStr">
        <is>
          <t>中信建投</t>
        </is>
      </c>
      <c r="H1876" s="172" t="inlineStr">
        <is>
          <t>国泰海通/中信证券/光大证券</t>
        </is>
      </c>
      <c r="I1876" s="172" t="inlineStr">
        <is>
          <t>工银天津</t>
        </is>
      </c>
      <c r="J1876" s="172" t="n">
        <v>15</v>
      </c>
      <c r="K1876" s="172" t="inlineStr">
        <is>
          <t>9+24</t>
        </is>
      </c>
      <c r="L1876" s="200" t="n">
        <v>46198</v>
      </c>
      <c r="M1876" s="175" t="n">
        <v>0.0148</v>
      </c>
      <c r="N1876" s="176" t="n">
        <v>0.0199</v>
      </c>
      <c r="O1876" s="172" t="n">
        <v>1.73</v>
      </c>
      <c r="P1876" s="172" t="inlineStr">
        <is>
          <t>优先A</t>
        </is>
      </c>
      <c r="Q1876" s="175" t="n">
        <v>0.83</v>
      </c>
      <c r="R1876" s="172">
        <f>Q1257*J1257</f>
        <v/>
      </c>
      <c r="S1876" s="172" t="inlineStr">
        <is>
          <t>AAA</t>
        </is>
      </c>
      <c r="T1876" s="175" t="n">
        <v>0.0168</v>
      </c>
      <c r="U1876" s="172" t="n"/>
      <c r="V1876" s="172" t="n"/>
      <c r="W1876" s="175" t="n">
        <v>0.0165</v>
      </c>
      <c r="X1876" s="172" t="inlineStr">
        <is>
          <t>渝农商理财</t>
        </is>
      </c>
      <c r="Y1876" s="191" t="n">
        <v>1.87</v>
      </c>
    </row>
    <row r="1877">
      <c r="A1877" s="172" t="n">
        <v>103</v>
      </c>
      <c r="B1877" s="172" t="inlineStr">
        <is>
          <t>6月</t>
        </is>
      </c>
      <c r="C1877" s="172" t="inlineStr">
        <is>
          <t>企金</t>
        </is>
      </c>
      <c r="D1877" s="172" t="inlineStr">
        <is>
          <t>信托企业主贷</t>
        </is>
      </c>
      <c r="E1877" s="172" t="inlineStr">
        <is>
          <t>启赢3-3</t>
        </is>
      </c>
      <c r="F1877" s="172" t="inlineStr">
        <is>
          <t>银行间</t>
        </is>
      </c>
      <c r="G1877" s="172" t="inlineStr">
        <is>
          <t>中信建投</t>
        </is>
      </c>
      <c r="H1877" s="172" t="inlineStr">
        <is>
          <t>国泰海通/中信证券/光大证券</t>
        </is>
      </c>
      <c r="I1877" s="172" t="inlineStr">
        <is>
          <t>工银天津</t>
        </is>
      </c>
      <c r="J1877" s="172" t="n">
        <v>15</v>
      </c>
      <c r="K1877" s="172" t="inlineStr">
        <is>
          <t>9+24</t>
        </is>
      </c>
      <c r="L1877" s="200" t="n">
        <v>46198</v>
      </c>
      <c r="M1877" s="175" t="n">
        <v>0.0148</v>
      </c>
      <c r="N1877" s="176" t="n">
        <v>0.0199</v>
      </c>
      <c r="O1877" s="172" t="n">
        <v>1.73</v>
      </c>
      <c r="P1877" s="172" t="inlineStr">
        <is>
          <t>优先A</t>
        </is>
      </c>
      <c r="Q1877" s="175" t="n">
        <v>0.83</v>
      </c>
      <c r="R1877" s="172">
        <f>Q1257*J1257</f>
        <v/>
      </c>
      <c r="S1877" s="172" t="inlineStr">
        <is>
          <t>AAA</t>
        </is>
      </c>
      <c r="T1877" s="175" t="n">
        <v>0.0168</v>
      </c>
      <c r="U1877" s="172" t="n"/>
      <c r="V1877" s="172" t="n"/>
      <c r="W1877" s="175" t="n">
        <v>0.017</v>
      </c>
      <c r="X1877" s="172" t="inlineStr">
        <is>
          <t>渝农商理财</t>
        </is>
      </c>
      <c r="Y1877" s="191" t="n">
        <v>0.3</v>
      </c>
    </row>
    <row r="1878">
      <c r="A1878" s="172" t="n">
        <v>103</v>
      </c>
      <c r="B1878" s="172" t="inlineStr">
        <is>
          <t>6月</t>
        </is>
      </c>
      <c r="C1878" s="172" t="inlineStr">
        <is>
          <t>企金</t>
        </is>
      </c>
      <c r="D1878" s="172" t="inlineStr">
        <is>
          <t>信托企业主贷</t>
        </is>
      </c>
      <c r="E1878" s="172" t="inlineStr">
        <is>
          <t>启赢3-3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国泰海通/中信证券/光大证券</t>
        </is>
      </c>
      <c r="I1878" s="172" t="inlineStr">
        <is>
          <t>工银天津</t>
        </is>
      </c>
      <c r="J1878" s="172" t="n">
        <v>15</v>
      </c>
      <c r="K1878" s="172" t="inlineStr">
        <is>
          <t>9+24</t>
        </is>
      </c>
      <c r="L1878" s="200" t="n">
        <v>46198</v>
      </c>
      <c r="M1878" s="175" t="n">
        <v>0.0148</v>
      </c>
      <c r="N1878" s="176" t="n">
        <v>0.0199</v>
      </c>
      <c r="O1878" s="172" t="n">
        <v>1.73</v>
      </c>
      <c r="P1878" s="172" t="inlineStr">
        <is>
          <t>优先A</t>
        </is>
      </c>
      <c r="Q1878" s="175" t="n">
        <v>0.83</v>
      </c>
      <c r="R1878" s="172">
        <f>Q1257*J1257</f>
        <v/>
      </c>
      <c r="S1878" s="172" t="inlineStr">
        <is>
          <t>AAA</t>
        </is>
      </c>
      <c r="T1878" s="175" t="n">
        <v>0.0168</v>
      </c>
      <c r="U1878" s="172" t="n"/>
      <c r="V1878" s="172" t="n"/>
      <c r="W1878" s="175" t="n">
        <v>0.0175</v>
      </c>
      <c r="X1878" s="172" t="inlineStr">
        <is>
          <t>渝农商理财</t>
        </is>
      </c>
      <c r="Y1878" s="191" t="n">
        <v>0.5</v>
      </c>
    </row>
    <row r="1879">
      <c r="A1879" s="172" t="n">
        <v>103</v>
      </c>
      <c r="B1879" s="172" t="inlineStr">
        <is>
          <t>6月</t>
        </is>
      </c>
      <c r="C1879" s="172" t="inlineStr">
        <is>
          <t>企金</t>
        </is>
      </c>
      <c r="D1879" s="172" t="inlineStr">
        <is>
          <t>信托企业主贷</t>
        </is>
      </c>
      <c r="E1879" s="172" t="inlineStr">
        <is>
          <t>启赢3-3</t>
        </is>
      </c>
      <c r="F1879" s="172" t="inlineStr">
        <is>
          <t>银行间</t>
        </is>
      </c>
      <c r="G1879" s="172" t="inlineStr">
        <is>
          <t>中信建投</t>
        </is>
      </c>
      <c r="H1879" s="172" t="inlineStr">
        <is>
          <t>国泰海通/中信证券/光大证券</t>
        </is>
      </c>
      <c r="I1879" s="172" t="inlineStr">
        <is>
          <t>工银天津</t>
        </is>
      </c>
      <c r="J1879" s="172" t="n">
        <v>15</v>
      </c>
      <c r="K1879" s="172" t="inlineStr">
        <is>
          <t>9+24</t>
        </is>
      </c>
      <c r="L1879" s="202" t="n">
        <v>46198</v>
      </c>
      <c r="M1879" s="175" t="n">
        <v>0.0148</v>
      </c>
      <c r="N1879" s="176" t="n">
        <v>0.0199</v>
      </c>
      <c r="O1879" s="191" t="n">
        <v>1.73</v>
      </c>
      <c r="P1879" s="172" t="inlineStr">
        <is>
          <t>优先A</t>
        </is>
      </c>
      <c r="Q1879" s="175" t="n">
        <v>0.83</v>
      </c>
      <c r="R1879" s="192">
        <f>Q1257*J1257</f>
        <v/>
      </c>
      <c r="S1879" s="172" t="inlineStr">
        <is>
          <t>AAA</t>
        </is>
      </c>
      <c r="T1879" s="175" t="n">
        <v>0.0168</v>
      </c>
      <c r="U1879" s="172" t="inlineStr">
        <is>
          <t>中邮理财</t>
        </is>
      </c>
      <c r="V1879" s="191" t="n">
        <v>2.7</v>
      </c>
      <c r="W1879" s="175" t="n">
        <v>0.0165</v>
      </c>
      <c r="X1879" s="172" t="inlineStr">
        <is>
          <t>中邮理财</t>
        </is>
      </c>
      <c r="Y1879" s="191" t="n">
        <v>1.7</v>
      </c>
    </row>
    <row r="1880">
      <c r="A1880" s="172" t="n">
        <v>103</v>
      </c>
      <c r="B1880" s="172" t="inlineStr">
        <is>
          <t>6月</t>
        </is>
      </c>
      <c r="C1880" s="172" t="inlineStr">
        <is>
          <t>企金</t>
        </is>
      </c>
      <c r="D1880" s="172" t="inlineStr">
        <is>
          <t>信托企业主贷</t>
        </is>
      </c>
      <c r="E1880" s="172" t="inlineStr">
        <is>
          <t>启赢3-3</t>
        </is>
      </c>
      <c r="F1880" s="172" t="inlineStr">
        <is>
          <t>银行间</t>
        </is>
      </c>
      <c r="G1880" s="172" t="inlineStr">
        <is>
          <t>中信建投</t>
        </is>
      </c>
      <c r="H1880" s="172" t="inlineStr">
        <is>
          <t>国泰海通/中信证券/光大证券</t>
        </is>
      </c>
      <c r="I1880" s="172" t="inlineStr">
        <is>
          <t>工银天津</t>
        </is>
      </c>
      <c r="J1880" s="172" t="n">
        <v>15</v>
      </c>
      <c r="K1880" s="172" t="inlineStr">
        <is>
          <t>9+24</t>
        </is>
      </c>
      <c r="L1880" s="200" t="n">
        <v>46198</v>
      </c>
      <c r="M1880" s="175" t="n">
        <v>0.0148</v>
      </c>
      <c r="N1880" s="176" t="n">
        <v>0.0199</v>
      </c>
      <c r="O1880" s="172" t="n">
        <v>1.73</v>
      </c>
      <c r="P1880" s="172" t="inlineStr">
        <is>
          <t>优先A</t>
        </is>
      </c>
      <c r="Q1880" s="175" t="n">
        <v>0.83</v>
      </c>
      <c r="R1880" s="172">
        <f>Q1257*J1257</f>
        <v/>
      </c>
      <c r="S1880" s="172" t="inlineStr">
        <is>
          <t>AAA</t>
        </is>
      </c>
      <c r="T1880" s="175" t="n">
        <v>0.0168</v>
      </c>
      <c r="U1880" s="172" t="n"/>
      <c r="V1880" s="172" t="n"/>
      <c r="W1880" s="175" t="n">
        <v>0.0167</v>
      </c>
      <c r="X1880" s="172" t="inlineStr">
        <is>
          <t>中邮理财</t>
        </is>
      </c>
      <c r="Y1880" s="191" t="n">
        <v>1</v>
      </c>
    </row>
    <row r="1881">
      <c r="A1881" s="172" t="n">
        <v>103</v>
      </c>
      <c r="B1881" s="172" t="inlineStr">
        <is>
          <t>6月</t>
        </is>
      </c>
      <c r="C1881" s="172" t="inlineStr">
        <is>
          <t>企金</t>
        </is>
      </c>
      <c r="D1881" s="172" t="inlineStr">
        <is>
          <t>信托企业主贷</t>
        </is>
      </c>
      <c r="E1881" s="172" t="inlineStr">
        <is>
          <t>启赢3-3</t>
        </is>
      </c>
      <c r="F1881" s="172" t="inlineStr">
        <is>
          <t>银行间</t>
        </is>
      </c>
      <c r="G1881" s="172" t="inlineStr">
        <is>
          <t>中信建投</t>
        </is>
      </c>
      <c r="H1881" s="172" t="inlineStr">
        <is>
          <t>国泰海通/中信证券/光大证券</t>
        </is>
      </c>
      <c r="I1881" s="172" t="inlineStr">
        <is>
          <t>工银天津</t>
        </is>
      </c>
      <c r="J1881" s="172" t="n">
        <v>15</v>
      </c>
      <c r="K1881" s="172" t="inlineStr">
        <is>
          <t>9+24</t>
        </is>
      </c>
      <c r="L1881" s="200" t="n">
        <v>46198</v>
      </c>
      <c r="M1881" s="175" t="n">
        <v>0.0148</v>
      </c>
      <c r="N1881" s="176" t="n">
        <v>0.0199</v>
      </c>
      <c r="O1881" s="172" t="n">
        <v>1.73</v>
      </c>
      <c r="P1881" s="172" t="inlineStr">
        <is>
          <t>优先A</t>
        </is>
      </c>
      <c r="Q1881" s="175" t="n">
        <v>0.83</v>
      </c>
      <c r="R1881" s="172">
        <f>Q1257*J1257</f>
        <v/>
      </c>
      <c r="S1881" s="172" t="inlineStr">
        <is>
          <t>AAA</t>
        </is>
      </c>
      <c r="T1881" s="175" t="n">
        <v>0.0168</v>
      </c>
      <c r="U1881" s="172" t="n"/>
      <c r="V1881" s="172" t="n"/>
      <c r="W1881" s="175" t="n">
        <v>0.0169</v>
      </c>
      <c r="X1881" s="172" t="inlineStr">
        <is>
          <t>中邮理财</t>
        </is>
      </c>
      <c r="Y1881" s="191" t="n">
        <v>1.035</v>
      </c>
    </row>
    <row r="1882">
      <c r="A1882" s="172" t="n">
        <v>103</v>
      </c>
      <c r="B1882" s="172" t="inlineStr">
        <is>
          <t>6月</t>
        </is>
      </c>
      <c r="C1882" s="172" t="inlineStr">
        <is>
          <t>企金</t>
        </is>
      </c>
      <c r="D1882" s="172" t="inlineStr">
        <is>
          <t>信托企业主贷</t>
        </is>
      </c>
      <c r="E1882" s="172" t="inlineStr">
        <is>
          <t>启赢3-3</t>
        </is>
      </c>
      <c r="F1882" s="172" t="inlineStr">
        <is>
          <t>银行间</t>
        </is>
      </c>
      <c r="G1882" s="172" t="inlineStr">
        <is>
          <t>中信建投</t>
        </is>
      </c>
      <c r="H1882" s="172" t="inlineStr">
        <is>
          <t>国泰海通/中信证券/光大证券</t>
        </is>
      </c>
      <c r="I1882" s="172" t="inlineStr">
        <is>
          <t>工银天津</t>
        </is>
      </c>
      <c r="J1882" s="172" t="n">
        <v>15</v>
      </c>
      <c r="K1882" s="172" t="inlineStr">
        <is>
          <t>9+24</t>
        </is>
      </c>
      <c r="L1882" s="202" t="n">
        <v>46198</v>
      </c>
      <c r="M1882" s="175" t="n">
        <v>0.0148</v>
      </c>
      <c r="N1882" s="176" t="n">
        <v>0.0199</v>
      </c>
      <c r="O1882" s="191" t="n">
        <v>1.73</v>
      </c>
      <c r="P1882" s="172" t="inlineStr">
        <is>
          <t>优先A</t>
        </is>
      </c>
      <c r="Q1882" s="175" t="n">
        <v>0.83</v>
      </c>
      <c r="R1882" s="192">
        <f>Q1257*J1257</f>
        <v/>
      </c>
      <c r="S1882" s="172" t="inlineStr">
        <is>
          <t>AAA</t>
        </is>
      </c>
      <c r="T1882" s="175" t="n">
        <v>0.0168</v>
      </c>
      <c r="U1882" s="172" t="inlineStr">
        <is>
          <t>交银理财</t>
        </is>
      </c>
      <c r="V1882" s="191" t="n">
        <v>2.4</v>
      </c>
      <c r="W1882" s="175" t="n">
        <v>0.016</v>
      </c>
      <c r="X1882" s="172" t="inlineStr">
        <is>
          <t>交银理财</t>
        </is>
      </c>
      <c r="Y1882" s="191" t="n">
        <v>0.5</v>
      </c>
    </row>
    <row r="1883">
      <c r="A1883" s="172" t="n">
        <v>103</v>
      </c>
      <c r="B1883" s="172" t="inlineStr">
        <is>
          <t>6月</t>
        </is>
      </c>
      <c r="C1883" s="172" t="inlineStr">
        <is>
          <t>企金</t>
        </is>
      </c>
      <c r="D1883" s="172" t="inlineStr">
        <is>
          <t>信托企业主贷</t>
        </is>
      </c>
      <c r="E1883" s="172" t="inlineStr">
        <is>
          <t>启赢3-3</t>
        </is>
      </c>
      <c r="F1883" s="172" t="inlineStr">
        <is>
          <t>银行间</t>
        </is>
      </c>
      <c r="G1883" s="172" t="inlineStr">
        <is>
          <t>中信建投</t>
        </is>
      </c>
      <c r="H1883" s="172" t="inlineStr">
        <is>
          <t>国泰海通/中信证券/光大证券</t>
        </is>
      </c>
      <c r="I1883" s="172" t="inlineStr">
        <is>
          <t>工银天津</t>
        </is>
      </c>
      <c r="J1883" s="172" t="n">
        <v>15</v>
      </c>
      <c r="K1883" s="172" t="inlineStr">
        <is>
          <t>9+24</t>
        </is>
      </c>
      <c r="L1883" s="200" t="n">
        <v>46198</v>
      </c>
      <c r="M1883" s="175" t="n">
        <v>0.0148</v>
      </c>
      <c r="N1883" s="176" t="n">
        <v>0.0199</v>
      </c>
      <c r="O1883" s="172" t="n">
        <v>1.73</v>
      </c>
      <c r="P1883" s="172" t="inlineStr">
        <is>
          <t>优先A</t>
        </is>
      </c>
      <c r="Q1883" s="175" t="n">
        <v>0.83</v>
      </c>
      <c r="R1883" s="172">
        <f>Q1257*J1257</f>
        <v/>
      </c>
      <c r="S1883" s="172" t="inlineStr">
        <is>
          <t>AAA</t>
        </is>
      </c>
      <c r="T1883" s="175" t="n">
        <v>0.0168</v>
      </c>
      <c r="U1883" s="172" t="n"/>
      <c r="V1883" s="172" t="n"/>
      <c r="W1883" s="175" t="n">
        <v>0.0165</v>
      </c>
      <c r="X1883" s="172" t="inlineStr">
        <is>
          <t>交银理财</t>
        </is>
      </c>
      <c r="Y1883" s="191" t="n">
        <v>1.9</v>
      </c>
    </row>
    <row r="1884">
      <c r="A1884" s="172" t="n">
        <v>103</v>
      </c>
      <c r="B1884" s="172" t="inlineStr">
        <is>
          <t>6月</t>
        </is>
      </c>
      <c r="C1884" s="172" t="inlineStr">
        <is>
          <t>企金</t>
        </is>
      </c>
      <c r="D1884" s="172" t="inlineStr">
        <is>
          <t>信托企业主贷</t>
        </is>
      </c>
      <c r="E1884" s="172" t="inlineStr">
        <is>
          <t>启赢3-3</t>
        </is>
      </c>
      <c r="F1884" s="172" t="inlineStr">
        <is>
          <t>银行间</t>
        </is>
      </c>
      <c r="G1884" s="172" t="inlineStr">
        <is>
          <t>中信建投</t>
        </is>
      </c>
      <c r="H1884" s="172" t="inlineStr">
        <is>
          <t>国泰海通/中信证券/光大证券</t>
        </is>
      </c>
      <c r="I1884" s="172" t="inlineStr">
        <is>
          <t>工银天津</t>
        </is>
      </c>
      <c r="J1884" s="172" t="n">
        <v>15</v>
      </c>
      <c r="K1884" s="172" t="inlineStr">
        <is>
          <t>9+24</t>
        </is>
      </c>
      <c r="L1884" s="202" t="n">
        <v>46198</v>
      </c>
      <c r="M1884" s="175" t="n">
        <v>0.0148</v>
      </c>
      <c r="N1884" s="176" t="n">
        <v>0.0199</v>
      </c>
      <c r="O1884" s="191" t="n">
        <v>1.73</v>
      </c>
      <c r="P1884" s="172" t="inlineStr">
        <is>
          <t>优先A</t>
        </is>
      </c>
      <c r="Q1884" s="175" t="n">
        <v>0.83</v>
      </c>
      <c r="R1884" s="192">
        <f>Q1257*J1257</f>
        <v/>
      </c>
      <c r="S1884" s="172" t="inlineStr">
        <is>
          <t>AAA</t>
        </is>
      </c>
      <c r="T1884" s="175" t="n">
        <v>0.0168</v>
      </c>
      <c r="U1884" s="172" t="inlineStr">
        <is>
          <t>中信证券资管</t>
        </is>
      </c>
      <c r="V1884" s="191" t="n">
        <v>1.5</v>
      </c>
      <c r="W1884" s="175" t="n">
        <v>0.0168</v>
      </c>
      <c r="X1884" s="172" t="inlineStr">
        <is>
          <t>中信证券资管</t>
        </is>
      </c>
      <c r="Y1884" s="191" t="n">
        <v>1.5</v>
      </c>
    </row>
    <row r="1885">
      <c r="A1885" s="172" t="n">
        <v>103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信托企业主贷</t>
        </is>
      </c>
      <c r="E1885" s="172" t="inlineStr">
        <is>
          <t>启赢3-3</t>
        </is>
      </c>
      <c r="F1885" s="172" t="inlineStr">
        <is>
          <t>银行间</t>
        </is>
      </c>
      <c r="G1885" s="172" t="inlineStr">
        <is>
          <t>中信建投</t>
        </is>
      </c>
      <c r="H1885" s="172" t="inlineStr">
        <is>
          <t>国泰海通/中信证券/光大证券</t>
        </is>
      </c>
      <c r="I1885" s="172" t="inlineStr">
        <is>
          <t>工银天津</t>
        </is>
      </c>
      <c r="J1885" s="172" t="n">
        <v>15</v>
      </c>
      <c r="K1885" s="172" t="inlineStr">
        <is>
          <t>9+24</t>
        </is>
      </c>
      <c r="L1885" s="200" t="n">
        <v>46198</v>
      </c>
      <c r="M1885" s="175" t="n">
        <v>0.0148</v>
      </c>
      <c r="N1885" s="176" t="n">
        <v>0.0199</v>
      </c>
      <c r="O1885" s="172" t="n">
        <v>1.73</v>
      </c>
      <c r="P1885" s="172" t="inlineStr">
        <is>
          <t>优先A</t>
        </is>
      </c>
      <c r="Q1885" s="175" t="n">
        <v>0.83</v>
      </c>
      <c r="R1885" s="172">
        <f>Q1257*J1257</f>
        <v/>
      </c>
      <c r="S1885" s="172" t="inlineStr">
        <is>
          <t>AAA</t>
        </is>
      </c>
      <c r="T1885" s="175" t="n">
        <v>0.0168</v>
      </c>
      <c r="U1885" s="172" t="n"/>
      <c r="V1885" s="172" t="n"/>
      <c r="W1885" s="175" t="n">
        <v>0.0169</v>
      </c>
      <c r="X1885" s="172" t="inlineStr">
        <is>
          <t>中信证券资管</t>
        </is>
      </c>
      <c r="Y1885" s="191" t="n">
        <v>0.5</v>
      </c>
    </row>
    <row r="1886">
      <c r="A1886" s="172" t="n">
        <v>103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信托企业主贷</t>
        </is>
      </c>
      <c r="E1886" s="172" t="inlineStr">
        <is>
          <t>启赢3-3</t>
        </is>
      </c>
      <c r="F1886" s="172" t="inlineStr">
        <is>
          <t>银行间</t>
        </is>
      </c>
      <c r="G1886" s="172" t="inlineStr">
        <is>
          <t>中信建投</t>
        </is>
      </c>
      <c r="H1886" s="172" t="inlineStr">
        <is>
          <t>国泰海通/中信证券/光大证券</t>
        </is>
      </c>
      <c r="I1886" s="172" t="inlineStr">
        <is>
          <t>工银天津</t>
        </is>
      </c>
      <c r="J1886" s="172" t="n">
        <v>15</v>
      </c>
      <c r="K1886" s="172" t="inlineStr">
        <is>
          <t>9+24</t>
        </is>
      </c>
      <c r="L1886" s="202" t="n">
        <v>46198</v>
      </c>
      <c r="M1886" s="175" t="n">
        <v>0.0148</v>
      </c>
      <c r="N1886" s="176" t="n">
        <v>0.0199</v>
      </c>
      <c r="O1886" s="191" t="n">
        <v>1.73</v>
      </c>
      <c r="P1886" s="172" t="inlineStr">
        <is>
          <t>优先A</t>
        </is>
      </c>
      <c r="Q1886" s="175" t="n">
        <v>0.83</v>
      </c>
      <c r="R1886" s="192">
        <f>Q1257*J1257</f>
        <v/>
      </c>
      <c r="S1886" s="172" t="inlineStr">
        <is>
          <t>AAA</t>
        </is>
      </c>
      <c r="T1886" s="175" t="n">
        <v>0.0168</v>
      </c>
      <c r="U1886" s="172" t="inlineStr">
        <is>
          <t>易方达基金</t>
        </is>
      </c>
      <c r="V1886" s="191" t="n">
        <v>1</v>
      </c>
      <c r="W1886" s="175" t="n">
        <v>0.0168</v>
      </c>
      <c r="X1886" s="172" t="inlineStr">
        <is>
          <t>易方达基金</t>
        </is>
      </c>
      <c r="Y1886" s="191" t="n">
        <v>1</v>
      </c>
    </row>
    <row r="1887">
      <c r="A1887" s="172" t="n">
        <v>103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信托企业主贷</t>
        </is>
      </c>
      <c r="E1887" s="172" t="inlineStr">
        <is>
          <t>启赢3-3</t>
        </is>
      </c>
      <c r="F1887" s="172" t="inlineStr">
        <is>
          <t>银行间</t>
        </is>
      </c>
      <c r="G1887" s="172" t="inlineStr">
        <is>
          <t>中信建投</t>
        </is>
      </c>
      <c r="H1887" s="172" t="inlineStr">
        <is>
          <t>国泰海通/中信证券/光大证券</t>
        </is>
      </c>
      <c r="I1887" s="172" t="inlineStr">
        <is>
          <t>工银天津</t>
        </is>
      </c>
      <c r="J1887" s="172" t="n">
        <v>15</v>
      </c>
      <c r="K1887" s="172" t="inlineStr">
        <is>
          <t>9+24</t>
        </is>
      </c>
      <c r="L1887" s="200" t="n">
        <v>46198</v>
      </c>
      <c r="M1887" s="175" t="n">
        <v>0.0148</v>
      </c>
      <c r="N1887" s="176" t="n">
        <v>0.0199</v>
      </c>
      <c r="O1887" s="172" t="n">
        <v>1.73</v>
      </c>
      <c r="P1887" s="172" t="inlineStr">
        <is>
          <t>优先A</t>
        </is>
      </c>
      <c r="Q1887" s="175" t="n">
        <v>0.83</v>
      </c>
      <c r="R1887" s="172">
        <f>Q1257*J1257</f>
        <v/>
      </c>
      <c r="S1887" s="172" t="inlineStr">
        <is>
          <t>AAA</t>
        </is>
      </c>
      <c r="T1887" s="175" t="n">
        <v>0.0168</v>
      </c>
      <c r="U1887" s="172" t="n"/>
      <c r="V1887" s="172" t="n"/>
      <c r="W1887" s="175" t="n">
        <v>0.0169</v>
      </c>
      <c r="X1887" s="172" t="inlineStr">
        <is>
          <t>易方达基金</t>
        </is>
      </c>
      <c r="Y1887" s="191" t="n">
        <v>0.5</v>
      </c>
    </row>
    <row r="1888">
      <c r="A1888" s="172" t="n">
        <v>103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信托企业主贷</t>
        </is>
      </c>
      <c r="E1888" s="172" t="inlineStr">
        <is>
          <t>启赢3-3</t>
        </is>
      </c>
      <c r="F1888" s="172" t="inlineStr">
        <is>
          <t>银行间</t>
        </is>
      </c>
      <c r="G1888" s="172" t="inlineStr">
        <is>
          <t>中信建投</t>
        </is>
      </c>
      <c r="H1888" s="172" t="inlineStr">
        <is>
          <t>国泰海通/中信证券/光大证券</t>
        </is>
      </c>
      <c r="I1888" s="172" t="inlineStr">
        <is>
          <t>工银天津</t>
        </is>
      </c>
      <c r="J1888" s="172" t="n">
        <v>15</v>
      </c>
      <c r="K1888" s="172" t="inlineStr">
        <is>
          <t>9+24</t>
        </is>
      </c>
      <c r="L1888" s="200" t="n">
        <v>46198</v>
      </c>
      <c r="M1888" s="175" t="n">
        <v>0.0148</v>
      </c>
      <c r="N1888" s="176" t="n">
        <v>0.0199</v>
      </c>
      <c r="O1888" s="172" t="n">
        <v>1.73</v>
      </c>
      <c r="P1888" s="172" t="inlineStr">
        <is>
          <t>优先A</t>
        </is>
      </c>
      <c r="Q1888" s="175" t="n">
        <v>0.83</v>
      </c>
      <c r="R1888" s="172">
        <f>Q1257*J1257</f>
        <v/>
      </c>
      <c r="S1888" s="172" t="inlineStr">
        <is>
          <t>AAA</t>
        </is>
      </c>
      <c r="T1888" s="175" t="n">
        <v>0.0168</v>
      </c>
      <c r="U1888" s="172" t="n"/>
      <c r="V1888" s="172" t="n"/>
      <c r="W1888" s="175" t="n">
        <v>0.0172</v>
      </c>
      <c r="X1888" s="172" t="inlineStr">
        <is>
          <t>易方达基金</t>
        </is>
      </c>
      <c r="Y1888" s="191" t="n">
        <v>0.5</v>
      </c>
    </row>
    <row r="1889">
      <c r="A1889" s="172" t="n">
        <v>103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信托企业主贷</t>
        </is>
      </c>
      <c r="E1889" s="172" t="inlineStr">
        <is>
          <t>启赢3-3</t>
        </is>
      </c>
      <c r="F1889" s="172" t="inlineStr">
        <is>
          <t>银行间</t>
        </is>
      </c>
      <c r="G1889" s="172" t="inlineStr">
        <is>
          <t>中信建投</t>
        </is>
      </c>
      <c r="H1889" s="172" t="inlineStr">
        <is>
          <t>国泰海通/中信证券/光大证券</t>
        </is>
      </c>
      <c r="I1889" s="172" t="inlineStr">
        <is>
          <t>工银天津</t>
        </is>
      </c>
      <c r="J1889" s="172" t="n">
        <v>15</v>
      </c>
      <c r="K1889" s="172" t="inlineStr">
        <is>
          <t>9+24</t>
        </is>
      </c>
      <c r="L1889" s="200" t="n">
        <v>46198</v>
      </c>
      <c r="M1889" s="175" t="n">
        <v>0.0148</v>
      </c>
      <c r="N1889" s="176" t="n">
        <v>0.0199</v>
      </c>
      <c r="O1889" s="172" t="n">
        <v>1.73</v>
      </c>
      <c r="P1889" s="172" t="inlineStr">
        <is>
          <t>优先A</t>
        </is>
      </c>
      <c r="Q1889" s="175" t="n">
        <v>0.83</v>
      </c>
      <c r="R1889" s="172">
        <f>Q1257*J1257</f>
        <v/>
      </c>
      <c r="S1889" s="172" t="inlineStr">
        <is>
          <t>AAA</t>
        </is>
      </c>
      <c r="T1889" s="175" t="n">
        <v>0.0168</v>
      </c>
      <c r="U1889" s="172" t="n"/>
      <c r="V1889" s="172" t="n"/>
      <c r="W1889" s="175" t="n">
        <v>0.0175</v>
      </c>
      <c r="X1889" s="172" t="inlineStr">
        <is>
          <t>易方达基金</t>
        </is>
      </c>
      <c r="Y1889" s="191" t="n">
        <v>0.2</v>
      </c>
    </row>
    <row r="1890">
      <c r="A1890" s="172" t="n">
        <v>103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信托企业主贷</t>
        </is>
      </c>
      <c r="E1890" s="172" t="inlineStr">
        <is>
          <t>启赢3-3</t>
        </is>
      </c>
      <c r="F1890" s="172" t="inlineStr">
        <is>
          <t>银行间</t>
        </is>
      </c>
      <c r="G1890" s="172" t="inlineStr">
        <is>
          <t>中信建投</t>
        </is>
      </c>
      <c r="H1890" s="172" t="inlineStr">
        <is>
          <t>国泰海通/中信证券/光大证券</t>
        </is>
      </c>
      <c r="I1890" s="172" t="inlineStr">
        <is>
          <t>工银天津</t>
        </is>
      </c>
      <c r="J1890" s="172" t="n">
        <v>15</v>
      </c>
      <c r="K1890" s="172" t="inlineStr">
        <is>
          <t>9+24</t>
        </is>
      </c>
      <c r="L1890" s="202" t="n">
        <v>46198</v>
      </c>
      <c r="M1890" s="175" t="n">
        <v>0.0148</v>
      </c>
      <c r="N1890" s="176" t="n">
        <v>0.0199</v>
      </c>
      <c r="O1890" s="191" t="n">
        <v>1.73</v>
      </c>
      <c r="P1890" s="172" t="inlineStr">
        <is>
          <t>优先A</t>
        </is>
      </c>
      <c r="Q1890" s="175" t="n">
        <v>0.83</v>
      </c>
      <c r="R1890" s="192">
        <f>Q1257*J1257</f>
        <v/>
      </c>
      <c r="S1890" s="172" t="inlineStr">
        <is>
          <t>AAA</t>
        </is>
      </c>
      <c r="T1890" s="175" t="n">
        <v>0.0168</v>
      </c>
      <c r="U1890" s="172" t="inlineStr">
        <is>
          <t>建信信托</t>
        </is>
      </c>
      <c r="V1890" s="191" t="n">
        <v>1</v>
      </c>
      <c r="W1890" s="175" t="n">
        <v>0.0165</v>
      </c>
      <c r="X1890" s="172" t="inlineStr">
        <is>
          <t>建信信托</t>
        </is>
      </c>
      <c r="Y1890" s="191" t="n">
        <v>1</v>
      </c>
    </row>
    <row r="1891">
      <c r="A1891" s="172" t="n">
        <v>103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信托企业主贷</t>
        </is>
      </c>
      <c r="E1891" s="172" t="inlineStr">
        <is>
          <t>启赢3-3</t>
        </is>
      </c>
      <c r="F1891" s="172" t="inlineStr">
        <is>
          <t>银行间</t>
        </is>
      </c>
      <c r="G1891" s="172" t="inlineStr">
        <is>
          <t>中信建投</t>
        </is>
      </c>
      <c r="H1891" s="172" t="inlineStr">
        <is>
          <t>国泰海通/中信证券/光大证券</t>
        </is>
      </c>
      <c r="I1891" s="172" t="inlineStr">
        <is>
          <t>工银天津</t>
        </is>
      </c>
      <c r="J1891" s="172" t="n">
        <v>15</v>
      </c>
      <c r="K1891" s="172" t="inlineStr">
        <is>
          <t>9+24</t>
        </is>
      </c>
      <c r="L1891" s="202" t="n">
        <v>46198</v>
      </c>
      <c r="M1891" s="175" t="n">
        <v>0.0148</v>
      </c>
      <c r="N1891" s="176" t="n">
        <v>0.0199</v>
      </c>
      <c r="O1891" s="191" t="n">
        <v>1.73</v>
      </c>
      <c r="P1891" s="172" t="inlineStr">
        <is>
          <t>优先A</t>
        </is>
      </c>
      <c r="Q1891" s="175" t="n">
        <v>0.83</v>
      </c>
      <c r="R1891" s="192">
        <f>Q1257*J1257</f>
        <v/>
      </c>
      <c r="S1891" s="172" t="inlineStr">
        <is>
          <t>AAA</t>
        </is>
      </c>
      <c r="T1891" s="175" t="n">
        <v>0.0168</v>
      </c>
      <c r="U1891" s="172" t="inlineStr">
        <is>
          <t>沛轩投资</t>
        </is>
      </c>
      <c r="V1891" s="191" t="n">
        <v>0.52</v>
      </c>
      <c r="W1891" s="175" t="n">
        <v>0.0165</v>
      </c>
      <c r="X1891" s="172" t="inlineStr">
        <is>
          <t>沛轩投资</t>
        </is>
      </c>
      <c r="Y1891" s="191" t="n">
        <v>0.52</v>
      </c>
    </row>
    <row r="1892">
      <c r="A1892" s="172" t="n">
        <v>103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信托企业主贷</t>
        </is>
      </c>
      <c r="E1892" s="172" t="inlineStr">
        <is>
          <t>启赢3-3</t>
        </is>
      </c>
      <c r="F1892" s="172" t="inlineStr">
        <is>
          <t>银行间</t>
        </is>
      </c>
      <c r="G1892" s="172" t="inlineStr">
        <is>
          <t>中信建投</t>
        </is>
      </c>
      <c r="H1892" s="172" t="inlineStr">
        <is>
          <t>国泰海通/中信证券/光大证券</t>
        </is>
      </c>
      <c r="I1892" s="172" t="inlineStr">
        <is>
          <t>工银天津</t>
        </is>
      </c>
      <c r="J1892" s="172" t="n">
        <v>15</v>
      </c>
      <c r="K1892" s="172" t="inlineStr">
        <is>
          <t>9+24</t>
        </is>
      </c>
      <c r="L1892" s="202" t="n">
        <v>46198</v>
      </c>
      <c r="M1892" s="175" t="n">
        <v>0.0148</v>
      </c>
      <c r="N1892" s="176" t="n">
        <v>0.0199</v>
      </c>
      <c r="O1892" s="191" t="n">
        <v>1.73</v>
      </c>
      <c r="P1892" s="172" t="inlineStr">
        <is>
          <t>优先A</t>
        </is>
      </c>
      <c r="Q1892" s="175" t="n">
        <v>0.83</v>
      </c>
      <c r="R1892" s="192">
        <f>Q1257*J1257</f>
        <v/>
      </c>
      <c r="S1892" s="172" t="inlineStr">
        <is>
          <t>AAA</t>
        </is>
      </c>
      <c r="T1892" s="175" t="n">
        <v>0.0168</v>
      </c>
      <c r="U1892" s="172" t="inlineStr">
        <is>
          <t>中金自营</t>
        </is>
      </c>
      <c r="V1892" s="191" t="n">
        <v>0.4</v>
      </c>
      <c r="W1892" s="175" t="n">
        <v>0.0168</v>
      </c>
      <c r="X1892" s="172" t="inlineStr">
        <is>
          <t>中金自营</t>
        </is>
      </c>
      <c r="Y1892" s="191" t="n">
        <v>0.4</v>
      </c>
    </row>
    <row r="1893">
      <c r="A1893" s="172" t="n">
        <v>103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信托企业主贷</t>
        </is>
      </c>
      <c r="E1893" s="172" t="inlineStr">
        <is>
          <t>启赢3-3</t>
        </is>
      </c>
      <c r="F1893" s="172" t="inlineStr">
        <is>
          <t>银行间</t>
        </is>
      </c>
      <c r="G1893" s="172" t="inlineStr">
        <is>
          <t>中信建投</t>
        </is>
      </c>
      <c r="H1893" s="172" t="inlineStr">
        <is>
          <t>国泰海通/中信证券/光大证券</t>
        </is>
      </c>
      <c r="I1893" s="172" t="inlineStr">
        <is>
          <t>工银天津</t>
        </is>
      </c>
      <c r="J1893" s="172" t="n">
        <v>15</v>
      </c>
      <c r="K1893" s="172" t="inlineStr">
        <is>
          <t>9+24</t>
        </is>
      </c>
      <c r="L1893" s="200" t="n">
        <v>46198</v>
      </c>
      <c r="M1893" s="175" t="n">
        <v>0.0148</v>
      </c>
      <c r="N1893" s="176" t="n">
        <v>0.0199</v>
      </c>
      <c r="O1893" s="172" t="n">
        <v>1.73</v>
      </c>
      <c r="P1893" s="172" t="inlineStr">
        <is>
          <t>优先A</t>
        </is>
      </c>
      <c r="Q1893" s="175" t="n">
        <v>0.83</v>
      </c>
      <c r="R1893" s="172">
        <f>Q1257*J1257</f>
        <v/>
      </c>
      <c r="S1893" s="172" t="inlineStr">
        <is>
          <t>AAA</t>
        </is>
      </c>
      <c r="T1893" s="175" t="n">
        <v>0.0168</v>
      </c>
      <c r="U1893" s="172" t="n"/>
      <c r="V1893" s="172" t="n"/>
      <c r="W1893" s="175" t="n">
        <v>0.017</v>
      </c>
      <c r="X1893" s="172" t="inlineStr">
        <is>
          <t>中金自营</t>
        </is>
      </c>
      <c r="Y1893" s="191" t="n">
        <v>0.4</v>
      </c>
    </row>
    <row r="1894">
      <c r="A1894" s="172" t="n">
        <v>103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信托企业主贷</t>
        </is>
      </c>
      <c r="E1894" s="172" t="inlineStr">
        <is>
          <t>启赢3-3</t>
        </is>
      </c>
      <c r="F1894" s="172" t="inlineStr">
        <is>
          <t>银行间</t>
        </is>
      </c>
      <c r="G1894" s="172" t="inlineStr">
        <is>
          <t>中信建投</t>
        </is>
      </c>
      <c r="H1894" s="172" t="inlineStr">
        <is>
          <t>国泰海通/中信证券/光大证券</t>
        </is>
      </c>
      <c r="I1894" s="172" t="inlineStr">
        <is>
          <t>工银天津</t>
        </is>
      </c>
      <c r="J1894" s="172" t="n">
        <v>15</v>
      </c>
      <c r="K1894" s="172" t="inlineStr">
        <is>
          <t>9+24</t>
        </is>
      </c>
      <c r="L1894" s="200" t="n">
        <v>46198</v>
      </c>
      <c r="M1894" s="175" t="n">
        <v>0.0148</v>
      </c>
      <c r="N1894" s="176" t="n">
        <v>0.0199</v>
      </c>
      <c r="O1894" s="172" t="n">
        <v>1.73</v>
      </c>
      <c r="P1894" s="172" t="inlineStr">
        <is>
          <t>优先A</t>
        </is>
      </c>
      <c r="Q1894" s="175" t="n">
        <v>0.83</v>
      </c>
      <c r="R1894" s="172">
        <f>Q1257*J1257</f>
        <v/>
      </c>
      <c r="S1894" s="172" t="inlineStr">
        <is>
          <t>AAA</t>
        </is>
      </c>
      <c r="T1894" s="175" t="n">
        <v>0.0168</v>
      </c>
      <c r="U1894" s="172" t="n"/>
      <c r="V1894" s="172" t="n"/>
      <c r="W1894" s="175" t="n">
        <v>0.017</v>
      </c>
      <c r="X1894" s="172" t="inlineStr">
        <is>
          <t>建投衍生品投顾</t>
        </is>
      </c>
      <c r="Y1894" s="191" t="n">
        <v>1</v>
      </c>
    </row>
    <row r="1895">
      <c r="A1895" s="172" t="n">
        <v>103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信托企业主贷</t>
        </is>
      </c>
      <c r="E1895" s="172" t="inlineStr">
        <is>
          <t>启赢3-3</t>
        </is>
      </c>
      <c r="F1895" s="172" t="inlineStr">
        <is>
          <t>银行间</t>
        </is>
      </c>
      <c r="G1895" s="172" t="inlineStr">
        <is>
          <t>中信建投</t>
        </is>
      </c>
      <c r="H1895" s="172" t="inlineStr">
        <is>
          <t>国泰海通/中信证券/光大证券</t>
        </is>
      </c>
      <c r="I1895" s="172" t="inlineStr">
        <is>
          <t>工银天津</t>
        </is>
      </c>
      <c r="J1895" s="172" t="n">
        <v>15</v>
      </c>
      <c r="K1895" s="172" t="inlineStr">
        <is>
          <t>9+24</t>
        </is>
      </c>
      <c r="L1895" s="200" t="n">
        <v>46198</v>
      </c>
      <c r="M1895" s="175" t="n">
        <v>0.0148</v>
      </c>
      <c r="N1895" s="176" t="n">
        <v>0.0199</v>
      </c>
      <c r="O1895" s="172" t="n">
        <v>1.73</v>
      </c>
      <c r="P1895" s="172" t="inlineStr">
        <is>
          <t>优先A</t>
        </is>
      </c>
      <c r="Q1895" s="175" t="n">
        <v>0.83</v>
      </c>
      <c r="R1895" s="172">
        <f>Q1257*J1257</f>
        <v/>
      </c>
      <c r="S1895" s="172" t="inlineStr">
        <is>
          <t>AAA</t>
        </is>
      </c>
      <c r="T1895" s="175" t="n">
        <v>0.0168</v>
      </c>
      <c r="U1895" s="172" t="n"/>
      <c r="V1895" s="172" t="n"/>
      <c r="W1895" s="175" t="n">
        <v>0.02</v>
      </c>
      <c r="X1895" s="172" t="inlineStr">
        <is>
          <t>信达证券</t>
        </is>
      </c>
      <c r="Y1895" s="191" t="n">
        <v>0.8</v>
      </c>
    </row>
    <row r="1896">
      <c r="A1896" s="172" t="n">
        <v>103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信托企业主贷</t>
        </is>
      </c>
      <c r="E1896" s="172" t="inlineStr">
        <is>
          <t>启赢3-3</t>
        </is>
      </c>
      <c r="F1896" s="172" t="inlineStr">
        <is>
          <t>银行间</t>
        </is>
      </c>
      <c r="G1896" s="172" t="inlineStr">
        <is>
          <t>中信建投</t>
        </is>
      </c>
      <c r="H1896" s="172" t="inlineStr">
        <is>
          <t>国泰海通/中信证券/光大证券</t>
        </is>
      </c>
      <c r="I1896" s="172" t="inlineStr">
        <is>
          <t>工银天津</t>
        </is>
      </c>
      <c r="J1896" s="172" t="n">
        <v>15</v>
      </c>
      <c r="K1896" s="172" t="inlineStr">
        <is>
          <t>9+24</t>
        </is>
      </c>
      <c r="L1896" s="200" t="n">
        <v>46198</v>
      </c>
      <c r="M1896" s="175" t="n">
        <v>0.0148</v>
      </c>
      <c r="N1896" s="176" t="n">
        <v>0.0199</v>
      </c>
      <c r="O1896" s="172" t="n">
        <v>1.73</v>
      </c>
      <c r="P1896" s="172" t="inlineStr">
        <is>
          <t>优先A</t>
        </is>
      </c>
      <c r="Q1896" s="175" t="n">
        <v>0.83</v>
      </c>
      <c r="R1896" s="172">
        <f>Q1257*J1257</f>
        <v/>
      </c>
      <c r="S1896" s="172" t="inlineStr">
        <is>
          <t>AAA</t>
        </is>
      </c>
      <c r="T1896" s="175" t="n">
        <v>0.0168</v>
      </c>
      <c r="U1896" s="172" t="n"/>
      <c r="V1896" s="172" t="n"/>
      <c r="W1896" s="175" t="n">
        <v>0.024</v>
      </c>
      <c r="X1896" s="172" t="inlineStr">
        <is>
          <t>建投机构部</t>
        </is>
      </c>
      <c r="Y1896" s="191" t="n">
        <v>0.5</v>
      </c>
    </row>
    <row r="1897">
      <c r="A1897" s="172" t="n">
        <v>103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信托企业主贷</t>
        </is>
      </c>
      <c r="E1897" s="172" t="inlineStr">
        <is>
          <t>启赢3-3</t>
        </is>
      </c>
      <c r="F1897" s="172" t="inlineStr">
        <is>
          <t>银行间</t>
        </is>
      </c>
      <c r="G1897" s="172" t="inlineStr">
        <is>
          <t>中信建投</t>
        </is>
      </c>
      <c r="H1897" s="172" t="inlineStr">
        <is>
          <t>国泰海通/中信证券/光大证券</t>
        </is>
      </c>
      <c r="I1897" s="172" t="inlineStr">
        <is>
          <t>工银天津</t>
        </is>
      </c>
      <c r="J1897" s="172" t="n">
        <v>15</v>
      </c>
      <c r="K1897" s="172" t="inlineStr">
        <is>
          <t>9+24</t>
        </is>
      </c>
      <c r="L1897" s="200" t="n">
        <v>46198</v>
      </c>
      <c r="M1897" s="175" t="n">
        <v>0.0148</v>
      </c>
      <c r="N1897" s="176" t="n">
        <v>0.0199</v>
      </c>
      <c r="O1897" s="172" t="n">
        <v>1.73</v>
      </c>
      <c r="P1897" s="172" t="inlineStr">
        <is>
          <t>优先A</t>
        </is>
      </c>
      <c r="Q1897" s="175" t="n">
        <v>0.83</v>
      </c>
      <c r="R1897" s="172">
        <f>Q1257*J1257</f>
        <v/>
      </c>
      <c r="S1897" s="172" t="inlineStr">
        <is>
          <t>AAA</t>
        </is>
      </c>
      <c r="T1897" s="175" t="n">
        <v>0.0168</v>
      </c>
      <c r="U1897" s="172" t="n"/>
      <c r="V1897" s="172" t="n"/>
      <c r="W1897" s="175" t="n">
        <v>0.024</v>
      </c>
      <c r="X1897" s="172" t="inlineStr">
        <is>
          <t>建投衍生品自营</t>
        </is>
      </c>
      <c r="Y1897" s="191" t="n">
        <v>1.8</v>
      </c>
    </row>
    <row r="1898">
      <c r="A1898" s="172" t="n">
        <v>103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信托企业主贷</t>
        </is>
      </c>
      <c r="E1898" s="172" t="inlineStr">
        <is>
          <t>启赢3-3</t>
        </is>
      </c>
      <c r="F1898" s="172" t="inlineStr">
        <is>
          <t>银行间</t>
        </is>
      </c>
      <c r="G1898" s="172" t="inlineStr">
        <is>
          <t>中信建投</t>
        </is>
      </c>
      <c r="H1898" s="172" t="inlineStr">
        <is>
          <t>国泰海通/中信证券/光大证券</t>
        </is>
      </c>
      <c r="I1898" s="172" t="inlineStr">
        <is>
          <t>工银天津</t>
        </is>
      </c>
      <c r="J1898" s="172" t="n">
        <v>15</v>
      </c>
      <c r="K1898" s="172" t="inlineStr">
        <is>
          <t>9+24</t>
        </is>
      </c>
      <c r="L1898" s="200" t="n">
        <v>46198</v>
      </c>
      <c r="M1898" s="175" t="n">
        <v>0.0148</v>
      </c>
      <c r="N1898" s="176" t="n">
        <v>0.0199</v>
      </c>
      <c r="O1898" s="172" t="n">
        <v>1.73</v>
      </c>
      <c r="P1898" s="172" t="inlineStr">
        <is>
          <t>优先A</t>
        </is>
      </c>
      <c r="Q1898" s="175" t="n">
        <v>0.83</v>
      </c>
      <c r="R1898" s="172">
        <f>Q1257*J1257</f>
        <v/>
      </c>
      <c r="S1898" s="172" t="inlineStr">
        <is>
          <t>AAA</t>
        </is>
      </c>
      <c r="T1898" s="175" t="n">
        <v>0.0168</v>
      </c>
      <c r="U1898" s="172" t="n"/>
      <c r="V1898" s="172" t="n"/>
      <c r="W1898" s="175" t="n">
        <v>0.024</v>
      </c>
      <c r="X1898" s="172" t="inlineStr">
        <is>
          <t>华宝资管</t>
        </is>
      </c>
      <c r="Y1898" s="191" t="n">
        <v>1</v>
      </c>
    </row>
    <row r="1899">
      <c r="A1899" s="172" t="n">
        <v>103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信托企业主贷</t>
        </is>
      </c>
      <c r="E1899" s="172" t="inlineStr">
        <is>
          <t>启赢3-3</t>
        </is>
      </c>
      <c r="F1899" s="172" t="inlineStr">
        <is>
          <t>银行间</t>
        </is>
      </c>
      <c r="G1899" s="172" t="inlineStr">
        <is>
          <t>中信建投</t>
        </is>
      </c>
      <c r="H1899" s="172" t="inlineStr">
        <is>
          <t>国泰海通/中信证券/光大证券</t>
        </is>
      </c>
      <c r="I1899" s="172" t="inlineStr">
        <is>
          <t>工银天津</t>
        </is>
      </c>
      <c r="J1899" s="172" t="n">
        <v>15</v>
      </c>
      <c r="K1899" s="172" t="inlineStr">
        <is>
          <t>9+24</t>
        </is>
      </c>
      <c r="L1899" s="202" t="n">
        <v>46198</v>
      </c>
      <c r="M1899" s="175" t="n">
        <v>0.0148</v>
      </c>
      <c r="N1899" s="176" t="n">
        <v>0.0199</v>
      </c>
      <c r="O1899" s="191" t="n">
        <v>1.73</v>
      </c>
      <c r="P1899" s="172" t="inlineStr">
        <is>
          <t>优先B</t>
        </is>
      </c>
      <c r="Q1899" s="175" t="n">
        <v>0.05</v>
      </c>
      <c r="R1899" s="192">
        <f>J1257*Q1265</f>
        <v/>
      </c>
      <c r="S1899" s="175" t="inlineStr">
        <is>
          <t>AA+</t>
        </is>
      </c>
      <c r="T1899" s="175" t="n">
        <v>0.018</v>
      </c>
      <c r="U1899" s="172" t="inlineStr">
        <is>
          <t>建信信托</t>
        </is>
      </c>
      <c r="V1899" s="191" t="n">
        <v>0.3</v>
      </c>
      <c r="W1899" s="175" t="n">
        <v>0.018</v>
      </c>
      <c r="X1899" s="172" t="inlineStr">
        <is>
          <t>建信信托</t>
        </is>
      </c>
      <c r="Y1899" s="191" t="n">
        <v>0.3</v>
      </c>
    </row>
    <row r="1900">
      <c r="A1900" s="172" t="n">
        <v>103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信托企业主贷</t>
        </is>
      </c>
      <c r="E1900" s="172" t="inlineStr">
        <is>
          <t>启赢3-3</t>
        </is>
      </c>
      <c r="F1900" s="172" t="inlineStr">
        <is>
          <t>银行间</t>
        </is>
      </c>
      <c r="G1900" s="172" t="inlineStr">
        <is>
          <t>中信建投</t>
        </is>
      </c>
      <c r="H1900" s="172" t="inlineStr">
        <is>
          <t>国泰海通/中信证券/光大证券</t>
        </is>
      </c>
      <c r="I1900" s="172" t="inlineStr">
        <is>
          <t>工银天津</t>
        </is>
      </c>
      <c r="J1900" s="172" t="n">
        <v>15</v>
      </c>
      <c r="K1900" s="172" t="inlineStr">
        <is>
          <t>9+24</t>
        </is>
      </c>
      <c r="L1900" s="202" t="n">
        <v>46198</v>
      </c>
      <c r="M1900" s="175" t="n">
        <v>0.0148</v>
      </c>
      <c r="N1900" s="176" t="n">
        <v>0.0199</v>
      </c>
      <c r="O1900" s="191" t="n">
        <v>1.73</v>
      </c>
      <c r="P1900" s="172" t="inlineStr">
        <is>
          <t>优先B</t>
        </is>
      </c>
      <c r="Q1900" s="175" t="n">
        <v>0.05</v>
      </c>
      <c r="R1900" s="192">
        <f>J1257*Q1265</f>
        <v/>
      </c>
      <c r="S1900" s="175" t="inlineStr">
        <is>
          <t>AA+</t>
        </is>
      </c>
      <c r="T1900" s="175" t="n">
        <v>0.018</v>
      </c>
      <c r="U1900" s="172" t="inlineStr">
        <is>
          <t>交银理财</t>
        </is>
      </c>
      <c r="V1900" s="191" t="n">
        <v>0.22</v>
      </c>
      <c r="W1900" s="175" t="n">
        <v>0.017</v>
      </c>
      <c r="X1900" s="172" t="inlineStr">
        <is>
          <t>交银理财</t>
        </is>
      </c>
      <c r="Y1900" s="191" t="n">
        <v>0.22</v>
      </c>
    </row>
    <row r="1901">
      <c r="A1901" s="172" t="n">
        <v>103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信托企业主贷</t>
        </is>
      </c>
      <c r="E1901" s="172" t="inlineStr">
        <is>
          <t>启赢3-3</t>
        </is>
      </c>
      <c r="F1901" s="172" t="inlineStr">
        <is>
          <t>银行间</t>
        </is>
      </c>
      <c r="G1901" s="172" t="inlineStr">
        <is>
          <t>中信建投</t>
        </is>
      </c>
      <c r="H1901" s="172" t="inlineStr">
        <is>
          <t>国泰海通/中信证券/光大证券</t>
        </is>
      </c>
      <c r="I1901" s="172" t="inlineStr">
        <is>
          <t>工银天津</t>
        </is>
      </c>
      <c r="J1901" s="172" t="n">
        <v>15</v>
      </c>
      <c r="K1901" s="172" t="inlineStr">
        <is>
          <t>9+24</t>
        </is>
      </c>
      <c r="L1901" s="202" t="n">
        <v>46198</v>
      </c>
      <c r="M1901" s="175" t="n">
        <v>0.0148</v>
      </c>
      <c r="N1901" s="176" t="n">
        <v>0.0199</v>
      </c>
      <c r="O1901" s="191" t="n">
        <v>1.73</v>
      </c>
      <c r="P1901" s="172" t="inlineStr">
        <is>
          <t>优先B</t>
        </is>
      </c>
      <c r="Q1901" s="175" t="n">
        <v>0.05</v>
      </c>
      <c r="R1901" s="192">
        <f>J1257*Q1265</f>
        <v/>
      </c>
      <c r="S1901" s="175" t="inlineStr">
        <is>
          <t>AA+</t>
        </is>
      </c>
      <c r="T1901" s="175" t="n">
        <v>0.018</v>
      </c>
      <c r="U1901" s="172" t="inlineStr">
        <is>
          <t>中信证券资管</t>
        </is>
      </c>
      <c r="V1901" s="191" t="n">
        <v>0.18</v>
      </c>
      <c r="W1901" s="175" t="n">
        <v>0.0174</v>
      </c>
      <c r="X1901" s="172" t="inlineStr">
        <is>
          <t>中信证券资管</t>
        </is>
      </c>
      <c r="Y1901" s="191" t="n">
        <v>0.18</v>
      </c>
    </row>
    <row r="1902">
      <c r="A1902" s="172" t="n">
        <v>103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信托企业主贷</t>
        </is>
      </c>
      <c r="E1902" s="172" t="inlineStr">
        <is>
          <t>启赢3-3</t>
        </is>
      </c>
      <c r="F1902" s="172" t="inlineStr">
        <is>
          <t>银行间</t>
        </is>
      </c>
      <c r="G1902" s="172" t="inlineStr">
        <is>
          <t>中信建投</t>
        </is>
      </c>
      <c r="H1902" s="172" t="inlineStr">
        <is>
          <t>国泰海通/中信证券/光大证券</t>
        </is>
      </c>
      <c r="I1902" s="172" t="inlineStr">
        <is>
          <t>工银天津</t>
        </is>
      </c>
      <c r="J1902" s="172" t="n">
        <v>15</v>
      </c>
      <c r="K1902" s="172" t="inlineStr">
        <is>
          <t>9+24</t>
        </is>
      </c>
      <c r="L1902" s="200" t="n">
        <v>46198</v>
      </c>
      <c r="M1902" s="175" t="n">
        <v>0.0148</v>
      </c>
      <c r="N1902" s="176" t="n">
        <v>0.0199</v>
      </c>
      <c r="O1902" s="172" t="n">
        <v>1.73</v>
      </c>
      <c r="P1902" s="172" t="inlineStr">
        <is>
          <t>优先B</t>
        </is>
      </c>
      <c r="Q1902" s="175" t="n">
        <v>0.05</v>
      </c>
      <c r="R1902" s="172">
        <f>J1257*Q1265</f>
        <v/>
      </c>
      <c r="S1902" s="172" t="inlineStr">
        <is>
          <t>AA+</t>
        </is>
      </c>
      <c r="T1902" s="175" t="n">
        <v>0.018</v>
      </c>
      <c r="U1902" s="172" t="n"/>
      <c r="V1902" s="172" t="n"/>
      <c r="W1902" s="175" t="n">
        <v>0.02</v>
      </c>
      <c r="X1902" s="172" t="inlineStr">
        <is>
          <t>中信证券资管</t>
        </is>
      </c>
      <c r="Y1902" s="191" t="n">
        <v>0.1</v>
      </c>
    </row>
    <row r="1903">
      <c r="A1903" s="172" t="n">
        <v>103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信托企业主贷</t>
        </is>
      </c>
      <c r="E1903" s="172" t="inlineStr">
        <is>
          <t>启赢3-3</t>
        </is>
      </c>
      <c r="F1903" s="172" t="inlineStr">
        <is>
          <t>银行间</t>
        </is>
      </c>
      <c r="G1903" s="172" t="inlineStr">
        <is>
          <t>中信建投</t>
        </is>
      </c>
      <c r="H1903" s="172" t="inlineStr">
        <is>
          <t>国泰海通/中信证券/光大证券</t>
        </is>
      </c>
      <c r="I1903" s="172" t="inlineStr">
        <is>
          <t>工银天津</t>
        </is>
      </c>
      <c r="J1903" s="172" t="n">
        <v>15</v>
      </c>
      <c r="K1903" s="172" t="inlineStr">
        <is>
          <t>9+24</t>
        </is>
      </c>
      <c r="L1903" s="202" t="n">
        <v>46198</v>
      </c>
      <c r="M1903" s="175" t="n">
        <v>0.0148</v>
      </c>
      <c r="N1903" s="176" t="n">
        <v>0.0199</v>
      </c>
      <c r="O1903" s="191" t="n">
        <v>1.73</v>
      </c>
      <c r="P1903" s="172" t="inlineStr">
        <is>
          <t>优先B</t>
        </is>
      </c>
      <c r="Q1903" s="175" t="n">
        <v>0.05</v>
      </c>
      <c r="R1903" s="192">
        <f>J1257*Q1265</f>
        <v/>
      </c>
      <c r="S1903" s="175" t="inlineStr">
        <is>
          <t>AA+</t>
        </is>
      </c>
      <c r="T1903" s="175" t="n">
        <v>0.018</v>
      </c>
      <c r="U1903" s="172" t="inlineStr">
        <is>
          <t>中信建投投行</t>
        </is>
      </c>
      <c r="V1903" s="191" t="n">
        <v>0.05</v>
      </c>
      <c r="W1903" s="175" t="n">
        <v>0.018</v>
      </c>
      <c r="X1903" s="172" t="inlineStr">
        <is>
          <t>中信建投</t>
        </is>
      </c>
      <c r="Y1903" s="191" t="n">
        <v>0.05</v>
      </c>
    </row>
    <row r="1904">
      <c r="A1904" s="172" t="n">
        <v>103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信托企业主贷</t>
        </is>
      </c>
      <c r="E1904" s="172" t="inlineStr">
        <is>
          <t>启赢3-3</t>
        </is>
      </c>
      <c r="F1904" s="172" t="inlineStr">
        <is>
          <t>银行间</t>
        </is>
      </c>
      <c r="G1904" s="172" t="inlineStr">
        <is>
          <t>中信建投</t>
        </is>
      </c>
      <c r="H1904" s="172" t="inlineStr">
        <is>
          <t>国泰海通/中信证券/光大证券</t>
        </is>
      </c>
      <c r="I1904" s="172" t="inlineStr">
        <is>
          <t>工银天津</t>
        </is>
      </c>
      <c r="J1904" s="172" t="n">
        <v>15</v>
      </c>
      <c r="K1904" s="172" t="inlineStr">
        <is>
          <t>9+24</t>
        </is>
      </c>
      <c r="L1904" s="200" t="n">
        <v>46198</v>
      </c>
      <c r="M1904" s="175" t="n">
        <v>0.0148</v>
      </c>
      <c r="N1904" s="176" t="n">
        <v>0.0199</v>
      </c>
      <c r="O1904" s="172" t="n">
        <v>1.73</v>
      </c>
      <c r="P1904" s="172" t="inlineStr">
        <is>
          <t>优先B</t>
        </is>
      </c>
      <c r="Q1904" s="175" t="n">
        <v>0.05</v>
      </c>
      <c r="R1904" s="172">
        <f>J1257*Q1265</f>
        <v/>
      </c>
      <c r="S1904" s="172" t="inlineStr">
        <is>
          <t>AA+</t>
        </is>
      </c>
      <c r="T1904" s="175" t="n">
        <v>0.018</v>
      </c>
      <c r="U1904" s="172" t="n"/>
      <c r="V1904" s="172" t="n"/>
      <c r="W1904" s="175" t="n">
        <v>0.019</v>
      </c>
      <c r="X1904" s="172" t="inlineStr">
        <is>
          <t>中金自营</t>
        </is>
      </c>
      <c r="Y1904" s="191" t="n">
        <v>0.3</v>
      </c>
    </row>
    <row r="1905">
      <c r="A1905" s="172" t="n">
        <v>103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信托企业主贷</t>
        </is>
      </c>
      <c r="E1905" s="172" t="inlineStr">
        <is>
          <t>启赢3-3</t>
        </is>
      </c>
      <c r="F1905" s="172" t="inlineStr">
        <is>
          <t>银行间</t>
        </is>
      </c>
      <c r="G1905" s="172" t="inlineStr">
        <is>
          <t>中信建投</t>
        </is>
      </c>
      <c r="H1905" s="172" t="inlineStr">
        <is>
          <t>国泰海通/中信证券/光大证券</t>
        </is>
      </c>
      <c r="I1905" s="172" t="inlineStr">
        <is>
          <t>工银天津</t>
        </is>
      </c>
      <c r="J1905" s="172" t="n">
        <v>15</v>
      </c>
      <c r="K1905" s="172" t="inlineStr">
        <is>
          <t>9+24</t>
        </is>
      </c>
      <c r="L1905" s="202" t="n">
        <v>46198</v>
      </c>
      <c r="M1905" s="175" t="n">
        <v>0.0148</v>
      </c>
      <c r="N1905" s="176" t="n">
        <v>0.0199</v>
      </c>
      <c r="O1905" s="191" t="n">
        <v>1.73</v>
      </c>
      <c r="P1905" s="172" t="inlineStr">
        <is>
          <t>中间级</t>
        </is>
      </c>
      <c r="Q1905" s="175" t="n">
        <v>0.07000000000000001</v>
      </c>
      <c r="R1905" s="192">
        <f>J1257*Q1269</f>
        <v/>
      </c>
      <c r="S1905" s="175" t="inlineStr">
        <is>
          <t>AA-</t>
        </is>
      </c>
      <c r="T1905" s="175" t="n">
        <v>0.031</v>
      </c>
      <c r="U1905" s="172" t="inlineStr">
        <is>
          <t>中金投顾</t>
        </is>
      </c>
      <c r="V1905" s="191" t="n">
        <v>0.35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工银天津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中间级</t>
        </is>
      </c>
      <c r="Q1906" s="175" t="n">
        <v>0.07000000000000001</v>
      </c>
      <c r="R1906" s="192">
        <f>J1257*Q1269</f>
        <v/>
      </c>
      <c r="S1906" s="175" t="inlineStr">
        <is>
          <t>AA-</t>
        </is>
      </c>
      <c r="T1906" s="175" t="n">
        <v>0.031</v>
      </c>
      <c r="U1906" s="172" t="inlineStr">
        <is>
          <t>建信信托</t>
        </is>
      </c>
      <c r="V1906" s="191" t="n">
        <v>0.3</v>
      </c>
      <c r="W1906" s="172" t="n"/>
      <c r="X1906" s="172" t="n"/>
      <c r="Y1906" s="172" t="n"/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工银天津</t>
        </is>
      </c>
      <c r="J1907" s="172" t="n">
        <v>15</v>
      </c>
      <c r="K1907" s="172" t="inlineStr">
        <is>
          <t>9+24</t>
        </is>
      </c>
      <c r="L1907" s="202" t="n">
        <v>46198</v>
      </c>
      <c r="M1907" s="175" t="n">
        <v>0.0148</v>
      </c>
      <c r="N1907" s="176" t="n">
        <v>0.0199</v>
      </c>
      <c r="O1907" s="191" t="n">
        <v>1.73</v>
      </c>
      <c r="P1907" s="172" t="inlineStr">
        <is>
          <t>中间级</t>
        </is>
      </c>
      <c r="Q1907" s="175" t="n">
        <v>0.07000000000000001</v>
      </c>
      <c r="R1907" s="192">
        <f>J1257*Q1269</f>
        <v/>
      </c>
      <c r="S1907" s="175" t="inlineStr">
        <is>
          <t>AA-</t>
        </is>
      </c>
      <c r="T1907" s="175" t="n">
        <v>0.031</v>
      </c>
      <c r="U1907" s="172" t="inlineStr">
        <is>
          <t>西部证券自营</t>
        </is>
      </c>
      <c r="V1907" s="191" t="n">
        <v>0.2</v>
      </c>
      <c r="W1907" s="172" t="n"/>
      <c r="X1907" s="172" t="n"/>
      <c r="Y1907" s="172" t="n"/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工银天津</t>
        </is>
      </c>
      <c r="J1908" s="172" t="n">
        <v>15</v>
      </c>
      <c r="K1908" s="172" t="inlineStr">
        <is>
          <t>9+24</t>
        </is>
      </c>
      <c r="L1908" s="202" t="n">
        <v>46198</v>
      </c>
      <c r="M1908" s="175" t="n">
        <v>0.0148</v>
      </c>
      <c r="N1908" s="176" t="n">
        <v>0.0199</v>
      </c>
      <c r="O1908" s="191" t="n">
        <v>1.73</v>
      </c>
      <c r="P1908" s="172" t="inlineStr">
        <is>
          <t>中间级</t>
        </is>
      </c>
      <c r="Q1908" s="175" t="n">
        <v>0.07000000000000001</v>
      </c>
      <c r="R1908" s="192">
        <f>J1257*Q1269</f>
        <v/>
      </c>
      <c r="S1908" s="175" t="inlineStr">
        <is>
          <t>AA-</t>
        </is>
      </c>
      <c r="T1908" s="175" t="n">
        <v>0.031</v>
      </c>
      <c r="U1908" s="172" t="inlineStr">
        <is>
          <t>朗姿韩亚</t>
        </is>
      </c>
      <c r="V1908" s="191" t="n">
        <v>0.2</v>
      </c>
      <c r="W1908" s="172" t="n"/>
      <c r="X1908" s="172" t="n"/>
      <c r="Y1908" s="172" t="n"/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工银天津</t>
        </is>
      </c>
      <c r="J1909" s="172" t="n">
        <v>15</v>
      </c>
      <c r="K1909" s="172" t="inlineStr">
        <is>
          <t>9+24</t>
        </is>
      </c>
      <c r="L1909" s="202" t="n">
        <v>46198</v>
      </c>
      <c r="M1909" s="175" t="n">
        <v>0.0148</v>
      </c>
      <c r="N1909" s="176" t="n">
        <v>0.0199</v>
      </c>
      <c r="O1909" s="191" t="n">
        <v>1.73</v>
      </c>
      <c r="P1909" s="172" t="inlineStr">
        <is>
          <t>次级</t>
        </is>
      </c>
      <c r="Q1909" s="175" t="n">
        <v>0.05</v>
      </c>
      <c r="R1909" s="192">
        <f>J1257*Q1273</f>
        <v/>
      </c>
      <c r="S1909" s="175" t="inlineStr">
        <is>
          <t>无</t>
        </is>
      </c>
      <c r="T1909" s="175" t="n">
        <v>0.0515</v>
      </c>
      <c r="U1909" s="172" t="inlineStr">
        <is>
          <t>国信证券自营</t>
        </is>
      </c>
      <c r="V1909" s="193" t="n">
        <v>0.275</v>
      </c>
      <c r="W1909" s="172" t="n"/>
      <c r="X1909" s="172" t="n"/>
      <c r="Y1909" s="172" t="n"/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工银天津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次级</t>
        </is>
      </c>
      <c r="Q1910" s="175" t="n">
        <v>0.05</v>
      </c>
      <c r="R1910" s="192">
        <f>J1257*Q1273</f>
        <v/>
      </c>
      <c r="S1910" s="175" t="inlineStr">
        <is>
          <t>无</t>
        </is>
      </c>
      <c r="T1910" s="175" t="n">
        <v>0.0515</v>
      </c>
      <c r="U1910" s="172" t="inlineStr">
        <is>
          <t>华泰证券自营</t>
        </is>
      </c>
      <c r="V1910" s="191" t="n">
        <v>0.11</v>
      </c>
      <c r="W1910" s="172" t="n"/>
      <c r="X1910" s="172" t="n"/>
      <c r="Y1910" s="172" t="n"/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工银天津</t>
        </is>
      </c>
      <c r="J1911" s="172" t="n">
        <v>15</v>
      </c>
      <c r="K1911" s="172" t="inlineStr">
        <is>
          <t>9+24</t>
        </is>
      </c>
      <c r="L1911" s="202" t="n">
        <v>46198</v>
      </c>
      <c r="M1911" s="175" t="n">
        <v>0.0148</v>
      </c>
      <c r="N1911" s="176" t="n">
        <v>0.0199</v>
      </c>
      <c r="O1911" s="191" t="n">
        <v>1.73</v>
      </c>
      <c r="P1911" s="172" t="inlineStr">
        <is>
          <t>次级</t>
        </is>
      </c>
      <c r="Q1911" s="175" t="n">
        <v>0.05</v>
      </c>
      <c r="R1911" s="192">
        <f>J1257*Q1273</f>
        <v/>
      </c>
      <c r="S1911" s="175" t="inlineStr">
        <is>
          <t>无</t>
        </is>
      </c>
      <c r="T1911" s="175" t="n">
        <v>0.0515</v>
      </c>
      <c r="U1911" s="172" t="inlineStr">
        <is>
          <t>国泰海通自营</t>
        </is>
      </c>
      <c r="V1911" s="193" t="n">
        <v>0.255</v>
      </c>
      <c r="W1911" s="172" t="n"/>
      <c r="X1911" s="172" t="n"/>
      <c r="Y1911" s="172" t="n"/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工银天津</t>
        </is>
      </c>
      <c r="J1912" s="172" t="n">
        <v>15</v>
      </c>
      <c r="K1912" s="172" t="inlineStr">
        <is>
          <t>9+24</t>
        </is>
      </c>
      <c r="L1912" s="202" t="n">
        <v>46198</v>
      </c>
      <c r="M1912" s="175" t="n">
        <v>0.0148</v>
      </c>
      <c r="N1912" s="176" t="n">
        <v>0.0199</v>
      </c>
      <c r="O1912" s="191" t="n">
        <v>1.73</v>
      </c>
      <c r="P1912" s="172" t="inlineStr">
        <is>
          <t>次级</t>
        </is>
      </c>
      <c r="Q1912" s="175" t="n">
        <v>0.05</v>
      </c>
      <c r="R1912" s="192">
        <f>J1257*Q1273</f>
        <v/>
      </c>
      <c r="S1912" s="175" t="inlineStr">
        <is>
          <t>无</t>
        </is>
      </c>
      <c r="T1912" s="175" t="n">
        <v>0.0515</v>
      </c>
      <c r="U1912" s="172" t="inlineStr">
        <is>
          <t>华兴证券自营</t>
        </is>
      </c>
      <c r="V1912" s="191" t="n">
        <v>0.11</v>
      </c>
      <c r="W1912" s="172" t="n"/>
      <c r="X1912" s="172" t="n"/>
      <c r="Y1912" s="172" t="n"/>
    </row>
    <row r="1913">
      <c r="A1913" s="172" t="n">
        <v>104</v>
      </c>
      <c r="B1913" s="173" t="inlineStr">
        <is>
          <t>6月</t>
        </is>
      </c>
      <c r="C1913" s="173" t="inlineStr">
        <is>
          <t>消金</t>
        </is>
      </c>
      <c r="D1913" s="173" t="inlineStr">
        <is>
          <t>汽车融资租赁</t>
        </is>
      </c>
      <c r="E1913" s="173" t="inlineStr">
        <is>
          <t>尚乘1-2</t>
        </is>
      </c>
      <c r="F1913" s="173" t="inlineStr">
        <is>
          <t>上交所</t>
        </is>
      </c>
      <c r="G1913" s="173" t="inlineStr">
        <is>
          <t>国泰海通</t>
        </is>
      </c>
      <c r="H1913" s="173" t="inlineStr">
        <is>
          <t>兴业证券</t>
        </is>
      </c>
      <c r="I1913" s="173" t="inlineStr">
        <is>
          <t>青岛银行</t>
        </is>
      </c>
      <c r="J1913" s="172" t="n">
        <v>6.5</v>
      </c>
      <c r="K1913" s="173" t="inlineStr">
        <is>
          <t>0+49</t>
        </is>
      </c>
      <c r="L1913" s="202" t="n">
        <v>46198</v>
      </c>
      <c r="M1913" s="175" t="n">
        <v>0.0148</v>
      </c>
      <c r="N1913" s="176" t="n">
        <v>0.02775</v>
      </c>
      <c r="O1913" s="172" t="n">
        <v>1.95</v>
      </c>
      <c r="P1913" s="177" t="inlineStr">
        <is>
          <t>优先A1</t>
        </is>
      </c>
      <c r="Q1913" s="178" t="n">
        <v>0.3615</v>
      </c>
      <c r="R1913" s="179" t="n">
        <v>2.35</v>
      </c>
      <c r="S1913" s="177" t="inlineStr">
        <is>
          <t>AAA</t>
        </is>
      </c>
      <c r="T1913" s="178" t="n">
        <v>0.017</v>
      </c>
      <c r="U1913" s="177" t="inlineStr">
        <is>
          <t>石嘴山银行</t>
        </is>
      </c>
      <c r="V1913" s="192" t="n">
        <v>0.2</v>
      </c>
      <c r="W1913" s="175" t="n">
        <v>0.017</v>
      </c>
      <c r="X1913" s="172" t="inlineStr">
        <is>
          <t>石嘴山银行</t>
        </is>
      </c>
      <c r="Y1913" s="191" t="n">
        <v>0.2</v>
      </c>
    </row>
    <row r="1914">
      <c r="A1914" s="172" t="n">
        <v>104</v>
      </c>
      <c r="B1914" s="173" t="inlineStr">
        <is>
          <t>6月</t>
        </is>
      </c>
      <c r="C1914" s="173" t="inlineStr">
        <is>
          <t>消金</t>
        </is>
      </c>
      <c r="D1914" s="173" t="inlineStr">
        <is>
          <t>汽车融资租赁</t>
        </is>
      </c>
      <c r="E1914" s="173" t="inlineStr">
        <is>
          <t>尚乘1-2</t>
        </is>
      </c>
      <c r="F1914" s="173" t="inlineStr">
        <is>
          <t>上交所</t>
        </is>
      </c>
      <c r="G1914" s="173" t="inlineStr">
        <is>
          <t>国泰海通</t>
        </is>
      </c>
      <c r="H1914" s="173" t="inlineStr">
        <is>
          <t>兴业证券</t>
        </is>
      </c>
      <c r="I1914" s="173" t="inlineStr">
        <is>
          <t>青岛银行</t>
        </is>
      </c>
      <c r="J1914" s="172" t="n">
        <v>6.5</v>
      </c>
      <c r="K1914" s="173" t="inlineStr">
        <is>
          <t>0+49</t>
        </is>
      </c>
      <c r="L1914" s="202" t="n">
        <v>46198</v>
      </c>
      <c r="M1914" s="175" t="n">
        <v>0.0148</v>
      </c>
      <c r="N1914" s="176" t="n">
        <v>0.02775</v>
      </c>
      <c r="O1914" s="172" t="n">
        <v>1.95</v>
      </c>
      <c r="P1914" s="172" t="inlineStr">
        <is>
          <t>优先A1</t>
        </is>
      </c>
      <c r="Q1914" s="178" t="n">
        <v>0.3615</v>
      </c>
      <c r="R1914" s="179" t="n">
        <v>2.35</v>
      </c>
      <c r="S1914" s="177" t="inlineStr">
        <is>
          <t>AAA</t>
        </is>
      </c>
      <c r="T1914" s="178" t="n">
        <v>0.017</v>
      </c>
      <c r="U1914" s="172" t="inlineStr">
        <is>
          <t>京东租赁</t>
        </is>
      </c>
      <c r="V1914" s="192" t="n">
        <v>0.12</v>
      </c>
      <c r="W1914" s="172" t="n"/>
      <c r="X1914" s="172" t="n"/>
      <c r="Y1914" s="172" t="n"/>
    </row>
    <row r="1915">
      <c r="A1915" s="172" t="n">
        <v>104</v>
      </c>
      <c r="B1915" s="173" t="inlineStr">
        <is>
          <t>6月</t>
        </is>
      </c>
      <c r="C1915" s="173" t="inlineStr">
        <is>
          <t>消金</t>
        </is>
      </c>
      <c r="D1915" s="173" t="inlineStr">
        <is>
          <t>汽车融资租赁</t>
        </is>
      </c>
      <c r="E1915" s="173" t="inlineStr">
        <is>
          <t>尚乘1-2</t>
        </is>
      </c>
      <c r="F1915" s="173" t="inlineStr">
        <is>
          <t>上交所</t>
        </is>
      </c>
      <c r="G1915" s="173" t="inlineStr">
        <is>
          <t>国泰海通</t>
        </is>
      </c>
      <c r="H1915" s="173" t="inlineStr">
        <is>
          <t>兴业证券</t>
        </is>
      </c>
      <c r="I1915" s="173" t="inlineStr">
        <is>
          <t>青岛银行</t>
        </is>
      </c>
      <c r="J1915" s="172" t="n">
        <v>6.5</v>
      </c>
      <c r="K1915" s="173" t="inlineStr">
        <is>
          <t>0+49</t>
        </is>
      </c>
      <c r="L1915" s="202" t="n">
        <v>46198</v>
      </c>
      <c r="M1915" s="175" t="n">
        <v>0.0148</v>
      </c>
      <c r="N1915" s="176" t="n">
        <v>0.02775</v>
      </c>
      <c r="O1915" s="172" t="n">
        <v>1.95</v>
      </c>
      <c r="P1915" s="172" t="inlineStr">
        <is>
          <t>优先A1</t>
        </is>
      </c>
      <c r="Q1915" s="178" t="n">
        <v>0.3615</v>
      </c>
      <c r="R1915" s="179" t="n">
        <v>2.35</v>
      </c>
      <c r="S1915" s="177" t="inlineStr">
        <is>
          <t>AAA</t>
        </is>
      </c>
      <c r="T1915" s="178" t="n">
        <v>0.017</v>
      </c>
      <c r="U1915" s="177" t="inlineStr">
        <is>
          <t>青岛银行</t>
        </is>
      </c>
      <c r="V1915" s="192" t="n">
        <v>0.6</v>
      </c>
      <c r="W1915" s="175" t="n">
        <v>0.017</v>
      </c>
      <c r="X1915" s="172" t="inlineStr">
        <is>
          <t>青岛银行</t>
        </is>
      </c>
      <c r="Y1915" s="191" t="n">
        <v>0.7</v>
      </c>
    </row>
    <row r="1916">
      <c r="A1916" s="172" t="n">
        <v>104</v>
      </c>
      <c r="B1916" s="173" t="inlineStr">
        <is>
          <t>6月</t>
        </is>
      </c>
      <c r="C1916" s="173" t="inlineStr">
        <is>
          <t>消金</t>
        </is>
      </c>
      <c r="D1916" s="173" t="inlineStr">
        <is>
          <t>汽车融资租赁</t>
        </is>
      </c>
      <c r="E1916" s="173" t="inlineStr">
        <is>
          <t>尚乘1-2</t>
        </is>
      </c>
      <c r="F1916" s="173" t="inlineStr">
        <is>
          <t>上交所</t>
        </is>
      </c>
      <c r="G1916" s="173" t="inlineStr">
        <is>
          <t>国泰海通</t>
        </is>
      </c>
      <c r="H1916" s="173" t="inlineStr">
        <is>
          <t>兴业证券</t>
        </is>
      </c>
      <c r="I1916" s="173" t="inlineStr">
        <is>
          <t>青岛银行</t>
        </is>
      </c>
      <c r="J1916" s="172" t="n">
        <v>6.5</v>
      </c>
      <c r="K1916" s="173" t="inlineStr">
        <is>
          <t>0+49</t>
        </is>
      </c>
      <c r="L1916" s="202" t="n">
        <v>46198</v>
      </c>
      <c r="M1916" s="175" t="n">
        <v>0.0148</v>
      </c>
      <c r="N1916" s="176" t="n">
        <v>0.02775</v>
      </c>
      <c r="O1916" s="172" t="n">
        <v>1.95</v>
      </c>
      <c r="P1916" s="172" t="inlineStr">
        <is>
          <t>优先A1</t>
        </is>
      </c>
      <c r="Q1916" s="178" t="n">
        <v>0.3615</v>
      </c>
      <c r="R1916" s="179" t="n">
        <v>2.35</v>
      </c>
      <c r="S1916" s="177" t="inlineStr">
        <is>
          <t>AAA</t>
        </is>
      </c>
      <c r="T1916" s="178" t="n">
        <v>0.017</v>
      </c>
      <c r="U1916" s="177" t="inlineStr">
        <is>
          <t>中信投顾</t>
        </is>
      </c>
      <c r="V1916" s="192" t="n">
        <v>0.23</v>
      </c>
      <c r="W1916" s="175" t="n">
        <v>0.017</v>
      </c>
      <c r="X1916" s="172" t="inlineStr">
        <is>
          <t>中信投顾</t>
        </is>
      </c>
      <c r="Y1916" s="191" t="n">
        <v>0.23</v>
      </c>
    </row>
    <row r="1917">
      <c r="A1917" s="172" t="n">
        <v>104</v>
      </c>
      <c r="B1917" s="173" t="inlineStr">
        <is>
          <t>6月</t>
        </is>
      </c>
      <c r="C1917" s="173" t="inlineStr">
        <is>
          <t>消金</t>
        </is>
      </c>
      <c r="D1917" s="173" t="inlineStr">
        <is>
          <t>汽车融资租赁</t>
        </is>
      </c>
      <c r="E1917" s="173" t="inlineStr">
        <is>
          <t>尚乘1-2</t>
        </is>
      </c>
      <c r="F1917" s="173" t="inlineStr">
        <is>
          <t>上交所</t>
        </is>
      </c>
      <c r="G1917" s="173" t="inlineStr">
        <is>
          <t>国泰海通</t>
        </is>
      </c>
      <c r="H1917" s="173" t="inlineStr">
        <is>
          <t>兴业证券</t>
        </is>
      </c>
      <c r="I1917" s="173" t="inlineStr">
        <is>
          <t>青岛银行</t>
        </is>
      </c>
      <c r="J1917" s="172" t="n">
        <v>6.5</v>
      </c>
      <c r="K1917" s="173" t="inlineStr">
        <is>
          <t>0+49</t>
        </is>
      </c>
      <c r="L1917" s="202" t="n">
        <v>46198</v>
      </c>
      <c r="M1917" s="175" t="n">
        <v>0.0148</v>
      </c>
      <c r="N1917" s="176" t="n">
        <v>0.02775</v>
      </c>
      <c r="O1917" s="172" t="n">
        <v>1.95</v>
      </c>
      <c r="P1917" s="172" t="inlineStr">
        <is>
          <t>优先A1</t>
        </is>
      </c>
      <c r="Q1917" s="178" t="n">
        <v>0.3615</v>
      </c>
      <c r="R1917" s="179" t="n">
        <v>2.35</v>
      </c>
      <c r="S1917" s="177" t="inlineStr">
        <is>
          <t>AAA</t>
        </is>
      </c>
      <c r="T1917" s="178" t="n">
        <v>0.017</v>
      </c>
      <c r="U1917" s="177" t="inlineStr">
        <is>
          <t>华夏理财</t>
        </is>
      </c>
      <c r="V1917" s="192" t="n">
        <v>0.6</v>
      </c>
      <c r="W1917" s="175" t="n">
        <v>0.017</v>
      </c>
      <c r="X1917" s="172" t="inlineStr">
        <is>
          <t>华夏理财</t>
        </is>
      </c>
      <c r="Y1917" s="191" t="n">
        <v>0.7</v>
      </c>
    </row>
    <row r="1918">
      <c r="A1918" s="172" t="n">
        <v>104</v>
      </c>
      <c r="B1918" s="173" t="inlineStr">
        <is>
          <t>6月</t>
        </is>
      </c>
      <c r="C1918" s="173" t="inlineStr">
        <is>
          <t>消金</t>
        </is>
      </c>
      <c r="D1918" s="173" t="inlineStr">
        <is>
          <t>汽车融资租赁</t>
        </is>
      </c>
      <c r="E1918" s="173" t="inlineStr">
        <is>
          <t>尚乘1-2</t>
        </is>
      </c>
      <c r="F1918" s="173" t="inlineStr">
        <is>
          <t>上交所</t>
        </is>
      </c>
      <c r="G1918" s="173" t="inlineStr">
        <is>
          <t>国泰海通</t>
        </is>
      </c>
      <c r="H1918" s="173" t="inlineStr">
        <is>
          <t>兴业证券</t>
        </is>
      </c>
      <c r="I1918" s="173" t="inlineStr">
        <is>
          <t>青岛银行</t>
        </is>
      </c>
      <c r="J1918" s="172" t="n">
        <v>6.5</v>
      </c>
      <c r="K1918" s="173" t="inlineStr">
        <is>
          <t>0+49</t>
        </is>
      </c>
      <c r="L1918" s="202" t="n">
        <v>46198</v>
      </c>
      <c r="M1918" s="175" t="n">
        <v>0.0148</v>
      </c>
      <c r="N1918" s="176" t="n">
        <v>0.02775</v>
      </c>
      <c r="O1918" s="172" t="n">
        <v>1.95</v>
      </c>
      <c r="P1918" s="172" t="inlineStr">
        <is>
          <t>优先A1</t>
        </is>
      </c>
      <c r="Q1918" s="178" t="n">
        <v>0.3615</v>
      </c>
      <c r="R1918" s="179" t="n">
        <v>2.35</v>
      </c>
      <c r="S1918" s="177" t="inlineStr">
        <is>
          <t>AAA</t>
        </is>
      </c>
      <c r="T1918" s="178" t="n">
        <v>0.017</v>
      </c>
      <c r="U1918" s="177" t="inlineStr">
        <is>
          <t>中邮理财</t>
        </is>
      </c>
      <c r="V1918" s="192" t="n">
        <v>0.6</v>
      </c>
      <c r="W1918" s="175" t="n">
        <v>0.017</v>
      </c>
      <c r="X1918" s="172" t="inlineStr">
        <is>
          <t>中邮理财</t>
        </is>
      </c>
      <c r="Y1918" s="191" t="n">
        <v>0.705</v>
      </c>
    </row>
    <row r="1919">
      <c r="A1919" s="172" t="n">
        <v>104</v>
      </c>
      <c r="B1919" s="172" t="inlineStr">
        <is>
          <t>6月</t>
        </is>
      </c>
      <c r="C1919" s="172" t="inlineStr">
        <is>
          <t>消金</t>
        </is>
      </c>
      <c r="D1919" s="172" t="inlineStr">
        <is>
          <t>汽车融资租赁</t>
        </is>
      </c>
      <c r="E1919" s="172" t="inlineStr">
        <is>
          <t>尚乘1-2</t>
        </is>
      </c>
      <c r="F1919" s="172" t="inlineStr">
        <is>
          <t>上交所</t>
        </is>
      </c>
      <c r="G1919" s="172" t="inlineStr">
        <is>
          <t>国泰海通</t>
        </is>
      </c>
      <c r="H1919" s="172" t="inlineStr">
        <is>
          <t>兴业证券</t>
        </is>
      </c>
      <c r="I1919" s="172" t="inlineStr">
        <is>
          <t>青岛银行</t>
        </is>
      </c>
      <c r="J1919" s="172" t="n">
        <v>6.5</v>
      </c>
      <c r="K1919" s="172" t="inlineStr">
        <is>
          <t>0+49</t>
        </is>
      </c>
      <c r="L1919" s="208" t="n">
        <v>46198</v>
      </c>
      <c r="M1919" s="175" t="n">
        <v>0.0148</v>
      </c>
      <c r="N1919" s="176" t="n">
        <v>0.02775</v>
      </c>
      <c r="O1919" s="172" t="n">
        <v>1.95</v>
      </c>
      <c r="P1919" s="172" t="inlineStr">
        <is>
          <t>优先A1</t>
        </is>
      </c>
      <c r="Q1919" s="175" t="n">
        <v>0.3615</v>
      </c>
      <c r="R1919" s="192" t="n">
        <v>2.35</v>
      </c>
      <c r="S1919" s="172" t="inlineStr">
        <is>
          <t>AAA</t>
        </is>
      </c>
      <c r="T1919" s="175" t="n">
        <v>0.017</v>
      </c>
      <c r="U1919" s="172" t="n"/>
      <c r="V1919" s="172" t="n"/>
      <c r="W1919" s="175" t="n">
        <v>0.0179</v>
      </c>
      <c r="X1919" s="172" t="inlineStr">
        <is>
          <t>汇华理财</t>
        </is>
      </c>
      <c r="Y1919" s="191" t="n">
        <v>0.3</v>
      </c>
    </row>
    <row r="1920">
      <c r="A1920" s="172" t="n">
        <v>104</v>
      </c>
      <c r="B1920" s="172" t="inlineStr">
        <is>
          <t>6月</t>
        </is>
      </c>
      <c r="C1920" s="172" t="inlineStr">
        <is>
          <t>消金</t>
        </is>
      </c>
      <c r="D1920" s="172" t="inlineStr">
        <is>
          <t>汽车融资租赁</t>
        </is>
      </c>
      <c r="E1920" s="172" t="inlineStr">
        <is>
          <t>尚乘1-2</t>
        </is>
      </c>
      <c r="F1920" s="172" t="inlineStr">
        <is>
          <t>上交所</t>
        </is>
      </c>
      <c r="G1920" s="172" t="inlineStr">
        <is>
          <t>国泰海通</t>
        </is>
      </c>
      <c r="H1920" s="172" t="inlineStr">
        <is>
          <t>兴业证券</t>
        </is>
      </c>
      <c r="I1920" s="172" t="inlineStr">
        <is>
          <t>青岛银行</t>
        </is>
      </c>
      <c r="J1920" s="172" t="n">
        <v>6.5</v>
      </c>
      <c r="K1920" s="172" t="inlineStr">
        <is>
          <t>0+49</t>
        </is>
      </c>
      <c r="L1920" s="208" t="n">
        <v>46198</v>
      </c>
      <c r="M1920" s="175" t="n">
        <v>0.0148</v>
      </c>
      <c r="N1920" s="176" t="n">
        <v>0.02775</v>
      </c>
      <c r="O1920" s="172" t="n">
        <v>1.95</v>
      </c>
      <c r="P1920" s="172" t="inlineStr">
        <is>
          <t>优先A1</t>
        </is>
      </c>
      <c r="Q1920" s="175" t="n">
        <v>0.3615</v>
      </c>
      <c r="R1920" s="192" t="n">
        <v>2.35</v>
      </c>
      <c r="S1920" s="172" t="inlineStr">
        <is>
          <t>AAA</t>
        </is>
      </c>
      <c r="T1920" s="175" t="n">
        <v>0.017</v>
      </c>
      <c r="U1920" s="172" t="n"/>
      <c r="V1920" s="172" t="n"/>
      <c r="W1920" s="175" t="n">
        <v>0.0179</v>
      </c>
      <c r="X1920" s="172" t="inlineStr">
        <is>
          <t>申万投顾</t>
        </is>
      </c>
      <c r="Y1920" s="191" t="n">
        <v>0.2</v>
      </c>
    </row>
    <row r="1921">
      <c r="A1921" s="172" t="n">
        <v>104</v>
      </c>
      <c r="B1921" s="172" t="inlineStr">
        <is>
          <t>6月</t>
        </is>
      </c>
      <c r="C1921" s="172" t="inlineStr">
        <is>
          <t>消金</t>
        </is>
      </c>
      <c r="D1921" s="172" t="inlineStr">
        <is>
          <t>汽车融资租赁</t>
        </is>
      </c>
      <c r="E1921" s="172" t="inlineStr">
        <is>
          <t>尚乘1-2</t>
        </is>
      </c>
      <c r="F1921" s="172" t="inlineStr">
        <is>
          <t>上交所</t>
        </is>
      </c>
      <c r="G1921" s="172" t="inlineStr">
        <is>
          <t>国泰海通</t>
        </is>
      </c>
      <c r="H1921" s="172" t="inlineStr">
        <is>
          <t>兴业证券</t>
        </is>
      </c>
      <c r="I1921" s="172" t="inlineStr">
        <is>
          <t>青岛银行</t>
        </is>
      </c>
      <c r="J1921" s="172" t="n">
        <v>6.5</v>
      </c>
      <c r="K1921" s="172" t="inlineStr">
        <is>
          <t>0+49</t>
        </is>
      </c>
      <c r="L1921" s="208" t="n">
        <v>46198</v>
      </c>
      <c r="M1921" s="175" t="n">
        <v>0.0148</v>
      </c>
      <c r="N1921" s="176" t="n">
        <v>0.02775</v>
      </c>
      <c r="O1921" s="172" t="n">
        <v>1.95</v>
      </c>
      <c r="P1921" s="172" t="inlineStr">
        <is>
          <t>优先A1</t>
        </is>
      </c>
      <c r="Q1921" s="175" t="n">
        <v>0.3615</v>
      </c>
      <c r="R1921" s="192" t="n">
        <v>2.35</v>
      </c>
      <c r="S1921" s="172" t="inlineStr">
        <is>
          <t>AAA</t>
        </is>
      </c>
      <c r="T1921" s="175" t="n">
        <v>0.017</v>
      </c>
      <c r="U1921" s="172" t="n"/>
      <c r="V1921" s="172" t="n"/>
      <c r="W1921" s="175" t="n">
        <v>0.027</v>
      </c>
      <c r="X1921" s="172" t="inlineStr">
        <is>
          <t>财通资管</t>
        </is>
      </c>
      <c r="Y1921" s="191" t="n">
        <v>0.7</v>
      </c>
    </row>
    <row r="1922">
      <c r="A1922" s="172" t="n">
        <v>104</v>
      </c>
      <c r="B1922" s="173" t="inlineStr">
        <is>
          <t>6月</t>
        </is>
      </c>
      <c r="C1922" s="173" t="inlineStr">
        <is>
          <t>消金</t>
        </is>
      </c>
      <c r="D1922" s="173" t="inlineStr">
        <is>
          <t>汽车融资租赁</t>
        </is>
      </c>
      <c r="E1922" s="173" t="inlineStr">
        <is>
          <t>尚乘1-2</t>
        </is>
      </c>
      <c r="F1922" s="173" t="inlineStr">
        <is>
          <t>上交所</t>
        </is>
      </c>
      <c r="G1922" s="173" t="inlineStr">
        <is>
          <t>国泰海通</t>
        </is>
      </c>
      <c r="H1922" s="173" t="inlineStr">
        <is>
          <t>兴业证券</t>
        </is>
      </c>
      <c r="I1922" s="173" t="inlineStr">
        <is>
          <t>青岛银行</t>
        </is>
      </c>
      <c r="J1922" s="172" t="n">
        <v>6.5</v>
      </c>
      <c r="K1922" s="173" t="inlineStr">
        <is>
          <t>0+49</t>
        </is>
      </c>
      <c r="L1922" s="202" t="n">
        <v>46198</v>
      </c>
      <c r="M1922" s="175" t="n">
        <v>0.0148</v>
      </c>
      <c r="N1922" s="176" t="n">
        <v>0.02775</v>
      </c>
      <c r="O1922" s="172" t="n">
        <v>1.95</v>
      </c>
      <c r="P1922" s="177" t="inlineStr">
        <is>
          <t>优先A2</t>
        </is>
      </c>
      <c r="Q1922" s="178" t="n">
        <v>0.3923</v>
      </c>
      <c r="R1922" s="179" t="n">
        <v>2.55</v>
      </c>
      <c r="S1922" s="177" t="inlineStr">
        <is>
          <t>AAA</t>
        </is>
      </c>
      <c r="T1922" s="178" t="n">
        <v>0.019</v>
      </c>
      <c r="U1922" s="177" t="inlineStr">
        <is>
          <t>重庆富民银行</t>
        </is>
      </c>
      <c r="V1922" s="192" t="n">
        <v>0.23</v>
      </c>
      <c r="W1922" s="175" t="n">
        <v>0.019</v>
      </c>
      <c r="X1922" s="172" t="inlineStr">
        <is>
          <t>富民银行</t>
        </is>
      </c>
      <c r="Y1922" s="191" t="n">
        <v>0.24</v>
      </c>
    </row>
    <row r="1923">
      <c r="A1923" s="172" t="n">
        <v>104</v>
      </c>
      <c r="B1923" s="173" t="inlineStr">
        <is>
          <t>6月</t>
        </is>
      </c>
      <c r="C1923" s="173" t="inlineStr">
        <is>
          <t>消金</t>
        </is>
      </c>
      <c r="D1923" s="173" t="inlineStr">
        <is>
          <t>汽车融资租赁</t>
        </is>
      </c>
      <c r="E1923" s="173" t="inlineStr">
        <is>
          <t>尚乘1-2</t>
        </is>
      </c>
      <c r="F1923" s="173" t="inlineStr">
        <is>
          <t>上交所</t>
        </is>
      </c>
      <c r="G1923" s="173" t="inlineStr">
        <is>
          <t>国泰海通</t>
        </is>
      </c>
      <c r="H1923" s="173" t="inlineStr">
        <is>
          <t>兴业证券</t>
        </is>
      </c>
      <c r="I1923" s="173" t="inlineStr">
        <is>
          <t>青岛银行</t>
        </is>
      </c>
      <c r="J1923" s="172" t="n">
        <v>6.5</v>
      </c>
      <c r="K1923" s="173" t="inlineStr">
        <is>
          <t>0+49</t>
        </is>
      </c>
      <c r="L1923" s="202" t="n">
        <v>46198</v>
      </c>
      <c r="M1923" s="175" t="n">
        <v>0.0148</v>
      </c>
      <c r="N1923" s="176" t="n">
        <v>0.02775</v>
      </c>
      <c r="O1923" s="172" t="n">
        <v>1.95</v>
      </c>
      <c r="P1923" s="172" t="inlineStr">
        <is>
          <t>优先A2</t>
        </is>
      </c>
      <c r="Q1923" s="178" t="n">
        <v>0.3923</v>
      </c>
      <c r="R1923" s="179" t="n">
        <v>2.55</v>
      </c>
      <c r="S1923" s="177" t="inlineStr">
        <is>
          <t>AAA</t>
        </is>
      </c>
      <c r="T1923" s="178" t="n">
        <v>0.019</v>
      </c>
      <c r="U1923" s="177" t="inlineStr">
        <is>
          <t>石嘴山银行</t>
        </is>
      </c>
      <c r="V1923" s="192" t="n">
        <v>0.47</v>
      </c>
      <c r="W1923" s="175" t="n">
        <v>0.019</v>
      </c>
      <c r="X1923" s="172" t="inlineStr">
        <is>
          <t>石嘴山银行</t>
        </is>
      </c>
      <c r="Y1923" s="191" t="n">
        <v>0.5</v>
      </c>
    </row>
    <row r="1924">
      <c r="A1924" s="172" t="n">
        <v>104</v>
      </c>
      <c r="B1924" s="173" t="inlineStr">
        <is>
          <t>6月</t>
        </is>
      </c>
      <c r="C1924" s="173" t="inlineStr">
        <is>
          <t>消金</t>
        </is>
      </c>
      <c r="D1924" s="173" t="inlineStr">
        <is>
          <t>汽车融资租赁</t>
        </is>
      </c>
      <c r="E1924" s="173" t="inlineStr">
        <is>
          <t>尚乘1-2</t>
        </is>
      </c>
      <c r="F1924" s="173" t="inlineStr">
        <is>
          <t>上交所</t>
        </is>
      </c>
      <c r="G1924" s="173" t="inlineStr">
        <is>
          <t>国泰海通</t>
        </is>
      </c>
      <c r="H1924" s="173" t="inlineStr">
        <is>
          <t>兴业证券</t>
        </is>
      </c>
      <c r="I1924" s="173" t="inlineStr">
        <is>
          <t>青岛银行</t>
        </is>
      </c>
      <c r="J1924" s="172" t="n">
        <v>6.5</v>
      </c>
      <c r="K1924" s="173" t="inlineStr">
        <is>
          <t>0+49</t>
        </is>
      </c>
      <c r="L1924" s="202" t="n">
        <v>46198</v>
      </c>
      <c r="M1924" s="175" t="n">
        <v>0.0148</v>
      </c>
      <c r="N1924" s="176" t="n">
        <v>0.02775</v>
      </c>
      <c r="O1924" s="172" t="n">
        <v>1.95</v>
      </c>
      <c r="P1924" s="172" t="inlineStr">
        <is>
          <t>优先A2</t>
        </is>
      </c>
      <c r="Q1924" s="178" t="n">
        <v>0.3923</v>
      </c>
      <c r="R1924" s="179" t="n">
        <v>2.55</v>
      </c>
      <c r="S1924" s="177" t="inlineStr">
        <is>
          <t>AAA</t>
        </is>
      </c>
      <c r="T1924" s="178" t="n">
        <v>0.019</v>
      </c>
      <c r="U1924" s="177" t="inlineStr">
        <is>
          <t>京东租赁</t>
        </is>
      </c>
      <c r="V1924" s="192" t="n">
        <v>0.13</v>
      </c>
      <c r="W1924" s="172" t="n"/>
      <c r="X1924" s="172" t="n"/>
      <c r="Y1924" s="172" t="n"/>
    </row>
    <row r="1925">
      <c r="A1925" s="172" t="n">
        <v>104</v>
      </c>
      <c r="B1925" s="173" t="inlineStr">
        <is>
          <t>6月</t>
        </is>
      </c>
      <c r="C1925" s="173" t="inlineStr">
        <is>
          <t>消金</t>
        </is>
      </c>
      <c r="D1925" s="173" t="inlineStr">
        <is>
          <t>汽车融资租赁</t>
        </is>
      </c>
      <c r="E1925" s="173" t="inlineStr">
        <is>
          <t>尚乘1-2</t>
        </is>
      </c>
      <c r="F1925" s="173" t="inlineStr">
        <is>
          <t>上交所</t>
        </is>
      </c>
      <c r="G1925" s="173" t="inlineStr">
        <is>
          <t>国泰海通</t>
        </is>
      </c>
      <c r="H1925" s="173" t="inlineStr">
        <is>
          <t>兴业证券</t>
        </is>
      </c>
      <c r="I1925" s="173" t="inlineStr">
        <is>
          <t>青岛银行</t>
        </is>
      </c>
      <c r="J1925" s="172" t="n">
        <v>6.5</v>
      </c>
      <c r="K1925" s="173" t="inlineStr">
        <is>
          <t>0+49</t>
        </is>
      </c>
      <c r="L1925" s="202" t="n">
        <v>46198</v>
      </c>
      <c r="M1925" s="175" t="n">
        <v>0.0148</v>
      </c>
      <c r="N1925" s="176" t="n">
        <v>0.02775</v>
      </c>
      <c r="O1925" s="172" t="n">
        <v>1.95</v>
      </c>
      <c r="P1925" s="172" t="inlineStr">
        <is>
          <t>优先A2</t>
        </is>
      </c>
      <c r="Q1925" s="178" t="n">
        <v>0.3923</v>
      </c>
      <c r="R1925" s="179" t="n">
        <v>2.55</v>
      </c>
      <c r="S1925" s="177" t="inlineStr">
        <is>
          <t>AAA</t>
        </is>
      </c>
      <c r="T1925" s="178" t="n">
        <v>0.019</v>
      </c>
      <c r="U1925" s="177" t="inlineStr">
        <is>
          <t>紫金信托</t>
        </is>
      </c>
      <c r="V1925" s="192" t="n">
        <v>0.28</v>
      </c>
      <c r="W1925" s="175" t="n">
        <v>0.019</v>
      </c>
      <c r="X1925" s="172" t="inlineStr">
        <is>
          <t>紫金信托</t>
        </is>
      </c>
      <c r="Y1925" s="191" t="n">
        <v>0.3</v>
      </c>
    </row>
    <row r="1926">
      <c r="A1926" s="172" t="n">
        <v>104</v>
      </c>
      <c r="B1926" s="173" t="inlineStr">
        <is>
          <t>6月</t>
        </is>
      </c>
      <c r="C1926" s="173" t="inlineStr">
        <is>
          <t>消金</t>
        </is>
      </c>
      <c r="D1926" s="173" t="inlineStr">
        <is>
          <t>汽车融资租赁</t>
        </is>
      </c>
      <c r="E1926" s="173" t="inlineStr">
        <is>
          <t>尚乘1-2</t>
        </is>
      </c>
      <c r="F1926" s="173" t="inlineStr">
        <is>
          <t>上交所</t>
        </is>
      </c>
      <c r="G1926" s="173" t="inlineStr">
        <is>
          <t>国泰海通</t>
        </is>
      </c>
      <c r="H1926" s="173" t="inlineStr">
        <is>
          <t>兴业证券</t>
        </is>
      </c>
      <c r="I1926" s="173" t="inlineStr">
        <is>
          <t>青岛银行</t>
        </is>
      </c>
      <c r="J1926" s="172" t="n">
        <v>6.5</v>
      </c>
      <c r="K1926" s="173" t="inlineStr">
        <is>
          <t>0+49</t>
        </is>
      </c>
      <c r="L1926" s="202" t="n">
        <v>46198</v>
      </c>
      <c r="M1926" s="175" t="n">
        <v>0.0148</v>
      </c>
      <c r="N1926" s="176" t="n">
        <v>0.02775</v>
      </c>
      <c r="O1926" s="172" t="n">
        <v>1.95</v>
      </c>
      <c r="P1926" s="172" t="inlineStr">
        <is>
          <t>优先A2</t>
        </is>
      </c>
      <c r="Q1926" s="178" t="n">
        <v>0.3923</v>
      </c>
      <c r="R1926" s="179" t="n">
        <v>2.55</v>
      </c>
      <c r="S1926" s="177" t="inlineStr">
        <is>
          <t>AAA</t>
        </is>
      </c>
      <c r="T1926" s="178" t="n">
        <v>0.019</v>
      </c>
      <c r="U1926" s="177" t="inlineStr">
        <is>
          <t>中金财富</t>
        </is>
      </c>
      <c r="V1926" s="192" t="n">
        <v>0.35</v>
      </c>
      <c r="W1926" s="175" t="n">
        <v>0.019</v>
      </c>
      <c r="X1926" s="172" t="inlineStr">
        <is>
          <t>中金财富</t>
        </is>
      </c>
      <c r="Y1926" s="191" t="n">
        <v>0.35</v>
      </c>
    </row>
    <row r="1927">
      <c r="A1927" s="172" t="n">
        <v>104</v>
      </c>
      <c r="B1927" s="173" t="inlineStr">
        <is>
          <t>6月</t>
        </is>
      </c>
      <c r="C1927" s="173" t="inlineStr">
        <is>
          <t>消金</t>
        </is>
      </c>
      <c r="D1927" s="173" t="inlineStr">
        <is>
          <t>汽车融资租赁</t>
        </is>
      </c>
      <c r="E1927" s="173" t="inlineStr">
        <is>
          <t>尚乘1-2</t>
        </is>
      </c>
      <c r="F1927" s="173" t="inlineStr">
        <is>
          <t>上交所</t>
        </is>
      </c>
      <c r="G1927" s="173" t="inlineStr">
        <is>
          <t>国泰海通</t>
        </is>
      </c>
      <c r="H1927" s="173" t="inlineStr">
        <is>
          <t>兴业证券</t>
        </is>
      </c>
      <c r="I1927" s="173" t="inlineStr">
        <is>
          <t>青岛银行</t>
        </is>
      </c>
      <c r="J1927" s="172" t="n">
        <v>6.5</v>
      </c>
      <c r="K1927" s="173" t="inlineStr">
        <is>
          <t>0+49</t>
        </is>
      </c>
      <c r="L1927" s="202" t="n">
        <v>46198</v>
      </c>
      <c r="M1927" s="175" t="n">
        <v>0.0148</v>
      </c>
      <c r="N1927" s="176" t="n">
        <v>0.02775</v>
      </c>
      <c r="O1927" s="172" t="n">
        <v>1.95</v>
      </c>
      <c r="P1927" s="172" t="inlineStr">
        <is>
          <t>优先A2</t>
        </is>
      </c>
      <c r="Q1927" s="178" t="n">
        <v>0.3923</v>
      </c>
      <c r="R1927" s="179" t="n">
        <v>2.55</v>
      </c>
      <c r="S1927" s="177" t="inlineStr">
        <is>
          <t>AAA</t>
        </is>
      </c>
      <c r="T1927" s="178" t="n">
        <v>0.019</v>
      </c>
      <c r="U1927" s="177" t="inlineStr">
        <is>
          <t>青岛银行</t>
        </is>
      </c>
      <c r="V1927" s="192" t="n">
        <v>0.7</v>
      </c>
      <c r="W1927" s="175" t="n">
        <v>0.019</v>
      </c>
      <c r="X1927" s="172" t="inlineStr">
        <is>
          <t>青岛银行</t>
        </is>
      </c>
      <c r="Y1927" s="191" t="n">
        <v>0.76</v>
      </c>
    </row>
    <row r="1928">
      <c r="A1928" s="172" t="n">
        <v>104</v>
      </c>
      <c r="B1928" s="173" t="inlineStr">
        <is>
          <t>6月</t>
        </is>
      </c>
      <c r="C1928" s="173" t="inlineStr">
        <is>
          <t>消金</t>
        </is>
      </c>
      <c r="D1928" s="173" t="inlineStr">
        <is>
          <t>汽车融资租赁</t>
        </is>
      </c>
      <c r="E1928" s="173" t="inlineStr">
        <is>
          <t>尚乘1-2</t>
        </is>
      </c>
      <c r="F1928" s="173" t="inlineStr">
        <is>
          <t>上交所</t>
        </is>
      </c>
      <c r="G1928" s="173" t="inlineStr">
        <is>
          <t>国泰海通</t>
        </is>
      </c>
      <c r="H1928" s="173" t="inlineStr">
        <is>
          <t>兴业证券</t>
        </is>
      </c>
      <c r="I1928" s="173" t="inlineStr">
        <is>
          <t>青岛银行</t>
        </is>
      </c>
      <c r="J1928" s="172" t="n">
        <v>6.5</v>
      </c>
      <c r="K1928" s="173" t="inlineStr">
        <is>
          <t>0+49</t>
        </is>
      </c>
      <c r="L1928" s="202" t="n">
        <v>46198</v>
      </c>
      <c r="M1928" s="175" t="n">
        <v>0.0148</v>
      </c>
      <c r="N1928" s="176" t="n">
        <v>0.02775</v>
      </c>
      <c r="O1928" s="172" t="n">
        <v>1.95</v>
      </c>
      <c r="P1928" s="172" t="inlineStr">
        <is>
          <t>优先A2</t>
        </is>
      </c>
      <c r="Q1928" s="178" t="n">
        <v>0.3923</v>
      </c>
      <c r="R1928" s="179" t="n">
        <v>2.55</v>
      </c>
      <c r="S1928" s="177" t="inlineStr">
        <is>
          <t>AAA</t>
        </is>
      </c>
      <c r="T1928" s="178" t="n">
        <v>0.019</v>
      </c>
      <c r="U1928" s="177" t="inlineStr">
        <is>
          <t>中信证券投顾</t>
        </is>
      </c>
      <c r="V1928" s="192" t="n">
        <v>0.25</v>
      </c>
      <c r="W1928" s="172" t="n"/>
      <c r="X1928" s="172" t="n"/>
      <c r="Y1928" s="172" t="n"/>
    </row>
    <row r="1929">
      <c r="A1929" s="172" t="n">
        <v>104</v>
      </c>
      <c r="B1929" s="173" t="inlineStr">
        <is>
          <t>6月</t>
        </is>
      </c>
      <c r="C1929" s="173" t="inlineStr">
        <is>
          <t>消金</t>
        </is>
      </c>
      <c r="D1929" s="173" t="inlineStr">
        <is>
          <t>汽车融资租赁</t>
        </is>
      </c>
      <c r="E1929" s="173" t="inlineStr">
        <is>
          <t>尚乘1-2</t>
        </is>
      </c>
      <c r="F1929" s="173" t="inlineStr">
        <is>
          <t>上交所</t>
        </is>
      </c>
      <c r="G1929" s="173" t="inlineStr">
        <is>
          <t>国泰海通</t>
        </is>
      </c>
      <c r="H1929" s="173" t="inlineStr">
        <is>
          <t>兴业证券</t>
        </is>
      </c>
      <c r="I1929" s="173" t="inlineStr">
        <is>
          <t>青岛银行</t>
        </is>
      </c>
      <c r="J1929" s="172" t="n">
        <v>6.5</v>
      </c>
      <c r="K1929" s="173" t="inlineStr">
        <is>
          <t>0+49</t>
        </is>
      </c>
      <c r="L1929" s="202" t="n">
        <v>46198</v>
      </c>
      <c r="M1929" s="175" t="n">
        <v>0.0148</v>
      </c>
      <c r="N1929" s="176" t="n">
        <v>0.02775</v>
      </c>
      <c r="O1929" s="172" t="n">
        <v>1.95</v>
      </c>
      <c r="P1929" s="172" t="inlineStr">
        <is>
          <t>优先A2</t>
        </is>
      </c>
      <c r="Q1929" s="178" t="n">
        <v>0.3923</v>
      </c>
      <c r="R1929" s="179" t="n">
        <v>2.55</v>
      </c>
      <c r="S1929" s="177" t="inlineStr">
        <is>
          <t>AAA</t>
        </is>
      </c>
      <c r="T1929" s="178" t="n">
        <v>0.019</v>
      </c>
      <c r="U1929" s="177" t="inlineStr">
        <is>
          <t>广发证券资管</t>
        </is>
      </c>
      <c r="V1929" s="192" t="n">
        <v>0.14</v>
      </c>
      <c r="W1929" s="172" t="n"/>
      <c r="X1929" s="172" t="n"/>
      <c r="Y1929" s="172" t="n"/>
    </row>
    <row r="1930">
      <c r="A1930" s="172" t="n">
        <v>104</v>
      </c>
      <c r="B1930" s="172" t="inlineStr">
        <is>
          <t>6月</t>
        </is>
      </c>
      <c r="C1930" s="172" t="inlineStr">
        <is>
          <t>消金</t>
        </is>
      </c>
      <c r="D1930" s="172" t="inlineStr">
        <is>
          <t>汽车融资租赁</t>
        </is>
      </c>
      <c r="E1930" s="172" t="inlineStr">
        <is>
          <t>尚乘1-2</t>
        </is>
      </c>
      <c r="F1930" s="172" t="inlineStr">
        <is>
          <t>上交所</t>
        </is>
      </c>
      <c r="G1930" s="172" t="inlineStr">
        <is>
          <t>国泰海通</t>
        </is>
      </c>
      <c r="H1930" s="172" t="inlineStr">
        <is>
          <t>兴业证券</t>
        </is>
      </c>
      <c r="I1930" s="172" t="inlineStr">
        <is>
          <t>青岛银行</t>
        </is>
      </c>
      <c r="J1930" s="172" t="n">
        <v>6.5</v>
      </c>
      <c r="K1930" s="172" t="inlineStr">
        <is>
          <t>0+49</t>
        </is>
      </c>
      <c r="L1930" s="208" t="n">
        <v>46198</v>
      </c>
      <c r="M1930" s="175" t="n">
        <v>0.0148</v>
      </c>
      <c r="N1930" s="176" t="n">
        <v>0.02775</v>
      </c>
      <c r="O1930" s="172" t="n">
        <v>1.95</v>
      </c>
      <c r="P1930" s="172" t="inlineStr">
        <is>
          <t>优先A2</t>
        </is>
      </c>
      <c r="Q1930" s="175" t="n">
        <v>0.3923</v>
      </c>
      <c r="R1930" s="192" t="n">
        <v>2.55</v>
      </c>
      <c r="S1930" s="172" t="inlineStr">
        <is>
          <t>AAA</t>
        </is>
      </c>
      <c r="T1930" s="175" t="n">
        <v>0.019</v>
      </c>
      <c r="U1930" s="172" t="n"/>
      <c r="V1930" s="172" t="n"/>
      <c r="W1930" s="175" t="n">
        <v>0.019</v>
      </c>
      <c r="X1930" s="172" t="inlineStr">
        <is>
          <t>中信投顾</t>
        </is>
      </c>
      <c r="Y1930" s="191" t="n">
        <v>0.26</v>
      </c>
    </row>
    <row r="1931">
      <c r="A1931" s="172" t="n">
        <v>104</v>
      </c>
      <c r="B1931" s="172" t="inlineStr">
        <is>
          <t>6月</t>
        </is>
      </c>
      <c r="C1931" s="172" t="inlineStr">
        <is>
          <t>消金</t>
        </is>
      </c>
      <c r="D1931" s="172" t="inlineStr">
        <is>
          <t>汽车融资租赁</t>
        </is>
      </c>
      <c r="E1931" s="172" t="inlineStr">
        <is>
          <t>尚乘1-2</t>
        </is>
      </c>
      <c r="F1931" s="172" t="inlineStr">
        <is>
          <t>上交所</t>
        </is>
      </c>
      <c r="G1931" s="172" t="inlineStr">
        <is>
          <t>国泰海通</t>
        </is>
      </c>
      <c r="H1931" s="172" t="inlineStr">
        <is>
          <t>兴业证券</t>
        </is>
      </c>
      <c r="I1931" s="172" t="inlineStr">
        <is>
          <t>青岛银行</t>
        </is>
      </c>
      <c r="J1931" s="172" t="n">
        <v>6.5</v>
      </c>
      <c r="K1931" s="172" t="inlineStr">
        <is>
          <t>0+49</t>
        </is>
      </c>
      <c r="L1931" s="208" t="n">
        <v>46198</v>
      </c>
      <c r="M1931" s="175" t="n">
        <v>0.0148</v>
      </c>
      <c r="N1931" s="176" t="n">
        <v>0.02775</v>
      </c>
      <c r="O1931" s="172" t="n">
        <v>1.95</v>
      </c>
      <c r="P1931" s="172" t="inlineStr">
        <is>
          <t>优先A2</t>
        </is>
      </c>
      <c r="Q1931" s="175" t="n">
        <v>0.3923</v>
      </c>
      <c r="R1931" s="192" t="n">
        <v>2.55</v>
      </c>
      <c r="S1931" s="172" t="inlineStr">
        <is>
          <t>AAA</t>
        </is>
      </c>
      <c r="T1931" s="175" t="n">
        <v>0.019</v>
      </c>
      <c r="U1931" s="172" t="n"/>
      <c r="V1931" s="172" t="n"/>
      <c r="W1931" s="175" t="n">
        <v>0.019</v>
      </c>
      <c r="X1931" s="172" t="inlineStr">
        <is>
          <t>广发资管</t>
        </is>
      </c>
      <c r="Y1931" s="191" t="n">
        <v>0.2</v>
      </c>
    </row>
    <row r="1932">
      <c r="A1932" s="172" t="n">
        <v>104</v>
      </c>
      <c r="B1932" s="172" t="inlineStr">
        <is>
          <t>6月</t>
        </is>
      </c>
      <c r="C1932" s="172" t="inlineStr">
        <is>
          <t>消金</t>
        </is>
      </c>
      <c r="D1932" s="172" t="inlineStr">
        <is>
          <t>汽车融资租赁</t>
        </is>
      </c>
      <c r="E1932" s="172" t="inlineStr">
        <is>
          <t>尚乘1-2</t>
        </is>
      </c>
      <c r="F1932" s="172" t="inlineStr">
        <is>
          <t>上交所</t>
        </is>
      </c>
      <c r="G1932" s="172" t="inlineStr">
        <is>
          <t>国泰海通</t>
        </is>
      </c>
      <c r="H1932" s="172" t="inlineStr">
        <is>
          <t>兴业证券</t>
        </is>
      </c>
      <c r="I1932" s="172" t="inlineStr">
        <is>
          <t>青岛银行</t>
        </is>
      </c>
      <c r="J1932" s="172" t="n">
        <v>6.5</v>
      </c>
      <c r="K1932" s="172" t="inlineStr">
        <is>
          <t>0+49</t>
        </is>
      </c>
      <c r="L1932" s="208" t="n">
        <v>46198</v>
      </c>
      <c r="M1932" s="175" t="n">
        <v>0.0148</v>
      </c>
      <c r="N1932" s="176" t="n">
        <v>0.02775</v>
      </c>
      <c r="O1932" s="172" t="n">
        <v>1.95</v>
      </c>
      <c r="P1932" s="172" t="inlineStr">
        <is>
          <t>优先A2</t>
        </is>
      </c>
      <c r="Q1932" s="175" t="n">
        <v>0.3923</v>
      </c>
      <c r="R1932" s="192" t="n">
        <v>2.55</v>
      </c>
      <c r="S1932" s="172" t="inlineStr">
        <is>
          <t>AAA</t>
        </is>
      </c>
      <c r="T1932" s="175" t="n">
        <v>0.019</v>
      </c>
      <c r="U1932" s="172" t="n"/>
      <c r="V1932" s="172" t="n"/>
      <c r="W1932" s="175" t="n">
        <v>0.029</v>
      </c>
      <c r="X1932" s="172" t="inlineStr">
        <is>
          <t>财通资管</t>
        </is>
      </c>
      <c r="Y1932" s="191" t="n">
        <v>0.33</v>
      </c>
    </row>
    <row r="1933">
      <c r="A1933" s="172" t="n">
        <v>104</v>
      </c>
      <c r="B1933" s="173" t="inlineStr">
        <is>
          <t>6月</t>
        </is>
      </c>
      <c r="C1933" s="173" t="inlineStr">
        <is>
          <t>消金</t>
        </is>
      </c>
      <c r="D1933" s="173" t="inlineStr">
        <is>
          <t>汽车融资租赁</t>
        </is>
      </c>
      <c r="E1933" s="173" t="inlineStr">
        <is>
          <t>尚乘1-2</t>
        </is>
      </c>
      <c r="F1933" s="173" t="inlineStr">
        <is>
          <t>上交所</t>
        </is>
      </c>
      <c r="G1933" s="173" t="inlineStr">
        <is>
          <t>国泰海通</t>
        </is>
      </c>
      <c r="H1933" s="173" t="inlineStr">
        <is>
          <t>兴业证券</t>
        </is>
      </c>
      <c r="I1933" s="173" t="inlineStr">
        <is>
          <t>青岛银行</t>
        </is>
      </c>
      <c r="J1933" s="172" t="n">
        <v>6.5</v>
      </c>
      <c r="K1933" s="173" t="inlineStr">
        <is>
          <t>0+49</t>
        </is>
      </c>
      <c r="L1933" s="202" t="n">
        <v>46198</v>
      </c>
      <c r="M1933" s="175" t="n">
        <v>0.0148</v>
      </c>
      <c r="N1933" s="176" t="n">
        <v>0.02775</v>
      </c>
      <c r="O1933" s="172" t="n">
        <v>1.95</v>
      </c>
      <c r="P1933" s="177" t="inlineStr">
        <is>
          <t>优先B</t>
        </is>
      </c>
      <c r="Q1933" s="178" t="inlineStr">
        <is>
          <t>12.31%，</t>
        </is>
      </c>
      <c r="R1933" s="179" t="n">
        <v>0.8</v>
      </c>
      <c r="S1933" s="177" t="inlineStr">
        <is>
          <t>AA+</t>
        </is>
      </c>
      <c r="T1933" s="178" t="n">
        <v>0.031</v>
      </c>
      <c r="U1933" s="177" t="inlineStr">
        <is>
          <t>重庆富民银行</t>
        </is>
      </c>
      <c r="V1933" s="192" t="n">
        <v>0.16</v>
      </c>
      <c r="W1933" s="172" t="n"/>
      <c r="X1933" s="172" t="n"/>
      <c r="Y1933" s="172" t="n"/>
    </row>
    <row r="1934">
      <c r="A1934" s="172" t="n">
        <v>104</v>
      </c>
      <c r="B1934" s="173" t="inlineStr">
        <is>
          <t>6月</t>
        </is>
      </c>
      <c r="C1934" s="173" t="inlineStr">
        <is>
          <t>消金</t>
        </is>
      </c>
      <c r="D1934" s="173" t="inlineStr">
        <is>
          <t>汽车融资租赁</t>
        </is>
      </c>
      <c r="E1934" s="173" t="inlineStr">
        <is>
          <t>尚乘1-2</t>
        </is>
      </c>
      <c r="F1934" s="173" t="inlineStr">
        <is>
          <t>上交所</t>
        </is>
      </c>
      <c r="G1934" s="173" t="inlineStr">
        <is>
          <t>国泰海通</t>
        </is>
      </c>
      <c r="H1934" s="173" t="inlineStr">
        <is>
          <t>兴业证券</t>
        </is>
      </c>
      <c r="I1934" s="173" t="inlineStr">
        <is>
          <t>青岛银行</t>
        </is>
      </c>
      <c r="J1934" s="172" t="n">
        <v>6.5</v>
      </c>
      <c r="K1934" s="173" t="inlineStr">
        <is>
          <t>0+49</t>
        </is>
      </c>
      <c r="L1934" s="202" t="n">
        <v>46198</v>
      </c>
      <c r="M1934" s="175" t="n">
        <v>0.0148</v>
      </c>
      <c r="N1934" s="176" t="n">
        <v>0.02775</v>
      </c>
      <c r="O1934" s="172" t="n">
        <v>1.95</v>
      </c>
      <c r="P1934" s="172" t="inlineStr">
        <is>
          <t>优先B</t>
        </is>
      </c>
      <c r="Q1934" s="178" t="inlineStr">
        <is>
          <t>12.31%，</t>
        </is>
      </c>
      <c r="R1934" s="179" t="n">
        <v>0.8</v>
      </c>
      <c r="S1934" s="177" t="inlineStr">
        <is>
          <t>AA+</t>
        </is>
      </c>
      <c r="T1934" s="178" t="n">
        <v>0.031</v>
      </c>
      <c r="U1934" s="177" t="inlineStr">
        <is>
          <t>中金投顾</t>
        </is>
      </c>
      <c r="V1934" s="192" t="n">
        <v>0.2</v>
      </c>
      <c r="W1934" s="172" t="n"/>
      <c r="X1934" s="172" t="n"/>
      <c r="Y1934" s="172" t="n"/>
    </row>
    <row r="1935">
      <c r="A1935" s="172" t="n">
        <v>104</v>
      </c>
      <c r="B1935" s="173" t="inlineStr">
        <is>
          <t>6月</t>
        </is>
      </c>
      <c r="C1935" s="173" t="inlineStr">
        <is>
          <t>消金</t>
        </is>
      </c>
      <c r="D1935" s="173" t="inlineStr">
        <is>
          <t>汽车融资租赁</t>
        </is>
      </c>
      <c r="E1935" s="173" t="inlineStr">
        <is>
          <t>尚乘1-2</t>
        </is>
      </c>
      <c r="F1935" s="173" t="inlineStr">
        <is>
          <t>上交所</t>
        </is>
      </c>
      <c r="G1935" s="173" t="inlineStr">
        <is>
          <t>国泰海通</t>
        </is>
      </c>
      <c r="H1935" s="173" t="inlineStr">
        <is>
          <t>兴业证券</t>
        </is>
      </c>
      <c r="I1935" s="173" t="inlineStr">
        <is>
          <t>青岛银行</t>
        </is>
      </c>
      <c r="J1935" s="172" t="n">
        <v>6.5</v>
      </c>
      <c r="K1935" s="173" t="inlineStr">
        <is>
          <t>0+49</t>
        </is>
      </c>
      <c r="L1935" s="202" t="n">
        <v>46198</v>
      </c>
      <c r="M1935" s="175" t="n">
        <v>0.0148</v>
      </c>
      <c r="N1935" s="176" t="n">
        <v>0.02775</v>
      </c>
      <c r="O1935" s="172" t="n">
        <v>1.95</v>
      </c>
      <c r="P1935" s="172" t="inlineStr">
        <is>
          <t>优先B</t>
        </is>
      </c>
      <c r="Q1935" s="178" t="inlineStr">
        <is>
          <t>12.31%，</t>
        </is>
      </c>
      <c r="R1935" s="179" t="n">
        <v>0.8</v>
      </c>
      <c r="S1935" s="177" t="inlineStr">
        <is>
          <t>AA+</t>
        </is>
      </c>
      <c r="T1935" s="178" t="n">
        <v>0.031</v>
      </c>
      <c r="U1935" s="177" t="inlineStr">
        <is>
          <t>广发证券资管</t>
        </is>
      </c>
      <c r="V1935" s="192" t="n">
        <v>0.1</v>
      </c>
      <c r="W1935" s="172" t="n"/>
      <c r="X1935" s="172" t="n"/>
      <c r="Y1935" s="172" t="n"/>
    </row>
    <row r="1936">
      <c r="A1936" s="172" t="n">
        <v>104</v>
      </c>
      <c r="B1936" s="173" t="inlineStr">
        <is>
          <t>6月</t>
        </is>
      </c>
      <c r="C1936" s="173" t="inlineStr">
        <is>
          <t>消金</t>
        </is>
      </c>
      <c r="D1936" s="173" t="inlineStr">
        <is>
          <t>汽车融资租赁</t>
        </is>
      </c>
      <c r="E1936" s="173" t="inlineStr">
        <is>
          <t>尚乘1-2</t>
        </is>
      </c>
      <c r="F1936" s="173" t="inlineStr">
        <is>
          <t>上交所</t>
        </is>
      </c>
      <c r="G1936" s="173" t="inlineStr">
        <is>
          <t>国泰海通</t>
        </is>
      </c>
      <c r="H1936" s="173" t="inlineStr">
        <is>
          <t>兴业证券</t>
        </is>
      </c>
      <c r="I1936" s="173" t="inlineStr">
        <is>
          <t>青岛银行</t>
        </is>
      </c>
      <c r="J1936" s="172" t="n">
        <v>6.5</v>
      </c>
      <c r="K1936" s="173" t="inlineStr">
        <is>
          <t>0+49</t>
        </is>
      </c>
      <c r="L1936" s="202" t="n">
        <v>46198</v>
      </c>
      <c r="M1936" s="175" t="n">
        <v>0.0148</v>
      </c>
      <c r="N1936" s="176" t="n">
        <v>0.02775</v>
      </c>
      <c r="O1936" s="172" t="n">
        <v>1.95</v>
      </c>
      <c r="P1936" s="172" t="inlineStr">
        <is>
          <t>优先B</t>
        </is>
      </c>
      <c r="Q1936" s="178" t="inlineStr">
        <is>
          <t>12.31%，</t>
        </is>
      </c>
      <c r="R1936" s="179" t="n">
        <v>0.8</v>
      </c>
      <c r="S1936" s="177" t="inlineStr">
        <is>
          <t>AA+</t>
        </is>
      </c>
      <c r="T1936" s="178" t="n">
        <v>0.031</v>
      </c>
      <c r="U1936" s="177" t="inlineStr">
        <is>
          <t>南海农商资管</t>
        </is>
      </c>
      <c r="V1936" s="192" t="n">
        <v>0.1</v>
      </c>
      <c r="W1936" s="172" t="n"/>
      <c r="X1936" s="172" t="n"/>
      <c r="Y1936" s="172" t="n"/>
    </row>
    <row r="1937">
      <c r="A1937" s="172" t="n">
        <v>104</v>
      </c>
      <c r="B1937" s="173" t="inlineStr">
        <is>
          <t>6月</t>
        </is>
      </c>
      <c r="C1937" s="173" t="inlineStr">
        <is>
          <t>消金</t>
        </is>
      </c>
      <c r="D1937" s="173" t="inlineStr">
        <is>
          <t>汽车融资租赁</t>
        </is>
      </c>
      <c r="E1937" s="173" t="inlineStr">
        <is>
          <t>尚乘1-2</t>
        </is>
      </c>
      <c r="F1937" s="173" t="inlineStr">
        <is>
          <t>上交所</t>
        </is>
      </c>
      <c r="G1937" s="173" t="inlineStr">
        <is>
          <t>国泰海通</t>
        </is>
      </c>
      <c r="H1937" s="173" t="inlineStr">
        <is>
          <t>兴业证券</t>
        </is>
      </c>
      <c r="I1937" s="173" t="inlineStr">
        <is>
          <t>青岛银行</t>
        </is>
      </c>
      <c r="J1937" s="172" t="n">
        <v>6.5</v>
      </c>
      <c r="K1937" s="173" t="inlineStr">
        <is>
          <t>0+49</t>
        </is>
      </c>
      <c r="L1937" s="202" t="n">
        <v>46198</v>
      </c>
      <c r="M1937" s="175" t="n">
        <v>0.0148</v>
      </c>
      <c r="N1937" s="176" t="n">
        <v>0.02775</v>
      </c>
      <c r="O1937" s="172" t="n">
        <v>1.95</v>
      </c>
      <c r="P1937" s="172" t="inlineStr">
        <is>
          <t>优先B</t>
        </is>
      </c>
      <c r="Q1937" s="178" t="inlineStr">
        <is>
          <t>12.31%，</t>
        </is>
      </c>
      <c r="R1937" s="179" t="n">
        <v>0.8</v>
      </c>
      <c r="S1937" s="177" t="inlineStr">
        <is>
          <t>AA+</t>
        </is>
      </c>
      <c r="T1937" s="178" t="n">
        <v>0.031</v>
      </c>
      <c r="U1937" s="177" t="inlineStr">
        <is>
          <t>紫金信托</t>
        </is>
      </c>
      <c r="V1937" s="192" t="n">
        <v>0.2</v>
      </c>
      <c r="W1937" s="172" t="n"/>
      <c r="X1937" s="172" t="n"/>
      <c r="Y1937" s="172" t="n"/>
    </row>
    <row r="1938">
      <c r="A1938" s="172" t="n">
        <v>104</v>
      </c>
      <c r="B1938" s="173" t="inlineStr">
        <is>
          <t>6月</t>
        </is>
      </c>
      <c r="C1938" s="173" t="inlineStr">
        <is>
          <t>消金</t>
        </is>
      </c>
      <c r="D1938" s="173" t="inlineStr">
        <is>
          <t>汽车融资租赁</t>
        </is>
      </c>
      <c r="E1938" s="173" t="inlineStr">
        <is>
          <t>尚乘1-2</t>
        </is>
      </c>
      <c r="F1938" s="173" t="inlineStr">
        <is>
          <t>上交所</t>
        </is>
      </c>
      <c r="G1938" s="173" t="inlineStr">
        <is>
          <t>国泰海通</t>
        </is>
      </c>
      <c r="H1938" s="173" t="inlineStr">
        <is>
          <t>兴业证券</t>
        </is>
      </c>
      <c r="I1938" s="173" t="inlineStr">
        <is>
          <t>青岛银行</t>
        </is>
      </c>
      <c r="J1938" s="172" t="n">
        <v>6.5</v>
      </c>
      <c r="K1938" s="173" t="inlineStr">
        <is>
          <t>0+49</t>
        </is>
      </c>
      <c r="L1938" s="202" t="n">
        <v>46198</v>
      </c>
      <c r="M1938" s="175" t="n">
        <v>0.0148</v>
      </c>
      <c r="N1938" s="176" t="n">
        <v>0.02775</v>
      </c>
      <c r="O1938" s="172" t="n">
        <v>1.95</v>
      </c>
      <c r="P1938" s="172" t="inlineStr">
        <is>
          <t>优先B</t>
        </is>
      </c>
      <c r="Q1938" s="178" t="inlineStr">
        <is>
          <t>12.31%，</t>
        </is>
      </c>
      <c r="R1938" s="179" t="n">
        <v>0.8</v>
      </c>
      <c r="S1938" s="177" t="inlineStr">
        <is>
          <t>AA+</t>
        </is>
      </c>
      <c r="T1938" s="178" t="n">
        <v>0.031</v>
      </c>
      <c r="U1938" s="177" t="inlineStr">
        <is>
          <t>京东租赁</t>
        </is>
      </c>
      <c r="V1938" s="192" t="n">
        <v>0.04</v>
      </c>
      <c r="W1938" s="172" t="n"/>
      <c r="X1938" s="172" t="n"/>
      <c r="Y1938" s="172" t="n"/>
    </row>
    <row r="1939">
      <c r="A1939" s="172" t="n">
        <v>104</v>
      </c>
      <c r="B1939" s="173" t="inlineStr">
        <is>
          <t>6月</t>
        </is>
      </c>
      <c r="C1939" s="173" t="inlineStr">
        <is>
          <t>消金</t>
        </is>
      </c>
      <c r="D1939" s="173" t="inlineStr">
        <is>
          <t>汽车融资租赁</t>
        </is>
      </c>
      <c r="E1939" s="173" t="inlineStr">
        <is>
          <t>尚乘1-2</t>
        </is>
      </c>
      <c r="F1939" s="173" t="inlineStr">
        <is>
          <t>上交所</t>
        </is>
      </c>
      <c r="G1939" s="173" t="inlineStr">
        <is>
          <t>国泰海通</t>
        </is>
      </c>
      <c r="H1939" s="173" t="inlineStr">
        <is>
          <t>兴业证券</t>
        </is>
      </c>
      <c r="I1939" s="173" t="inlineStr">
        <is>
          <t>青岛银行</t>
        </is>
      </c>
      <c r="J1939" s="172" t="n">
        <v>6.5</v>
      </c>
      <c r="K1939" s="173" t="inlineStr">
        <is>
          <t>0+49</t>
        </is>
      </c>
      <c r="L1939" s="202" t="n">
        <v>46198</v>
      </c>
      <c r="M1939" s="175" t="n">
        <v>0.0148</v>
      </c>
      <c r="N1939" s="176" t="n">
        <v>0.02775</v>
      </c>
      <c r="O1939" s="172" t="n">
        <v>1.95</v>
      </c>
      <c r="P1939" s="177" t="inlineStr">
        <is>
          <t>次级</t>
        </is>
      </c>
      <c r="Q1939" s="178" t="n">
        <v>0.1231</v>
      </c>
      <c r="R1939" s="179" t="n">
        <v>0.8</v>
      </c>
      <c r="S1939" s="177" t="inlineStr">
        <is>
          <t>无</t>
        </is>
      </c>
      <c r="T1939" s="178" t="n">
        <v>0.052</v>
      </c>
      <c r="U1939" s="177" t="inlineStr">
        <is>
          <t>东家铂睿</t>
        </is>
      </c>
      <c r="V1939" s="192" t="n">
        <v>0.2</v>
      </c>
      <c r="W1939" s="172" t="n"/>
      <c r="X1939" s="172" t="n"/>
      <c r="Y1939" s="172" t="n"/>
    </row>
    <row r="1940">
      <c r="A1940" s="172" t="n">
        <v>104</v>
      </c>
      <c r="B1940" s="173" t="inlineStr">
        <is>
          <t>6月</t>
        </is>
      </c>
      <c r="C1940" s="173" t="inlineStr">
        <is>
          <t>消金</t>
        </is>
      </c>
      <c r="D1940" s="173" t="inlineStr">
        <is>
          <t>汽车融资租赁</t>
        </is>
      </c>
      <c r="E1940" s="173" t="inlineStr">
        <is>
          <t>尚乘1-2</t>
        </is>
      </c>
      <c r="F1940" s="173" t="inlineStr">
        <is>
          <t>上交所</t>
        </is>
      </c>
      <c r="G1940" s="173" t="inlineStr">
        <is>
          <t>国泰海通</t>
        </is>
      </c>
      <c r="H1940" s="173" t="inlineStr">
        <is>
          <t>兴业证券</t>
        </is>
      </c>
      <c r="I1940" s="173" t="inlineStr">
        <is>
          <t>青岛银行</t>
        </is>
      </c>
      <c r="J1940" s="172" t="n">
        <v>6.5</v>
      </c>
      <c r="K1940" s="173" t="inlineStr">
        <is>
          <t>0+49</t>
        </is>
      </c>
      <c r="L1940" s="202" t="n">
        <v>46198</v>
      </c>
      <c r="M1940" s="175" t="n">
        <v>0.0148</v>
      </c>
      <c r="N1940" s="176" t="n">
        <v>0.02775</v>
      </c>
      <c r="O1940" s="172" t="n">
        <v>1.95</v>
      </c>
      <c r="P1940" s="172" t="inlineStr">
        <is>
          <t>次级</t>
        </is>
      </c>
      <c r="Q1940" s="178" t="n">
        <v>0.1231</v>
      </c>
      <c r="R1940" s="179" t="n">
        <v>0.8</v>
      </c>
      <c r="S1940" s="177" t="inlineStr">
        <is>
          <t>无</t>
        </is>
      </c>
      <c r="T1940" s="178" t="n">
        <v>0.052</v>
      </c>
      <c r="U1940" s="177" t="inlineStr">
        <is>
          <t>朗资韩亚</t>
        </is>
      </c>
      <c r="V1940" s="192" t="n">
        <v>0.46</v>
      </c>
      <c r="W1940" s="172" t="n"/>
      <c r="X1940" s="172" t="n"/>
      <c r="Y1940" s="172" t="n"/>
    </row>
    <row r="1941">
      <c r="A1941" s="172" t="n">
        <v>104</v>
      </c>
      <c r="B1941" s="173" t="inlineStr">
        <is>
          <t>6月</t>
        </is>
      </c>
      <c r="C1941" s="173" t="inlineStr">
        <is>
          <t>消金</t>
        </is>
      </c>
      <c r="D1941" s="173" t="inlineStr">
        <is>
          <t>汽车融资租赁</t>
        </is>
      </c>
      <c r="E1941" s="173" t="inlineStr">
        <is>
          <t>尚乘1-2</t>
        </is>
      </c>
      <c r="F1941" s="173" t="inlineStr">
        <is>
          <t>上交所</t>
        </is>
      </c>
      <c r="G1941" s="173" t="inlineStr">
        <is>
          <t>国泰海通</t>
        </is>
      </c>
      <c r="H1941" s="173" t="inlineStr">
        <is>
          <t>兴业证券</t>
        </is>
      </c>
      <c r="I1941" s="173" t="inlineStr">
        <is>
          <t>青岛银行</t>
        </is>
      </c>
      <c r="J1941" s="172" t="n">
        <v>6.5</v>
      </c>
      <c r="K1941" s="173" t="inlineStr">
        <is>
          <t>0+49</t>
        </is>
      </c>
      <c r="L1941" s="202" t="n">
        <v>46198</v>
      </c>
      <c r="M1941" s="175" t="n">
        <v>0.0148</v>
      </c>
      <c r="N1941" s="176" t="n">
        <v>0.02775</v>
      </c>
      <c r="O1941" s="172" t="n">
        <v>1.95</v>
      </c>
      <c r="P1941" s="172" t="inlineStr">
        <is>
          <t>次级</t>
        </is>
      </c>
      <c r="Q1941" s="178" t="n">
        <v>0.1231</v>
      </c>
      <c r="R1941" s="179" t="n">
        <v>0.8</v>
      </c>
      <c r="S1941" s="177" t="inlineStr">
        <is>
          <t>无</t>
        </is>
      </c>
      <c r="T1941" s="178" t="n">
        <v>0.052</v>
      </c>
      <c r="U1941" s="177" t="inlineStr">
        <is>
          <t>思达星汇</t>
        </is>
      </c>
      <c r="V1941" s="192" t="n">
        <v>0.1</v>
      </c>
      <c r="W1941" s="172" t="n"/>
      <c r="X1941" s="172" t="n"/>
      <c r="Y1941" s="172" t="n"/>
    </row>
    <row r="1942">
      <c r="A1942" s="172" t="n">
        <v>104</v>
      </c>
      <c r="B1942" s="173" t="inlineStr">
        <is>
          <t>6月</t>
        </is>
      </c>
      <c r="C1942" s="173" t="inlineStr">
        <is>
          <t>消金</t>
        </is>
      </c>
      <c r="D1942" s="173" t="inlineStr">
        <is>
          <t>汽车融资租赁</t>
        </is>
      </c>
      <c r="E1942" s="173" t="inlineStr">
        <is>
          <t>尚乘1-2</t>
        </is>
      </c>
      <c r="F1942" s="173" t="inlineStr">
        <is>
          <t>上交所</t>
        </is>
      </c>
      <c r="G1942" s="173" t="inlineStr">
        <is>
          <t>国泰海通</t>
        </is>
      </c>
      <c r="H1942" s="173" t="inlineStr">
        <is>
          <t>兴业证券</t>
        </is>
      </c>
      <c r="I1942" s="173" t="inlineStr">
        <is>
          <t>青岛银行</t>
        </is>
      </c>
      <c r="J1942" s="172" t="n">
        <v>6.5</v>
      </c>
      <c r="K1942" s="173" t="inlineStr">
        <is>
          <t>0+49</t>
        </is>
      </c>
      <c r="L1942" s="202" t="n">
        <v>46198</v>
      </c>
      <c r="M1942" s="175" t="n">
        <v>0.0148</v>
      </c>
      <c r="N1942" s="176" t="n">
        <v>0.02775</v>
      </c>
      <c r="O1942" s="172" t="n">
        <v>1.95</v>
      </c>
      <c r="P1942" s="172" t="inlineStr">
        <is>
          <t>次级</t>
        </is>
      </c>
      <c r="Q1942" s="178" t="n">
        <v>0.1231</v>
      </c>
      <c r="R1942" s="179" t="n">
        <v>0.8</v>
      </c>
      <c r="S1942" s="177" t="inlineStr">
        <is>
          <t>无</t>
        </is>
      </c>
      <c r="T1942" s="178" t="n">
        <v>0.052</v>
      </c>
      <c r="U1942" s="177" t="inlineStr">
        <is>
          <t>京东租赁</t>
        </is>
      </c>
      <c r="V1942" s="192" t="n">
        <v>0.04</v>
      </c>
      <c r="W1942" s="172" t="n"/>
      <c r="X1942" s="172" t="n"/>
      <c r="Y1942" s="172" t="n"/>
    </row>
    <row r="1943">
      <c r="A1943" s="172" t="n">
        <v>105</v>
      </c>
      <c r="B1943" s="173" t="inlineStr">
        <is>
          <t>6月</t>
        </is>
      </c>
      <c r="C1943" s="173" t="inlineStr">
        <is>
          <t>消金</t>
        </is>
      </c>
      <c r="D1943" s="173" t="inlineStr">
        <is>
          <t>信托白条</t>
        </is>
      </c>
      <c r="E1943" s="173" t="inlineStr">
        <is>
          <t>钰泽5-1</t>
        </is>
      </c>
      <c r="F1943" s="173" t="inlineStr">
        <is>
          <t>非标</t>
        </is>
      </c>
      <c r="G1943" s="173" t="inlineStr">
        <is>
          <t>西藏信托</t>
        </is>
      </c>
      <c r="H1943" s="173" t="inlineStr">
        <is>
          <t>-</t>
        </is>
      </c>
      <c r="I1943" s="173" t="inlineStr">
        <is>
          <t>中行北分</t>
        </is>
      </c>
      <c r="J1943" s="172" t="n">
        <v>6</v>
      </c>
      <c r="K1943" s="173" t="inlineStr">
        <is>
          <t>6+18</t>
        </is>
      </c>
      <c r="L1943" s="202" t="n">
        <v>46198</v>
      </c>
      <c r="M1943" s="175" t="n">
        <v>0.0148</v>
      </c>
      <c r="N1943" s="176" t="n">
        <v>0.02905</v>
      </c>
      <c r="O1943" s="172" t="inlineStr">
        <is>
          <t>-</t>
        </is>
      </c>
      <c r="P1943" s="177" t="inlineStr">
        <is>
          <t>平层</t>
        </is>
      </c>
      <c r="Q1943" s="178" t="inlineStr">
        <is>
          <t>-</t>
        </is>
      </c>
      <c r="R1943" s="192" t="n">
        <v>6</v>
      </c>
      <c r="S1943" s="177" t="inlineStr">
        <is>
          <t>无</t>
        </is>
      </c>
      <c r="T1943" s="178" t="n">
        <v>0.026</v>
      </c>
      <c r="U1943" s="177" t="inlineStr">
        <is>
          <t>中邮理财</t>
        </is>
      </c>
      <c r="V1943" s="191" t="n">
        <v>6</v>
      </c>
      <c r="W1943" s="172" t="n"/>
      <c r="X1943" s="172" t="n"/>
      <c r="Y1943" s="172" t="n"/>
    </row>
    <row r="1944">
      <c r="A1944" s="172" t="n">
        <v>106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信托白条</t>
        </is>
      </c>
      <c r="E1944" s="173" t="inlineStr">
        <is>
          <t>钰泽5-2</t>
        </is>
      </c>
      <c r="F1944" s="173" t="inlineStr">
        <is>
          <t>非标</t>
        </is>
      </c>
      <c r="G1944" s="173" t="inlineStr">
        <is>
          <t>西藏信托</t>
        </is>
      </c>
      <c r="H1944" s="173" t="inlineStr">
        <is>
          <t>-</t>
        </is>
      </c>
      <c r="I1944" s="173" t="inlineStr">
        <is>
          <t>中行北分</t>
        </is>
      </c>
      <c r="J1944" s="172" t="n">
        <v>8.1</v>
      </c>
      <c r="K1944" s="173" t="inlineStr">
        <is>
          <t>6+18</t>
        </is>
      </c>
      <c r="L1944" s="202" t="n">
        <v>46199</v>
      </c>
      <c r="M1944" s="175" t="n">
        <v>0.0148</v>
      </c>
      <c r="N1944" s="176" t="n">
        <v>0.02905</v>
      </c>
      <c r="O1944" s="172" t="inlineStr">
        <is>
          <t>-</t>
        </is>
      </c>
      <c r="P1944" s="177" t="inlineStr">
        <is>
          <t>平层</t>
        </is>
      </c>
      <c r="Q1944" s="178" t="inlineStr">
        <is>
          <t>-</t>
        </is>
      </c>
      <c r="R1944" s="192" t="n">
        <v>8.1</v>
      </c>
      <c r="S1944" s="177" t="inlineStr">
        <is>
          <t>无</t>
        </is>
      </c>
      <c r="T1944" s="178" t="n">
        <v>0.026</v>
      </c>
      <c r="U1944" s="177" t="inlineStr">
        <is>
          <t>中邮理财</t>
        </is>
      </c>
      <c r="V1944" s="191" t="n">
        <v>8.1</v>
      </c>
      <c r="W1944" s="172" t="n"/>
      <c r="X1944" s="172" t="n"/>
      <c r="Y1944" s="172" t="n"/>
    </row>
    <row r="1945">
      <c r="A1945" s="172" t="n">
        <v>107</v>
      </c>
      <c r="B1945" s="172" t="inlineStr">
        <is>
          <t>6月</t>
        </is>
      </c>
      <c r="C1945" s="173" t="inlineStr">
        <is>
          <t>消金</t>
        </is>
      </c>
      <c r="D1945" s="173" t="inlineStr">
        <is>
          <t>金条&amp;白取混发</t>
        </is>
      </c>
      <c r="E1945" s="173" t="inlineStr">
        <is>
          <t>东樾4号夏樾（4-2）</t>
        </is>
      </c>
      <c r="F1945" s="173" t="inlineStr">
        <is>
          <t>银行间</t>
        </is>
      </c>
      <c r="G1945" s="173" t="inlineStr">
        <is>
          <t>招商证券</t>
        </is>
      </c>
      <c r="H1945" s="173" t="inlineStr">
        <is>
          <t>国泰海通/光大证券/中信证券/国信证券</t>
        </is>
      </c>
      <c r="I1945" s="173" t="inlineStr">
        <is>
          <t>中行北分</t>
        </is>
      </c>
      <c r="J1945" s="172" t="n">
        <v>10</v>
      </c>
      <c r="K1945" s="173" t="inlineStr">
        <is>
          <t>12+10+12</t>
        </is>
      </c>
      <c r="L1945" s="202" t="n">
        <v>46199</v>
      </c>
      <c r="M1945" s="175" t="n">
        <v>0.0148</v>
      </c>
      <c r="N1945" s="176" t="n">
        <v>0.02131</v>
      </c>
      <c r="O1945" s="172" t="n">
        <v>1.5</v>
      </c>
      <c r="P1945" s="177" t="inlineStr">
        <is>
          <t>优先A</t>
        </is>
      </c>
      <c r="Q1945" s="178" t="n">
        <v>0.9</v>
      </c>
      <c r="R1945" s="179">
        <f>Q1303*J1303</f>
        <v/>
      </c>
      <c r="S1945" s="177" t="inlineStr">
        <is>
          <t>AAA</t>
        </is>
      </c>
      <c r="T1945" s="178" t="n">
        <v>0.0165</v>
      </c>
      <c r="U1945" s="177" t="inlineStr">
        <is>
          <t>光大证券投行</t>
        </is>
      </c>
      <c r="V1945" s="192" t="n">
        <v>0.4</v>
      </c>
      <c r="W1945" s="175" t="n">
        <v>0.0165</v>
      </c>
      <c r="X1945" s="172" t="inlineStr">
        <is>
          <t>光大证券</t>
        </is>
      </c>
      <c r="Y1945" s="191" t="n">
        <v>0.5</v>
      </c>
    </row>
    <row r="1946">
      <c r="A1946" s="172" t="n">
        <v>107</v>
      </c>
      <c r="B1946" s="172" t="inlineStr">
        <is>
          <t>6月</t>
        </is>
      </c>
      <c r="C1946" s="172" t="inlineStr">
        <is>
          <t>消金</t>
        </is>
      </c>
      <c r="D1946" s="172" t="inlineStr">
        <is>
          <t>金条&amp;白取混发</t>
        </is>
      </c>
      <c r="E1946" s="172" t="inlineStr">
        <is>
          <t>东樾4号夏樾（4-2）</t>
        </is>
      </c>
      <c r="F1946" s="172" t="inlineStr">
        <is>
          <t>银行间</t>
        </is>
      </c>
      <c r="G1946" s="172" t="inlineStr">
        <is>
          <t>招商证券</t>
        </is>
      </c>
      <c r="H1946" s="172" t="inlineStr">
        <is>
          <t>国泰海通/光大证券/中信证券/国信证券</t>
        </is>
      </c>
      <c r="I1946" s="172" t="inlineStr">
        <is>
          <t>中行北分</t>
        </is>
      </c>
      <c r="J1946" s="172" t="n">
        <v>10</v>
      </c>
      <c r="K1946" s="172" t="inlineStr">
        <is>
          <t>12+10+12</t>
        </is>
      </c>
      <c r="L1946" s="208" t="n">
        <v>46199</v>
      </c>
      <c r="M1946" s="175" t="n">
        <v>0.0148</v>
      </c>
      <c r="N1946" s="176" t="n">
        <v>0.02131</v>
      </c>
      <c r="O1946" s="172" t="n">
        <v>1.5</v>
      </c>
      <c r="P1946" s="172" t="inlineStr">
        <is>
          <t>优先A</t>
        </is>
      </c>
      <c r="Q1946" s="175" t="n">
        <v>0.9</v>
      </c>
      <c r="R1946" s="172">
        <f>Q1303*J1303</f>
        <v/>
      </c>
      <c r="S1946" s="172" t="inlineStr">
        <is>
          <t>AAA</t>
        </is>
      </c>
      <c r="T1946" s="175" t="n">
        <v>0.0165</v>
      </c>
      <c r="U1946" s="172" t="n"/>
      <c r="V1946" s="172" t="n"/>
      <c r="W1946" s="175" t="n">
        <v>0.024</v>
      </c>
      <c r="X1946" s="172" t="inlineStr">
        <is>
          <t>光大证券</t>
        </is>
      </c>
      <c r="Y1946" s="191" t="n">
        <v>0.5</v>
      </c>
    </row>
    <row r="1947">
      <c r="A1947" s="172" t="n">
        <v>107</v>
      </c>
      <c r="B1947" s="172" t="inlineStr">
        <is>
          <t>6月</t>
        </is>
      </c>
      <c r="C1947" s="173" t="inlineStr">
        <is>
          <t>消金</t>
        </is>
      </c>
      <c r="D1947" s="173" t="inlineStr">
        <is>
          <t>金条&amp;白取混发</t>
        </is>
      </c>
      <c r="E1947" s="173" t="inlineStr">
        <is>
          <t>东樾4号夏樾（4-2）</t>
        </is>
      </c>
      <c r="F1947" s="173" t="inlineStr">
        <is>
          <t>银行间</t>
        </is>
      </c>
      <c r="G1947" s="173" t="inlineStr">
        <is>
          <t>招商证券</t>
        </is>
      </c>
      <c r="H1947" s="173" t="inlineStr">
        <is>
          <t>国泰海通/光大证券/中信证券/国信证券</t>
        </is>
      </c>
      <c r="I1947" s="173" t="inlineStr">
        <is>
          <t>中行北分</t>
        </is>
      </c>
      <c r="J1947" s="172" t="n">
        <v>10</v>
      </c>
      <c r="K1947" s="173" t="inlineStr">
        <is>
          <t>12+10+12</t>
        </is>
      </c>
      <c r="L1947" s="202" t="n">
        <v>46199</v>
      </c>
      <c r="M1947" s="175" t="n">
        <v>0.0148</v>
      </c>
      <c r="N1947" s="176" t="n">
        <v>0.02131</v>
      </c>
      <c r="O1947" s="172" t="n">
        <v>1.5</v>
      </c>
      <c r="P1947" s="172" t="inlineStr">
        <is>
          <t>优先A</t>
        </is>
      </c>
      <c r="Q1947" s="178" t="n">
        <v>0.9</v>
      </c>
      <c r="R1947" s="179">
        <f>Q1303*J1303</f>
        <v/>
      </c>
      <c r="S1947" s="177" t="inlineStr">
        <is>
          <t>AAA</t>
        </is>
      </c>
      <c r="T1947" s="178" t="n">
        <v>0.0165</v>
      </c>
      <c r="U1947" s="177" t="inlineStr">
        <is>
          <t>国泰海通投行</t>
        </is>
      </c>
      <c r="V1947" s="192" t="n">
        <v>0.4</v>
      </c>
      <c r="W1947" s="175" t="n">
        <v>0.0165</v>
      </c>
      <c r="X1947" s="172" t="inlineStr">
        <is>
          <t>国泰海通</t>
        </is>
      </c>
      <c r="Y1947" s="191" t="n">
        <v>1</v>
      </c>
    </row>
    <row r="1948">
      <c r="A1948" s="172" t="n">
        <v>107</v>
      </c>
      <c r="B1948" s="172" t="inlineStr">
        <is>
          <t>6月</t>
        </is>
      </c>
      <c r="C1948" s="173" t="inlineStr">
        <is>
          <t>消金</t>
        </is>
      </c>
      <c r="D1948" s="173" t="inlineStr">
        <is>
          <t>金条&amp;白取混发</t>
        </is>
      </c>
      <c r="E1948" s="173" t="inlineStr">
        <is>
          <t>东樾4号夏樾（4-2）</t>
        </is>
      </c>
      <c r="F1948" s="173" t="inlineStr">
        <is>
          <t>银行间</t>
        </is>
      </c>
      <c r="G1948" s="173" t="inlineStr">
        <is>
          <t>招商证券</t>
        </is>
      </c>
      <c r="H1948" s="173" t="inlineStr">
        <is>
          <t>国泰海通/光大证券/中信证券/国信证券</t>
        </is>
      </c>
      <c r="I1948" s="173" t="inlineStr">
        <is>
          <t>中行北分</t>
        </is>
      </c>
      <c r="J1948" s="172" t="n">
        <v>10</v>
      </c>
      <c r="K1948" s="173" t="inlineStr">
        <is>
          <t>12+10+12</t>
        </is>
      </c>
      <c r="L1948" s="202" t="n">
        <v>46199</v>
      </c>
      <c r="M1948" s="175" t="n">
        <v>0.0148</v>
      </c>
      <c r="N1948" s="176" t="n">
        <v>0.02131</v>
      </c>
      <c r="O1948" s="172" t="n">
        <v>1.5</v>
      </c>
      <c r="P1948" s="172" t="inlineStr">
        <is>
          <t>优先A</t>
        </is>
      </c>
      <c r="Q1948" s="178" t="n">
        <v>0.9</v>
      </c>
      <c r="R1948" s="179">
        <f>Q1303*J1303</f>
        <v/>
      </c>
      <c r="S1948" s="177" t="inlineStr">
        <is>
          <t>AAA</t>
        </is>
      </c>
      <c r="T1948" s="178" t="n">
        <v>0.0165</v>
      </c>
      <c r="U1948" s="177" t="inlineStr">
        <is>
          <t>国信证券投行</t>
        </is>
      </c>
      <c r="V1948" s="192" t="n">
        <v>0.4</v>
      </c>
      <c r="W1948" s="175" t="n">
        <v>0.0165</v>
      </c>
      <c r="X1948" s="172" t="inlineStr">
        <is>
          <t>国信证券</t>
        </is>
      </c>
      <c r="Y1948" s="191" t="n">
        <v>1.3</v>
      </c>
    </row>
    <row r="1949">
      <c r="A1949" s="172" t="n">
        <v>107</v>
      </c>
      <c r="B1949" s="172" t="inlineStr">
        <is>
          <t>6月</t>
        </is>
      </c>
      <c r="C1949" s="173" t="inlineStr">
        <is>
          <t>消金</t>
        </is>
      </c>
      <c r="D1949" s="173" t="inlineStr">
        <is>
          <t>金条&amp;白取混发</t>
        </is>
      </c>
      <c r="E1949" s="173" t="inlineStr">
        <is>
          <t>东樾4号夏樾（4-2）</t>
        </is>
      </c>
      <c r="F1949" s="173" t="inlineStr">
        <is>
          <t>银行间</t>
        </is>
      </c>
      <c r="G1949" s="173" t="inlineStr">
        <is>
          <t>招商证券</t>
        </is>
      </c>
      <c r="H1949" s="173" t="inlineStr">
        <is>
          <t>国泰海通/光大证券/中信证券/国信证券</t>
        </is>
      </c>
      <c r="I1949" s="173" t="inlineStr">
        <is>
          <t>中行北分</t>
        </is>
      </c>
      <c r="J1949" s="172" t="n">
        <v>10</v>
      </c>
      <c r="K1949" s="173" t="inlineStr">
        <is>
          <t>12+10+12</t>
        </is>
      </c>
      <c r="L1949" s="202" t="n">
        <v>46199</v>
      </c>
      <c r="M1949" s="175" t="n">
        <v>0.0148</v>
      </c>
      <c r="N1949" s="176" t="n">
        <v>0.02131</v>
      </c>
      <c r="O1949" s="172" t="n">
        <v>1.5</v>
      </c>
      <c r="P1949" s="172" t="inlineStr">
        <is>
          <t>优先A</t>
        </is>
      </c>
      <c r="Q1949" s="178" t="n">
        <v>0.9</v>
      </c>
      <c r="R1949" s="179">
        <f>Q1303*J1303</f>
        <v/>
      </c>
      <c r="S1949" s="177" t="inlineStr">
        <is>
          <t>AAA</t>
        </is>
      </c>
      <c r="T1949" s="178" t="n">
        <v>0.0165</v>
      </c>
      <c r="U1949" s="177" t="inlineStr">
        <is>
          <t>交银理财</t>
        </is>
      </c>
      <c r="V1949" s="192" t="n">
        <v>1.5</v>
      </c>
      <c r="W1949" s="175" t="n">
        <v>0.016</v>
      </c>
      <c r="X1949" s="172" t="inlineStr">
        <is>
          <t>交银理财</t>
        </is>
      </c>
      <c r="Y1949" s="191" t="n">
        <v>0.5</v>
      </c>
    </row>
    <row r="1950">
      <c r="A1950" s="172" t="n">
        <v>107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金条&amp;白取混发</t>
        </is>
      </c>
      <c r="E1950" s="172" t="inlineStr">
        <is>
          <t>东樾4号夏樾（4-2）</t>
        </is>
      </c>
      <c r="F1950" s="172" t="inlineStr">
        <is>
          <t>银行间</t>
        </is>
      </c>
      <c r="G1950" s="172" t="inlineStr">
        <is>
          <t>招商证券</t>
        </is>
      </c>
      <c r="H1950" s="172" t="inlineStr">
        <is>
          <t>国泰海通/光大证券/中信证券/国信证券</t>
        </is>
      </c>
      <c r="I1950" s="172" t="inlineStr">
        <is>
          <t>中行北分</t>
        </is>
      </c>
      <c r="J1950" s="172" t="n">
        <v>10</v>
      </c>
      <c r="K1950" s="172" t="inlineStr">
        <is>
          <t>12+10+12</t>
        </is>
      </c>
      <c r="L1950" s="208" t="n">
        <v>46199</v>
      </c>
      <c r="M1950" s="175" t="n">
        <v>0.0148</v>
      </c>
      <c r="N1950" s="176" t="n">
        <v>0.02131</v>
      </c>
      <c r="O1950" s="172" t="n">
        <v>1.5</v>
      </c>
      <c r="P1950" s="172" t="inlineStr">
        <is>
          <t>优先A</t>
        </is>
      </c>
      <c r="Q1950" s="175" t="n">
        <v>0.9</v>
      </c>
      <c r="R1950" s="172">
        <f>Q1303*J1303</f>
        <v/>
      </c>
      <c r="S1950" s="172" t="inlineStr">
        <is>
          <t>AAA</t>
        </is>
      </c>
      <c r="T1950" s="175" t="n">
        <v>0.0165</v>
      </c>
      <c r="U1950" s="172" t="n"/>
      <c r="V1950" s="172" t="n"/>
      <c r="W1950" s="175" t="n">
        <v>0.0165</v>
      </c>
      <c r="X1950" s="172" t="inlineStr">
        <is>
          <t>交银理财</t>
        </is>
      </c>
      <c r="Y1950" s="191" t="n">
        <v>1</v>
      </c>
    </row>
    <row r="1951">
      <c r="A1951" s="172" t="n">
        <v>107</v>
      </c>
      <c r="B1951" s="172" t="inlineStr">
        <is>
          <t>6月</t>
        </is>
      </c>
      <c r="C1951" s="173" t="inlineStr">
        <is>
          <t>消金</t>
        </is>
      </c>
      <c r="D1951" s="173" t="inlineStr">
        <is>
          <t>金条&amp;白取混发</t>
        </is>
      </c>
      <c r="E1951" s="173" t="inlineStr">
        <is>
          <t>东樾4号夏樾（4-2）</t>
        </is>
      </c>
      <c r="F1951" s="173" t="inlineStr">
        <is>
          <t>银行间</t>
        </is>
      </c>
      <c r="G1951" s="173" t="inlineStr">
        <is>
          <t>招商证券</t>
        </is>
      </c>
      <c r="H1951" s="173" t="inlineStr">
        <is>
          <t>国泰海通/光大证券/中信证券/国信证券</t>
        </is>
      </c>
      <c r="I1951" s="173" t="inlineStr">
        <is>
          <t>中行北分</t>
        </is>
      </c>
      <c r="J1951" s="172" t="n">
        <v>10</v>
      </c>
      <c r="K1951" s="173" t="inlineStr">
        <is>
          <t>12+10+12</t>
        </is>
      </c>
      <c r="L1951" s="202" t="n">
        <v>46199</v>
      </c>
      <c r="M1951" s="175" t="n">
        <v>0.0148</v>
      </c>
      <c r="N1951" s="176" t="n">
        <v>0.02131</v>
      </c>
      <c r="O1951" s="172" t="n">
        <v>1.5</v>
      </c>
      <c r="P1951" s="172" t="inlineStr">
        <is>
          <t>优先A</t>
        </is>
      </c>
      <c r="Q1951" s="178" t="n">
        <v>0.9</v>
      </c>
      <c r="R1951" s="179">
        <f>Q1303*J1303</f>
        <v/>
      </c>
      <c r="S1951" s="177" t="inlineStr">
        <is>
          <t>AAA</t>
        </is>
      </c>
      <c r="T1951" s="178" t="n">
        <v>0.0165</v>
      </c>
      <c r="U1951" s="177" t="inlineStr">
        <is>
          <t>利曦基金</t>
        </is>
      </c>
      <c r="V1951" s="192" t="n">
        <v>0.5</v>
      </c>
      <c r="W1951" s="175" t="n">
        <v>0.0165</v>
      </c>
      <c r="X1951" s="172" t="inlineStr">
        <is>
          <t>利曦私募基金</t>
        </is>
      </c>
      <c r="Y1951" s="191" t="n">
        <v>0.5</v>
      </c>
    </row>
    <row r="1952">
      <c r="A1952" s="172" t="n">
        <v>107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金条&amp;白取混发</t>
        </is>
      </c>
      <c r="E1952" s="172" t="inlineStr">
        <is>
          <t>东樾4号夏樾（4-2）</t>
        </is>
      </c>
      <c r="F1952" s="172" t="inlineStr">
        <is>
          <t>银行间</t>
        </is>
      </c>
      <c r="G1952" s="172" t="inlineStr">
        <is>
          <t>招商证券</t>
        </is>
      </c>
      <c r="H1952" s="172" t="inlineStr">
        <is>
          <t>国泰海通/光大证券/中信证券/国信证券</t>
        </is>
      </c>
      <c r="I1952" s="172" t="inlineStr">
        <is>
          <t>中行北分</t>
        </is>
      </c>
      <c r="J1952" s="172" t="n">
        <v>10</v>
      </c>
      <c r="K1952" s="172" t="inlineStr">
        <is>
          <t>12+10+12</t>
        </is>
      </c>
      <c r="L1952" s="208" t="n">
        <v>46199</v>
      </c>
      <c r="M1952" s="175" t="n">
        <v>0.0148</v>
      </c>
      <c r="N1952" s="176" t="n">
        <v>0.02131</v>
      </c>
      <c r="O1952" s="172" t="n">
        <v>1.5</v>
      </c>
      <c r="P1952" s="172" t="inlineStr">
        <is>
          <t>优先A</t>
        </is>
      </c>
      <c r="Q1952" s="175" t="n">
        <v>0.9</v>
      </c>
      <c r="R1952" s="172">
        <f>Q1303*J1303</f>
        <v/>
      </c>
      <c r="S1952" s="172" t="inlineStr">
        <is>
          <t>AAA</t>
        </is>
      </c>
      <c r="T1952" s="175" t="n">
        <v>0.0165</v>
      </c>
      <c r="U1952" s="172" t="n"/>
      <c r="V1952" s="172" t="n"/>
      <c r="W1952" s="175" t="n">
        <v>0.024</v>
      </c>
      <c r="X1952" s="172" t="inlineStr">
        <is>
          <t>利曦私募基金</t>
        </is>
      </c>
      <c r="Y1952" s="191" t="n">
        <v>1</v>
      </c>
    </row>
    <row r="1953">
      <c r="A1953" s="172" t="n">
        <v>107</v>
      </c>
      <c r="B1953" s="172" t="inlineStr">
        <is>
          <t>6月</t>
        </is>
      </c>
      <c r="C1953" s="173" t="inlineStr">
        <is>
          <t>消金</t>
        </is>
      </c>
      <c r="D1953" s="173" t="inlineStr">
        <is>
          <t>金条&amp;白取混发</t>
        </is>
      </c>
      <c r="E1953" s="173" t="inlineStr">
        <is>
          <t>东樾4号夏樾（4-2）</t>
        </is>
      </c>
      <c r="F1953" s="173" t="inlineStr">
        <is>
          <t>银行间</t>
        </is>
      </c>
      <c r="G1953" s="173" t="inlineStr">
        <is>
          <t>招商证券</t>
        </is>
      </c>
      <c r="H1953" s="173" t="inlineStr">
        <is>
          <t>国泰海通/光大证券/中信证券/国信证券</t>
        </is>
      </c>
      <c r="I1953" s="173" t="inlineStr">
        <is>
          <t>中行北分</t>
        </is>
      </c>
      <c r="J1953" s="172" t="n">
        <v>10</v>
      </c>
      <c r="K1953" s="173" t="inlineStr">
        <is>
          <t>12+10+12</t>
        </is>
      </c>
      <c r="L1953" s="202" t="n">
        <v>46199</v>
      </c>
      <c r="M1953" s="175" t="n">
        <v>0.0148</v>
      </c>
      <c r="N1953" s="176" t="n">
        <v>0.02131</v>
      </c>
      <c r="O1953" s="172" t="n">
        <v>1.5</v>
      </c>
      <c r="P1953" s="172" t="inlineStr">
        <is>
          <t>优先A</t>
        </is>
      </c>
      <c r="Q1953" s="178" t="n">
        <v>0.9</v>
      </c>
      <c r="R1953" s="179">
        <f>Q1303*J1303</f>
        <v/>
      </c>
      <c r="S1953" s="177" t="inlineStr">
        <is>
          <t>AAA</t>
        </is>
      </c>
      <c r="T1953" s="178" t="n">
        <v>0.0165</v>
      </c>
      <c r="U1953" s="177" t="inlineStr">
        <is>
          <t>申万宏源自营</t>
        </is>
      </c>
      <c r="V1953" s="192" t="n">
        <v>0.5</v>
      </c>
      <c r="W1953" s="175" t="n">
        <v>0.0165</v>
      </c>
      <c r="X1953" s="172" t="inlineStr">
        <is>
          <t>申万宏源-北京</t>
        </is>
      </c>
      <c r="Y1953" s="191" t="n">
        <v>0.5</v>
      </c>
    </row>
    <row r="1954">
      <c r="A1954" s="172" t="n">
        <v>107</v>
      </c>
      <c r="B1954" s="172" t="inlineStr">
        <is>
          <t>6月</t>
        </is>
      </c>
      <c r="C1954" s="173" t="inlineStr">
        <is>
          <t>消金</t>
        </is>
      </c>
      <c r="D1954" s="173" t="inlineStr">
        <is>
          <t>金条&amp;白取混发</t>
        </is>
      </c>
      <c r="E1954" s="173" t="inlineStr">
        <is>
          <t>东樾4号夏樾（4-2）</t>
        </is>
      </c>
      <c r="F1954" s="173" t="inlineStr">
        <is>
          <t>银行间</t>
        </is>
      </c>
      <c r="G1954" s="173" t="inlineStr">
        <is>
          <t>招商证券</t>
        </is>
      </c>
      <c r="H1954" s="173" t="inlineStr">
        <is>
          <t>国泰海通/光大证券/中信证券/国信证券</t>
        </is>
      </c>
      <c r="I1954" s="173" t="inlineStr">
        <is>
          <t>中行北分</t>
        </is>
      </c>
      <c r="J1954" s="172" t="n">
        <v>10</v>
      </c>
      <c r="K1954" s="173" t="inlineStr">
        <is>
          <t>12+10+12</t>
        </is>
      </c>
      <c r="L1954" s="202" t="n">
        <v>46199</v>
      </c>
      <c r="M1954" s="175" t="n">
        <v>0.0148</v>
      </c>
      <c r="N1954" s="176" t="n">
        <v>0.02131</v>
      </c>
      <c r="O1954" s="172" t="n">
        <v>1.5</v>
      </c>
      <c r="P1954" s="172" t="inlineStr">
        <is>
          <t>优先A</t>
        </is>
      </c>
      <c r="Q1954" s="178" t="n">
        <v>0.9</v>
      </c>
      <c r="R1954" s="179">
        <f>Q1303*J1303</f>
        <v/>
      </c>
      <c r="S1954" s="177" t="inlineStr">
        <is>
          <t>AAA</t>
        </is>
      </c>
      <c r="T1954" s="178" t="n">
        <v>0.0165</v>
      </c>
      <c r="U1954" s="177" t="inlineStr">
        <is>
          <t>招商证券投行</t>
        </is>
      </c>
      <c r="V1954" s="192" t="n">
        <v>0.7</v>
      </c>
      <c r="W1954" s="175" t="n">
        <v>0.0165</v>
      </c>
      <c r="X1954" s="172" t="inlineStr">
        <is>
          <t>招商证券</t>
        </is>
      </c>
      <c r="Y1954" s="191" t="n">
        <v>1</v>
      </c>
    </row>
    <row r="1955">
      <c r="A1955" s="172" t="n">
        <v>107</v>
      </c>
      <c r="B1955" s="172" t="inlineStr">
        <is>
          <t>6月</t>
        </is>
      </c>
      <c r="C1955" s="173" t="inlineStr">
        <is>
          <t>消金</t>
        </is>
      </c>
      <c r="D1955" s="173" t="inlineStr">
        <is>
          <t>金条&amp;白取混发</t>
        </is>
      </c>
      <c r="E1955" s="173" t="inlineStr">
        <is>
          <t>东樾4号夏樾（4-2）</t>
        </is>
      </c>
      <c r="F1955" s="173" t="inlineStr">
        <is>
          <t>银行间</t>
        </is>
      </c>
      <c r="G1955" s="173" t="inlineStr">
        <is>
          <t>招商证券</t>
        </is>
      </c>
      <c r="H1955" s="173" t="inlineStr">
        <is>
          <t>国泰海通/光大证券/中信证券/国信证券</t>
        </is>
      </c>
      <c r="I1955" s="173" t="inlineStr">
        <is>
          <t>中行北分</t>
        </is>
      </c>
      <c r="J1955" s="172" t="n">
        <v>10</v>
      </c>
      <c r="K1955" s="173" t="inlineStr">
        <is>
          <t>12+10+12</t>
        </is>
      </c>
      <c r="L1955" s="202" t="n">
        <v>46199</v>
      </c>
      <c r="M1955" s="175" t="n">
        <v>0.0148</v>
      </c>
      <c r="N1955" s="176" t="n">
        <v>0.02131</v>
      </c>
      <c r="O1955" s="172" t="n">
        <v>1.5</v>
      </c>
      <c r="P1955" s="172" t="inlineStr">
        <is>
          <t>优先A</t>
        </is>
      </c>
      <c r="Q1955" s="178" t="n">
        <v>0.9</v>
      </c>
      <c r="R1955" s="179">
        <f>Q1303*J1303</f>
        <v/>
      </c>
      <c r="S1955" s="177" t="inlineStr">
        <is>
          <t>AAA</t>
        </is>
      </c>
      <c r="T1955" s="178" t="n">
        <v>0.0165</v>
      </c>
      <c r="U1955" s="177" t="inlineStr">
        <is>
          <t>中金投顾</t>
        </is>
      </c>
      <c r="V1955" s="192" t="n">
        <v>0.5</v>
      </c>
      <c r="W1955" s="175" t="n">
        <v>0.0165</v>
      </c>
      <c r="X1955" s="172" t="inlineStr">
        <is>
          <t>中金投顾</t>
        </is>
      </c>
      <c r="Y1955" s="191" t="n">
        <v>0.5</v>
      </c>
    </row>
    <row r="1956">
      <c r="A1956" s="172" t="n">
        <v>107</v>
      </c>
      <c r="B1956" s="172" t="inlineStr">
        <is>
          <t>6月</t>
        </is>
      </c>
      <c r="C1956" s="173" t="inlineStr">
        <is>
          <t>消金</t>
        </is>
      </c>
      <c r="D1956" s="173" t="inlineStr">
        <is>
          <t>金条&amp;白取混发</t>
        </is>
      </c>
      <c r="E1956" s="173" t="inlineStr">
        <is>
          <t>东樾4号夏樾（4-2）</t>
        </is>
      </c>
      <c r="F1956" s="173" t="inlineStr">
        <is>
          <t>银行间</t>
        </is>
      </c>
      <c r="G1956" s="173" t="inlineStr">
        <is>
          <t>招商证券</t>
        </is>
      </c>
      <c r="H1956" s="173" t="inlineStr">
        <is>
          <t>国泰海通/光大证券/中信证券/国信证券</t>
        </is>
      </c>
      <c r="I1956" s="173" t="inlineStr">
        <is>
          <t>中行北分</t>
        </is>
      </c>
      <c r="J1956" s="172" t="n">
        <v>10</v>
      </c>
      <c r="K1956" s="173" t="inlineStr">
        <is>
          <t>12+10+12</t>
        </is>
      </c>
      <c r="L1956" s="202" t="n">
        <v>46199</v>
      </c>
      <c r="M1956" s="175" t="n">
        <v>0.0148</v>
      </c>
      <c r="N1956" s="176" t="n">
        <v>0.02131</v>
      </c>
      <c r="O1956" s="172" t="n">
        <v>1.5</v>
      </c>
      <c r="P1956" s="172" t="inlineStr">
        <is>
          <t>优先A</t>
        </is>
      </c>
      <c r="Q1956" s="178" t="n">
        <v>0.9</v>
      </c>
      <c r="R1956" s="179">
        <f>Q1303*J1303</f>
        <v/>
      </c>
      <c r="S1956" s="177" t="inlineStr">
        <is>
          <t>AAA</t>
        </is>
      </c>
      <c r="T1956" s="178" t="n">
        <v>0.0165</v>
      </c>
      <c r="U1956" s="177" t="inlineStr">
        <is>
          <t>中信证券投行</t>
        </is>
      </c>
      <c r="V1956" s="192" t="n">
        <v>0.4</v>
      </c>
      <c r="W1956" s="175" t="n">
        <v>0.0165</v>
      </c>
      <c r="X1956" s="172" t="inlineStr">
        <is>
          <t>中信证券</t>
        </is>
      </c>
      <c r="Y1956" s="191" t="n">
        <v>1</v>
      </c>
    </row>
    <row r="1957">
      <c r="A1957" s="172" t="n">
        <v>107</v>
      </c>
      <c r="B1957" s="172" t="inlineStr">
        <is>
          <t>6月</t>
        </is>
      </c>
      <c r="C1957" s="173" t="inlineStr">
        <is>
          <t>消金</t>
        </is>
      </c>
      <c r="D1957" s="173" t="inlineStr">
        <is>
          <t>金条&amp;白取混发</t>
        </is>
      </c>
      <c r="E1957" s="173" t="inlineStr">
        <is>
          <t>东樾4号夏樾（4-2）</t>
        </is>
      </c>
      <c r="F1957" s="173" t="inlineStr">
        <is>
          <t>银行间</t>
        </is>
      </c>
      <c r="G1957" s="173" t="inlineStr">
        <is>
          <t>招商证券</t>
        </is>
      </c>
      <c r="H1957" s="173" t="inlineStr">
        <is>
          <t>国泰海通/光大证券/中信证券/国信证券</t>
        </is>
      </c>
      <c r="I1957" s="173" t="inlineStr">
        <is>
          <t>中行北分</t>
        </is>
      </c>
      <c r="J1957" s="172" t="n">
        <v>10</v>
      </c>
      <c r="K1957" s="173" t="inlineStr">
        <is>
          <t>12+10+12</t>
        </is>
      </c>
      <c r="L1957" s="202" t="n">
        <v>46199</v>
      </c>
      <c r="M1957" s="175" t="n">
        <v>0.0148</v>
      </c>
      <c r="N1957" s="176" t="n">
        <v>0.02131</v>
      </c>
      <c r="O1957" s="172" t="n">
        <v>1.5</v>
      </c>
      <c r="P1957" s="172" t="inlineStr">
        <is>
          <t>优先A</t>
        </is>
      </c>
      <c r="Q1957" s="178" t="n">
        <v>0.9</v>
      </c>
      <c r="R1957" s="179">
        <f>Q1303*J1303</f>
        <v/>
      </c>
      <c r="S1957" s="177" t="inlineStr">
        <is>
          <t>AAA</t>
        </is>
      </c>
      <c r="T1957" s="178" t="n">
        <v>0.0165</v>
      </c>
      <c r="U1957" s="177" t="inlineStr">
        <is>
          <t>中邮理财</t>
        </is>
      </c>
      <c r="V1957" s="192" t="n">
        <v>1.7</v>
      </c>
      <c r="W1957" s="175" t="n">
        <v>0.0165</v>
      </c>
      <c r="X1957" s="172" t="inlineStr">
        <is>
          <t>中邮理财</t>
        </is>
      </c>
      <c r="Y1957" s="191" t="n">
        <v>1.7</v>
      </c>
    </row>
    <row r="1958">
      <c r="A1958" s="172" t="n">
        <v>107</v>
      </c>
      <c r="B1958" s="172" t="inlineStr">
        <is>
          <t>6月</t>
        </is>
      </c>
      <c r="C1958" s="172" t="inlineStr">
        <is>
          <t>消金</t>
        </is>
      </c>
      <c r="D1958" s="172" t="inlineStr">
        <is>
          <t>金条&amp;白取混发</t>
        </is>
      </c>
      <c r="E1958" s="172" t="inlineStr">
        <is>
          <t>东樾4号夏樾（4-2）</t>
        </is>
      </c>
      <c r="F1958" s="172" t="inlineStr">
        <is>
          <t>银行间</t>
        </is>
      </c>
      <c r="G1958" s="172" t="inlineStr">
        <is>
          <t>招商证券</t>
        </is>
      </c>
      <c r="H1958" s="172" t="inlineStr">
        <is>
          <t>国泰海通/光大证券/中信证券/国信证券</t>
        </is>
      </c>
      <c r="I1958" s="172" t="inlineStr">
        <is>
          <t>中行北分</t>
        </is>
      </c>
      <c r="J1958" s="172" t="n">
        <v>10</v>
      </c>
      <c r="K1958" s="172" t="inlineStr">
        <is>
          <t>12+10+12</t>
        </is>
      </c>
      <c r="L1958" s="208" t="n">
        <v>46199</v>
      </c>
      <c r="M1958" s="175" t="n">
        <v>0.0148</v>
      </c>
      <c r="N1958" s="176" t="n">
        <v>0.02131</v>
      </c>
      <c r="O1958" s="172" t="n">
        <v>1.5</v>
      </c>
      <c r="P1958" s="172" t="inlineStr">
        <is>
          <t>优先A</t>
        </is>
      </c>
      <c r="Q1958" s="175" t="n">
        <v>0.9</v>
      </c>
      <c r="R1958" s="172">
        <f>Q1303*J1303</f>
        <v/>
      </c>
      <c r="S1958" s="172" t="inlineStr">
        <is>
          <t>AAA</t>
        </is>
      </c>
      <c r="T1958" s="175" t="n">
        <v>0.0165</v>
      </c>
      <c r="U1958" s="172" t="n"/>
      <c r="V1958" s="172" t="n"/>
      <c r="W1958" s="175" t="n">
        <v>0.0168</v>
      </c>
      <c r="X1958" s="172" t="inlineStr">
        <is>
          <t>中邮理财</t>
        </is>
      </c>
      <c r="Y1958" s="191" t="n">
        <v>1</v>
      </c>
    </row>
    <row r="1959">
      <c r="A1959" s="172" t="n">
        <v>107</v>
      </c>
      <c r="B1959" s="172" t="inlineStr">
        <is>
          <t>6月</t>
        </is>
      </c>
      <c r="C1959" s="173" t="inlineStr">
        <is>
          <t>消金</t>
        </is>
      </c>
      <c r="D1959" s="173" t="inlineStr">
        <is>
          <t>金条&amp;白取混发</t>
        </is>
      </c>
      <c r="E1959" s="173" t="inlineStr">
        <is>
          <t>东樾4号夏樾（4-2）</t>
        </is>
      </c>
      <c r="F1959" s="173" t="inlineStr">
        <is>
          <t>银行间</t>
        </is>
      </c>
      <c r="G1959" s="173" t="inlineStr">
        <is>
          <t>招商证券</t>
        </is>
      </c>
      <c r="H1959" s="173" t="inlineStr">
        <is>
          <t>国泰海通/光大证券/中信证券/国信证券</t>
        </is>
      </c>
      <c r="I1959" s="173" t="inlineStr">
        <is>
          <t>中行北分</t>
        </is>
      </c>
      <c r="J1959" s="172" t="n">
        <v>10</v>
      </c>
      <c r="K1959" s="173" t="inlineStr">
        <is>
          <t>12+10+12</t>
        </is>
      </c>
      <c r="L1959" s="202" t="n">
        <v>46199</v>
      </c>
      <c r="M1959" s="175" t="n">
        <v>0.0148</v>
      </c>
      <c r="N1959" s="176" t="n">
        <v>0.02131</v>
      </c>
      <c r="O1959" s="172" t="n">
        <v>1.5</v>
      </c>
      <c r="P1959" s="172" t="inlineStr">
        <is>
          <t>优先A</t>
        </is>
      </c>
      <c r="Q1959" s="178" t="n">
        <v>0.9</v>
      </c>
      <c r="R1959" s="179">
        <f>Q1303*J1303</f>
        <v/>
      </c>
      <c r="S1959" s="177" t="inlineStr">
        <is>
          <t>AAA</t>
        </is>
      </c>
      <c r="T1959" s="178" t="n">
        <v>0.0165</v>
      </c>
      <c r="U1959" s="177" t="inlineStr">
        <is>
          <t>招银理财</t>
        </is>
      </c>
      <c r="V1959" s="192" t="n">
        <v>2</v>
      </c>
      <c r="W1959" s="175" t="n">
        <v>0.0159</v>
      </c>
      <c r="X1959" s="172" t="inlineStr">
        <is>
          <t>招银理财</t>
        </is>
      </c>
      <c r="Y1959" s="191" t="n">
        <v>2</v>
      </c>
    </row>
    <row r="1960">
      <c r="A1960" s="172" t="n">
        <v>107</v>
      </c>
      <c r="B1960" s="172" t="inlineStr">
        <is>
          <t>6月</t>
        </is>
      </c>
      <c r="C1960" s="172" t="inlineStr">
        <is>
          <t>消金</t>
        </is>
      </c>
      <c r="D1960" s="172" t="inlineStr">
        <is>
          <t>金条&amp;白取混发</t>
        </is>
      </c>
      <c r="E1960" s="172" t="inlineStr">
        <is>
          <t>东樾4号夏樾（4-2）</t>
        </is>
      </c>
      <c r="F1960" s="172" t="inlineStr">
        <is>
          <t>银行间</t>
        </is>
      </c>
      <c r="G1960" s="172" t="inlineStr">
        <is>
          <t>招商证券</t>
        </is>
      </c>
      <c r="H1960" s="172" t="inlineStr">
        <is>
          <t>国泰海通/光大证券/中信证券/国信证券</t>
        </is>
      </c>
      <c r="I1960" s="172" t="inlineStr">
        <is>
          <t>中行北分</t>
        </is>
      </c>
      <c r="J1960" s="172" t="n">
        <v>10</v>
      </c>
      <c r="K1960" s="172" t="inlineStr">
        <is>
          <t>12+10+12</t>
        </is>
      </c>
      <c r="L1960" s="208" t="n">
        <v>46199</v>
      </c>
      <c r="M1960" s="175" t="n">
        <v>0.0148</v>
      </c>
      <c r="N1960" s="176" t="n">
        <v>0.02131</v>
      </c>
      <c r="O1960" s="172" t="n">
        <v>1.5</v>
      </c>
      <c r="P1960" s="172" t="inlineStr">
        <is>
          <t>优先A</t>
        </is>
      </c>
      <c r="Q1960" s="175" t="n">
        <v>0.9</v>
      </c>
      <c r="R1960" s="172">
        <f>Q1303*J1303</f>
        <v/>
      </c>
      <c r="S1960" s="172" t="inlineStr">
        <is>
          <t>AAA</t>
        </is>
      </c>
      <c r="T1960" s="175" t="n">
        <v>0.0165</v>
      </c>
      <c r="U1960" s="172" t="n"/>
      <c r="V1960" s="172" t="n"/>
      <c r="W1960" s="175" t="n">
        <v>0.017</v>
      </c>
      <c r="X1960" s="172" t="inlineStr">
        <is>
          <t>中金自营</t>
        </is>
      </c>
      <c r="Y1960" s="191" t="n">
        <v>0.8</v>
      </c>
    </row>
    <row r="1961">
      <c r="A1961" s="172" t="n">
        <v>107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金条&amp;白取混发</t>
        </is>
      </c>
      <c r="E1961" s="172" t="inlineStr">
        <is>
          <t>东樾4号夏樾（4-2）</t>
        </is>
      </c>
      <c r="F1961" s="172" t="inlineStr">
        <is>
          <t>银行间</t>
        </is>
      </c>
      <c r="G1961" s="172" t="inlineStr">
        <is>
          <t>招商证券</t>
        </is>
      </c>
      <c r="H1961" s="172" t="inlineStr">
        <is>
          <t>国泰海通/光大证券/中信证券/国信证券</t>
        </is>
      </c>
      <c r="I1961" s="172" t="inlineStr">
        <is>
          <t>中行北分</t>
        </is>
      </c>
      <c r="J1961" s="172" t="n">
        <v>10</v>
      </c>
      <c r="K1961" s="172" t="inlineStr">
        <is>
          <t>12+10+12</t>
        </is>
      </c>
      <c r="L1961" s="208" t="n">
        <v>46199</v>
      </c>
      <c r="M1961" s="175" t="n">
        <v>0.0148</v>
      </c>
      <c r="N1961" s="176" t="n">
        <v>0.02131</v>
      </c>
      <c r="O1961" s="172" t="n">
        <v>1.5</v>
      </c>
      <c r="P1961" s="172" t="inlineStr">
        <is>
          <t>优先A</t>
        </is>
      </c>
      <c r="Q1961" s="175" t="n">
        <v>0.9</v>
      </c>
      <c r="R1961" s="172">
        <f>Q1303*J1303</f>
        <v/>
      </c>
      <c r="S1961" s="172" t="inlineStr">
        <is>
          <t>AAA</t>
        </is>
      </c>
      <c r="T1961" s="175" t="n">
        <v>0.0165</v>
      </c>
      <c r="U1961" s="172" t="n"/>
      <c r="V1961" s="172" t="n"/>
      <c r="W1961" s="175" t="n">
        <v>0.017</v>
      </c>
      <c r="X1961" s="172" t="inlineStr">
        <is>
          <t>广银理财</t>
        </is>
      </c>
      <c r="Y1961" s="191" t="n">
        <v>0.5</v>
      </c>
    </row>
    <row r="1962">
      <c r="A1962" s="172" t="n">
        <v>107</v>
      </c>
      <c r="B1962" s="172" t="inlineStr">
        <is>
          <t>6月</t>
        </is>
      </c>
      <c r="C1962" s="173" t="inlineStr">
        <is>
          <t>消金</t>
        </is>
      </c>
      <c r="D1962" s="173" t="inlineStr">
        <is>
          <t>金条&amp;白取混发</t>
        </is>
      </c>
      <c r="E1962" s="173" t="inlineStr">
        <is>
          <t>东樾4号夏樾（4-2）</t>
        </is>
      </c>
      <c r="F1962" s="173" t="inlineStr">
        <is>
          <t>银行间</t>
        </is>
      </c>
      <c r="G1962" s="173" t="inlineStr">
        <is>
          <t>招商证券</t>
        </is>
      </c>
      <c r="H1962" s="173" t="inlineStr">
        <is>
          <t>国泰海通/光大证券/中信证券/国信证券</t>
        </is>
      </c>
      <c r="I1962" s="173" t="inlineStr">
        <is>
          <t>中行北分</t>
        </is>
      </c>
      <c r="J1962" s="172" t="n">
        <v>10</v>
      </c>
      <c r="K1962" s="173" t="inlineStr">
        <is>
          <t>12+10+12</t>
        </is>
      </c>
      <c r="L1962" s="202" t="n">
        <v>46199</v>
      </c>
      <c r="M1962" s="175" t="n">
        <v>0.0148</v>
      </c>
      <c r="N1962" s="176" t="n">
        <v>0.02131</v>
      </c>
      <c r="O1962" s="172" t="n">
        <v>1.5</v>
      </c>
      <c r="P1962" s="177" t="inlineStr">
        <is>
          <t>优先B</t>
        </is>
      </c>
      <c r="Q1962" s="178" t="n">
        <v>0.03</v>
      </c>
      <c r="R1962" s="179">
        <f>J1303*Q1314</f>
        <v/>
      </c>
      <c r="S1962" s="177" t="inlineStr">
        <is>
          <t>AA+</t>
        </is>
      </c>
      <c r="T1962" s="178" t="n">
        <v>0.0175</v>
      </c>
      <c r="U1962" s="177" t="inlineStr">
        <is>
          <t>东方财富证券</t>
        </is>
      </c>
      <c r="V1962" s="192" t="n">
        <v>0.2</v>
      </c>
      <c r="W1962" s="175" t="n">
        <v>0.0175</v>
      </c>
      <c r="X1962" s="172" t="inlineStr">
        <is>
          <t>东方财富证券</t>
        </is>
      </c>
      <c r="Y1962" s="191" t="n">
        <v>0.2</v>
      </c>
    </row>
    <row r="1963">
      <c r="A1963" s="172" t="n">
        <v>107</v>
      </c>
      <c r="B1963" s="172" t="inlineStr">
        <is>
          <t>6月</t>
        </is>
      </c>
      <c r="C1963" s="173" t="inlineStr">
        <is>
          <t>消金</t>
        </is>
      </c>
      <c r="D1963" s="173" t="inlineStr">
        <is>
          <t>金条&amp;白取混发</t>
        </is>
      </c>
      <c r="E1963" s="173" t="inlineStr">
        <is>
          <t>东樾4号夏樾（4-2）</t>
        </is>
      </c>
      <c r="F1963" s="173" t="inlineStr">
        <is>
          <t>银行间</t>
        </is>
      </c>
      <c r="G1963" s="173" t="inlineStr">
        <is>
          <t>招商证券</t>
        </is>
      </c>
      <c r="H1963" s="173" t="inlineStr">
        <is>
          <t>国泰海通/光大证券/中信证券/国信证券</t>
        </is>
      </c>
      <c r="I1963" s="173" t="inlineStr">
        <is>
          <t>中行北分</t>
        </is>
      </c>
      <c r="J1963" s="172" t="n">
        <v>10</v>
      </c>
      <c r="K1963" s="173" t="inlineStr">
        <is>
          <t>12+10+12</t>
        </is>
      </c>
      <c r="L1963" s="202" t="n">
        <v>46199</v>
      </c>
      <c r="M1963" s="175" t="n">
        <v>0.0148</v>
      </c>
      <c r="N1963" s="176" t="n">
        <v>0.02131</v>
      </c>
      <c r="O1963" s="172" t="n">
        <v>1.5</v>
      </c>
      <c r="P1963" s="172" t="inlineStr">
        <is>
          <t>优先B</t>
        </is>
      </c>
      <c r="Q1963" s="178" t="n">
        <v>0.03</v>
      </c>
      <c r="R1963" s="179">
        <f>J1303*Q1314</f>
        <v/>
      </c>
      <c r="S1963" s="177" t="inlineStr">
        <is>
          <t>AA+</t>
        </is>
      </c>
      <c r="T1963" s="178" t="n">
        <v>0.0175</v>
      </c>
      <c r="U1963" s="177" t="inlineStr">
        <is>
          <t>交银理财</t>
        </is>
      </c>
      <c r="V1963" s="192" t="n">
        <v>0.09</v>
      </c>
      <c r="W1963" s="175" t="n">
        <v>0.017</v>
      </c>
      <c r="X1963" s="172" t="inlineStr">
        <is>
          <t>交银理财</t>
        </is>
      </c>
      <c r="Y1963" s="191" t="n">
        <v>0.09</v>
      </c>
    </row>
    <row r="1964">
      <c r="A1964" s="172" t="n">
        <v>107</v>
      </c>
      <c r="B1964" s="172" t="inlineStr">
        <is>
          <t>6月</t>
        </is>
      </c>
      <c r="C1964" s="173" t="inlineStr">
        <is>
          <t>消金</t>
        </is>
      </c>
      <c r="D1964" s="173" t="inlineStr">
        <is>
          <t>金条&amp;白取混发</t>
        </is>
      </c>
      <c r="E1964" s="173" t="inlineStr">
        <is>
          <t>东樾4号夏樾（4-2）</t>
        </is>
      </c>
      <c r="F1964" s="173" t="inlineStr">
        <is>
          <t>银行间</t>
        </is>
      </c>
      <c r="G1964" s="173" t="inlineStr">
        <is>
          <t>招商证券</t>
        </is>
      </c>
      <c r="H1964" s="173" t="inlineStr">
        <is>
          <t>国泰海通/光大证券/中信证券/国信证券</t>
        </is>
      </c>
      <c r="I1964" s="173" t="inlineStr">
        <is>
          <t>中行北分</t>
        </is>
      </c>
      <c r="J1964" s="172" t="n">
        <v>10</v>
      </c>
      <c r="K1964" s="173" t="inlineStr">
        <is>
          <t>12+10+12</t>
        </is>
      </c>
      <c r="L1964" s="202" t="n">
        <v>46199</v>
      </c>
      <c r="M1964" s="175" t="n">
        <v>0.0148</v>
      </c>
      <c r="N1964" s="176" t="n">
        <v>0.02131</v>
      </c>
      <c r="O1964" s="172" t="n">
        <v>1.5</v>
      </c>
      <c r="P1964" s="172" t="inlineStr">
        <is>
          <t>优先B</t>
        </is>
      </c>
      <c r="Q1964" s="178" t="n">
        <v>0.03</v>
      </c>
      <c r="R1964" s="179">
        <f>J1303*Q1314</f>
        <v/>
      </c>
      <c r="S1964" s="177" t="inlineStr">
        <is>
          <t>AA+</t>
        </is>
      </c>
      <c r="T1964" s="178" t="n">
        <v>0.0175</v>
      </c>
      <c r="U1964" s="177" t="inlineStr">
        <is>
          <t>中信建投衍生品</t>
        </is>
      </c>
      <c r="V1964" s="192" t="n">
        <v>0.01</v>
      </c>
      <c r="W1964" s="175" t="n">
        <v>0.0175</v>
      </c>
      <c r="X1964" s="172" t="inlineStr">
        <is>
          <t>中信建投-衍生品</t>
        </is>
      </c>
      <c r="Y1964" s="191" t="n">
        <v>0.01</v>
      </c>
    </row>
    <row r="1965">
      <c r="A1965" s="172" t="n">
        <v>107</v>
      </c>
      <c r="B1965" s="172" t="inlineStr">
        <is>
          <t>6月</t>
        </is>
      </c>
      <c r="C1965" s="172" t="inlineStr">
        <is>
          <t>消金</t>
        </is>
      </c>
      <c r="D1965" s="172" t="inlineStr">
        <is>
          <t>金条&amp;白取混发</t>
        </is>
      </c>
      <c r="E1965" s="172" t="inlineStr">
        <is>
          <t>东樾4号夏樾（4-2）</t>
        </is>
      </c>
      <c r="F1965" s="172" t="inlineStr">
        <is>
          <t>银行间</t>
        </is>
      </c>
      <c r="G1965" s="172" t="inlineStr">
        <is>
          <t>招商证券</t>
        </is>
      </c>
      <c r="H1965" s="172" t="inlineStr">
        <is>
          <t>国泰海通/光大证券/中信证券/国信证券</t>
        </is>
      </c>
      <c r="I1965" s="172" t="inlineStr">
        <is>
          <t>中行北分</t>
        </is>
      </c>
      <c r="J1965" s="172" t="n">
        <v>10</v>
      </c>
      <c r="K1965" s="172" t="inlineStr">
        <is>
          <t>12+10+12</t>
        </is>
      </c>
      <c r="L1965" s="208" t="n">
        <v>46199</v>
      </c>
      <c r="M1965" s="175" t="n">
        <v>0.0148</v>
      </c>
      <c r="N1965" s="176" t="n">
        <v>0.02131</v>
      </c>
      <c r="O1965" s="172" t="n">
        <v>1.5</v>
      </c>
      <c r="P1965" s="172" t="inlineStr">
        <is>
          <t>优先B</t>
        </is>
      </c>
      <c r="Q1965" s="175" t="n">
        <v>0.03</v>
      </c>
      <c r="R1965" s="172">
        <f>J1303*Q1314</f>
        <v/>
      </c>
      <c r="S1965" s="172" t="inlineStr">
        <is>
          <t>AA+</t>
        </is>
      </c>
      <c r="T1965" s="175" t="n">
        <v>0.0175</v>
      </c>
      <c r="U1965" s="172" t="n"/>
      <c r="V1965" s="172" t="n"/>
      <c r="W1965" s="175" t="n">
        <v>0.02</v>
      </c>
      <c r="X1965" s="172" t="inlineStr">
        <is>
          <t>中金自营</t>
        </is>
      </c>
      <c r="Y1965" s="191" t="n">
        <v>0.2</v>
      </c>
    </row>
    <row r="1966">
      <c r="A1966" s="172" t="n">
        <v>107</v>
      </c>
      <c r="B1966" s="172" t="inlineStr">
        <is>
          <t>6月</t>
        </is>
      </c>
      <c r="C1966" s="173" t="inlineStr">
        <is>
          <t>消金</t>
        </is>
      </c>
      <c r="D1966" s="173" t="inlineStr">
        <is>
          <t>金条&amp;白取混发</t>
        </is>
      </c>
      <c r="E1966" s="173" t="inlineStr">
        <is>
          <t>东樾4号夏樾（4-2）</t>
        </is>
      </c>
      <c r="F1966" s="173" t="inlineStr">
        <is>
          <t>银行间</t>
        </is>
      </c>
      <c r="G1966" s="173" t="inlineStr">
        <is>
          <t>招商证券</t>
        </is>
      </c>
      <c r="H1966" s="173" t="inlineStr">
        <is>
          <t>国泰海通/光大证券/中信证券/国信证券</t>
        </is>
      </c>
      <c r="I1966" s="173" t="inlineStr">
        <is>
          <t>中行北分</t>
        </is>
      </c>
      <c r="J1966" s="172" t="n">
        <v>10</v>
      </c>
      <c r="K1966" s="173" t="inlineStr">
        <is>
          <t>12+10+12</t>
        </is>
      </c>
      <c r="L1966" s="202" t="n">
        <v>46199</v>
      </c>
      <c r="M1966" s="175" t="n">
        <v>0.0148</v>
      </c>
      <c r="N1966" s="176" t="n">
        <v>0.02131</v>
      </c>
      <c r="O1966" s="172" t="n">
        <v>1.5</v>
      </c>
      <c r="P1966" s="177" t="inlineStr">
        <is>
          <t>中间级</t>
        </is>
      </c>
      <c r="Q1966" s="178" t="n">
        <v>0.02</v>
      </c>
      <c r="R1966" s="179">
        <f>Q1317*J1303</f>
        <v/>
      </c>
      <c r="S1966" s="177" t="inlineStr">
        <is>
          <t>A+</t>
        </is>
      </c>
      <c r="T1966" s="178" t="n">
        <v>0.031</v>
      </c>
      <c r="U1966" s="177" t="inlineStr">
        <is>
          <t>汇华理财</t>
        </is>
      </c>
      <c r="V1966" s="192" t="n">
        <v>0.04</v>
      </c>
      <c r="W1966" s="172" t="n"/>
      <c r="X1966" s="172" t="n"/>
      <c r="Y1966" s="172" t="n"/>
    </row>
    <row r="1967">
      <c r="A1967" s="172" t="n">
        <v>107</v>
      </c>
      <c r="B1967" s="172" t="inlineStr">
        <is>
          <t>6月</t>
        </is>
      </c>
      <c r="C1967" s="173" t="inlineStr">
        <is>
          <t>消金</t>
        </is>
      </c>
      <c r="D1967" s="173" t="inlineStr">
        <is>
          <t>金条&amp;白取混发</t>
        </is>
      </c>
      <c r="E1967" s="173" t="inlineStr">
        <is>
          <t>东樾4号夏樾（4-2）</t>
        </is>
      </c>
      <c r="F1967" s="173" t="inlineStr">
        <is>
          <t>银行间</t>
        </is>
      </c>
      <c r="G1967" s="173" t="inlineStr">
        <is>
          <t>招商证券</t>
        </is>
      </c>
      <c r="H1967" s="173" t="inlineStr">
        <is>
          <t>国泰海通/光大证券/中信证券/国信证券</t>
        </is>
      </c>
      <c r="I1967" s="173" t="inlineStr">
        <is>
          <t>中行北分</t>
        </is>
      </c>
      <c r="J1967" s="172" t="n">
        <v>10</v>
      </c>
      <c r="K1967" s="173" t="inlineStr">
        <is>
          <t>12+10+12</t>
        </is>
      </c>
      <c r="L1967" s="202" t="n">
        <v>46199</v>
      </c>
      <c r="M1967" s="175" t="n">
        <v>0.0148</v>
      </c>
      <c r="N1967" s="176" t="n">
        <v>0.02131</v>
      </c>
      <c r="O1967" s="172" t="n">
        <v>1.5</v>
      </c>
      <c r="P1967" s="172" t="inlineStr">
        <is>
          <t>中间级</t>
        </is>
      </c>
      <c r="Q1967" s="178" t="n">
        <v>0.02</v>
      </c>
      <c r="R1967" s="179">
        <f>Q1317*J1303</f>
        <v/>
      </c>
      <c r="S1967" s="177" t="inlineStr">
        <is>
          <t>A+</t>
        </is>
      </c>
      <c r="T1967" s="178" t="n">
        <v>0.031</v>
      </c>
      <c r="U1967" s="177" t="inlineStr">
        <is>
          <t>利曦基金</t>
        </is>
      </c>
      <c r="V1967" s="192" t="n">
        <v>0.16</v>
      </c>
      <c r="W1967" s="172" t="n"/>
      <c r="X1967" s="172" t="n"/>
      <c r="Y1967" s="172" t="n"/>
    </row>
    <row r="1968">
      <c r="A1968" s="172" t="n">
        <v>107</v>
      </c>
      <c r="B1968" s="172" t="inlineStr">
        <is>
          <t>6月</t>
        </is>
      </c>
      <c r="C1968" s="173" t="inlineStr">
        <is>
          <t>消金</t>
        </is>
      </c>
      <c r="D1968" s="173" t="inlineStr">
        <is>
          <t>金条&amp;白取混发</t>
        </is>
      </c>
      <c r="E1968" s="173" t="inlineStr">
        <is>
          <t>东樾4号夏樾（4-2）</t>
        </is>
      </c>
      <c r="F1968" s="173" t="inlineStr">
        <is>
          <t>银行间</t>
        </is>
      </c>
      <c r="G1968" s="173" t="inlineStr">
        <is>
          <t>招商证券</t>
        </is>
      </c>
      <c r="H1968" s="173" t="inlineStr">
        <is>
          <t>国泰海通/光大证券/中信证券/国信证券</t>
        </is>
      </c>
      <c r="I1968" s="173" t="inlineStr">
        <is>
          <t>中行北分</t>
        </is>
      </c>
      <c r="J1968" s="172" t="n">
        <v>10</v>
      </c>
      <c r="K1968" s="173" t="inlineStr">
        <is>
          <t>12+10+12</t>
        </is>
      </c>
      <c r="L1968" s="202" t="n">
        <v>46199</v>
      </c>
      <c r="M1968" s="175" t="n">
        <v>0.0148</v>
      </c>
      <c r="N1968" s="176" t="n">
        <v>0.02131</v>
      </c>
      <c r="O1968" s="172" t="n">
        <v>1.5</v>
      </c>
      <c r="P1968" s="177" t="inlineStr">
        <is>
          <t>受益权</t>
        </is>
      </c>
      <c r="Q1968" s="178" t="n">
        <v>0.05</v>
      </c>
      <c r="R1968" s="179">
        <f>Q1319*J1303</f>
        <v/>
      </c>
      <c r="S1968" s="177" t="inlineStr">
        <is>
          <t>无</t>
        </is>
      </c>
      <c r="T1968" s="178" t="n">
        <v>0.0495</v>
      </c>
      <c r="U1968" s="177" t="inlineStr">
        <is>
          <t>中信建投衍生品</t>
        </is>
      </c>
      <c r="V1968" s="192" t="n">
        <v>0.2</v>
      </c>
      <c r="W1968" s="172" t="n"/>
      <c r="X1968" s="172" t="n"/>
      <c r="Y1968" s="172" t="n"/>
    </row>
    <row r="1969">
      <c r="A1969" s="172" t="n">
        <v>107</v>
      </c>
      <c r="B1969" s="172" t="inlineStr">
        <is>
          <t>6月</t>
        </is>
      </c>
      <c r="C1969" s="173" t="inlineStr">
        <is>
          <t>消金</t>
        </is>
      </c>
      <c r="D1969" s="173" t="inlineStr">
        <is>
          <t>金条&amp;白取混发</t>
        </is>
      </c>
      <c r="E1969" s="173" t="inlineStr">
        <is>
          <t>东樾4号夏樾（4-2）</t>
        </is>
      </c>
      <c r="F1969" s="173" t="inlineStr">
        <is>
          <t>银行间</t>
        </is>
      </c>
      <c r="G1969" s="173" t="inlineStr">
        <is>
          <t>招商证券</t>
        </is>
      </c>
      <c r="H1969" s="173" t="inlineStr">
        <is>
          <t>国泰海通/光大证券/中信证券/国信证券</t>
        </is>
      </c>
      <c r="I1969" s="173" t="inlineStr">
        <is>
          <t>中行北分</t>
        </is>
      </c>
      <c r="J1969" s="172" t="n">
        <v>10</v>
      </c>
      <c r="K1969" s="173" t="inlineStr">
        <is>
          <t>12+10+12</t>
        </is>
      </c>
      <c r="L1969" s="202" t="n">
        <v>46199</v>
      </c>
      <c r="M1969" s="175" t="n">
        <v>0.0148</v>
      </c>
      <c r="N1969" s="176" t="n">
        <v>0.02131</v>
      </c>
      <c r="O1969" s="172" t="n">
        <v>1.5</v>
      </c>
      <c r="P1969" s="172" t="inlineStr">
        <is>
          <t>受益权</t>
        </is>
      </c>
      <c r="Q1969" s="178" t="n">
        <v>0.05</v>
      </c>
      <c r="R1969" s="179">
        <f>Q1319*J1303</f>
        <v/>
      </c>
      <c r="S1969" s="177" t="inlineStr">
        <is>
          <t>无</t>
        </is>
      </c>
      <c r="T1969" s="178" t="n">
        <v>0.0495</v>
      </c>
      <c r="U1969" s="177" t="inlineStr">
        <is>
          <t>国泰海通自营</t>
        </is>
      </c>
      <c r="V1969" s="192" t="n">
        <v>0.2</v>
      </c>
      <c r="W1969" s="172" t="n"/>
      <c r="X1969" s="172" t="n"/>
      <c r="Y1969" s="172" t="n"/>
    </row>
    <row r="1970">
      <c r="A1970" s="172" t="n">
        <v>107</v>
      </c>
      <c r="B1970" s="172" t="inlineStr">
        <is>
          <t>6月</t>
        </is>
      </c>
      <c r="C1970" s="173" t="inlineStr">
        <is>
          <t>消金</t>
        </is>
      </c>
      <c r="D1970" s="173" t="inlineStr">
        <is>
          <t>金条&amp;白取混发</t>
        </is>
      </c>
      <c r="E1970" s="173" t="inlineStr">
        <is>
          <t>东樾4号夏樾（4-2）</t>
        </is>
      </c>
      <c r="F1970" s="173" t="inlineStr">
        <is>
          <t>银行间</t>
        </is>
      </c>
      <c r="G1970" s="173" t="inlineStr">
        <is>
          <t>招商证券</t>
        </is>
      </c>
      <c r="H1970" s="173" t="inlineStr">
        <is>
          <t>国泰海通/光大证券/中信证券/国信证券</t>
        </is>
      </c>
      <c r="I1970" s="173" t="inlineStr">
        <is>
          <t>中行北分</t>
        </is>
      </c>
      <c r="J1970" s="172" t="n">
        <v>10</v>
      </c>
      <c r="K1970" s="173" t="inlineStr">
        <is>
          <t>12+10+12</t>
        </is>
      </c>
      <c r="L1970" s="202" t="n">
        <v>46199</v>
      </c>
      <c r="M1970" s="175" t="n">
        <v>0.0148</v>
      </c>
      <c r="N1970" s="176" t="n">
        <v>0.02131</v>
      </c>
      <c r="O1970" s="172" t="n">
        <v>1.5</v>
      </c>
      <c r="P1970" s="172" t="inlineStr">
        <is>
          <t>受益权</t>
        </is>
      </c>
      <c r="Q1970" s="178" t="n">
        <v>0.05</v>
      </c>
      <c r="R1970" s="179">
        <f>Q1319*J1303</f>
        <v/>
      </c>
      <c r="S1970" s="177" t="inlineStr">
        <is>
          <t>无</t>
        </is>
      </c>
      <c r="T1970" s="178" t="n">
        <v>0.0495</v>
      </c>
      <c r="U1970" s="177" t="inlineStr">
        <is>
          <t>中信建投机构部</t>
        </is>
      </c>
      <c r="V1970" s="192" t="n">
        <v>0.1</v>
      </c>
      <c r="W1970" s="172" t="n"/>
      <c r="X1970" s="172" t="n"/>
      <c r="Y1970" s="172" t="n"/>
    </row>
    <row r="1971">
      <c r="A1971" s="172" t="n">
        <v>108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信托白条</t>
        </is>
      </c>
      <c r="E1971" s="173" t="inlineStr">
        <is>
          <t>钰泽6号</t>
        </is>
      </c>
      <c r="F1971" s="173" t="inlineStr">
        <is>
          <t>非标</t>
        </is>
      </c>
      <c r="G1971" s="173" t="inlineStr">
        <is>
          <t>西藏信托</t>
        </is>
      </c>
      <c r="H1971" s="173" t="inlineStr">
        <is>
          <t>-</t>
        </is>
      </c>
      <c r="I1971" s="173" t="inlineStr">
        <is>
          <t>中行北分</t>
        </is>
      </c>
      <c r="J1971" s="207" t="n">
        <v>7.9</v>
      </c>
      <c r="K1971" s="173" t="inlineStr">
        <is>
          <t>11+1</t>
        </is>
      </c>
      <c r="L1971" s="202" t="n">
        <v>46202</v>
      </c>
      <c r="M1971" s="175" t="n">
        <v>0.0148</v>
      </c>
      <c r="N1971" s="176" t="n">
        <v>0.02905</v>
      </c>
      <c r="O1971" s="172" t="inlineStr">
        <is>
          <t>-</t>
        </is>
      </c>
      <c r="P1971" s="177" t="inlineStr">
        <is>
          <t>平层</t>
        </is>
      </c>
      <c r="Q1971" s="172" t="inlineStr">
        <is>
          <t>-</t>
        </is>
      </c>
      <c r="R1971" s="192" t="n">
        <v>7.9</v>
      </c>
      <c r="S1971" s="177" t="inlineStr">
        <is>
          <t>无</t>
        </is>
      </c>
      <c r="T1971" s="178" t="n">
        <v>0.026</v>
      </c>
      <c r="U1971" s="177" t="inlineStr">
        <is>
          <t>中银理财</t>
        </is>
      </c>
      <c r="V1971" s="207" t="n">
        <v>7.9</v>
      </c>
      <c r="W1971" s="172" t="n"/>
      <c r="X1971" s="172" t="n"/>
      <c r="Y1971" s="172" t="n"/>
    </row>
    <row r="1972">
      <c r="A1972" s="172" t="n">
        <v>109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信托企业主贷</t>
        </is>
      </c>
      <c r="E1972" s="173" t="inlineStr">
        <is>
          <t>锦实1号</t>
        </is>
      </c>
      <c r="F1972" s="173" t="inlineStr">
        <is>
          <t>非标</t>
        </is>
      </c>
      <c r="G1972" s="173" t="inlineStr">
        <is>
          <t>天津信托</t>
        </is>
      </c>
      <c r="H1972" s="173" t="inlineStr">
        <is>
          <t>-</t>
        </is>
      </c>
      <c r="I1972" s="173" t="inlineStr">
        <is>
          <t>南京银行</t>
        </is>
      </c>
      <c r="J1972" s="207" t="n">
        <v>6</v>
      </c>
      <c r="K1972" s="173" t="inlineStr">
        <is>
          <t>10+2</t>
        </is>
      </c>
      <c r="L1972" s="202" t="n">
        <v>46202</v>
      </c>
      <c r="M1972" s="175" t="n">
        <v>0.0148</v>
      </c>
      <c r="N1972" s="176" t="n">
        <v>0.02805</v>
      </c>
      <c r="O1972" s="172" t="inlineStr">
        <is>
          <t>-</t>
        </is>
      </c>
      <c r="P1972" s="177" t="inlineStr">
        <is>
          <t>平层</t>
        </is>
      </c>
      <c r="Q1972" s="172" t="inlineStr">
        <is>
          <t>-</t>
        </is>
      </c>
      <c r="R1972" s="192" t="n">
        <v>6</v>
      </c>
      <c r="S1972" s="177" t="inlineStr">
        <is>
          <t>无</t>
        </is>
      </c>
      <c r="T1972" s="178" t="n">
        <v>0.025</v>
      </c>
      <c r="U1972" s="177" t="inlineStr">
        <is>
          <t>南银理财</t>
        </is>
      </c>
      <c r="V1972" s="207" t="n">
        <v>6</v>
      </c>
      <c r="W1972" s="172" t="n"/>
      <c r="X1972" s="172" t="n"/>
      <c r="Y1972" s="172" t="n"/>
    </row>
    <row r="1973">
      <c r="A1973" s="172" t="n">
        <v>110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信托白条</t>
        </is>
      </c>
      <c r="E1973" s="173" t="inlineStr">
        <is>
          <t>格昱28号</t>
        </is>
      </c>
      <c r="F1973" s="173" t="inlineStr">
        <is>
          <t>非标</t>
        </is>
      </c>
      <c r="G1973" s="173" t="inlineStr">
        <is>
          <t>华鑫信托</t>
        </is>
      </c>
      <c r="H1973" s="173" t="inlineStr">
        <is>
          <t>-</t>
        </is>
      </c>
      <c r="I1973" s="173" t="inlineStr">
        <is>
          <t>上银浦东分行</t>
        </is>
      </c>
      <c r="J1973" s="207" t="n">
        <v>5</v>
      </c>
      <c r="K1973" s="173" t="inlineStr">
        <is>
          <t>11+1</t>
        </is>
      </c>
      <c r="L1973" s="202" t="n">
        <v>46203</v>
      </c>
      <c r="M1973" s="175" t="n">
        <v>0.0148</v>
      </c>
      <c r="N1973" s="176" t="n">
        <v>0.03105</v>
      </c>
      <c r="O1973" s="172" t="inlineStr">
        <is>
          <t>-</t>
        </is>
      </c>
      <c r="P1973" s="177" t="inlineStr">
        <is>
          <t>平层</t>
        </is>
      </c>
      <c r="Q1973" s="172" t="inlineStr">
        <is>
          <t>-</t>
        </is>
      </c>
      <c r="R1973" s="192" t="n">
        <v>5</v>
      </c>
      <c r="S1973" s="177" t="inlineStr">
        <is>
          <t>无</t>
        </is>
      </c>
      <c r="T1973" s="178" t="n">
        <v>0.028</v>
      </c>
      <c r="U1973" s="177" t="inlineStr">
        <is>
          <t>上银理财</t>
        </is>
      </c>
      <c r="V1973" s="207" t="n">
        <v>5</v>
      </c>
      <c r="W1973" s="172" t="n"/>
      <c r="X1973" s="172" t="n"/>
      <c r="Y1973" s="172" t="n"/>
    </row>
    <row r="1974">
      <c r="A1974" s="172" t="n">
        <v>111</v>
      </c>
      <c r="B1974" s="172" t="inlineStr">
        <is>
          <t>6月</t>
        </is>
      </c>
      <c r="C1974" s="172" t="inlineStr">
        <is>
          <t>消金</t>
        </is>
      </c>
      <c r="D1974" s="172" t="inlineStr">
        <is>
          <t>金条&amp;白取&amp;白条混发</t>
        </is>
      </c>
      <c r="E1974" s="172" t="inlineStr">
        <is>
          <t>天玑52-2号</t>
        </is>
      </c>
      <c r="F1974" s="172" t="inlineStr">
        <is>
          <t>结构化非标</t>
        </is>
      </c>
      <c r="G1974" s="172" t="inlineStr">
        <is>
          <t>国民信托</t>
        </is>
      </c>
      <c r="H1974" s="172" t="inlineStr">
        <is>
          <t>-</t>
        </is>
      </c>
      <c r="I1974" s="172" t="inlineStr">
        <is>
          <t>招行北分</t>
        </is>
      </c>
      <c r="J1974" s="172" t="n">
        <v>13</v>
      </c>
      <c r="K1974" s="172" t="inlineStr">
        <is>
          <t>11+13</t>
        </is>
      </c>
      <c r="L1974" s="202" t="n">
        <v>46203</v>
      </c>
      <c r="M1974" s="175" t="n">
        <v>0.0148</v>
      </c>
      <c r="N1974" s="176" t="n">
        <v>0.03098</v>
      </c>
      <c r="O1974" s="191" t="inlineStr">
        <is>
          <t>-</t>
        </is>
      </c>
      <c r="P1974" s="172" t="inlineStr">
        <is>
          <t>结构化平层</t>
        </is>
      </c>
      <c r="Q1974" s="175" t="n">
        <v>0.75</v>
      </c>
      <c r="R1974" s="192" t="n">
        <v>9.75</v>
      </c>
      <c r="S1974" s="172" t="inlineStr">
        <is>
          <t>无</t>
        </is>
      </c>
      <c r="T1974" s="175" t="n">
        <v>0.0249</v>
      </c>
      <c r="U1974" s="172" t="inlineStr">
        <is>
          <t>花旗银行</t>
        </is>
      </c>
      <c r="V1974" s="172" t="n">
        <v>9.75</v>
      </c>
      <c r="W1974" s="172" t="n"/>
      <c r="X1974" s="172" t="n"/>
      <c r="Y1974" s="172" t="n"/>
    </row>
    <row r="1975">
      <c r="A1975" s="172" t="n">
        <v>111</v>
      </c>
      <c r="B1975" s="172" t="inlineStr">
        <is>
          <t>6月</t>
        </is>
      </c>
      <c r="C1975" s="172" t="inlineStr">
        <is>
          <t>消金</t>
        </is>
      </c>
      <c r="D1975" s="172" t="inlineStr">
        <is>
          <t>金条&amp;白取&amp;白条混发</t>
        </is>
      </c>
      <c r="E1975" s="172" t="inlineStr">
        <is>
          <t>天玑52-2号</t>
        </is>
      </c>
      <c r="F1975" s="172" t="inlineStr">
        <is>
          <t>结构化非标</t>
        </is>
      </c>
      <c r="G1975" s="172" t="inlineStr">
        <is>
          <t>国民信托</t>
        </is>
      </c>
      <c r="H1975" s="172" t="inlineStr">
        <is>
          <t>-</t>
        </is>
      </c>
      <c r="I1975" s="172" t="inlineStr">
        <is>
          <t>招行北分</t>
        </is>
      </c>
      <c r="J1975" s="172" t="n">
        <v>13</v>
      </c>
      <c r="K1975" s="172" t="inlineStr">
        <is>
          <t>11+13</t>
        </is>
      </c>
      <c r="L1975" s="202" t="n">
        <v>46203</v>
      </c>
      <c r="M1975" s="175" t="n">
        <v>0.0148</v>
      </c>
      <c r="N1975" s="176" t="n">
        <v>0.03098</v>
      </c>
      <c r="O1975" s="191" t="inlineStr">
        <is>
          <t>-</t>
        </is>
      </c>
      <c r="P1975" s="172" t="inlineStr">
        <is>
          <t>结构化平层</t>
        </is>
      </c>
      <c r="Q1975" s="175" t="n">
        <v>0.25</v>
      </c>
      <c r="R1975" s="192" t="n">
        <v>3.25</v>
      </c>
      <c r="S1975" s="172" t="inlineStr">
        <is>
          <t>无</t>
        </is>
      </c>
      <c r="T1975" s="175" t="n">
        <v>0.037</v>
      </c>
      <c r="U1975" s="172" t="inlineStr">
        <is>
          <t>中金自营</t>
        </is>
      </c>
      <c r="V1975" s="191" t="n">
        <v>0.8</v>
      </c>
      <c r="W1975" s="172" t="n"/>
      <c r="X1975" s="172" t="n"/>
      <c r="Y1975" s="172" t="n"/>
    </row>
    <row r="1976">
      <c r="A1976" s="172" t="n">
        <v>111</v>
      </c>
      <c r="B1976" s="172" t="inlineStr">
        <is>
          <t>6月</t>
        </is>
      </c>
      <c r="C1976" s="172" t="inlineStr">
        <is>
          <t>消金</t>
        </is>
      </c>
      <c r="D1976" s="172" t="inlineStr">
        <is>
          <t>金条&amp;白取&amp;白条混发</t>
        </is>
      </c>
      <c r="E1976" s="172" t="inlineStr">
        <is>
          <t>天玑52-2号</t>
        </is>
      </c>
      <c r="F1976" s="172" t="inlineStr">
        <is>
          <t>结构化非标</t>
        </is>
      </c>
      <c r="G1976" s="172" t="inlineStr">
        <is>
          <t>国民信托</t>
        </is>
      </c>
      <c r="H1976" s="172" t="inlineStr">
        <is>
          <t>-</t>
        </is>
      </c>
      <c r="I1976" s="172" t="inlineStr">
        <is>
          <t>招行北分</t>
        </is>
      </c>
      <c r="J1976" s="172" t="n">
        <v>13</v>
      </c>
      <c r="K1976" s="172" t="inlineStr">
        <is>
          <t>11+13</t>
        </is>
      </c>
      <c r="L1976" s="202" t="n">
        <v>46203</v>
      </c>
      <c r="M1976" s="175" t="n">
        <v>0.0148</v>
      </c>
      <c r="N1976" s="176" t="n">
        <v>0.03098</v>
      </c>
      <c r="O1976" s="191" t="inlineStr">
        <is>
          <t>-</t>
        </is>
      </c>
      <c r="P1976" s="172" t="inlineStr">
        <is>
          <t>结构化平层</t>
        </is>
      </c>
      <c r="Q1976" s="175" t="n">
        <v>0.25</v>
      </c>
      <c r="R1976" s="192" t="n">
        <v>3.25</v>
      </c>
      <c r="S1976" s="172" t="inlineStr">
        <is>
          <t>无</t>
        </is>
      </c>
      <c r="T1976" s="175" t="n">
        <v>0.037</v>
      </c>
      <c r="U1976" s="172" t="inlineStr">
        <is>
          <t>中信建投机构部</t>
        </is>
      </c>
      <c r="V1976" s="172" t="n">
        <v>1.25</v>
      </c>
      <c r="W1976" s="172" t="n"/>
      <c r="X1976" s="172" t="n"/>
      <c r="Y1976" s="172" t="n"/>
    </row>
    <row r="1977">
      <c r="A1977" s="172" t="n">
        <v>111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金条&amp;白取&amp;白条混发</t>
        </is>
      </c>
      <c r="E1977" s="172" t="inlineStr">
        <is>
          <t>天玑52-2号</t>
        </is>
      </c>
      <c r="F1977" s="172" t="inlineStr">
        <is>
          <t>结构化非标</t>
        </is>
      </c>
      <c r="G1977" s="172" t="inlineStr">
        <is>
          <t>国民信托</t>
        </is>
      </c>
      <c r="H1977" s="172" t="inlineStr">
        <is>
          <t>-</t>
        </is>
      </c>
      <c r="I1977" s="172" t="inlineStr">
        <is>
          <t>招行北分</t>
        </is>
      </c>
      <c r="J1977" s="172" t="n">
        <v>13</v>
      </c>
      <c r="K1977" s="172" t="inlineStr">
        <is>
          <t>11+13</t>
        </is>
      </c>
      <c r="L1977" s="202" t="n">
        <v>46203</v>
      </c>
      <c r="M1977" s="175" t="n">
        <v>0.0148</v>
      </c>
      <c r="N1977" s="176" t="n">
        <v>0.03098</v>
      </c>
      <c r="O1977" s="191" t="inlineStr">
        <is>
          <t>-</t>
        </is>
      </c>
      <c r="P1977" s="172" t="inlineStr">
        <is>
          <t>结构化平层</t>
        </is>
      </c>
      <c r="Q1977" s="175" t="n">
        <v>0.25</v>
      </c>
      <c r="R1977" s="192" t="n">
        <v>3.25</v>
      </c>
      <c r="S1977" s="172" t="inlineStr">
        <is>
          <t>无</t>
        </is>
      </c>
      <c r="T1977" s="175" t="n">
        <v>0.037</v>
      </c>
      <c r="U1977" s="172" t="inlineStr">
        <is>
          <t>中信证券自营</t>
        </is>
      </c>
      <c r="V1977" s="191" t="n">
        <v>1.2</v>
      </c>
      <c r="W1977" s="172" t="n"/>
      <c r="X1977" s="172" t="n"/>
      <c r="Y1977" s="172" t="n"/>
    </row>
    <row r="1978">
      <c r="A1978" s="172" t="n">
        <v>112</v>
      </c>
      <c r="B1978" s="172" t="inlineStr">
        <is>
          <t>6月</t>
        </is>
      </c>
      <c r="C1978" s="172" t="inlineStr">
        <is>
          <t>消金</t>
        </is>
      </c>
      <c r="D1978" s="172" t="inlineStr">
        <is>
          <t>金条&amp;白取&amp;白条混发</t>
        </is>
      </c>
      <c r="E1978" s="172" t="inlineStr">
        <is>
          <t>云虹31号</t>
        </is>
      </c>
      <c r="F1978" s="172" t="inlineStr">
        <is>
          <t>结构化非标</t>
        </is>
      </c>
      <c r="G1978" s="172" t="inlineStr">
        <is>
          <t>外贸信托</t>
        </is>
      </c>
      <c r="H1978" s="172" t="inlineStr">
        <is>
          <t>-</t>
        </is>
      </c>
      <c r="I1978" s="172" t="inlineStr">
        <is>
          <t>建行北分</t>
        </is>
      </c>
      <c r="J1978" s="172" t="n">
        <v>9</v>
      </c>
      <c r="K1978" s="172" t="inlineStr">
        <is>
          <t>11+24</t>
        </is>
      </c>
      <c r="L1978" s="202" t="n">
        <v>46203</v>
      </c>
      <c r="M1978" s="175" t="n">
        <v>0.0148</v>
      </c>
      <c r="N1978" s="176" t="n">
        <v>0.03055</v>
      </c>
      <c r="O1978" s="191" t="inlineStr">
        <is>
          <t>-</t>
        </is>
      </c>
      <c r="P1978" s="172" t="inlineStr">
        <is>
          <t>结构化平层</t>
        </is>
      </c>
      <c r="Q1978" s="175" t="n">
        <v>0.75</v>
      </c>
      <c r="R1978" s="192" t="n">
        <v>6.75</v>
      </c>
      <c r="S1978" s="172" t="inlineStr">
        <is>
          <t>无</t>
        </is>
      </c>
      <c r="T1978" s="175" t="n">
        <v>0.024</v>
      </c>
      <c r="U1978" s="172" t="inlineStr">
        <is>
          <t>汇丰银行</t>
        </is>
      </c>
      <c r="V1978" s="172" t="n">
        <v>6.75</v>
      </c>
      <c r="W1978" s="172" t="n"/>
      <c r="X1978" s="172" t="n"/>
      <c r="Y1978" s="172" t="n"/>
    </row>
    <row r="1979">
      <c r="A1979" s="172" t="n">
        <v>112</v>
      </c>
      <c r="B1979" s="172" t="inlineStr">
        <is>
          <t>6月</t>
        </is>
      </c>
      <c r="C1979" s="172" t="inlineStr">
        <is>
          <t>消金</t>
        </is>
      </c>
      <c r="D1979" s="172" t="inlineStr">
        <is>
          <t>金条&amp;白取&amp;白条混发</t>
        </is>
      </c>
      <c r="E1979" s="172" t="inlineStr">
        <is>
          <t>云虹31号</t>
        </is>
      </c>
      <c r="F1979" s="172" t="inlineStr">
        <is>
          <t>结构化非标</t>
        </is>
      </c>
      <c r="G1979" s="172" t="inlineStr">
        <is>
          <t>外贸信托</t>
        </is>
      </c>
      <c r="H1979" s="172" t="inlineStr">
        <is>
          <t>-</t>
        </is>
      </c>
      <c r="I1979" s="172" t="inlineStr">
        <is>
          <t>建行北分</t>
        </is>
      </c>
      <c r="J1979" s="172" t="n">
        <v>9</v>
      </c>
      <c r="K1979" s="172" t="inlineStr">
        <is>
          <t>11+24</t>
        </is>
      </c>
      <c r="L1979" s="202" t="n">
        <v>46203</v>
      </c>
      <c r="M1979" s="175" t="n">
        <v>0.0148</v>
      </c>
      <c r="N1979" s="176" t="n">
        <v>0.03055</v>
      </c>
      <c r="O1979" s="191" t="inlineStr">
        <is>
          <t>-</t>
        </is>
      </c>
      <c r="P1979" s="172" t="inlineStr">
        <is>
          <t>结构化平层</t>
        </is>
      </c>
      <c r="Q1979" s="175" t="n">
        <v>0.25</v>
      </c>
      <c r="R1979" s="192" t="n">
        <v>2.25</v>
      </c>
      <c r="S1979" s="172" t="inlineStr">
        <is>
          <t>无</t>
        </is>
      </c>
      <c r="T1979" s="175" t="n">
        <v>0.038</v>
      </c>
      <c r="U1979" s="172" t="inlineStr">
        <is>
          <t>中金自营</t>
        </is>
      </c>
      <c r="V1979" s="172" t="n">
        <v>1.125</v>
      </c>
      <c r="W1979" s="172" t="n"/>
      <c r="X1979" s="172" t="n"/>
      <c r="Y1979" s="172" t="n"/>
    </row>
    <row r="1980">
      <c r="A1980" s="172" t="n">
        <v>112</v>
      </c>
      <c r="B1980" s="172" t="inlineStr">
        <is>
          <t>6月</t>
        </is>
      </c>
      <c r="C1980" s="172" t="inlineStr">
        <is>
          <t>消金</t>
        </is>
      </c>
      <c r="D1980" s="172" t="inlineStr">
        <is>
          <t>金条&amp;白取&amp;白条混发</t>
        </is>
      </c>
      <c r="E1980" s="172" t="inlineStr">
        <is>
          <t>云虹31号</t>
        </is>
      </c>
      <c r="F1980" s="172" t="inlineStr">
        <is>
          <t>结构化非标</t>
        </is>
      </c>
      <c r="G1980" s="172" t="inlineStr">
        <is>
          <t>外贸信托</t>
        </is>
      </c>
      <c r="H1980" s="172" t="inlineStr">
        <is>
          <t>-</t>
        </is>
      </c>
      <c r="I1980" s="172" t="inlineStr">
        <is>
          <t>建行北分</t>
        </is>
      </c>
      <c r="J1980" s="172" t="n">
        <v>9</v>
      </c>
      <c r="K1980" s="172" t="inlineStr">
        <is>
          <t>11+24</t>
        </is>
      </c>
      <c r="L1980" s="202" t="n">
        <v>46203</v>
      </c>
      <c r="M1980" s="175" t="n">
        <v>0.0148</v>
      </c>
      <c r="N1980" s="176" t="n">
        <v>0.03055</v>
      </c>
      <c r="O1980" s="191" t="inlineStr">
        <is>
          <t>-</t>
        </is>
      </c>
      <c r="P1980" s="172" t="inlineStr">
        <is>
          <t>结构化平层</t>
        </is>
      </c>
      <c r="Q1980" s="175" t="n">
        <v>0.25</v>
      </c>
      <c r="R1980" s="192" t="n">
        <v>2.25</v>
      </c>
      <c r="S1980" s="172" t="inlineStr">
        <is>
          <t>无</t>
        </is>
      </c>
      <c r="T1980" s="175" t="n">
        <v>0.038</v>
      </c>
      <c r="U1980" s="172" t="inlineStr">
        <is>
          <t>中信建投投顾</t>
        </is>
      </c>
      <c r="V1980" s="172" t="n">
        <v>1.125</v>
      </c>
      <c r="W1980" s="172" t="n"/>
      <c r="X1980" s="172" t="n"/>
      <c r="Y1980" s="172" t="n"/>
    </row>
    <row r="1981">
      <c r="A1981" s="172" t="n">
        <v>113</v>
      </c>
      <c r="B1981" s="173" t="inlineStr">
        <is>
          <t>7月</t>
        </is>
      </c>
      <c r="C1981" s="173" t="inlineStr">
        <is>
          <t>消金</t>
        </is>
      </c>
      <c r="D1981" s="173" t="inlineStr">
        <is>
          <t>信托金条</t>
        </is>
      </c>
      <c r="E1981" s="173" t="inlineStr">
        <is>
          <t>格昱29号</t>
        </is>
      </c>
      <c r="F1981" s="173" t="inlineStr">
        <is>
          <t>非标</t>
        </is>
      </c>
      <c r="G1981" s="173" t="inlineStr">
        <is>
          <t>华鑫信托</t>
        </is>
      </c>
      <c r="H1981" s="173" t="inlineStr">
        <is>
          <t>-</t>
        </is>
      </c>
      <c r="I1981" s="173" t="inlineStr">
        <is>
          <t>南银北分</t>
        </is>
      </c>
      <c r="J1981" s="207" t="n">
        <v>5</v>
      </c>
      <c r="K1981" s="173" t="inlineStr">
        <is>
          <t>11+1</t>
        </is>
      </c>
      <c r="L1981" s="202" t="n">
        <v>46204</v>
      </c>
      <c r="M1981" s="175" t="n">
        <v>0.0146</v>
      </c>
      <c r="N1981" s="176" t="n">
        <v>0.02805</v>
      </c>
      <c r="O1981" s="172" t="inlineStr">
        <is>
          <t>-</t>
        </is>
      </c>
      <c r="P1981" s="177" t="inlineStr">
        <is>
          <t>平层</t>
        </is>
      </c>
      <c r="Q1981" s="172" t="inlineStr">
        <is>
          <t>-</t>
        </is>
      </c>
      <c r="R1981" s="192" t="n">
        <v>5</v>
      </c>
      <c r="S1981" s="177" t="inlineStr">
        <is>
          <t>无</t>
        </is>
      </c>
      <c r="T1981" s="178" t="n">
        <v>0.025</v>
      </c>
      <c r="U1981" s="177" t="inlineStr">
        <is>
          <t>南银理财</t>
        </is>
      </c>
      <c r="V1981" s="207" t="n">
        <v>5</v>
      </c>
      <c r="W1981" s="172" t="n"/>
      <c r="X1981" s="172" t="n"/>
      <c r="Y1981" s="172" t="n"/>
    </row>
    <row r="1982">
      <c r="A1982" s="172" t="n">
        <v>114</v>
      </c>
      <c r="B1982" s="173" t="inlineStr">
        <is>
          <t>7月</t>
        </is>
      </c>
      <c r="C1982" s="173" t="inlineStr">
        <is>
          <t>消金</t>
        </is>
      </c>
      <c r="D1982" s="173" t="inlineStr">
        <is>
          <t>金条&amp;白取&amp;白条混发</t>
        </is>
      </c>
      <c r="E1982" s="173" t="inlineStr">
        <is>
          <t>云虹32号</t>
        </is>
      </c>
      <c r="F1982" s="173" t="inlineStr">
        <is>
          <t>非标</t>
        </is>
      </c>
      <c r="G1982" s="173" t="inlineStr">
        <is>
          <t>外贸信托</t>
        </is>
      </c>
      <c r="H1982" s="173" t="inlineStr">
        <is>
          <t>-</t>
        </is>
      </c>
      <c r="I1982" s="173" t="inlineStr">
        <is>
          <t>南银北分</t>
        </is>
      </c>
      <c r="J1982" s="207" t="n">
        <v>5</v>
      </c>
      <c r="K1982" s="173" t="inlineStr">
        <is>
          <t>6+6</t>
        </is>
      </c>
      <c r="L1982" s="202" t="n">
        <v>46204</v>
      </c>
      <c r="M1982" s="175" t="n">
        <v>0.0146</v>
      </c>
      <c r="N1982" s="176" t="n">
        <v>0.02805</v>
      </c>
      <c r="O1982" s="172" t="inlineStr">
        <is>
          <t>-</t>
        </is>
      </c>
      <c r="P1982" s="177" t="inlineStr">
        <is>
          <t>平层</t>
        </is>
      </c>
      <c r="Q1982" s="172" t="inlineStr">
        <is>
          <t>-</t>
        </is>
      </c>
      <c r="R1982" s="192" t="n">
        <v>5</v>
      </c>
      <c r="S1982" s="177" t="inlineStr">
        <is>
          <t>无</t>
        </is>
      </c>
      <c r="T1982" s="178" t="n">
        <v>0.025</v>
      </c>
      <c r="U1982" s="177" t="inlineStr">
        <is>
          <t>南银理财</t>
        </is>
      </c>
      <c r="V1982" s="207" t="n">
        <v>5</v>
      </c>
      <c r="W1982" s="172" t="n"/>
      <c r="X1982" s="176" t="n"/>
      <c r="Y1982" s="172" t="n"/>
    </row>
    <row r="1983">
      <c r="A1983" s="172" t="n">
        <v>115</v>
      </c>
      <c r="B1983" s="173" t="inlineStr">
        <is>
          <t>7月</t>
        </is>
      </c>
      <c r="C1983" s="173" t="inlineStr">
        <is>
          <t>消金</t>
        </is>
      </c>
      <c r="D1983" s="173" t="inlineStr">
        <is>
          <t>赊销白条</t>
        </is>
      </c>
      <c r="E1983" s="173" t="inlineStr">
        <is>
          <t>东裕4号仲裕（续发）</t>
        </is>
      </c>
      <c r="F1983" s="173" t="inlineStr">
        <is>
          <t>银行间</t>
        </is>
      </c>
      <c r="G1983" s="173" t="inlineStr">
        <is>
          <t>国泰海通</t>
        </is>
      </c>
      <c r="H1983" s="173" t="inlineStr">
        <is>
          <t>杭州银行/江苏银行/中信证券/招商证券</t>
        </is>
      </c>
      <c r="I1983" s="173" t="inlineStr">
        <is>
          <t>兴业北分</t>
        </is>
      </c>
      <c r="J1983" s="172" t="n">
        <v>9.449999999999999</v>
      </c>
      <c r="K1983" s="173" t="inlineStr">
        <is>
          <t>9+3</t>
        </is>
      </c>
      <c r="L1983" s="202" t="n">
        <v>46209</v>
      </c>
      <c r="M1983" s="175" t="n">
        <v>0.0146</v>
      </c>
      <c r="N1983" s="176" t="n">
        <v>0.0195</v>
      </c>
      <c r="O1983" s="191" t="n">
        <v>2.43</v>
      </c>
      <c r="P1983" s="177" t="inlineStr">
        <is>
          <t>优先级</t>
        </is>
      </c>
      <c r="Q1983" s="178" t="n">
        <v>0.9</v>
      </c>
      <c r="R1983" s="179" t="n">
        <v>9</v>
      </c>
      <c r="S1983" s="177" t="inlineStr">
        <is>
          <t>AAA</t>
        </is>
      </c>
      <c r="T1983" s="178" t="n">
        <v>0.0159</v>
      </c>
      <c r="U1983" s="177" t="inlineStr">
        <is>
          <t>招银理财</t>
        </is>
      </c>
      <c r="V1983" s="192" t="n">
        <v>2.7</v>
      </c>
      <c r="W1983" s="175" t="n">
        <v>0.0157</v>
      </c>
      <c r="X1983" s="172" t="inlineStr">
        <is>
          <t>招银理财</t>
        </is>
      </c>
      <c r="Y1983" s="191" t="n">
        <v>2.7</v>
      </c>
    </row>
    <row r="1984">
      <c r="A1984" s="172" t="n">
        <v>115</v>
      </c>
      <c r="B1984" s="173" t="inlineStr">
        <is>
          <t>7月</t>
        </is>
      </c>
      <c r="C1984" s="173" t="inlineStr">
        <is>
          <t>消金</t>
        </is>
      </c>
      <c r="D1984" s="173" t="inlineStr">
        <is>
          <t>赊销白条</t>
        </is>
      </c>
      <c r="E1984" s="173" t="inlineStr">
        <is>
          <t>东裕4号仲裕（续发）</t>
        </is>
      </c>
      <c r="F1984" s="173" t="inlineStr">
        <is>
          <t>银行间</t>
        </is>
      </c>
      <c r="G1984" s="173" t="inlineStr">
        <is>
          <t>国泰海通</t>
        </is>
      </c>
      <c r="H1984" s="173" t="inlineStr">
        <is>
          <t>杭州银行/江苏银行/中信证券/招商证券</t>
        </is>
      </c>
      <c r="I1984" s="173" t="inlineStr">
        <is>
          <t>兴业北分</t>
        </is>
      </c>
      <c r="J1984" s="172" t="n">
        <v>9.449999999999999</v>
      </c>
      <c r="K1984" s="173" t="inlineStr">
        <is>
          <t>9+3</t>
        </is>
      </c>
      <c r="L1984" s="202" t="n">
        <v>46209</v>
      </c>
      <c r="M1984" s="175" t="n">
        <v>0.0146</v>
      </c>
      <c r="N1984" s="176" t="n">
        <v>0.0195</v>
      </c>
      <c r="O1984" s="191" t="n">
        <v>2.43</v>
      </c>
      <c r="P1984" s="172" t="inlineStr">
        <is>
          <t>优先级</t>
        </is>
      </c>
      <c r="Q1984" s="178" t="n">
        <v>0.9</v>
      </c>
      <c r="R1984" s="179" t="n">
        <v>9</v>
      </c>
      <c r="S1984" s="177" t="inlineStr">
        <is>
          <t>AAA</t>
        </is>
      </c>
      <c r="T1984" s="178" t="n">
        <v>0.0159</v>
      </c>
      <c r="U1984" s="177" t="inlineStr">
        <is>
          <t>工银理财</t>
        </is>
      </c>
      <c r="V1984" s="192" t="n">
        <v>2.5</v>
      </c>
      <c r="W1984" s="175" t="n">
        <v>0.0158</v>
      </c>
      <c r="X1984" s="172" t="inlineStr">
        <is>
          <t>工银理财</t>
        </is>
      </c>
      <c r="Y1984" s="191" t="n">
        <v>2.5</v>
      </c>
    </row>
    <row r="1985">
      <c r="A1985" s="172" t="n">
        <v>115</v>
      </c>
      <c r="B1985" s="173" t="inlineStr">
        <is>
          <t>7月</t>
        </is>
      </c>
      <c r="C1985" s="173" t="inlineStr">
        <is>
          <t>消金</t>
        </is>
      </c>
      <c r="D1985" s="173" t="inlineStr">
        <is>
          <t>赊销白条</t>
        </is>
      </c>
      <c r="E1985" s="173" t="inlineStr">
        <is>
          <t>东裕4号仲裕（续发）</t>
        </is>
      </c>
      <c r="F1985" s="173" t="inlineStr">
        <is>
          <t>银行间</t>
        </is>
      </c>
      <c r="G1985" s="173" t="inlineStr">
        <is>
          <t>国泰海通</t>
        </is>
      </c>
      <c r="H1985" s="173" t="inlineStr">
        <is>
          <t>杭州银行/江苏银行/中信证券/招商证券</t>
        </is>
      </c>
      <c r="I1985" s="173" t="inlineStr">
        <is>
          <t>兴业北分</t>
        </is>
      </c>
      <c r="J1985" s="172" t="n">
        <v>9.449999999999999</v>
      </c>
      <c r="K1985" s="173" t="inlineStr">
        <is>
          <t>9+3</t>
        </is>
      </c>
      <c r="L1985" s="202" t="n">
        <v>46209</v>
      </c>
      <c r="M1985" s="175" t="n">
        <v>0.0146</v>
      </c>
      <c r="N1985" s="176" t="n">
        <v>0.0195</v>
      </c>
      <c r="O1985" s="191" t="n">
        <v>2.43</v>
      </c>
      <c r="P1985" s="172" t="inlineStr">
        <is>
          <t>优先级</t>
        </is>
      </c>
      <c r="Q1985" s="178" t="n">
        <v>0.9</v>
      </c>
      <c r="R1985" s="179" t="n">
        <v>9</v>
      </c>
      <c r="S1985" s="177" t="inlineStr">
        <is>
          <t>AAA</t>
        </is>
      </c>
      <c r="T1985" s="178" t="n">
        <v>0.0159</v>
      </c>
      <c r="U1985" s="177" t="inlineStr">
        <is>
          <t>江苏银行</t>
        </is>
      </c>
      <c r="V1985" s="192" t="n">
        <v>1.8</v>
      </c>
      <c r="W1985" s="175" t="n">
        <v>0.015</v>
      </c>
      <c r="X1985" s="172" t="inlineStr">
        <is>
          <t>江苏银行</t>
        </is>
      </c>
      <c r="Y1985" s="191" t="n">
        <v>1.8</v>
      </c>
    </row>
    <row r="1986">
      <c r="A1986" s="172" t="n">
        <v>115</v>
      </c>
      <c r="B1986" s="173" t="inlineStr">
        <is>
          <t>7月</t>
        </is>
      </c>
      <c r="C1986" s="173" t="inlineStr">
        <is>
          <t>消金</t>
        </is>
      </c>
      <c r="D1986" s="173" t="inlineStr">
        <is>
          <t>赊销白条</t>
        </is>
      </c>
      <c r="E1986" s="173" t="inlineStr">
        <is>
          <t>东裕4号仲裕（续发）</t>
        </is>
      </c>
      <c r="F1986" s="173" t="inlineStr">
        <is>
          <t>银行间</t>
        </is>
      </c>
      <c r="G1986" s="173" t="inlineStr">
        <is>
          <t>国泰海通</t>
        </is>
      </c>
      <c r="H1986" s="173" t="inlineStr">
        <is>
          <t>杭州银行/江苏银行/中信证券/招商证券</t>
        </is>
      </c>
      <c r="I1986" s="173" t="inlineStr">
        <is>
          <t>兴业北分</t>
        </is>
      </c>
      <c r="J1986" s="172" t="n">
        <v>9.449999999999999</v>
      </c>
      <c r="K1986" s="173" t="inlineStr">
        <is>
          <t>9+3</t>
        </is>
      </c>
      <c r="L1986" s="202" t="n">
        <v>46209</v>
      </c>
      <c r="M1986" s="175" t="n">
        <v>0.0146</v>
      </c>
      <c r="N1986" s="176" t="n">
        <v>0.0195</v>
      </c>
      <c r="O1986" s="191" t="n">
        <v>2.43</v>
      </c>
      <c r="P1986" s="172" t="inlineStr">
        <is>
          <t>优先级</t>
        </is>
      </c>
      <c r="Q1986" s="178" t="n">
        <v>0.9</v>
      </c>
      <c r="R1986" s="179" t="n">
        <v>9</v>
      </c>
      <c r="S1986" s="177" t="inlineStr">
        <is>
          <t>AAA</t>
        </is>
      </c>
      <c r="T1986" s="178" t="n">
        <v>0.0159</v>
      </c>
      <c r="U1986" s="177" t="inlineStr">
        <is>
          <t>中银理财</t>
        </is>
      </c>
      <c r="V1986" s="192" t="n">
        <v>1.1</v>
      </c>
      <c r="W1986" s="175" t="n">
        <v>0.0155</v>
      </c>
      <c r="X1986" s="172" t="inlineStr">
        <is>
          <t>中银理财</t>
        </is>
      </c>
      <c r="Y1986" s="191" t="n">
        <v>0.5</v>
      </c>
    </row>
    <row r="1987">
      <c r="A1987" s="172" t="n">
        <v>115</v>
      </c>
      <c r="B1987" s="172" t="inlineStr">
        <is>
          <t>7月</t>
        </is>
      </c>
      <c r="C1987" s="172" t="inlineStr">
        <is>
          <t>消金</t>
        </is>
      </c>
      <c r="D1987" s="172" t="inlineStr">
        <is>
          <t>赊销白条</t>
        </is>
      </c>
      <c r="E1987" s="172" t="inlineStr">
        <is>
          <t>东裕4号仲裕（续发）</t>
        </is>
      </c>
      <c r="F1987" s="172" t="inlineStr">
        <is>
          <t>银行间</t>
        </is>
      </c>
      <c r="G1987" s="172" t="inlineStr">
        <is>
          <t>国泰海通</t>
        </is>
      </c>
      <c r="H1987" s="172" t="inlineStr">
        <is>
          <t>杭州银行/江苏银行/中信证券/招商证券</t>
        </is>
      </c>
      <c r="I1987" s="172" t="inlineStr">
        <is>
          <t>兴业北分</t>
        </is>
      </c>
      <c r="J1987" s="172" t="n">
        <v>9.449999999999999</v>
      </c>
      <c r="K1987" s="172" t="inlineStr">
        <is>
          <t>9+3</t>
        </is>
      </c>
      <c r="L1987" s="208" t="n">
        <v>46209</v>
      </c>
      <c r="M1987" s="175" t="n">
        <v>0.0146</v>
      </c>
      <c r="N1987" s="176" t="n">
        <v>0.0195</v>
      </c>
      <c r="O1987" s="172" t="n">
        <v>2.43</v>
      </c>
      <c r="P1987" s="172" t="inlineStr">
        <is>
          <t>优先级</t>
        </is>
      </c>
      <c r="Q1987" s="175" t="n">
        <v>0.9</v>
      </c>
      <c r="R1987" s="192" t="n">
        <v>9</v>
      </c>
      <c r="S1987" s="172" t="inlineStr">
        <is>
          <t>AAA</t>
        </is>
      </c>
      <c r="T1987" s="175" t="n">
        <v>0.0159</v>
      </c>
      <c r="U1987" s="172" t="n"/>
      <c r="V1987" s="172" t="n"/>
      <c r="W1987" s="175" t="n">
        <v>0.0159</v>
      </c>
      <c r="X1987" s="172" t="inlineStr">
        <is>
          <t>中银理财</t>
        </is>
      </c>
      <c r="Y1987" s="191" t="n">
        <v>1</v>
      </c>
    </row>
    <row r="1988">
      <c r="A1988" s="172" t="n">
        <v>115</v>
      </c>
      <c r="B1988" s="172" t="inlineStr">
        <is>
          <t>7月</t>
        </is>
      </c>
      <c r="C1988" s="172" t="inlineStr">
        <is>
          <t>消金</t>
        </is>
      </c>
      <c r="D1988" s="172" t="inlineStr">
        <is>
          <t>赊销白条</t>
        </is>
      </c>
      <c r="E1988" s="172" t="inlineStr">
        <is>
          <t>东裕4号仲裕（续发）</t>
        </is>
      </c>
      <c r="F1988" s="172" t="inlineStr">
        <is>
          <t>银行间</t>
        </is>
      </c>
      <c r="G1988" s="172" t="inlineStr">
        <is>
          <t>国泰海通</t>
        </is>
      </c>
      <c r="H1988" s="172" t="inlineStr">
        <is>
          <t>杭州银行/江苏银行/中信证券/招商证券</t>
        </is>
      </c>
      <c r="I1988" s="172" t="inlineStr">
        <is>
          <t>兴业北分</t>
        </is>
      </c>
      <c r="J1988" s="172" t="n">
        <v>9.449999999999999</v>
      </c>
      <c r="K1988" s="172" t="inlineStr">
        <is>
          <t>9+3</t>
        </is>
      </c>
      <c r="L1988" s="208" t="n">
        <v>46209</v>
      </c>
      <c r="M1988" s="175" t="n">
        <v>0.0146</v>
      </c>
      <c r="N1988" s="176" t="n">
        <v>0.0195</v>
      </c>
      <c r="O1988" s="172" t="n">
        <v>2.43</v>
      </c>
      <c r="P1988" s="172" t="inlineStr">
        <is>
          <t>优先级</t>
        </is>
      </c>
      <c r="Q1988" s="175" t="n">
        <v>0.9</v>
      </c>
      <c r="R1988" s="192" t="n">
        <v>9</v>
      </c>
      <c r="S1988" s="172" t="inlineStr">
        <is>
          <t>AAA</t>
        </is>
      </c>
      <c r="T1988" s="175" t="n">
        <v>0.0159</v>
      </c>
      <c r="U1988" s="172" t="n"/>
      <c r="V1988" s="172" t="n"/>
      <c r="W1988" s="175" t="n">
        <v>0.016</v>
      </c>
      <c r="X1988" s="172" t="inlineStr">
        <is>
          <t>中银理财</t>
        </is>
      </c>
      <c r="Y1988" s="191" t="n">
        <v>1.2</v>
      </c>
    </row>
    <row r="1989">
      <c r="A1989" s="172" t="n">
        <v>115</v>
      </c>
      <c r="B1989" s="173" t="inlineStr">
        <is>
          <t>7月</t>
        </is>
      </c>
      <c r="C1989" s="173" t="inlineStr">
        <is>
          <t>消金</t>
        </is>
      </c>
      <c r="D1989" s="173" t="inlineStr">
        <is>
          <t>赊销白条</t>
        </is>
      </c>
      <c r="E1989" s="173" t="inlineStr">
        <is>
          <t>东裕4号仲裕（续发）</t>
        </is>
      </c>
      <c r="F1989" s="173" t="inlineStr">
        <is>
          <t>银行间</t>
        </is>
      </c>
      <c r="G1989" s="173" t="inlineStr">
        <is>
          <t>国泰海通</t>
        </is>
      </c>
      <c r="H1989" s="173" t="inlineStr">
        <is>
          <t>杭州银行/江苏银行/中信证券/招商证券</t>
        </is>
      </c>
      <c r="I1989" s="173" t="inlineStr">
        <is>
          <t>兴业北分</t>
        </is>
      </c>
      <c r="J1989" s="172" t="n">
        <v>9.449999999999999</v>
      </c>
      <c r="K1989" s="173" t="inlineStr">
        <is>
          <t>9+3</t>
        </is>
      </c>
      <c r="L1989" s="202" t="n">
        <v>46209</v>
      </c>
      <c r="M1989" s="175" t="n">
        <v>0.0146</v>
      </c>
      <c r="N1989" s="176" t="n">
        <v>0.0195</v>
      </c>
      <c r="O1989" s="191" t="n">
        <v>2.43</v>
      </c>
      <c r="P1989" s="172" t="inlineStr">
        <is>
          <t>优先级</t>
        </is>
      </c>
      <c r="Q1989" s="178" t="n">
        <v>0.9</v>
      </c>
      <c r="R1989" s="179" t="n">
        <v>9</v>
      </c>
      <c r="S1989" s="177" t="inlineStr">
        <is>
          <t>AAA</t>
        </is>
      </c>
      <c r="T1989" s="178" t="n">
        <v>0.0159</v>
      </c>
      <c r="U1989" s="177" t="inlineStr">
        <is>
          <t>杭州银行</t>
        </is>
      </c>
      <c r="V1989" s="192" t="n">
        <v>0.4</v>
      </c>
      <c r="W1989" s="175" t="n">
        <v>0.0159</v>
      </c>
      <c r="X1989" s="172" t="inlineStr">
        <is>
          <t>杭州银行</t>
        </is>
      </c>
      <c r="Y1989" s="191" t="n">
        <v>0.8</v>
      </c>
    </row>
    <row r="1990">
      <c r="A1990" s="172" t="n">
        <v>115</v>
      </c>
      <c r="B1990" s="172" t="inlineStr">
        <is>
          <t>7月</t>
        </is>
      </c>
      <c r="C1990" s="172" t="inlineStr">
        <is>
          <t>消金</t>
        </is>
      </c>
      <c r="D1990" s="172" t="inlineStr">
        <is>
          <t>赊销白条</t>
        </is>
      </c>
      <c r="E1990" s="172" t="inlineStr">
        <is>
          <t>东裕4号仲裕（续发）</t>
        </is>
      </c>
      <c r="F1990" s="172" t="inlineStr">
        <is>
          <t>银行间</t>
        </is>
      </c>
      <c r="G1990" s="172" t="inlineStr">
        <is>
          <t>国泰海通</t>
        </is>
      </c>
      <c r="H1990" s="172" t="inlineStr">
        <is>
          <t>杭州银行/江苏银行/中信证券/招商证券</t>
        </is>
      </c>
      <c r="I1990" s="172" t="inlineStr">
        <is>
          <t>兴业北分</t>
        </is>
      </c>
      <c r="J1990" s="172" t="n">
        <v>9.449999999999999</v>
      </c>
      <c r="K1990" s="172" t="inlineStr">
        <is>
          <t>9+3</t>
        </is>
      </c>
      <c r="L1990" s="208" t="n">
        <v>46209</v>
      </c>
      <c r="M1990" s="175" t="n">
        <v>0.0146</v>
      </c>
      <c r="N1990" s="176" t="n">
        <v>0.0195</v>
      </c>
      <c r="O1990" s="172" t="n">
        <v>2.43</v>
      </c>
      <c r="P1990" s="172" t="inlineStr">
        <is>
          <t>优先级</t>
        </is>
      </c>
      <c r="Q1990" s="175" t="n">
        <v>0.9</v>
      </c>
      <c r="R1990" s="192" t="n">
        <v>9</v>
      </c>
      <c r="S1990" s="172" t="inlineStr">
        <is>
          <t>AAA</t>
        </is>
      </c>
      <c r="T1990" s="175" t="n">
        <v>0.0159</v>
      </c>
      <c r="U1990" s="172" t="n"/>
      <c r="V1990" s="172" t="n"/>
      <c r="W1990" s="175" t="n">
        <v>0.016</v>
      </c>
      <c r="X1990" s="172" t="inlineStr">
        <is>
          <t>杭州银行</t>
        </is>
      </c>
      <c r="Y1990" s="191" t="n">
        <v>0.55</v>
      </c>
    </row>
    <row r="1991">
      <c r="A1991" s="172" t="n">
        <v>115</v>
      </c>
      <c r="B1991" s="173" t="inlineStr">
        <is>
          <t>7月</t>
        </is>
      </c>
      <c r="C1991" s="173" t="inlineStr">
        <is>
          <t>消金</t>
        </is>
      </c>
      <c r="D1991" s="173" t="inlineStr">
        <is>
          <t>赊销白条</t>
        </is>
      </c>
      <c r="E1991" s="173" t="inlineStr">
        <is>
          <t>东裕4号仲裕（续发）</t>
        </is>
      </c>
      <c r="F1991" s="173" t="inlineStr">
        <is>
          <t>银行间</t>
        </is>
      </c>
      <c r="G1991" s="173" t="inlineStr">
        <is>
          <t>国泰海通</t>
        </is>
      </c>
      <c r="H1991" s="173" t="inlineStr">
        <is>
          <t>杭州银行/江苏银行/中信证券/招商证券</t>
        </is>
      </c>
      <c r="I1991" s="173" t="inlineStr">
        <is>
          <t>兴业北分</t>
        </is>
      </c>
      <c r="J1991" s="172" t="n">
        <v>9.449999999999999</v>
      </c>
      <c r="K1991" s="173" t="inlineStr">
        <is>
          <t>9+3</t>
        </is>
      </c>
      <c r="L1991" s="202" t="n">
        <v>46209</v>
      </c>
      <c r="M1991" s="175" t="n">
        <v>0.0146</v>
      </c>
      <c r="N1991" s="176" t="n">
        <v>0.0195</v>
      </c>
      <c r="O1991" s="191" t="n">
        <v>2.43</v>
      </c>
      <c r="P1991" s="172" t="inlineStr">
        <is>
          <t>优先级</t>
        </is>
      </c>
      <c r="Q1991" s="178" t="n">
        <v>0.9</v>
      </c>
      <c r="R1991" s="179" t="n">
        <v>9</v>
      </c>
      <c r="S1991" s="177" t="inlineStr">
        <is>
          <t>AAA</t>
        </is>
      </c>
      <c r="T1991" s="178" t="n">
        <v>0.0159</v>
      </c>
      <c r="U1991" s="177" t="inlineStr">
        <is>
          <t>建信信托</t>
        </is>
      </c>
      <c r="V1991" s="192" t="n">
        <v>0.5</v>
      </c>
      <c r="W1991" s="175" t="n">
        <v>0.0159</v>
      </c>
      <c r="X1991" s="172" t="inlineStr">
        <is>
          <t>建信信托</t>
        </is>
      </c>
      <c r="Y1991" s="191" t="n">
        <v>0.9</v>
      </c>
    </row>
    <row r="1992">
      <c r="A1992" s="172" t="n">
        <v>115</v>
      </c>
      <c r="B1992" s="172" t="inlineStr">
        <is>
          <t>7月</t>
        </is>
      </c>
      <c r="C1992" s="172" t="inlineStr">
        <is>
          <t>消金</t>
        </is>
      </c>
      <c r="D1992" s="172" t="inlineStr">
        <is>
          <t>赊销白条</t>
        </is>
      </c>
      <c r="E1992" s="172" t="inlineStr">
        <is>
          <t>东裕4号仲裕（续发）</t>
        </is>
      </c>
      <c r="F1992" s="172" t="inlineStr">
        <is>
          <t>银行间</t>
        </is>
      </c>
      <c r="G1992" s="172" t="inlineStr">
        <is>
          <t>国泰海通</t>
        </is>
      </c>
      <c r="H1992" s="172" t="inlineStr">
        <is>
          <t>杭州银行/江苏银行/中信证券/招商证券</t>
        </is>
      </c>
      <c r="I1992" s="172" t="inlineStr">
        <is>
          <t>兴业北分</t>
        </is>
      </c>
      <c r="J1992" s="172" t="n">
        <v>9.449999999999999</v>
      </c>
      <c r="K1992" s="172" t="inlineStr">
        <is>
          <t>9+3</t>
        </is>
      </c>
      <c r="L1992" s="208" t="n">
        <v>46209</v>
      </c>
      <c r="M1992" s="175" t="n">
        <v>0.0146</v>
      </c>
      <c r="N1992" s="176" t="n">
        <v>0.0195</v>
      </c>
      <c r="O1992" s="172" t="n">
        <v>2.43</v>
      </c>
      <c r="P1992" s="172" t="inlineStr">
        <is>
          <t>优先级</t>
        </is>
      </c>
      <c r="Q1992" s="175" t="n">
        <v>0.9</v>
      </c>
      <c r="R1992" s="192" t="n">
        <v>9</v>
      </c>
      <c r="S1992" s="172" t="inlineStr">
        <is>
          <t>AAA</t>
        </is>
      </c>
      <c r="T1992" s="175" t="n">
        <v>0.0159</v>
      </c>
      <c r="U1992" s="172" t="n"/>
      <c r="V1992" s="172" t="n"/>
      <c r="W1992" s="175" t="n">
        <v>0.016</v>
      </c>
      <c r="X1992" s="172" t="inlineStr">
        <is>
          <t>交银理财</t>
        </is>
      </c>
      <c r="Y1992" s="191" t="n">
        <v>0.5</v>
      </c>
    </row>
    <row r="1993">
      <c r="A1993" s="172" t="n">
        <v>115</v>
      </c>
      <c r="B1993" s="172" t="inlineStr">
        <is>
          <t>7月</t>
        </is>
      </c>
      <c r="C1993" s="172" t="inlineStr">
        <is>
          <t>消金</t>
        </is>
      </c>
      <c r="D1993" s="172" t="inlineStr">
        <is>
          <t>赊销白条</t>
        </is>
      </c>
      <c r="E1993" s="172" t="inlineStr">
        <is>
          <t>东裕4号仲裕（续发）</t>
        </is>
      </c>
      <c r="F1993" s="172" t="inlineStr">
        <is>
          <t>银行间</t>
        </is>
      </c>
      <c r="G1993" s="172" t="inlineStr">
        <is>
          <t>国泰海通</t>
        </is>
      </c>
      <c r="H1993" s="172" t="inlineStr">
        <is>
          <t>杭州银行/江苏银行/中信证券/招商证券</t>
        </is>
      </c>
      <c r="I1993" s="172" t="inlineStr">
        <is>
          <t>兴业北分</t>
        </is>
      </c>
      <c r="J1993" s="172" t="n">
        <v>9.449999999999999</v>
      </c>
      <c r="K1993" s="172" t="inlineStr">
        <is>
          <t>9+3</t>
        </is>
      </c>
      <c r="L1993" s="208" t="n">
        <v>46209</v>
      </c>
      <c r="M1993" s="175" t="n">
        <v>0.0146</v>
      </c>
      <c r="N1993" s="176" t="n">
        <v>0.0195</v>
      </c>
      <c r="O1993" s="172" t="n">
        <v>2.43</v>
      </c>
      <c r="P1993" s="172" t="inlineStr">
        <is>
          <t>优先级</t>
        </is>
      </c>
      <c r="Q1993" s="175" t="n">
        <v>0.9</v>
      </c>
      <c r="R1993" s="192" t="n">
        <v>9</v>
      </c>
      <c r="S1993" s="172" t="inlineStr">
        <is>
          <t>AAA</t>
        </is>
      </c>
      <c r="T1993" s="175" t="n">
        <v>0.0159</v>
      </c>
      <c r="U1993" s="172" t="n"/>
      <c r="V1993" s="172" t="n"/>
      <c r="W1993" s="175" t="n">
        <v>0.016</v>
      </c>
      <c r="X1993" s="172" t="inlineStr">
        <is>
          <t>杭银理财</t>
        </is>
      </c>
      <c r="Y1993" s="191" t="n">
        <v>0.45</v>
      </c>
    </row>
    <row r="1994">
      <c r="A1994" s="172" t="n">
        <v>115</v>
      </c>
      <c r="B1994" s="172" t="inlineStr">
        <is>
          <t>7月</t>
        </is>
      </c>
      <c r="C1994" s="172" t="inlineStr">
        <is>
          <t>消金</t>
        </is>
      </c>
      <c r="D1994" s="172" t="inlineStr">
        <is>
          <t>赊销白条</t>
        </is>
      </c>
      <c r="E1994" s="172" t="inlineStr">
        <is>
          <t>东裕4号仲裕（续发）</t>
        </is>
      </c>
      <c r="F1994" s="172" t="inlineStr">
        <is>
          <t>银行间</t>
        </is>
      </c>
      <c r="G1994" s="172" t="inlineStr">
        <is>
          <t>国泰海通</t>
        </is>
      </c>
      <c r="H1994" s="172" t="inlineStr">
        <is>
          <t>杭州银行/江苏银行/中信证券/招商证券</t>
        </is>
      </c>
      <c r="I1994" s="172" t="inlineStr">
        <is>
          <t>兴业北分</t>
        </is>
      </c>
      <c r="J1994" s="172" t="n">
        <v>9.449999999999999</v>
      </c>
      <c r="K1994" s="172" t="inlineStr">
        <is>
          <t>9+3</t>
        </is>
      </c>
      <c r="L1994" s="208" t="n">
        <v>46209</v>
      </c>
      <c r="M1994" s="175" t="n">
        <v>0.0146</v>
      </c>
      <c r="N1994" s="176" t="n">
        <v>0.0195</v>
      </c>
      <c r="O1994" s="172" t="n">
        <v>2.43</v>
      </c>
      <c r="P1994" s="172" t="inlineStr">
        <is>
          <t>优先级</t>
        </is>
      </c>
      <c r="Q1994" s="175" t="n">
        <v>0.9</v>
      </c>
      <c r="R1994" s="192" t="n">
        <v>9</v>
      </c>
      <c r="S1994" s="172" t="inlineStr">
        <is>
          <t>AAA</t>
        </is>
      </c>
      <c r="T1994" s="175" t="n">
        <v>0.0159</v>
      </c>
      <c r="U1994" s="172" t="n"/>
      <c r="V1994" s="172" t="n"/>
      <c r="W1994" s="175" t="n">
        <v>0.016</v>
      </c>
      <c r="X1994" s="172" t="inlineStr">
        <is>
          <t>中邮理财</t>
        </is>
      </c>
      <c r="Y1994" s="191" t="n">
        <v>2</v>
      </c>
    </row>
    <row r="1995">
      <c r="A1995" s="172" t="n">
        <v>115</v>
      </c>
      <c r="B1995" s="172" t="inlineStr">
        <is>
          <t>7月</t>
        </is>
      </c>
      <c r="C1995" s="172" t="inlineStr">
        <is>
          <t>消金</t>
        </is>
      </c>
      <c r="D1995" s="172" t="inlineStr">
        <is>
          <t>赊销白条</t>
        </is>
      </c>
      <c r="E1995" s="172" t="inlineStr">
        <is>
          <t>东裕4号仲裕（续发）</t>
        </is>
      </c>
      <c r="F1995" s="172" t="inlineStr">
        <is>
          <t>银行间</t>
        </is>
      </c>
      <c r="G1995" s="172" t="inlineStr">
        <is>
          <t>国泰海通</t>
        </is>
      </c>
      <c r="H1995" s="172" t="inlineStr">
        <is>
          <t>杭州银行/江苏银行/中信证券/招商证券</t>
        </is>
      </c>
      <c r="I1995" s="172" t="inlineStr">
        <is>
          <t>兴业北分</t>
        </is>
      </c>
      <c r="J1995" s="172" t="n">
        <v>9.449999999999999</v>
      </c>
      <c r="K1995" s="172" t="inlineStr">
        <is>
          <t>9+3</t>
        </is>
      </c>
      <c r="L1995" s="208" t="n">
        <v>46209</v>
      </c>
      <c r="M1995" s="175" t="n">
        <v>0.0146</v>
      </c>
      <c r="N1995" s="176" t="n">
        <v>0.0195</v>
      </c>
      <c r="O1995" s="172" t="n">
        <v>2.43</v>
      </c>
      <c r="P1995" s="172" t="inlineStr">
        <is>
          <t>优先级</t>
        </is>
      </c>
      <c r="Q1995" s="175" t="n">
        <v>0.9</v>
      </c>
      <c r="R1995" s="192" t="n">
        <v>9</v>
      </c>
      <c r="S1995" s="172" t="inlineStr">
        <is>
          <t>AAA</t>
        </is>
      </c>
      <c r="T1995" s="175" t="n">
        <v>0.0159</v>
      </c>
      <c r="U1995" s="172" t="n"/>
      <c r="V1995" s="172" t="n"/>
      <c r="W1995" s="175" t="n">
        <v>0.0162</v>
      </c>
      <c r="X1995" s="172" t="inlineStr">
        <is>
          <t>中邮理财</t>
        </is>
      </c>
      <c r="Y1995" s="191" t="n">
        <v>0.7</v>
      </c>
    </row>
    <row r="1996">
      <c r="A1996" s="172" t="n">
        <v>115</v>
      </c>
      <c r="B1996" s="172" t="inlineStr">
        <is>
          <t>7月</t>
        </is>
      </c>
      <c r="C1996" s="172" t="inlineStr">
        <is>
          <t>消金</t>
        </is>
      </c>
      <c r="D1996" s="172" t="inlineStr">
        <is>
          <t>赊销白条</t>
        </is>
      </c>
      <c r="E1996" s="172" t="inlineStr">
        <is>
          <t>东裕4号仲裕（续发）</t>
        </is>
      </c>
      <c r="F1996" s="172" t="inlineStr">
        <is>
          <t>银行间</t>
        </is>
      </c>
      <c r="G1996" s="172" t="inlineStr">
        <is>
          <t>国泰海通</t>
        </is>
      </c>
      <c r="H1996" s="172" t="inlineStr">
        <is>
          <t>杭州银行/江苏银行/中信证券/招商证券</t>
        </is>
      </c>
      <c r="I1996" s="172" t="inlineStr">
        <is>
          <t>兴业北分</t>
        </is>
      </c>
      <c r="J1996" s="172" t="n">
        <v>9.449999999999999</v>
      </c>
      <c r="K1996" s="172" t="inlineStr">
        <is>
          <t>9+3</t>
        </is>
      </c>
      <c r="L1996" s="208" t="n">
        <v>46209</v>
      </c>
      <c r="M1996" s="175" t="n">
        <v>0.0146</v>
      </c>
      <c r="N1996" s="176" t="n">
        <v>0.0195</v>
      </c>
      <c r="O1996" s="172" t="n">
        <v>2.43</v>
      </c>
      <c r="P1996" s="172" t="inlineStr">
        <is>
          <t>优先级</t>
        </is>
      </c>
      <c r="Q1996" s="175" t="n">
        <v>0.9</v>
      </c>
      <c r="R1996" s="192" t="n">
        <v>9</v>
      </c>
      <c r="S1996" s="172" t="inlineStr">
        <is>
          <t>AAA</t>
        </is>
      </c>
      <c r="T1996" s="175" t="n">
        <v>0.0159</v>
      </c>
      <c r="U1996" s="172" t="n"/>
      <c r="V1996" s="172" t="n"/>
      <c r="W1996" s="175" t="n">
        <v>0.016</v>
      </c>
      <c r="X1996" s="172" t="inlineStr">
        <is>
          <t>兴银理财</t>
        </is>
      </c>
      <c r="Y1996" s="191" t="n">
        <v>2.7</v>
      </c>
    </row>
    <row r="1997">
      <c r="A1997" s="172" t="n">
        <v>115</v>
      </c>
      <c r="B1997" s="172" t="inlineStr">
        <is>
          <t>7月</t>
        </is>
      </c>
      <c r="C1997" s="172" t="inlineStr">
        <is>
          <t>消金</t>
        </is>
      </c>
      <c r="D1997" s="172" t="inlineStr">
        <is>
          <t>赊销白条</t>
        </is>
      </c>
      <c r="E1997" s="172" t="inlineStr">
        <is>
          <t>东裕4号仲裕（续发）</t>
        </is>
      </c>
      <c r="F1997" s="172" t="inlineStr">
        <is>
          <t>银行间</t>
        </is>
      </c>
      <c r="G1997" s="172" t="inlineStr">
        <is>
          <t>国泰海通</t>
        </is>
      </c>
      <c r="H1997" s="172" t="inlineStr">
        <is>
          <t>杭州银行/江苏银行/中信证券/招商证券</t>
        </is>
      </c>
      <c r="I1997" s="172" t="inlineStr">
        <is>
          <t>兴业北分</t>
        </is>
      </c>
      <c r="J1997" s="172" t="n">
        <v>9.449999999999999</v>
      </c>
      <c r="K1997" s="172" t="inlineStr">
        <is>
          <t>9+3</t>
        </is>
      </c>
      <c r="L1997" s="208" t="n">
        <v>46209</v>
      </c>
      <c r="M1997" s="175" t="n">
        <v>0.0146</v>
      </c>
      <c r="N1997" s="176" t="n">
        <v>0.0195</v>
      </c>
      <c r="O1997" s="172" t="n">
        <v>2.43</v>
      </c>
      <c r="P1997" s="172" t="inlineStr">
        <is>
          <t>优先级</t>
        </is>
      </c>
      <c r="Q1997" s="175" t="n">
        <v>0.9</v>
      </c>
      <c r="R1997" s="192" t="n">
        <v>9</v>
      </c>
      <c r="S1997" s="172" t="inlineStr">
        <is>
          <t>AAA</t>
        </is>
      </c>
      <c r="T1997" s="175" t="n">
        <v>0.0159</v>
      </c>
      <c r="U1997" s="172" t="n"/>
      <c r="V1997" s="172" t="n"/>
      <c r="W1997" s="175" t="n">
        <v>0.0165</v>
      </c>
      <c r="X1997" s="172" t="inlineStr">
        <is>
          <t>国泰海通</t>
        </is>
      </c>
      <c r="Y1997" s="191" t="n">
        <v>1.3</v>
      </c>
    </row>
    <row r="1998">
      <c r="A1998" s="172" t="n">
        <v>115</v>
      </c>
      <c r="B1998" s="172" t="inlineStr">
        <is>
          <t>7月</t>
        </is>
      </c>
      <c r="C1998" s="172" t="inlineStr">
        <is>
          <t>消金</t>
        </is>
      </c>
      <c r="D1998" s="172" t="inlineStr">
        <is>
          <t>赊销白条</t>
        </is>
      </c>
      <c r="E1998" s="172" t="inlineStr">
        <is>
          <t>东裕4号仲裕（续发）</t>
        </is>
      </c>
      <c r="F1998" s="172" t="inlineStr">
        <is>
          <t>银行间</t>
        </is>
      </c>
      <c r="G1998" s="172" t="inlineStr">
        <is>
          <t>国泰海通</t>
        </is>
      </c>
      <c r="H1998" s="172" t="inlineStr">
        <is>
          <t>杭州银行/江苏银行/中信证券/招商证券</t>
        </is>
      </c>
      <c r="I1998" s="172" t="inlineStr">
        <is>
          <t>兴业北分</t>
        </is>
      </c>
      <c r="J1998" s="172" t="n">
        <v>9.449999999999999</v>
      </c>
      <c r="K1998" s="172" t="inlineStr">
        <is>
          <t>9+3</t>
        </is>
      </c>
      <c r="L1998" s="208" t="n">
        <v>46209</v>
      </c>
      <c r="M1998" s="175" t="n">
        <v>0.0146</v>
      </c>
      <c r="N1998" s="176" t="n">
        <v>0.0195</v>
      </c>
      <c r="O1998" s="172" t="n">
        <v>2.43</v>
      </c>
      <c r="P1998" s="172" t="inlineStr">
        <is>
          <t>优先级</t>
        </is>
      </c>
      <c r="Q1998" s="175" t="n">
        <v>0.9</v>
      </c>
      <c r="R1998" s="192" t="n">
        <v>9</v>
      </c>
      <c r="S1998" s="172" t="inlineStr">
        <is>
          <t>AAA</t>
        </is>
      </c>
      <c r="T1998" s="175" t="n">
        <v>0.0159</v>
      </c>
      <c r="U1998" s="172" t="n"/>
      <c r="V1998" s="172" t="n"/>
      <c r="W1998" s="175" t="n">
        <v>0.0165</v>
      </c>
      <c r="X1998" s="172" t="inlineStr">
        <is>
          <t>招商证券</t>
        </is>
      </c>
      <c r="Y1998" s="191" t="n">
        <v>1</v>
      </c>
    </row>
    <row r="1999">
      <c r="A1999" s="172" t="n">
        <v>115</v>
      </c>
      <c r="B1999" s="172" t="inlineStr">
        <is>
          <t>7月</t>
        </is>
      </c>
      <c r="C1999" s="172" t="inlineStr">
        <is>
          <t>消金</t>
        </is>
      </c>
      <c r="D1999" s="172" t="inlineStr">
        <is>
          <t>赊销白条</t>
        </is>
      </c>
      <c r="E1999" s="172" t="inlineStr">
        <is>
          <t>东裕4号仲裕（续发）</t>
        </is>
      </c>
      <c r="F1999" s="172" t="inlineStr">
        <is>
          <t>银行间</t>
        </is>
      </c>
      <c r="G1999" s="172" t="inlineStr">
        <is>
          <t>国泰海通</t>
        </is>
      </c>
      <c r="H1999" s="172" t="inlineStr">
        <is>
          <t>杭州银行/江苏银行/中信证券/招商证券</t>
        </is>
      </c>
      <c r="I1999" s="172" t="inlineStr">
        <is>
          <t>兴业北分</t>
        </is>
      </c>
      <c r="J1999" s="172" t="n">
        <v>9.449999999999999</v>
      </c>
      <c r="K1999" s="172" t="inlineStr">
        <is>
          <t>9+3</t>
        </is>
      </c>
      <c r="L1999" s="208" t="n">
        <v>46209</v>
      </c>
      <c r="M1999" s="175" t="n">
        <v>0.0146</v>
      </c>
      <c r="N1999" s="176" t="n">
        <v>0.0195</v>
      </c>
      <c r="O1999" s="172" t="n">
        <v>2.43</v>
      </c>
      <c r="P1999" s="172" t="inlineStr">
        <is>
          <t>优先级</t>
        </is>
      </c>
      <c r="Q1999" s="175" t="n">
        <v>0.9</v>
      </c>
      <c r="R1999" s="192" t="n">
        <v>9</v>
      </c>
      <c r="S1999" s="172" t="inlineStr">
        <is>
          <t>AAA</t>
        </is>
      </c>
      <c r="T1999" s="175" t="n">
        <v>0.0159</v>
      </c>
      <c r="U1999" s="172" t="n"/>
      <c r="V1999" s="172" t="n"/>
      <c r="W1999" s="175" t="n">
        <v>0.0165</v>
      </c>
      <c r="X1999" s="172" t="inlineStr">
        <is>
          <t>中信证券</t>
        </is>
      </c>
      <c r="Y1999" s="191" t="n">
        <v>1.3</v>
      </c>
    </row>
    <row r="2000">
      <c r="A2000" s="172" t="n">
        <v>115</v>
      </c>
      <c r="B2000" s="173" t="inlineStr">
        <is>
          <t>7月</t>
        </is>
      </c>
      <c r="C2000" s="173" t="inlineStr">
        <is>
          <t>消金</t>
        </is>
      </c>
      <c r="D2000" s="173" t="inlineStr">
        <is>
          <t>赊销白条</t>
        </is>
      </c>
      <c r="E2000" s="173" t="inlineStr">
        <is>
          <t>东裕4号仲裕（续发）</t>
        </is>
      </c>
      <c r="F2000" s="173" t="inlineStr">
        <is>
          <t>银行间</t>
        </is>
      </c>
      <c r="G2000" s="173" t="inlineStr">
        <is>
          <t>国泰海通</t>
        </is>
      </c>
      <c r="H2000" s="173" t="inlineStr">
        <is>
          <t>杭州银行/江苏银行/中信证券/招商证券</t>
        </is>
      </c>
      <c r="I2000" s="173" t="inlineStr">
        <is>
          <t>兴业北分</t>
        </is>
      </c>
      <c r="J2000" s="172" t="n">
        <v>9.449999999999999</v>
      </c>
      <c r="K2000" s="173" t="inlineStr">
        <is>
          <t>9+3</t>
        </is>
      </c>
      <c r="L2000" s="202" t="n">
        <v>46209</v>
      </c>
      <c r="M2000" s="175" t="n">
        <v>0.0146</v>
      </c>
      <c r="N2000" s="176" t="n">
        <v>0.0195</v>
      </c>
      <c r="O2000" s="191" t="n">
        <v>2.43</v>
      </c>
      <c r="P2000" s="177" t="inlineStr">
        <is>
          <t>中间级</t>
        </is>
      </c>
      <c r="Q2000" s="178" t="n">
        <v>0.045</v>
      </c>
      <c r="R2000" s="179" t="n">
        <v>0.45</v>
      </c>
      <c r="S2000" s="177" t="inlineStr">
        <is>
          <t>A+</t>
        </is>
      </c>
      <c r="T2000" s="178" t="n">
        <v>0.031</v>
      </c>
      <c r="U2000" s="177" t="inlineStr">
        <is>
          <t>平安理财</t>
        </is>
      </c>
      <c r="V2000" s="195" t="n">
        <v>0.135</v>
      </c>
      <c r="W2000" s="172" t="n"/>
      <c r="X2000" s="172" t="n"/>
      <c r="Y2000" s="172" t="n"/>
    </row>
    <row r="2001">
      <c r="A2001" s="172" t="n">
        <v>115</v>
      </c>
      <c r="B2001" s="173" t="inlineStr">
        <is>
          <t>7月</t>
        </is>
      </c>
      <c r="C2001" s="173" t="inlineStr">
        <is>
          <t>消金</t>
        </is>
      </c>
      <c r="D2001" s="173" t="inlineStr">
        <is>
          <t>赊销白条</t>
        </is>
      </c>
      <c r="E2001" s="173" t="inlineStr">
        <is>
          <t>东裕4号仲裕（续发）</t>
        </is>
      </c>
      <c r="F2001" s="173" t="inlineStr">
        <is>
          <t>银行间</t>
        </is>
      </c>
      <c r="G2001" s="173" t="inlineStr">
        <is>
          <t>国泰海通</t>
        </is>
      </c>
      <c r="H2001" s="173" t="inlineStr">
        <is>
          <t>杭州银行/江苏银行/中信证券/招商证券</t>
        </is>
      </c>
      <c r="I2001" s="173" t="inlineStr">
        <is>
          <t>兴业北分</t>
        </is>
      </c>
      <c r="J2001" s="172" t="n">
        <v>9.449999999999999</v>
      </c>
      <c r="K2001" s="173" t="inlineStr">
        <is>
          <t>9+3</t>
        </is>
      </c>
      <c r="L2001" s="202" t="n">
        <v>46209</v>
      </c>
      <c r="M2001" s="175" t="n">
        <v>0.0146</v>
      </c>
      <c r="N2001" s="176" t="n">
        <v>0.0195</v>
      </c>
      <c r="O2001" s="191" t="n">
        <v>2.43</v>
      </c>
      <c r="P2001" s="172" t="inlineStr">
        <is>
          <t>中间级</t>
        </is>
      </c>
      <c r="Q2001" s="178" t="n">
        <v>0.045</v>
      </c>
      <c r="R2001" s="179" t="n">
        <v>0.45</v>
      </c>
      <c r="S2001" s="177" t="inlineStr">
        <is>
          <t>A+</t>
        </is>
      </c>
      <c r="T2001" s="178" t="n">
        <v>0.031</v>
      </c>
      <c r="U2001" s="177" t="inlineStr">
        <is>
          <t>招银理财</t>
        </is>
      </c>
      <c r="V2001" s="195" t="n">
        <v>0.135</v>
      </c>
      <c r="W2001" s="172" t="n"/>
      <c r="X2001" s="172" t="n"/>
      <c r="Y2001" s="172" t="n"/>
    </row>
    <row r="2002">
      <c r="A2002" s="172" t="n">
        <v>115</v>
      </c>
      <c r="B2002" s="173" t="inlineStr">
        <is>
          <t>7月</t>
        </is>
      </c>
      <c r="C2002" s="173" t="inlineStr">
        <is>
          <t>消金</t>
        </is>
      </c>
      <c r="D2002" s="173" t="inlineStr">
        <is>
          <t>赊销白条</t>
        </is>
      </c>
      <c r="E2002" s="173" t="inlineStr">
        <is>
          <t>东裕4号仲裕（续发）</t>
        </is>
      </c>
      <c r="F2002" s="173" t="inlineStr">
        <is>
          <t>银行间</t>
        </is>
      </c>
      <c r="G2002" s="173" t="inlineStr">
        <is>
          <t>国泰海通</t>
        </is>
      </c>
      <c r="H2002" s="173" t="inlineStr">
        <is>
          <t>杭州银行/江苏银行/中信证券/招商证券</t>
        </is>
      </c>
      <c r="I2002" s="173" t="inlineStr">
        <is>
          <t>兴业北分</t>
        </is>
      </c>
      <c r="J2002" s="172" t="n">
        <v>9.449999999999999</v>
      </c>
      <c r="K2002" s="173" t="inlineStr">
        <is>
          <t>9+3</t>
        </is>
      </c>
      <c r="L2002" s="202" t="n">
        <v>46209</v>
      </c>
      <c r="M2002" s="175" t="n">
        <v>0.0146</v>
      </c>
      <c r="N2002" s="176" t="n">
        <v>0.0195</v>
      </c>
      <c r="O2002" s="191" t="n">
        <v>2.43</v>
      </c>
      <c r="P2002" s="172" t="inlineStr">
        <is>
          <t>中间级</t>
        </is>
      </c>
      <c r="Q2002" s="178" t="n">
        <v>0.045</v>
      </c>
      <c r="R2002" s="179" t="n">
        <v>0.45</v>
      </c>
      <c r="S2002" s="177" t="inlineStr">
        <is>
          <t>A+</t>
        </is>
      </c>
      <c r="T2002" s="178" t="n">
        <v>0.031</v>
      </c>
      <c r="U2002" s="177" t="inlineStr">
        <is>
          <t>杭州联合银行</t>
        </is>
      </c>
      <c r="V2002" s="192" t="n">
        <v>0.1</v>
      </c>
      <c r="W2002" s="172" t="n"/>
      <c r="X2002" s="172" t="n"/>
      <c r="Y2002" s="172" t="n"/>
    </row>
    <row r="2003">
      <c r="A2003" s="172" t="n">
        <v>115</v>
      </c>
      <c r="B2003" s="173" t="inlineStr">
        <is>
          <t>7月</t>
        </is>
      </c>
      <c r="C2003" s="173" t="inlineStr">
        <is>
          <t>消金</t>
        </is>
      </c>
      <c r="D2003" s="173" t="inlineStr">
        <is>
          <t>赊销白条</t>
        </is>
      </c>
      <c r="E2003" s="173" t="inlineStr">
        <is>
          <t>东裕4号仲裕（续发）</t>
        </is>
      </c>
      <c r="F2003" s="173" t="inlineStr">
        <is>
          <t>银行间</t>
        </is>
      </c>
      <c r="G2003" s="173" t="inlineStr">
        <is>
          <t>国泰海通</t>
        </is>
      </c>
      <c r="H2003" s="173" t="inlineStr">
        <is>
          <t>杭州银行/江苏银行/中信证券/招商证券</t>
        </is>
      </c>
      <c r="I2003" s="173" t="inlineStr">
        <is>
          <t>兴业北分</t>
        </is>
      </c>
      <c r="J2003" s="172" t="n">
        <v>9.449999999999999</v>
      </c>
      <c r="K2003" s="173" t="inlineStr">
        <is>
          <t>9+3</t>
        </is>
      </c>
      <c r="L2003" s="202" t="n">
        <v>46209</v>
      </c>
      <c r="M2003" s="175" t="n">
        <v>0.0146</v>
      </c>
      <c r="N2003" s="176" t="n">
        <v>0.0195</v>
      </c>
      <c r="O2003" s="191" t="n">
        <v>2.43</v>
      </c>
      <c r="P2003" s="172" t="inlineStr">
        <is>
          <t>中间级</t>
        </is>
      </c>
      <c r="Q2003" s="178" t="n">
        <v>0.045</v>
      </c>
      <c r="R2003" s="179" t="n">
        <v>0.45</v>
      </c>
      <c r="S2003" s="177" t="inlineStr">
        <is>
          <t>A+</t>
        </is>
      </c>
      <c r="T2003" s="178" t="n">
        <v>0.031</v>
      </c>
      <c r="U2003" s="177" t="inlineStr">
        <is>
          <t>中信建投投顾</t>
        </is>
      </c>
      <c r="V2003" s="192" t="n">
        <v>0.08</v>
      </c>
      <c r="W2003" s="172" t="n"/>
      <c r="X2003" s="172" t="n"/>
      <c r="Y2003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2026-07-14T14:39:35Z</dcterms:modified>
  <cp:lastModifiedBy>wupeizhi.nolan</cp:lastModifiedBy>
</cp:coreProperties>
</file>