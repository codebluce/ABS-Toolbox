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  <numFmt numFmtId="177" formatCode="0.0%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12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申万宏源资管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申万宏源资管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申万宏源资管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申万宏源资管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申万宏源资管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申万宏源资管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申万宏源资管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申万宏源资管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申万宏源资管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申万宏源资管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申万宏源资管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申万宏源资管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申万宏源资管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申万宏源资管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申万宏源资管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申万宏源资管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申万宏源资管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申万宏源资管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杭州银行/南京银行/江苏银行/中信证券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杭州银行/南京银行/江苏银行/中信证券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杭州银行/南京银行/江苏银行/中信证券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杭州银行/南京银行/江苏银行/中信证券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杭州银行/南京银行/江苏银行/中信证券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杭州银行/南京银行/江苏银行/中信证券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杭州银行/南京银行/江苏银行/中信证券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杭州银行/南京银行/江苏银行/中信证券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杭州银行/南京银行/江苏银行/中信证券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杭州银行/南京银行/江苏银行/中信证券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杭州银行/南京银行/江苏银行/中信证券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申万宏源资管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申万宏源资管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申万宏源资管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申万宏源资管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申万宏源资管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申万宏源资管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申万宏源资管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申万宏源资管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申万宏源资管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申万宏源资管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申万宏源资管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申万宏源资管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申万宏源资管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申万宏源资管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申万宏源资管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申万宏源资管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申万宏源资管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申万宏源资管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申万宏源资管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申万宏源资管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申万宏源资管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结构化非标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结构化非标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结构化非标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45789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45789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45789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45789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45789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45789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45789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45789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45789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45789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45789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45789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45789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45789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45789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45789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45789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45789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45789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45789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45789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45789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45789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45789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45789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45789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45789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45789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江苏北分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结构化非标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结构化非标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结构化非标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结构化非标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0.01924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0.01924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0.01924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0.01924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0.01924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0.01924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0.01924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0.01924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0.01924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0.01924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0.01924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0.01924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0.01924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0.01924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0.01924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0.01924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0.01924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0.01924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0.01924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0.01924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0.01924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0.01924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0.01924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0.01924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0.01924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0.01924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0.01924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6月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6月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6月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6月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6月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6月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6月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6月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6月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6月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6月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6月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6月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6月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6月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6月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6月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6月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6月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6月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6月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平层非标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平层非标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>
        <f>R1449*0.05</f>
        <v/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0.0169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0.0169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0.0169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0.0169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0.0169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0.0169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0.0169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0.0169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0.0169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0.0169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0.0169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0.0169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0.0169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0.0169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0.0169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0.0169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0.0169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0.0169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0.017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0.017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0.017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0.017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0.017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0.017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0.017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0.017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0.017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0.017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0.017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0.017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0.017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0.017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0.017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0.017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0.017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0.017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0.017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0.0166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0.0166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0.0166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0.0166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0.0166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0.0166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0.0166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0.0166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0.0166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0.0166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0.0166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0.0166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0.0166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0.0166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0.0166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0.0166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0.0166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0.0166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0.0166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0.0166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0.0166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0.0166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0.0171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0.0171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0.0171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0.0171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0.0171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0.0171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0.0171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0.0171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0.0171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0.0171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0.0171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0.0171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0.0171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0.0196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0.0196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0.0196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0.0196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0.0196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0.0196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0.0196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0.0196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0.0196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0.0196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0.0196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0.0196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0.0196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0.0196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0.0196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0.0196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0.0196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0.0196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0.0196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0.0196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n">
        <v>0.02259</v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n">
        <v>0.02259</v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n">
        <v>0.02259</v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n">
        <v>0.02259</v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n">
        <v>0.02259</v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n">
        <v>0.02259</v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n">
        <v>0.02259</v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n">
        <v>0.02259</v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n">
        <v>0.02259</v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n">
        <v>0.02259</v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n">
        <v>0.02259</v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n">
        <v>0.02259</v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n">
        <v>0.02259</v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n">
        <v>0.02259</v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n">
        <v>0.02259</v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n">
        <v>0.02259</v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n">
        <v>0.02259</v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n">
        <v>0.02259</v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n">
        <v>0.02259</v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n">
        <v>0.02259</v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n">
        <v>0.02259</v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n">
        <v>0.02259</v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n">
        <v>0.02259</v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n">
        <v>0.02259</v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n">
        <v>0.02259</v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n">
        <v>0.02259</v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n">
        <v>0.02259</v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n">
        <v>0.02259</v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  <row r="2566">
      <c r="A2566" s="172" t="n">
        <v>138</v>
      </c>
      <c r="B2566" s="172" t="inlineStr">
        <is>
          <t>8月</t>
        </is>
      </c>
      <c r="C2566" s="172" t="inlineStr">
        <is>
          <t>企金</t>
        </is>
      </c>
      <c r="D2566" s="172" t="inlineStr">
        <is>
          <t>保理</t>
        </is>
      </c>
      <c r="E2566" s="172" t="inlineStr">
        <is>
          <t>京诚16-3</t>
        </is>
      </c>
      <c r="F2566" s="172" t="inlineStr">
        <is>
          <t>上交所</t>
        </is>
      </c>
      <c r="G2566" s="172" t="inlineStr">
        <is>
          <t>财通资管</t>
        </is>
      </c>
      <c r="H2566" s="172" t="inlineStr">
        <is>
          <t>国泰海通</t>
        </is>
      </c>
      <c r="I2566" s="172" t="inlineStr">
        <is>
          <t>民生北分</t>
        </is>
      </c>
      <c r="J2566" s="172" t="n">
        <v>10</v>
      </c>
      <c r="K2566" s="172" t="inlineStr">
        <is>
          <t>3+3</t>
        </is>
      </c>
      <c r="L2566" s="202" t="n">
        <v>46265</v>
      </c>
      <c r="M2566" s="175" t="n">
        <v>0.0148</v>
      </c>
      <c r="N2566" s="176" t="n">
        <v>0.0169</v>
      </c>
      <c r="O2566" s="191" t="n">
        <v>2.32</v>
      </c>
      <c r="P2566" s="172" t="inlineStr">
        <is>
          <t>优先级</t>
        </is>
      </c>
      <c r="Q2566" s="175" t="n">
        <v>0.99</v>
      </c>
      <c r="R2566" s="192">
        <f>J1654*Q1654</f>
        <v/>
      </c>
      <c r="S2566" s="172" t="inlineStr">
        <is>
          <t>AAA</t>
        </is>
      </c>
      <c r="T2566" s="175" t="n">
        <v>0.0154</v>
      </c>
      <c r="U2566" s="172" t="inlineStr">
        <is>
          <t>平安理财</t>
        </is>
      </c>
      <c r="V2566" s="191" t="n">
        <v>0.41</v>
      </c>
      <c r="W2566" s="175" t="n">
        <v>0.015</v>
      </c>
      <c r="X2566" s="172" t="inlineStr">
        <is>
          <t>平安理财</t>
        </is>
      </c>
      <c r="Y2566" s="191" t="n">
        <v>0.41</v>
      </c>
    </row>
    <row r="2567">
      <c r="A2567" s="172" t="n">
        <v>138</v>
      </c>
      <c r="B2567" s="172" t="inlineStr">
        <is>
          <t>8月</t>
        </is>
      </c>
      <c r="C2567" s="172" t="inlineStr">
        <is>
          <t>企金</t>
        </is>
      </c>
      <c r="D2567" s="172" t="inlineStr">
        <is>
          <t>保理</t>
        </is>
      </c>
      <c r="E2567" s="172" t="inlineStr">
        <is>
          <t>京诚16-3</t>
        </is>
      </c>
      <c r="F2567" s="172" t="inlineStr">
        <is>
          <t>上交所</t>
        </is>
      </c>
      <c r="G2567" s="172" t="inlineStr">
        <is>
          <t>财通资管</t>
        </is>
      </c>
      <c r="H2567" s="172" t="inlineStr">
        <is>
          <t>国泰海通</t>
        </is>
      </c>
      <c r="I2567" s="172" t="inlineStr">
        <is>
          <t>民生北分</t>
        </is>
      </c>
      <c r="J2567" s="172" t="n">
        <v>10</v>
      </c>
      <c r="K2567" s="172" t="inlineStr">
        <is>
          <t>3+3</t>
        </is>
      </c>
      <c r="L2567" s="202" t="n">
        <v>46265</v>
      </c>
      <c r="M2567" s="175" t="n">
        <v>0.0148</v>
      </c>
      <c r="N2567" s="176" t="n">
        <v>0.0169</v>
      </c>
      <c r="O2567" s="191" t="n">
        <v>2.32</v>
      </c>
      <c r="P2567" s="172" t="inlineStr">
        <is>
          <t>优先级</t>
        </is>
      </c>
      <c r="Q2567" s="175" t="n">
        <v>0.99</v>
      </c>
      <c r="R2567" s="192">
        <f>J1654*Q1654</f>
        <v/>
      </c>
      <c r="S2567" s="172" t="inlineStr">
        <is>
          <t>AAA</t>
        </is>
      </c>
      <c r="T2567" s="175" t="n">
        <v>0.0154</v>
      </c>
      <c r="U2567" s="172" t="inlineStr">
        <is>
          <t>民生理财</t>
        </is>
      </c>
      <c r="V2567" s="191" t="n">
        <v>2.97</v>
      </c>
      <c r="W2567" s="175" t="n">
        <v>0.015</v>
      </c>
      <c r="X2567" s="172" t="inlineStr">
        <is>
          <t>民生理财</t>
        </is>
      </c>
      <c r="Y2567" s="191" t="n">
        <v>2.97</v>
      </c>
    </row>
    <row r="2568">
      <c r="A2568" s="172" t="n">
        <v>138</v>
      </c>
      <c r="B2568" s="172" t="inlineStr">
        <is>
          <t>8月</t>
        </is>
      </c>
      <c r="C2568" s="172" t="inlineStr">
        <is>
          <t>企金</t>
        </is>
      </c>
      <c r="D2568" s="172" t="inlineStr">
        <is>
          <t>保理</t>
        </is>
      </c>
      <c r="E2568" s="172" t="inlineStr">
        <is>
          <t>京诚16-3</t>
        </is>
      </c>
      <c r="F2568" s="172" t="inlineStr">
        <is>
          <t>上交所</t>
        </is>
      </c>
      <c r="G2568" s="172" t="inlineStr">
        <is>
          <t>财通资管</t>
        </is>
      </c>
      <c r="H2568" s="172" t="inlineStr">
        <is>
          <t>国泰海通</t>
        </is>
      </c>
      <c r="I2568" s="172" t="inlineStr">
        <is>
          <t>民生北分</t>
        </is>
      </c>
      <c r="J2568" s="172" t="n">
        <v>10</v>
      </c>
      <c r="K2568" s="172" t="inlineStr">
        <is>
          <t>3+3</t>
        </is>
      </c>
      <c r="L2568" s="202" t="n">
        <v>46265</v>
      </c>
      <c r="M2568" s="175" t="n">
        <v>0.0148</v>
      </c>
      <c r="N2568" s="176" t="n">
        <v>0.0169</v>
      </c>
      <c r="O2568" s="191" t="n">
        <v>2.32</v>
      </c>
      <c r="P2568" s="172" t="inlineStr">
        <is>
          <t>优先级</t>
        </is>
      </c>
      <c r="Q2568" s="175" t="n">
        <v>0.99</v>
      </c>
      <c r="R2568" s="192">
        <f>J1654*Q1654</f>
        <v/>
      </c>
      <c r="S2568" s="172" t="inlineStr">
        <is>
          <t>AAA</t>
        </is>
      </c>
      <c r="T2568" s="175" t="n">
        <v>0.0154</v>
      </c>
      <c r="U2568" s="172" t="inlineStr">
        <is>
          <t>招银理财</t>
        </is>
      </c>
      <c r="V2568" s="191" t="n">
        <v>1</v>
      </c>
      <c r="W2568" s="175" t="n">
        <v>0.0154</v>
      </c>
      <c r="X2568" s="172" t="inlineStr">
        <is>
          <t>招银理财</t>
        </is>
      </c>
      <c r="Y2568" s="191" t="n">
        <v>1</v>
      </c>
    </row>
    <row r="2569">
      <c r="A2569" s="172" t="n">
        <v>138</v>
      </c>
      <c r="B2569" s="172" t="inlineStr">
        <is>
          <t>8月</t>
        </is>
      </c>
      <c r="C2569" s="172" t="inlineStr">
        <is>
          <t>企金</t>
        </is>
      </c>
      <c r="D2569" s="172" t="inlineStr">
        <is>
          <t>保理</t>
        </is>
      </c>
      <c r="E2569" s="172" t="inlineStr">
        <is>
          <t>京诚16-3</t>
        </is>
      </c>
      <c r="F2569" s="172" t="inlineStr">
        <is>
          <t>上交所</t>
        </is>
      </c>
      <c r="G2569" s="172" t="inlineStr">
        <is>
          <t>财通资管</t>
        </is>
      </c>
      <c r="H2569" s="172" t="inlineStr">
        <is>
          <t>国泰海通</t>
        </is>
      </c>
      <c r="I2569" s="172" t="inlineStr">
        <is>
          <t>民生北分</t>
        </is>
      </c>
      <c r="J2569" s="172" t="n">
        <v>10</v>
      </c>
      <c r="K2569" s="172" t="inlineStr">
        <is>
          <t>3+3</t>
        </is>
      </c>
      <c r="L2569" s="202" t="n">
        <v>46265</v>
      </c>
      <c r="M2569" s="175" t="n">
        <v>0.0148</v>
      </c>
      <c r="N2569" s="176" t="n">
        <v>0.0169</v>
      </c>
      <c r="O2569" s="191" t="n">
        <v>2.32</v>
      </c>
      <c r="P2569" s="172" t="inlineStr">
        <is>
          <t>优先级</t>
        </is>
      </c>
      <c r="Q2569" s="175" t="n">
        <v>0.99</v>
      </c>
      <c r="R2569" s="192">
        <f>J1654*Q1654</f>
        <v/>
      </c>
      <c r="S2569" s="172" t="inlineStr">
        <is>
          <t>AAA</t>
        </is>
      </c>
      <c r="T2569" s="175" t="n">
        <v>0.0154</v>
      </c>
      <c r="U2569" s="172" t="inlineStr">
        <is>
          <t>中银理财</t>
        </is>
      </c>
      <c r="V2569" s="191" t="n">
        <v>2.9</v>
      </c>
      <c r="W2569" s="175" t="n">
        <v>0.0154</v>
      </c>
      <c r="X2569" s="172" t="inlineStr">
        <is>
          <t>中银理财</t>
        </is>
      </c>
      <c r="Y2569" s="191" t="n">
        <v>2.9</v>
      </c>
    </row>
    <row r="2570">
      <c r="A2570" s="172" t="n">
        <v>138</v>
      </c>
      <c r="B2570" s="172" t="inlineStr">
        <is>
          <t>8月</t>
        </is>
      </c>
      <c r="C2570" s="172" t="inlineStr">
        <is>
          <t>企金</t>
        </is>
      </c>
      <c r="D2570" s="172" t="inlineStr">
        <is>
          <t>保理</t>
        </is>
      </c>
      <c r="E2570" s="172" t="inlineStr">
        <is>
          <t>京诚16-3</t>
        </is>
      </c>
      <c r="F2570" s="172" t="inlineStr">
        <is>
          <t>上交所</t>
        </is>
      </c>
      <c r="G2570" s="172" t="inlineStr">
        <is>
          <t>财通资管</t>
        </is>
      </c>
      <c r="H2570" s="172" t="inlineStr">
        <is>
          <t>国泰海通</t>
        </is>
      </c>
      <c r="I2570" s="172" t="inlineStr">
        <is>
          <t>民生北分</t>
        </is>
      </c>
      <c r="J2570" s="172" t="n">
        <v>10</v>
      </c>
      <c r="K2570" s="172" t="inlineStr">
        <is>
          <t>3+3</t>
        </is>
      </c>
      <c r="L2570" s="202" t="n">
        <v>46265</v>
      </c>
      <c r="M2570" s="175" t="n">
        <v>0.0148</v>
      </c>
      <c r="N2570" s="176" t="n">
        <v>0.0169</v>
      </c>
      <c r="O2570" s="191" t="n">
        <v>2.32</v>
      </c>
      <c r="P2570" s="172" t="inlineStr">
        <is>
          <t>优先级</t>
        </is>
      </c>
      <c r="Q2570" s="175" t="n">
        <v>0.99</v>
      </c>
      <c r="R2570" s="192">
        <f>J1654*Q1654</f>
        <v/>
      </c>
      <c r="S2570" s="172" t="inlineStr">
        <is>
          <t>AAA</t>
        </is>
      </c>
      <c r="T2570" s="175" t="n">
        <v>0.0154</v>
      </c>
      <c r="U2570" s="172" t="inlineStr">
        <is>
          <t>光大理财</t>
        </is>
      </c>
      <c r="V2570" s="191" t="n">
        <v>2</v>
      </c>
      <c r="W2570" s="175" t="n">
        <v>0.0154</v>
      </c>
      <c r="X2570" s="172" t="inlineStr">
        <is>
          <t>光大理财</t>
        </is>
      </c>
      <c r="Y2570" s="191" t="n">
        <v>2</v>
      </c>
    </row>
    <row r="2571">
      <c r="A2571" s="172" t="n">
        <v>138</v>
      </c>
      <c r="B2571" s="172" t="inlineStr">
        <is>
          <t>8月</t>
        </is>
      </c>
      <c r="C2571" s="172" t="inlineStr">
        <is>
          <t>企金</t>
        </is>
      </c>
      <c r="D2571" s="172" t="inlineStr">
        <is>
          <t>保理</t>
        </is>
      </c>
      <c r="E2571" s="172" t="inlineStr">
        <is>
          <t>京诚16-3</t>
        </is>
      </c>
      <c r="F2571" s="172" t="inlineStr">
        <is>
          <t>上交所</t>
        </is>
      </c>
      <c r="G2571" s="172" t="inlineStr">
        <is>
          <t>财通资管</t>
        </is>
      </c>
      <c r="H2571" s="172" t="inlineStr">
        <is>
          <t>国泰海通</t>
        </is>
      </c>
      <c r="I2571" s="172" t="inlineStr">
        <is>
          <t>民生北分</t>
        </is>
      </c>
      <c r="J2571" s="172" t="n">
        <v>10</v>
      </c>
      <c r="K2571" s="172" t="inlineStr">
        <is>
          <t>3+3</t>
        </is>
      </c>
      <c r="L2571" s="202" t="n">
        <v>46265</v>
      </c>
      <c r="M2571" s="175" t="n">
        <v>0.0148</v>
      </c>
      <c r="N2571" s="176" t="n">
        <v>0.0169</v>
      </c>
      <c r="O2571" s="191" t="n">
        <v>2.32</v>
      </c>
      <c r="P2571" s="172" t="inlineStr">
        <is>
          <t>优先级</t>
        </is>
      </c>
      <c r="Q2571" s="175" t="n">
        <v>0.99</v>
      </c>
      <c r="R2571" s="192">
        <f>J1654*Q1654</f>
        <v/>
      </c>
      <c r="S2571" s="172" t="inlineStr">
        <is>
          <t>AAA</t>
        </is>
      </c>
      <c r="T2571" s="175" t="n">
        <v>0.0154</v>
      </c>
      <c r="U2571" s="172" t="inlineStr">
        <is>
          <t>兴银理财</t>
        </is>
      </c>
      <c r="V2571" s="191" t="n">
        <v>0.5</v>
      </c>
      <c r="W2571" s="175" t="n">
        <v>0.0154</v>
      </c>
      <c r="X2571" s="172" t="inlineStr">
        <is>
          <t>兴银理财</t>
        </is>
      </c>
      <c r="Y2571" s="191" t="n">
        <v>0.5</v>
      </c>
    </row>
    <row r="2572">
      <c r="A2572" s="172" t="n">
        <v>138</v>
      </c>
      <c r="B2572" s="172" t="inlineStr">
        <is>
          <t>8月</t>
        </is>
      </c>
      <c r="C2572" s="172" t="inlineStr">
        <is>
          <t>企金</t>
        </is>
      </c>
      <c r="D2572" s="172" t="inlineStr">
        <is>
          <t>保理</t>
        </is>
      </c>
      <c r="E2572" s="172" t="inlineStr">
        <is>
          <t>京诚16-3</t>
        </is>
      </c>
      <c r="F2572" s="172" t="inlineStr">
        <is>
          <t>上交所</t>
        </is>
      </c>
      <c r="G2572" s="172" t="inlineStr">
        <is>
          <t>财通资管</t>
        </is>
      </c>
      <c r="H2572" s="172" t="inlineStr">
        <is>
          <t>国泰海通</t>
        </is>
      </c>
      <c r="I2572" s="172" t="inlineStr">
        <is>
          <t>民生北分</t>
        </is>
      </c>
      <c r="J2572" s="172" t="n">
        <v>10</v>
      </c>
      <c r="K2572" s="172" t="inlineStr">
        <is>
          <t>3+3</t>
        </is>
      </c>
      <c r="L2572" s="208" t="n">
        <v>46265</v>
      </c>
      <c r="M2572" s="175" t="n">
        <v>0.0148</v>
      </c>
      <c r="N2572" s="176" t="n">
        <v>0.0169</v>
      </c>
      <c r="O2572" s="172" t="n">
        <v>2.32</v>
      </c>
      <c r="P2572" s="172" t="inlineStr">
        <is>
          <t>优先级</t>
        </is>
      </c>
      <c r="Q2572" s="175" t="n">
        <v>0.99</v>
      </c>
      <c r="R2572" s="172">
        <f>J1654*Q1654</f>
        <v/>
      </c>
      <c r="S2572" s="172" t="inlineStr">
        <is>
          <t>AAA</t>
        </is>
      </c>
      <c r="T2572" s="175" t="n">
        <v>0.0154</v>
      </c>
      <c r="U2572" s="172" t="n"/>
      <c r="V2572" s="172" t="n"/>
      <c r="W2572" s="175" t="n">
        <v>0.0157</v>
      </c>
      <c r="X2572" s="172" t="inlineStr">
        <is>
          <t>兴银理财</t>
        </is>
      </c>
      <c r="Y2572" s="191" t="n">
        <v>1.48</v>
      </c>
    </row>
    <row r="2573">
      <c r="A2573" s="172" t="n">
        <v>138</v>
      </c>
      <c r="B2573" s="172" t="inlineStr">
        <is>
          <t>8月</t>
        </is>
      </c>
      <c r="C2573" s="172" t="inlineStr">
        <is>
          <t>企金</t>
        </is>
      </c>
      <c r="D2573" s="172" t="inlineStr">
        <is>
          <t>保理</t>
        </is>
      </c>
      <c r="E2573" s="172" t="inlineStr">
        <is>
          <t>京诚16-3</t>
        </is>
      </c>
      <c r="F2573" s="172" t="inlineStr">
        <is>
          <t>上交所</t>
        </is>
      </c>
      <c r="G2573" s="172" t="inlineStr">
        <is>
          <t>财通资管</t>
        </is>
      </c>
      <c r="H2573" s="172" t="inlineStr">
        <is>
          <t>国泰海通</t>
        </is>
      </c>
      <c r="I2573" s="172" t="inlineStr">
        <is>
          <t>民生北分</t>
        </is>
      </c>
      <c r="J2573" s="172" t="n">
        <v>10</v>
      </c>
      <c r="K2573" s="172" t="inlineStr">
        <is>
          <t>3+3</t>
        </is>
      </c>
      <c r="L2573" s="202" t="n">
        <v>46265</v>
      </c>
      <c r="M2573" s="175" t="n">
        <v>0.0148</v>
      </c>
      <c r="N2573" s="176" t="n">
        <v>0.0169</v>
      </c>
      <c r="O2573" s="191" t="n">
        <v>2.32</v>
      </c>
      <c r="P2573" s="172" t="inlineStr">
        <is>
          <t>优先级</t>
        </is>
      </c>
      <c r="Q2573" s="175" t="n">
        <v>0.99</v>
      </c>
      <c r="R2573" s="192">
        <f>J1654*Q1654</f>
        <v/>
      </c>
      <c r="S2573" s="172" t="inlineStr">
        <is>
          <t>AAA</t>
        </is>
      </c>
      <c r="T2573" s="175" t="n">
        <v>0.0154</v>
      </c>
      <c r="U2573" s="172" t="inlineStr">
        <is>
          <t>利曦基金</t>
        </is>
      </c>
      <c r="V2573" s="191" t="n">
        <v>0.12</v>
      </c>
      <c r="W2573" s="175" t="n">
        <v>0.0154</v>
      </c>
      <c r="X2573" s="172" t="inlineStr">
        <is>
          <t>利曦基金</t>
        </is>
      </c>
      <c r="Y2573" s="191" t="n">
        <v>0.12</v>
      </c>
    </row>
    <row r="2574">
      <c r="A2574" s="172" t="n">
        <v>138</v>
      </c>
      <c r="B2574" s="172" t="inlineStr">
        <is>
          <t>8月</t>
        </is>
      </c>
      <c r="C2574" s="172" t="inlineStr">
        <is>
          <t>企金</t>
        </is>
      </c>
      <c r="D2574" s="172" t="inlineStr">
        <is>
          <t>保理</t>
        </is>
      </c>
      <c r="E2574" s="172" t="inlineStr">
        <is>
          <t>京诚16-3</t>
        </is>
      </c>
      <c r="F2574" s="172" t="inlineStr">
        <is>
          <t>上交所</t>
        </is>
      </c>
      <c r="G2574" s="172" t="inlineStr">
        <is>
          <t>财通资管</t>
        </is>
      </c>
      <c r="H2574" s="172" t="inlineStr">
        <is>
          <t>国泰海通</t>
        </is>
      </c>
      <c r="I2574" s="172" t="inlineStr">
        <is>
          <t>民生北分</t>
        </is>
      </c>
      <c r="J2574" s="172" t="n">
        <v>10</v>
      </c>
      <c r="K2574" s="172" t="inlineStr">
        <is>
          <t>3+3</t>
        </is>
      </c>
      <c r="L2574" s="208" t="n">
        <v>46265</v>
      </c>
      <c r="M2574" s="175" t="n">
        <v>0.0148</v>
      </c>
      <c r="N2574" s="176" t="n">
        <v>0.0169</v>
      </c>
      <c r="O2574" s="172" t="n">
        <v>2.32</v>
      </c>
      <c r="P2574" s="172" t="inlineStr">
        <is>
          <t>优先级</t>
        </is>
      </c>
      <c r="Q2574" s="175" t="n">
        <v>0.99</v>
      </c>
      <c r="R2574" s="172">
        <f>J1654*Q1654</f>
        <v/>
      </c>
      <c r="S2574" s="172" t="inlineStr">
        <is>
          <t>AAA</t>
        </is>
      </c>
      <c r="T2574" s="175" t="n">
        <v>0.0154</v>
      </c>
      <c r="U2574" s="172" t="n"/>
      <c r="V2574" s="172" t="n"/>
      <c r="W2574" s="175" t="n">
        <v>0.0165</v>
      </c>
      <c r="X2574" s="172" t="inlineStr">
        <is>
          <t>利曦基金</t>
        </is>
      </c>
      <c r="Y2574" s="191" t="n">
        <v>1.88</v>
      </c>
    </row>
    <row r="2575">
      <c r="A2575" s="172" t="n">
        <v>138</v>
      </c>
      <c r="B2575" s="172" t="inlineStr">
        <is>
          <t>8月</t>
        </is>
      </c>
      <c r="C2575" s="172" t="inlineStr">
        <is>
          <t>企金</t>
        </is>
      </c>
      <c r="D2575" s="172" t="inlineStr">
        <is>
          <t>保理</t>
        </is>
      </c>
      <c r="E2575" s="172" t="inlineStr">
        <is>
          <t>京诚16-3</t>
        </is>
      </c>
      <c r="F2575" s="172" t="inlineStr">
        <is>
          <t>上交所</t>
        </is>
      </c>
      <c r="G2575" s="172" t="inlineStr">
        <is>
          <t>财通资管</t>
        </is>
      </c>
      <c r="H2575" s="172" t="inlineStr">
        <is>
          <t>国泰海通</t>
        </is>
      </c>
      <c r="I2575" s="172" t="inlineStr">
        <is>
          <t>民生北分</t>
        </is>
      </c>
      <c r="J2575" s="172" t="n">
        <v>10</v>
      </c>
      <c r="K2575" s="172" t="inlineStr">
        <is>
          <t>3+3</t>
        </is>
      </c>
      <c r="L2575" s="208" t="n">
        <v>46265</v>
      </c>
      <c r="M2575" s="175" t="n">
        <v>0.0148</v>
      </c>
      <c r="N2575" s="176" t="n">
        <v>0.0169</v>
      </c>
      <c r="O2575" s="172" t="n">
        <v>2.32</v>
      </c>
      <c r="P2575" s="172" t="inlineStr">
        <is>
          <t>优先级</t>
        </is>
      </c>
      <c r="Q2575" s="175" t="n">
        <v>0.99</v>
      </c>
      <c r="R2575" s="172">
        <f>J1654*Q1654</f>
        <v/>
      </c>
      <c r="S2575" s="172" t="inlineStr">
        <is>
          <t>AAA</t>
        </is>
      </c>
      <c r="T2575" s="175" t="n">
        <v>0.0154</v>
      </c>
      <c r="U2575" s="172" t="n"/>
      <c r="V2575" s="172" t="n"/>
      <c r="W2575" s="175" t="n">
        <v>0.0155</v>
      </c>
      <c r="X2575" s="172" t="inlineStr">
        <is>
          <t>浦银理财</t>
        </is>
      </c>
      <c r="Y2575" s="191" t="n">
        <v>0.84</v>
      </c>
    </row>
    <row r="2576">
      <c r="A2576" s="172" t="n">
        <v>138</v>
      </c>
      <c r="B2576" s="172" t="inlineStr">
        <is>
          <t>8月</t>
        </is>
      </c>
      <c r="C2576" s="172" t="inlineStr">
        <is>
          <t>企金</t>
        </is>
      </c>
      <c r="D2576" s="172" t="inlineStr">
        <is>
          <t>保理</t>
        </is>
      </c>
      <c r="E2576" s="172" t="inlineStr">
        <is>
          <t>京诚16-3</t>
        </is>
      </c>
      <c r="F2576" s="172" t="inlineStr">
        <is>
          <t>上交所</t>
        </is>
      </c>
      <c r="G2576" s="172" t="inlineStr">
        <is>
          <t>财通资管</t>
        </is>
      </c>
      <c r="H2576" s="172" t="inlineStr">
        <is>
          <t>国泰海通</t>
        </is>
      </c>
      <c r="I2576" s="172" t="inlineStr">
        <is>
          <t>民生北分</t>
        </is>
      </c>
      <c r="J2576" s="172" t="n">
        <v>10</v>
      </c>
      <c r="K2576" s="172" t="inlineStr">
        <is>
          <t>3+3</t>
        </is>
      </c>
      <c r="L2576" s="208" t="n">
        <v>46265</v>
      </c>
      <c r="M2576" s="175" t="n">
        <v>0.0148</v>
      </c>
      <c r="N2576" s="176" t="n">
        <v>0.0169</v>
      </c>
      <c r="O2576" s="172" t="n">
        <v>2.32</v>
      </c>
      <c r="P2576" s="172" t="inlineStr">
        <is>
          <t>优先级</t>
        </is>
      </c>
      <c r="Q2576" s="175" t="n">
        <v>0.99</v>
      </c>
      <c r="R2576" s="172">
        <f>J1654*Q1654</f>
        <v/>
      </c>
      <c r="S2576" s="172" t="inlineStr">
        <is>
          <t>AAA</t>
        </is>
      </c>
      <c r="T2576" s="175" t="n">
        <v>0.0154</v>
      </c>
      <c r="U2576" s="172" t="n"/>
      <c r="V2576" s="172" t="n"/>
      <c r="W2576" s="175" t="n">
        <v>0.0158</v>
      </c>
      <c r="X2576" s="172" t="inlineStr">
        <is>
          <t>浦银理财</t>
        </is>
      </c>
      <c r="Y2576" s="191" t="n">
        <v>0.3</v>
      </c>
    </row>
    <row r="2577">
      <c r="A2577" s="172" t="n">
        <v>138</v>
      </c>
      <c r="B2577" s="172" t="inlineStr">
        <is>
          <t>8月</t>
        </is>
      </c>
      <c r="C2577" s="172" t="inlineStr">
        <is>
          <t>企金</t>
        </is>
      </c>
      <c r="D2577" s="172" t="inlineStr">
        <is>
          <t>保理</t>
        </is>
      </c>
      <c r="E2577" s="172" t="inlineStr">
        <is>
          <t>京诚16-3</t>
        </is>
      </c>
      <c r="F2577" s="172" t="inlineStr">
        <is>
          <t>上交所</t>
        </is>
      </c>
      <c r="G2577" s="172" t="inlineStr">
        <is>
          <t>财通资管</t>
        </is>
      </c>
      <c r="H2577" s="172" t="inlineStr">
        <is>
          <t>国泰海通</t>
        </is>
      </c>
      <c r="I2577" s="172" t="inlineStr">
        <is>
          <t>民生北分</t>
        </is>
      </c>
      <c r="J2577" s="172" t="n">
        <v>10</v>
      </c>
      <c r="K2577" s="172" t="inlineStr">
        <is>
          <t>3+3</t>
        </is>
      </c>
      <c r="L2577" s="208" t="n">
        <v>46265</v>
      </c>
      <c r="M2577" s="175" t="n">
        <v>0.0148</v>
      </c>
      <c r="N2577" s="176" t="n">
        <v>0.0169</v>
      </c>
      <c r="O2577" s="172" t="n">
        <v>2.32</v>
      </c>
      <c r="P2577" s="172" t="inlineStr">
        <is>
          <t>优先级</t>
        </is>
      </c>
      <c r="Q2577" s="175" t="n">
        <v>0.99</v>
      </c>
      <c r="R2577" s="172">
        <f>J1654*Q1654</f>
        <v/>
      </c>
      <c r="S2577" s="172" t="inlineStr">
        <is>
          <t>AAA</t>
        </is>
      </c>
      <c r="T2577" s="175" t="n">
        <v>0.0154</v>
      </c>
      <c r="U2577" s="172" t="n"/>
      <c r="V2577" s="172" t="n"/>
      <c r="W2577" s="175" t="n">
        <v>0.016</v>
      </c>
      <c r="X2577" s="172" t="inlineStr">
        <is>
          <t>浦银理财</t>
        </is>
      </c>
      <c r="Y2577" s="191" t="n">
        <v>1.62</v>
      </c>
    </row>
    <row r="2578">
      <c r="A2578" s="172" t="n">
        <v>138</v>
      </c>
      <c r="B2578" s="172" t="inlineStr">
        <is>
          <t>8月</t>
        </is>
      </c>
      <c r="C2578" s="172" t="inlineStr">
        <is>
          <t>企金</t>
        </is>
      </c>
      <c r="D2578" s="172" t="inlineStr">
        <is>
          <t>保理</t>
        </is>
      </c>
      <c r="E2578" s="172" t="inlineStr">
        <is>
          <t>京诚16-3</t>
        </is>
      </c>
      <c r="F2578" s="172" t="inlineStr">
        <is>
          <t>上交所</t>
        </is>
      </c>
      <c r="G2578" s="172" t="inlineStr">
        <is>
          <t>财通资管</t>
        </is>
      </c>
      <c r="H2578" s="172" t="inlineStr">
        <is>
          <t>国泰海通</t>
        </is>
      </c>
      <c r="I2578" s="172" t="inlineStr">
        <is>
          <t>民生北分</t>
        </is>
      </c>
      <c r="J2578" s="172" t="n">
        <v>10</v>
      </c>
      <c r="K2578" s="172" t="inlineStr">
        <is>
          <t>3+3</t>
        </is>
      </c>
      <c r="L2578" s="208" t="n">
        <v>46265</v>
      </c>
      <c r="M2578" s="175" t="n">
        <v>0.0148</v>
      </c>
      <c r="N2578" s="176" t="n">
        <v>0.0169</v>
      </c>
      <c r="O2578" s="172" t="n">
        <v>2.32</v>
      </c>
      <c r="P2578" s="172" t="inlineStr">
        <is>
          <t>优先级</t>
        </is>
      </c>
      <c r="Q2578" s="175" t="n">
        <v>0.99</v>
      </c>
      <c r="R2578" s="172">
        <f>J1654*Q1654</f>
        <v/>
      </c>
      <c r="S2578" s="172" t="inlineStr">
        <is>
          <t>AAA</t>
        </is>
      </c>
      <c r="T2578" s="175" t="n">
        <v>0.0154</v>
      </c>
      <c r="U2578" s="172" t="n"/>
      <c r="V2578" s="172" t="n"/>
      <c r="W2578" s="175" t="n">
        <v>0.0155</v>
      </c>
      <c r="X2578" s="172" t="inlineStr">
        <is>
          <t>中邮理财</t>
        </is>
      </c>
      <c r="Y2578" s="191" t="n">
        <v>2.97</v>
      </c>
    </row>
    <row r="2579">
      <c r="A2579" s="172" t="n">
        <v>138</v>
      </c>
      <c r="B2579" s="172" t="inlineStr">
        <is>
          <t>8月</t>
        </is>
      </c>
      <c r="C2579" s="172" t="inlineStr">
        <is>
          <t>企金</t>
        </is>
      </c>
      <c r="D2579" s="172" t="inlineStr">
        <is>
          <t>保理</t>
        </is>
      </c>
      <c r="E2579" s="172" t="inlineStr">
        <is>
          <t>京诚16-3</t>
        </is>
      </c>
      <c r="F2579" s="172" t="inlineStr">
        <is>
          <t>上交所</t>
        </is>
      </c>
      <c r="G2579" s="172" t="inlineStr">
        <is>
          <t>财通资管</t>
        </is>
      </c>
      <c r="H2579" s="172" t="inlineStr">
        <is>
          <t>国泰海通</t>
        </is>
      </c>
      <c r="I2579" s="172" t="inlineStr">
        <is>
          <t>民生北分</t>
        </is>
      </c>
      <c r="J2579" s="172" t="n">
        <v>10</v>
      </c>
      <c r="K2579" s="172" t="inlineStr">
        <is>
          <t>3+3</t>
        </is>
      </c>
      <c r="L2579" s="208" t="n">
        <v>46265</v>
      </c>
      <c r="M2579" s="175" t="n">
        <v>0.0148</v>
      </c>
      <c r="N2579" s="176" t="n">
        <v>0.0169</v>
      </c>
      <c r="O2579" s="172" t="n">
        <v>2.32</v>
      </c>
      <c r="P2579" s="172" t="inlineStr">
        <is>
          <t>优先级</t>
        </is>
      </c>
      <c r="Q2579" s="175" t="n">
        <v>0.99</v>
      </c>
      <c r="R2579" s="172">
        <f>J1654*Q1654</f>
        <v/>
      </c>
      <c r="S2579" s="172" t="inlineStr">
        <is>
          <t>AAA</t>
        </is>
      </c>
      <c r="T2579" s="175" t="n">
        <v>0.0154</v>
      </c>
      <c r="U2579" s="172" t="n"/>
      <c r="V2579" s="172" t="n"/>
      <c r="W2579" s="175" t="n">
        <v>0.016</v>
      </c>
      <c r="X2579" s="172" t="inlineStr">
        <is>
          <t>建信理财</t>
        </is>
      </c>
      <c r="Y2579" s="191" t="n">
        <v>0.9</v>
      </c>
    </row>
    <row r="2580">
      <c r="A2580" s="172" t="n">
        <v>138</v>
      </c>
      <c r="B2580" s="172" t="inlineStr">
        <is>
          <t>8月</t>
        </is>
      </c>
      <c r="C2580" s="172" t="inlineStr">
        <is>
          <t>企金</t>
        </is>
      </c>
      <c r="D2580" s="172" t="inlineStr">
        <is>
          <t>保理</t>
        </is>
      </c>
      <c r="E2580" s="172" t="inlineStr">
        <is>
          <t>京诚16-3</t>
        </is>
      </c>
      <c r="F2580" s="172" t="inlineStr">
        <is>
          <t>上交所</t>
        </is>
      </c>
      <c r="G2580" s="172" t="inlineStr">
        <is>
          <t>财通资管</t>
        </is>
      </c>
      <c r="H2580" s="172" t="inlineStr">
        <is>
          <t>国泰海通</t>
        </is>
      </c>
      <c r="I2580" s="172" t="inlineStr">
        <is>
          <t>民生北分</t>
        </is>
      </c>
      <c r="J2580" s="172" t="n">
        <v>10</v>
      </c>
      <c r="K2580" s="172" t="inlineStr">
        <is>
          <t>3+3</t>
        </is>
      </c>
      <c r="L2580" s="208" t="n">
        <v>46265</v>
      </c>
      <c r="M2580" s="175" t="n">
        <v>0.0148</v>
      </c>
      <c r="N2580" s="176" t="n">
        <v>0.0169</v>
      </c>
      <c r="O2580" s="172" t="n">
        <v>2.32</v>
      </c>
      <c r="P2580" s="172" t="inlineStr">
        <is>
          <t>优先级</t>
        </is>
      </c>
      <c r="Q2580" s="175" t="n">
        <v>0.99</v>
      </c>
      <c r="R2580" s="172">
        <f>J1654*Q1654</f>
        <v/>
      </c>
      <c r="S2580" s="172" t="inlineStr">
        <is>
          <t>AAA</t>
        </is>
      </c>
      <c r="T2580" s="175" t="n">
        <v>0.0154</v>
      </c>
      <c r="U2580" s="172" t="n"/>
      <c r="V2580" s="172" t="n"/>
      <c r="W2580" s="175" t="n">
        <v>0.0165</v>
      </c>
      <c r="X2580" s="172" t="inlineStr">
        <is>
          <t>财通资管</t>
        </is>
      </c>
      <c r="Y2580" s="191" t="n">
        <v>1.5</v>
      </c>
    </row>
    <row r="2581">
      <c r="A2581" s="172" t="n">
        <v>138</v>
      </c>
      <c r="B2581" s="172" t="inlineStr">
        <is>
          <t>8月</t>
        </is>
      </c>
      <c r="C2581" s="172" t="inlineStr">
        <is>
          <t>企金</t>
        </is>
      </c>
      <c r="D2581" s="172" t="inlineStr">
        <is>
          <t>保理</t>
        </is>
      </c>
      <c r="E2581" s="172" t="inlineStr">
        <is>
          <t>京诚16-3</t>
        </is>
      </c>
      <c r="F2581" s="172" t="inlineStr">
        <is>
          <t>上交所</t>
        </is>
      </c>
      <c r="G2581" s="172" t="inlineStr">
        <is>
          <t>财通资管</t>
        </is>
      </c>
      <c r="H2581" s="172" t="inlineStr">
        <is>
          <t>国泰海通</t>
        </is>
      </c>
      <c r="I2581" s="172" t="inlineStr">
        <is>
          <t>民生北分</t>
        </is>
      </c>
      <c r="J2581" s="172" t="n">
        <v>10</v>
      </c>
      <c r="K2581" s="172" t="inlineStr">
        <is>
          <t>3+3</t>
        </is>
      </c>
      <c r="L2581" s="208" t="n">
        <v>46265</v>
      </c>
      <c r="M2581" s="175" t="n">
        <v>0.0148</v>
      </c>
      <c r="N2581" s="176" t="n">
        <v>0.0169</v>
      </c>
      <c r="O2581" s="172" t="n">
        <v>2.32</v>
      </c>
      <c r="P2581" s="172" t="inlineStr">
        <is>
          <t>优先级</t>
        </is>
      </c>
      <c r="Q2581" s="175" t="n">
        <v>0.99</v>
      </c>
      <c r="R2581" s="172">
        <f>J1654*Q1654</f>
        <v/>
      </c>
      <c r="S2581" s="172" t="inlineStr">
        <is>
          <t>AAA</t>
        </is>
      </c>
      <c r="T2581" s="175" t="n">
        <v>0.0154</v>
      </c>
      <c r="U2581" s="172" t="n"/>
      <c r="V2581" s="172" t="n"/>
      <c r="W2581" s="175" t="n">
        <v>0.0165</v>
      </c>
      <c r="X2581" s="172" t="inlineStr">
        <is>
          <t>国泰海通</t>
        </is>
      </c>
      <c r="Y2581" s="191" t="n">
        <v>1.5</v>
      </c>
    </row>
    <row r="2582">
      <c r="A2582" s="172" t="n">
        <v>138</v>
      </c>
      <c r="B2582" s="172" t="inlineStr">
        <is>
          <t>8月</t>
        </is>
      </c>
      <c r="C2582" s="172" t="inlineStr">
        <is>
          <t>企金</t>
        </is>
      </c>
      <c r="D2582" s="172" t="inlineStr">
        <is>
          <t>保理</t>
        </is>
      </c>
      <c r="E2582" s="172" t="inlineStr">
        <is>
          <t>京诚16-3</t>
        </is>
      </c>
      <c r="F2582" s="172" t="inlineStr">
        <is>
          <t>上交所</t>
        </is>
      </c>
      <c r="G2582" s="172" t="inlineStr">
        <is>
          <t>财通资管</t>
        </is>
      </c>
      <c r="H2582" s="172" t="inlineStr">
        <is>
          <t>国泰海通</t>
        </is>
      </c>
      <c r="I2582" s="172" t="inlineStr">
        <is>
          <t>民生北分</t>
        </is>
      </c>
      <c r="J2582" s="172" t="n">
        <v>10</v>
      </c>
      <c r="K2582" s="172" t="inlineStr">
        <is>
          <t>3+3</t>
        </is>
      </c>
      <c r="L2582" s="202" t="n">
        <v>46265</v>
      </c>
      <c r="M2582" s="175" t="n">
        <v>0.0148</v>
      </c>
      <c r="N2582" s="176" t="n">
        <v>0.0169</v>
      </c>
      <c r="O2582" s="191" t="n">
        <v>2.32</v>
      </c>
      <c r="P2582" s="172" t="inlineStr">
        <is>
          <t>次级</t>
        </is>
      </c>
      <c r="Q2582" s="175" t="n">
        <v>0.01</v>
      </c>
      <c r="R2582" s="192">
        <f>J1654*Q1661</f>
        <v/>
      </c>
      <c r="S2582" s="175" t="inlineStr">
        <is>
          <t>无</t>
        </is>
      </c>
      <c r="T2582" s="175" t="n">
        <v>0.043</v>
      </c>
      <c r="U2582" s="172" t="inlineStr">
        <is>
          <t>利曦基金</t>
        </is>
      </c>
      <c r="V2582" s="191" t="n">
        <v>0.1</v>
      </c>
      <c r="W2582" s="172" t="n"/>
      <c r="X2582" s="172" t="n"/>
      <c r="Y2582" s="172" t="n"/>
    </row>
    <row r="2583">
      <c r="A2583" s="172" t="n">
        <v>139</v>
      </c>
      <c r="B2583" s="173" t="inlineStr">
        <is>
          <t>9月</t>
        </is>
      </c>
      <c r="C2583" s="173" t="inlineStr">
        <is>
          <t>消金</t>
        </is>
      </c>
      <c r="D2583" s="173" t="inlineStr">
        <is>
          <t>金条&amp;白取混发</t>
        </is>
      </c>
      <c r="E2583" s="173" t="inlineStr">
        <is>
          <t>耘睿28-4</t>
        </is>
      </c>
      <c r="F2583" s="173" t="inlineStr">
        <is>
          <t>上交所</t>
        </is>
      </c>
      <c r="G2583" s="173" t="inlineStr">
        <is>
          <t>招商证券</t>
        </is>
      </c>
      <c r="H2583" s="173" t="inlineStr">
        <is>
          <t>国信证券</t>
        </is>
      </c>
      <c r="I2583" s="173" t="inlineStr">
        <is>
          <t>邮储北分</t>
        </is>
      </c>
      <c r="J2583" s="172" t="n">
        <v>10</v>
      </c>
      <c r="K2583" s="173" t="inlineStr">
        <is>
          <t>22+24</t>
        </is>
      </c>
      <c r="L2583" s="202" t="n">
        <v>46266</v>
      </c>
      <c r="M2583" s="175" t="n">
        <v>0.0148</v>
      </c>
      <c r="N2583" s="176" t="n">
        <v>0.02258</v>
      </c>
      <c r="O2583" s="172" t="n">
        <v>1.3</v>
      </c>
      <c r="P2583" s="177" t="inlineStr">
        <is>
          <t>优先A</t>
        </is>
      </c>
      <c r="Q2583" s="178" t="n">
        <v>0.9</v>
      </c>
      <c r="R2583" s="179" t="n">
        <v>9</v>
      </c>
      <c r="S2583" s="177" t="inlineStr">
        <is>
          <t>AAA</t>
        </is>
      </c>
      <c r="T2583" s="178" t="n">
        <v>0.018</v>
      </c>
      <c r="U2583" s="177" t="inlineStr">
        <is>
          <t>中金自营</t>
        </is>
      </c>
      <c r="V2583" s="192" t="n">
        <v>0.36</v>
      </c>
      <c r="W2583" s="172" t="n"/>
      <c r="X2583" s="172" t="n"/>
      <c r="Y2583" s="172" t="n"/>
    </row>
    <row r="2584">
      <c r="A2584" s="172" t="n">
        <v>139</v>
      </c>
      <c r="B2584" s="173" t="inlineStr">
        <is>
          <t>9月</t>
        </is>
      </c>
      <c r="C2584" s="173" t="inlineStr">
        <is>
          <t>消金</t>
        </is>
      </c>
      <c r="D2584" s="173" t="inlineStr">
        <is>
          <t>金条&amp;白取混发</t>
        </is>
      </c>
      <c r="E2584" s="173" t="inlineStr">
        <is>
          <t>耘睿28-4</t>
        </is>
      </c>
      <c r="F2584" s="173" t="inlineStr">
        <is>
          <t>上交所</t>
        </is>
      </c>
      <c r="G2584" s="173" t="inlineStr">
        <is>
          <t>招商证券</t>
        </is>
      </c>
      <c r="H2584" s="173" t="inlineStr">
        <is>
          <t>国信证券</t>
        </is>
      </c>
      <c r="I2584" s="173" t="inlineStr">
        <is>
          <t>邮储北分</t>
        </is>
      </c>
      <c r="J2584" s="172" t="n">
        <v>10</v>
      </c>
      <c r="K2584" s="173" t="inlineStr">
        <is>
          <t>22+24</t>
        </is>
      </c>
      <c r="L2584" s="202" t="n">
        <v>46266</v>
      </c>
      <c r="M2584" s="175" t="n">
        <v>0.0148</v>
      </c>
      <c r="N2584" s="176" t="n">
        <v>0.02258</v>
      </c>
      <c r="O2584" s="172" t="n">
        <v>1.3</v>
      </c>
      <c r="P2584" s="172" t="inlineStr">
        <is>
          <t>优先A</t>
        </is>
      </c>
      <c r="Q2584" s="178" t="n">
        <v>0.9</v>
      </c>
      <c r="R2584" s="179" t="n">
        <v>9</v>
      </c>
      <c r="S2584" s="177" t="inlineStr">
        <is>
          <t>AAA</t>
        </is>
      </c>
      <c r="T2584" s="178" t="n">
        <v>0.018</v>
      </c>
      <c r="U2584" s="177" t="inlineStr">
        <is>
          <t>易方达基金</t>
        </is>
      </c>
      <c r="V2584" s="192" t="n">
        <v>4.4</v>
      </c>
      <c r="W2584" s="175" t="n">
        <v>0.018</v>
      </c>
      <c r="X2584" s="172" t="inlineStr">
        <is>
          <t>易方达基金</t>
        </is>
      </c>
      <c r="Y2584" s="191" t="n">
        <v>4.5</v>
      </c>
    </row>
    <row r="2585">
      <c r="A2585" s="172" t="n">
        <v>139</v>
      </c>
      <c r="B2585" s="173" t="inlineStr">
        <is>
          <t>9月</t>
        </is>
      </c>
      <c r="C2585" s="173" t="inlineStr">
        <is>
          <t>消金</t>
        </is>
      </c>
      <c r="D2585" s="173" t="inlineStr">
        <is>
          <t>金条&amp;白取混发</t>
        </is>
      </c>
      <c r="E2585" s="173" t="inlineStr">
        <is>
          <t>耘睿28-4</t>
        </is>
      </c>
      <c r="F2585" s="173" t="inlineStr">
        <is>
          <t>上交所</t>
        </is>
      </c>
      <c r="G2585" s="173" t="inlineStr">
        <is>
          <t>招商证券</t>
        </is>
      </c>
      <c r="H2585" s="173" t="inlineStr">
        <is>
          <t>国信证券</t>
        </is>
      </c>
      <c r="I2585" s="173" t="inlineStr">
        <is>
          <t>邮储北分</t>
        </is>
      </c>
      <c r="J2585" s="172" t="n">
        <v>10</v>
      </c>
      <c r="K2585" s="173" t="inlineStr">
        <is>
          <t>22+24</t>
        </is>
      </c>
      <c r="L2585" s="202" t="n">
        <v>46266</v>
      </c>
      <c r="M2585" s="175" t="n">
        <v>0.0148</v>
      </c>
      <c r="N2585" s="176" t="n">
        <v>0.02258</v>
      </c>
      <c r="O2585" s="172" t="n">
        <v>1.3</v>
      </c>
      <c r="P2585" s="172" t="inlineStr">
        <is>
          <t>优先A</t>
        </is>
      </c>
      <c r="Q2585" s="178" t="n">
        <v>0.9</v>
      </c>
      <c r="R2585" s="179" t="n">
        <v>9</v>
      </c>
      <c r="S2585" s="177" t="inlineStr">
        <is>
          <t>AAA</t>
        </is>
      </c>
      <c r="T2585" s="178" t="n">
        <v>0.018</v>
      </c>
      <c r="U2585" s="177" t="inlineStr">
        <is>
          <t>中信证券投顾</t>
        </is>
      </c>
      <c r="V2585" s="192" t="n">
        <v>0.29</v>
      </c>
      <c r="W2585" s="175" t="n">
        <v>0.018</v>
      </c>
      <c r="X2585" s="172" t="inlineStr">
        <is>
          <t>中信证券投顾</t>
        </is>
      </c>
      <c r="Y2585" s="191" t="n">
        <v>0.3</v>
      </c>
    </row>
    <row r="2586">
      <c r="A2586" s="172" t="n">
        <v>139</v>
      </c>
      <c r="B2586" s="172" t="inlineStr">
        <is>
          <t>9月</t>
        </is>
      </c>
      <c r="C2586" s="172" t="inlineStr">
        <is>
          <t>消金</t>
        </is>
      </c>
      <c r="D2586" s="172" t="inlineStr">
        <is>
          <t>金条&amp;白取混发</t>
        </is>
      </c>
      <c r="E2586" s="172" t="inlineStr">
        <is>
          <t>耘睿28-4</t>
        </is>
      </c>
      <c r="F2586" s="172" t="inlineStr">
        <is>
          <t>上交所</t>
        </is>
      </c>
      <c r="G2586" s="172" t="inlineStr">
        <is>
          <t>招商证券</t>
        </is>
      </c>
      <c r="H2586" s="172" t="inlineStr">
        <is>
          <t>国信证券</t>
        </is>
      </c>
      <c r="I2586" s="172" t="inlineStr">
        <is>
          <t>邮储北分</t>
        </is>
      </c>
      <c r="J2586" s="172" t="n">
        <v>10</v>
      </c>
      <c r="K2586" s="172" t="inlineStr">
        <is>
          <t>22+24</t>
        </is>
      </c>
      <c r="L2586" s="208" t="n">
        <v>46266</v>
      </c>
      <c r="M2586" s="175" t="n">
        <v>0.0148</v>
      </c>
      <c r="N2586" s="176" t="n">
        <v>0.02258</v>
      </c>
      <c r="O2586" s="172" t="n">
        <v>1.3</v>
      </c>
      <c r="P2586" s="172" t="inlineStr">
        <is>
          <t>优先A</t>
        </is>
      </c>
      <c r="Q2586" s="175" t="n">
        <v>0.9</v>
      </c>
      <c r="R2586" s="192" t="n">
        <v>9</v>
      </c>
      <c r="S2586" s="172" t="inlineStr">
        <is>
          <t>AAA</t>
        </is>
      </c>
      <c r="T2586" s="175" t="n">
        <v>0.018</v>
      </c>
      <c r="U2586" s="172" t="n"/>
      <c r="V2586" s="172" t="n"/>
      <c r="W2586" s="175" t="n">
        <v>0.0182</v>
      </c>
      <c r="X2586" s="172" t="inlineStr">
        <is>
          <t>中信证券投顾</t>
        </is>
      </c>
      <c r="Y2586" s="191" t="n">
        <v>0.2</v>
      </c>
    </row>
    <row r="2587">
      <c r="A2587" s="172" t="n">
        <v>139</v>
      </c>
      <c r="B2587" s="172" t="inlineStr">
        <is>
          <t>9月</t>
        </is>
      </c>
      <c r="C2587" s="172" t="inlineStr">
        <is>
          <t>消金</t>
        </is>
      </c>
      <c r="D2587" s="172" t="inlineStr">
        <is>
          <t>金条&amp;白取混发</t>
        </is>
      </c>
      <c r="E2587" s="172" t="inlineStr">
        <is>
          <t>耘睿28-4</t>
        </is>
      </c>
      <c r="F2587" s="172" t="inlineStr">
        <is>
          <t>上交所</t>
        </is>
      </c>
      <c r="G2587" s="172" t="inlineStr">
        <is>
          <t>招商证券</t>
        </is>
      </c>
      <c r="H2587" s="172" t="inlineStr">
        <is>
          <t>国信证券</t>
        </is>
      </c>
      <c r="I2587" s="172" t="inlineStr">
        <is>
          <t>邮储北分</t>
        </is>
      </c>
      <c r="J2587" s="172" t="n">
        <v>10</v>
      </c>
      <c r="K2587" s="172" t="inlineStr">
        <is>
          <t>22+24</t>
        </is>
      </c>
      <c r="L2587" s="208" t="n">
        <v>46266</v>
      </c>
      <c r="M2587" s="175" t="n">
        <v>0.0148</v>
      </c>
      <c r="N2587" s="176" t="n">
        <v>0.02258</v>
      </c>
      <c r="O2587" s="172" t="n">
        <v>1.3</v>
      </c>
      <c r="P2587" s="172" t="inlineStr">
        <is>
          <t>优先A</t>
        </is>
      </c>
      <c r="Q2587" s="175" t="n">
        <v>0.9</v>
      </c>
      <c r="R2587" s="192" t="n">
        <v>9</v>
      </c>
      <c r="S2587" s="172" t="inlineStr">
        <is>
          <t>AAA</t>
        </is>
      </c>
      <c r="T2587" s="175" t="n">
        <v>0.018</v>
      </c>
      <c r="U2587" s="172" t="n"/>
      <c r="V2587" s="172" t="n"/>
      <c r="W2587" s="175" t="n">
        <v>0.0183</v>
      </c>
      <c r="X2587" s="172" t="inlineStr">
        <is>
          <t>中信证券投顾</t>
        </is>
      </c>
      <c r="Y2587" s="191" t="n">
        <v>0.3</v>
      </c>
    </row>
    <row r="2588">
      <c r="A2588" s="172" t="n">
        <v>139</v>
      </c>
      <c r="B2588" s="172" t="inlineStr">
        <is>
          <t>9月</t>
        </is>
      </c>
      <c r="C2588" s="172" t="inlineStr">
        <is>
          <t>消金</t>
        </is>
      </c>
      <c r="D2588" s="172" t="inlineStr">
        <is>
          <t>金条&amp;白取混发</t>
        </is>
      </c>
      <c r="E2588" s="172" t="inlineStr">
        <is>
          <t>耘睿28-4</t>
        </is>
      </c>
      <c r="F2588" s="172" t="inlineStr">
        <is>
          <t>上交所</t>
        </is>
      </c>
      <c r="G2588" s="172" t="inlineStr">
        <is>
          <t>招商证券</t>
        </is>
      </c>
      <c r="H2588" s="172" t="inlineStr">
        <is>
          <t>国信证券</t>
        </is>
      </c>
      <c r="I2588" s="172" t="inlineStr">
        <is>
          <t>邮储北分</t>
        </is>
      </c>
      <c r="J2588" s="172" t="n">
        <v>10</v>
      </c>
      <c r="K2588" s="172" t="inlineStr">
        <is>
          <t>22+24</t>
        </is>
      </c>
      <c r="L2588" s="208" t="n">
        <v>46266</v>
      </c>
      <c r="M2588" s="175" t="n">
        <v>0.0148</v>
      </c>
      <c r="N2588" s="176" t="n">
        <v>0.02258</v>
      </c>
      <c r="O2588" s="172" t="n">
        <v>1.3</v>
      </c>
      <c r="P2588" s="172" t="inlineStr">
        <is>
          <t>优先A</t>
        </is>
      </c>
      <c r="Q2588" s="175" t="n">
        <v>0.9</v>
      </c>
      <c r="R2588" s="192" t="n">
        <v>9</v>
      </c>
      <c r="S2588" s="172" t="inlineStr">
        <is>
          <t>AAA</t>
        </is>
      </c>
      <c r="T2588" s="175" t="n">
        <v>0.018</v>
      </c>
      <c r="U2588" s="172" t="n"/>
      <c r="V2588" s="172" t="n"/>
      <c r="W2588" s="175" t="n">
        <v>0.025</v>
      </c>
      <c r="X2588" s="172" t="inlineStr">
        <is>
          <t>中信证券投顾</t>
        </is>
      </c>
      <c r="Y2588" s="191" t="n">
        <v>1</v>
      </c>
    </row>
    <row r="2589">
      <c r="A2589" s="172" t="n">
        <v>139</v>
      </c>
      <c r="B2589" s="173" t="inlineStr">
        <is>
          <t>9月</t>
        </is>
      </c>
      <c r="C2589" s="173" t="inlineStr">
        <is>
          <t>消金</t>
        </is>
      </c>
      <c r="D2589" s="173" t="inlineStr">
        <is>
          <t>金条&amp;白取混发</t>
        </is>
      </c>
      <c r="E2589" s="173" t="inlineStr">
        <is>
          <t>耘睿28-4</t>
        </is>
      </c>
      <c r="F2589" s="173" t="inlineStr">
        <is>
          <t>上交所</t>
        </is>
      </c>
      <c r="G2589" s="173" t="inlineStr">
        <is>
          <t>招商证券</t>
        </is>
      </c>
      <c r="H2589" s="173" t="inlineStr">
        <is>
          <t>国信证券</t>
        </is>
      </c>
      <c r="I2589" s="173" t="inlineStr">
        <is>
          <t>邮储北分</t>
        </is>
      </c>
      <c r="J2589" s="172" t="n">
        <v>10</v>
      </c>
      <c r="K2589" s="173" t="inlineStr">
        <is>
          <t>22+24</t>
        </is>
      </c>
      <c r="L2589" s="202" t="n">
        <v>46266</v>
      </c>
      <c r="M2589" s="175" t="n">
        <v>0.0148</v>
      </c>
      <c r="N2589" s="176" t="n">
        <v>0.02258</v>
      </c>
      <c r="O2589" s="172" t="n">
        <v>1.3</v>
      </c>
      <c r="P2589" s="172" t="inlineStr">
        <is>
          <t>优先A</t>
        </is>
      </c>
      <c r="Q2589" s="178" t="n">
        <v>0.9</v>
      </c>
      <c r="R2589" s="179" t="n">
        <v>9</v>
      </c>
      <c r="S2589" s="177" t="inlineStr">
        <is>
          <t>AAA</t>
        </is>
      </c>
      <c r="T2589" s="178" t="n">
        <v>0.018</v>
      </c>
      <c r="U2589" s="177" t="inlineStr">
        <is>
          <t>信银理财</t>
        </is>
      </c>
      <c r="V2589" s="192" t="n">
        <v>2.65</v>
      </c>
      <c r="W2589" s="175" t="n">
        <v>0.018</v>
      </c>
      <c r="X2589" s="172" t="inlineStr">
        <is>
          <t>信银理财</t>
        </is>
      </c>
      <c r="Y2589" s="191" t="n">
        <v>2.7</v>
      </c>
    </row>
    <row r="2590">
      <c r="A2590" s="172" t="n">
        <v>139</v>
      </c>
      <c r="B2590" s="173" t="inlineStr">
        <is>
          <t>9月</t>
        </is>
      </c>
      <c r="C2590" s="173" t="inlineStr">
        <is>
          <t>消金</t>
        </is>
      </c>
      <c r="D2590" s="173" t="inlineStr">
        <is>
          <t>金条&amp;白取混发</t>
        </is>
      </c>
      <c r="E2590" s="173" t="inlineStr">
        <is>
          <t>耘睿28-4</t>
        </is>
      </c>
      <c r="F2590" s="173" t="inlineStr">
        <is>
          <t>上交所</t>
        </is>
      </c>
      <c r="G2590" s="173" t="inlineStr">
        <is>
          <t>招商证券</t>
        </is>
      </c>
      <c r="H2590" s="173" t="inlineStr">
        <is>
          <t>国信证券</t>
        </is>
      </c>
      <c r="I2590" s="173" t="inlineStr">
        <is>
          <t>邮储北分</t>
        </is>
      </c>
      <c r="J2590" s="172" t="n">
        <v>10</v>
      </c>
      <c r="K2590" s="173" t="inlineStr">
        <is>
          <t>22+24</t>
        </is>
      </c>
      <c r="L2590" s="202" t="n">
        <v>46266</v>
      </c>
      <c r="M2590" s="175" t="n">
        <v>0.0148</v>
      </c>
      <c r="N2590" s="176" t="n">
        <v>0.02258</v>
      </c>
      <c r="O2590" s="172" t="n">
        <v>1.3</v>
      </c>
      <c r="P2590" s="172" t="inlineStr">
        <is>
          <t>优先A</t>
        </is>
      </c>
      <c r="Q2590" s="178" t="n">
        <v>0.9</v>
      </c>
      <c r="R2590" s="179" t="n">
        <v>9</v>
      </c>
      <c r="S2590" s="177" t="inlineStr">
        <is>
          <t>AAA</t>
        </is>
      </c>
      <c r="T2590" s="178" t="n">
        <v>0.018</v>
      </c>
      <c r="U2590" s="177" t="inlineStr">
        <is>
          <t>华夏基金</t>
        </is>
      </c>
      <c r="V2590" s="192" t="n">
        <v>1.3</v>
      </c>
      <c r="W2590" s="175" t="n">
        <v>0.018</v>
      </c>
      <c r="X2590" s="172" t="inlineStr">
        <is>
          <t>华夏基金</t>
        </is>
      </c>
      <c r="Y2590" s="191" t="n">
        <v>1.3</v>
      </c>
    </row>
    <row r="2591">
      <c r="A2591" s="172" t="n">
        <v>139</v>
      </c>
      <c r="B2591" s="172" t="inlineStr">
        <is>
          <t>9月</t>
        </is>
      </c>
      <c r="C2591" s="172" t="inlineStr">
        <is>
          <t>消金</t>
        </is>
      </c>
      <c r="D2591" s="172" t="inlineStr">
        <is>
          <t>金条&amp;白取混发</t>
        </is>
      </c>
      <c r="E2591" s="172" t="inlineStr">
        <is>
          <t>耘睿28-4</t>
        </is>
      </c>
      <c r="F2591" s="172" t="inlineStr">
        <is>
          <t>上交所</t>
        </is>
      </c>
      <c r="G2591" s="172" t="inlineStr">
        <is>
          <t>招商证券</t>
        </is>
      </c>
      <c r="H2591" s="172" t="inlineStr">
        <is>
          <t>国信证券</t>
        </is>
      </c>
      <c r="I2591" s="172" t="inlineStr">
        <is>
          <t>邮储北分</t>
        </is>
      </c>
      <c r="J2591" s="172" t="n">
        <v>10</v>
      </c>
      <c r="K2591" s="172" t="inlineStr">
        <is>
          <t>22+24</t>
        </is>
      </c>
      <c r="L2591" s="208" t="n">
        <v>46266</v>
      </c>
      <c r="M2591" s="175" t="n">
        <v>0.0148</v>
      </c>
      <c r="N2591" s="176" t="n">
        <v>0.02258</v>
      </c>
      <c r="O2591" s="172" t="n">
        <v>1.3</v>
      </c>
      <c r="P2591" s="172" t="inlineStr">
        <is>
          <t>优先A</t>
        </is>
      </c>
      <c r="Q2591" s="175" t="n">
        <v>0.9</v>
      </c>
      <c r="R2591" s="192" t="n">
        <v>9</v>
      </c>
      <c r="S2591" s="172" t="inlineStr">
        <is>
          <t>AAA</t>
        </is>
      </c>
      <c r="T2591" s="175" t="n">
        <v>0.018</v>
      </c>
      <c r="U2591" s="172" t="n"/>
      <c r="V2591" s="172" t="n"/>
      <c r="W2591" s="175" t="n">
        <v>0.018</v>
      </c>
      <c r="X2591" s="172" t="inlineStr">
        <is>
          <t>中金公司自营</t>
        </is>
      </c>
      <c r="Y2591" s="191" t="n">
        <v>0.4</v>
      </c>
    </row>
    <row r="2592">
      <c r="A2592" s="172" t="n">
        <v>139</v>
      </c>
      <c r="B2592" s="172" t="inlineStr">
        <is>
          <t>9月</t>
        </is>
      </c>
      <c r="C2592" s="172" t="inlineStr">
        <is>
          <t>消金</t>
        </is>
      </c>
      <c r="D2592" s="172" t="inlineStr">
        <is>
          <t>金条&amp;白取混发</t>
        </is>
      </c>
      <c r="E2592" s="172" t="inlineStr">
        <is>
          <t>耘睿28-4</t>
        </is>
      </c>
      <c r="F2592" s="172" t="inlineStr">
        <is>
          <t>上交所</t>
        </is>
      </c>
      <c r="G2592" s="172" t="inlineStr">
        <is>
          <t>招商证券</t>
        </is>
      </c>
      <c r="H2592" s="172" t="inlineStr">
        <is>
          <t>国信证券</t>
        </is>
      </c>
      <c r="I2592" s="172" t="inlineStr">
        <is>
          <t>邮储北分</t>
        </is>
      </c>
      <c r="J2592" s="172" t="n">
        <v>10</v>
      </c>
      <c r="K2592" s="172" t="inlineStr">
        <is>
          <t>22+24</t>
        </is>
      </c>
      <c r="L2592" s="208" t="n">
        <v>46266</v>
      </c>
      <c r="M2592" s="175" t="n">
        <v>0.0148</v>
      </c>
      <c r="N2592" s="176" t="n">
        <v>0.02258</v>
      </c>
      <c r="O2592" s="172" t="n">
        <v>1.3</v>
      </c>
      <c r="P2592" s="172" t="inlineStr">
        <is>
          <t>优先A</t>
        </is>
      </c>
      <c r="Q2592" s="175" t="n">
        <v>0.9</v>
      </c>
      <c r="R2592" s="192" t="n">
        <v>9</v>
      </c>
      <c r="S2592" s="172" t="inlineStr">
        <is>
          <t>AAA</t>
        </is>
      </c>
      <c r="T2592" s="175" t="n">
        <v>0.018</v>
      </c>
      <c r="U2592" s="172" t="n"/>
      <c r="V2592" s="172" t="n"/>
      <c r="W2592" s="175" t="n">
        <v>0.0183</v>
      </c>
      <c r="X2592" s="172" t="inlineStr">
        <is>
          <t>中金公司自营</t>
        </is>
      </c>
      <c r="Y2592" s="191" t="n">
        <v>0.4</v>
      </c>
    </row>
    <row r="2593">
      <c r="A2593" s="172" t="n">
        <v>139</v>
      </c>
      <c r="B2593" s="172" t="inlineStr">
        <is>
          <t>9月</t>
        </is>
      </c>
      <c r="C2593" s="172" t="inlineStr">
        <is>
          <t>消金</t>
        </is>
      </c>
      <c r="D2593" s="172" t="inlineStr">
        <is>
          <t>金条&amp;白取混发</t>
        </is>
      </c>
      <c r="E2593" s="172" t="inlineStr">
        <is>
          <t>耘睿28-4</t>
        </is>
      </c>
      <c r="F2593" s="172" t="inlineStr">
        <is>
          <t>上交所</t>
        </is>
      </c>
      <c r="G2593" s="172" t="inlineStr">
        <is>
          <t>招商证券</t>
        </is>
      </c>
      <c r="H2593" s="172" t="inlineStr">
        <is>
          <t>国信证券</t>
        </is>
      </c>
      <c r="I2593" s="172" t="inlineStr">
        <is>
          <t>邮储北分</t>
        </is>
      </c>
      <c r="J2593" s="172" t="n">
        <v>10</v>
      </c>
      <c r="K2593" s="172" t="inlineStr">
        <is>
          <t>22+24</t>
        </is>
      </c>
      <c r="L2593" s="208" t="n">
        <v>46266</v>
      </c>
      <c r="M2593" s="175" t="n">
        <v>0.0148</v>
      </c>
      <c r="N2593" s="176" t="n">
        <v>0.02258</v>
      </c>
      <c r="O2593" s="172" t="n">
        <v>1.3</v>
      </c>
      <c r="P2593" s="172" t="inlineStr">
        <is>
          <t>优先A</t>
        </is>
      </c>
      <c r="Q2593" s="175" t="n">
        <v>0.9</v>
      </c>
      <c r="R2593" s="192" t="n">
        <v>9</v>
      </c>
      <c r="S2593" s="172" t="inlineStr">
        <is>
          <t>AAA</t>
        </is>
      </c>
      <c r="T2593" s="175" t="n">
        <v>0.018</v>
      </c>
      <c r="U2593" s="172" t="n"/>
      <c r="V2593" s="172" t="n"/>
      <c r="W2593" s="175" t="n">
        <v>0.0184</v>
      </c>
      <c r="X2593" s="172" t="inlineStr">
        <is>
          <t>宝武财务</t>
        </is>
      </c>
      <c r="Y2593" s="191" t="n">
        <v>0.4</v>
      </c>
    </row>
    <row r="2594">
      <c r="A2594" s="172" t="n">
        <v>139</v>
      </c>
      <c r="B2594" s="173" t="inlineStr">
        <is>
          <t>9月</t>
        </is>
      </c>
      <c r="C2594" s="173" t="inlineStr">
        <is>
          <t>消金</t>
        </is>
      </c>
      <c r="D2594" s="173" t="inlineStr">
        <is>
          <t>金条&amp;白取混发</t>
        </is>
      </c>
      <c r="E2594" s="173" t="inlineStr">
        <is>
          <t>耘睿28-4</t>
        </is>
      </c>
      <c r="F2594" s="173" t="inlineStr">
        <is>
          <t>上交所</t>
        </is>
      </c>
      <c r="G2594" s="173" t="inlineStr">
        <is>
          <t>招商证券</t>
        </is>
      </c>
      <c r="H2594" s="173" t="inlineStr">
        <is>
          <t>国信证券</t>
        </is>
      </c>
      <c r="I2594" s="173" t="inlineStr">
        <is>
          <t>邮储北分</t>
        </is>
      </c>
      <c r="J2594" s="172" t="n">
        <v>10</v>
      </c>
      <c r="K2594" s="173" t="inlineStr">
        <is>
          <t>22+24</t>
        </is>
      </c>
      <c r="L2594" s="202" t="n">
        <v>46266</v>
      </c>
      <c r="M2594" s="175" t="n">
        <v>0.0148</v>
      </c>
      <c r="N2594" s="176" t="n">
        <v>0.02258</v>
      </c>
      <c r="O2594" s="172" t="n">
        <v>1.3</v>
      </c>
      <c r="P2594" s="177" t="inlineStr">
        <is>
          <t>优先B</t>
        </is>
      </c>
      <c r="Q2594" s="178" t="n">
        <v>0.03</v>
      </c>
      <c r="R2594" s="179" t="n">
        <v>0.3</v>
      </c>
      <c r="S2594" s="177" t="inlineStr">
        <is>
          <t>AA+</t>
        </is>
      </c>
      <c r="T2594" s="178" t="n">
        <v>0.019</v>
      </c>
      <c r="U2594" s="177" t="inlineStr">
        <is>
          <t>招商证券投行</t>
        </is>
      </c>
      <c r="V2594" s="192" t="n">
        <v>0.05</v>
      </c>
      <c r="W2594" s="175" t="n">
        <v>0.019</v>
      </c>
      <c r="X2594" s="172" t="inlineStr">
        <is>
          <t>招商证券</t>
        </is>
      </c>
      <c r="Y2594" s="191" t="n">
        <v>0.05</v>
      </c>
    </row>
    <row r="2595">
      <c r="A2595" s="172" t="n">
        <v>139</v>
      </c>
      <c r="B2595" s="173" t="inlineStr">
        <is>
          <t>9月</t>
        </is>
      </c>
      <c r="C2595" s="173" t="inlineStr">
        <is>
          <t>消金</t>
        </is>
      </c>
      <c r="D2595" s="173" t="inlineStr">
        <is>
          <t>金条&amp;白取混发</t>
        </is>
      </c>
      <c r="E2595" s="173" t="inlineStr">
        <is>
          <t>耘睿28-4</t>
        </is>
      </c>
      <c r="F2595" s="173" t="inlineStr">
        <is>
          <t>上交所</t>
        </is>
      </c>
      <c r="G2595" s="173" t="inlineStr">
        <is>
          <t>招商证券</t>
        </is>
      </c>
      <c r="H2595" s="173" t="inlineStr">
        <is>
          <t>国信证券</t>
        </is>
      </c>
      <c r="I2595" s="173" t="inlineStr">
        <is>
          <t>邮储北分</t>
        </is>
      </c>
      <c r="J2595" s="172" t="n">
        <v>10</v>
      </c>
      <c r="K2595" s="173" t="inlineStr">
        <is>
          <t>22+24</t>
        </is>
      </c>
      <c r="L2595" s="202" t="n">
        <v>46266</v>
      </c>
      <c r="M2595" s="175" t="n">
        <v>0.0148</v>
      </c>
      <c r="N2595" s="176" t="n">
        <v>0.02258</v>
      </c>
      <c r="O2595" s="172" t="n">
        <v>1.3</v>
      </c>
      <c r="P2595" s="172" t="inlineStr">
        <is>
          <t>优先B</t>
        </is>
      </c>
      <c r="Q2595" s="178" t="n">
        <v>0.03</v>
      </c>
      <c r="R2595" s="179" t="n">
        <v>0.3</v>
      </c>
      <c r="S2595" s="177" t="inlineStr">
        <is>
          <t>AA+</t>
        </is>
      </c>
      <c r="T2595" s="178" t="n">
        <v>0.019</v>
      </c>
      <c r="U2595" s="177" t="inlineStr">
        <is>
          <t>中金自营</t>
        </is>
      </c>
      <c r="V2595" s="192" t="n">
        <v>0.2</v>
      </c>
      <c r="W2595" s="172" t="n"/>
      <c r="X2595" s="172" t="n"/>
      <c r="Y2595" s="172" t="n"/>
    </row>
    <row r="2596">
      <c r="A2596" s="172" t="n">
        <v>139</v>
      </c>
      <c r="B2596" s="173" t="inlineStr">
        <is>
          <t>9月</t>
        </is>
      </c>
      <c r="C2596" s="173" t="inlineStr">
        <is>
          <t>消金</t>
        </is>
      </c>
      <c r="D2596" s="173" t="inlineStr">
        <is>
          <t>金条&amp;白取混发</t>
        </is>
      </c>
      <c r="E2596" s="173" t="inlineStr">
        <is>
          <t>耘睿28-4</t>
        </is>
      </c>
      <c r="F2596" s="173" t="inlineStr">
        <is>
          <t>上交所</t>
        </is>
      </c>
      <c r="G2596" s="173" t="inlineStr">
        <is>
          <t>招商证券</t>
        </is>
      </c>
      <c r="H2596" s="173" t="inlineStr">
        <is>
          <t>国信证券</t>
        </is>
      </c>
      <c r="I2596" s="173" t="inlineStr">
        <is>
          <t>邮储北分</t>
        </is>
      </c>
      <c r="J2596" s="172" t="n">
        <v>10</v>
      </c>
      <c r="K2596" s="173" t="inlineStr">
        <is>
          <t>22+24</t>
        </is>
      </c>
      <c r="L2596" s="202" t="n">
        <v>46266</v>
      </c>
      <c r="M2596" s="175" t="n">
        <v>0.0148</v>
      </c>
      <c r="N2596" s="176" t="n">
        <v>0.02258</v>
      </c>
      <c r="O2596" s="172" t="n">
        <v>1.3</v>
      </c>
      <c r="P2596" s="172" t="inlineStr">
        <is>
          <t>优先B</t>
        </is>
      </c>
      <c r="Q2596" s="178" t="n">
        <v>0.03</v>
      </c>
      <c r="R2596" s="179" t="n">
        <v>0.3</v>
      </c>
      <c r="S2596" s="177" t="inlineStr">
        <is>
          <t>AA+</t>
        </is>
      </c>
      <c r="T2596" s="178" t="n">
        <v>0.019</v>
      </c>
      <c r="U2596" s="177" t="inlineStr">
        <is>
          <t>国信证券投行</t>
        </is>
      </c>
      <c r="V2596" s="192" t="n">
        <v>0.05</v>
      </c>
      <c r="W2596" s="175" t="n">
        <v>0.019</v>
      </c>
      <c r="X2596" s="172" t="inlineStr">
        <is>
          <t>国信证券</t>
        </is>
      </c>
      <c r="Y2596" s="191" t="n">
        <v>0.05</v>
      </c>
    </row>
    <row r="2597">
      <c r="A2597" s="172" t="n">
        <v>139</v>
      </c>
      <c r="B2597" s="172" t="inlineStr">
        <is>
          <t>9月</t>
        </is>
      </c>
      <c r="C2597" s="172" t="inlineStr">
        <is>
          <t>消金</t>
        </is>
      </c>
      <c r="D2597" s="172" t="inlineStr">
        <is>
          <t>金条&amp;白取混发</t>
        </is>
      </c>
      <c r="E2597" s="172" t="inlineStr">
        <is>
          <t>耘睿28-4</t>
        </is>
      </c>
      <c r="F2597" s="172" t="inlineStr">
        <is>
          <t>上交所</t>
        </is>
      </c>
      <c r="G2597" s="172" t="inlineStr">
        <is>
          <t>招商证券</t>
        </is>
      </c>
      <c r="H2597" s="172" t="inlineStr">
        <is>
          <t>国信证券</t>
        </is>
      </c>
      <c r="I2597" s="172" t="inlineStr">
        <is>
          <t>邮储北分</t>
        </is>
      </c>
      <c r="J2597" s="172" t="n">
        <v>10</v>
      </c>
      <c r="K2597" s="172" t="inlineStr">
        <is>
          <t>22+24</t>
        </is>
      </c>
      <c r="L2597" s="208" t="n">
        <v>46266</v>
      </c>
      <c r="M2597" s="175" t="n">
        <v>0.0148</v>
      </c>
      <c r="N2597" s="176" t="n">
        <v>0.02258</v>
      </c>
      <c r="O2597" s="172" t="n">
        <v>1.3</v>
      </c>
      <c r="P2597" s="172" t="inlineStr">
        <is>
          <t>优先B</t>
        </is>
      </c>
      <c r="Q2597" s="175" t="n">
        <v>0.03</v>
      </c>
      <c r="R2597" s="192" t="n">
        <v>0.3</v>
      </c>
      <c r="S2597" s="172" t="inlineStr">
        <is>
          <t>AA+</t>
        </is>
      </c>
      <c r="T2597" s="175" t="n">
        <v>0.019</v>
      </c>
      <c r="U2597" s="172" t="n"/>
      <c r="V2597" s="172" t="n"/>
      <c r="W2597" s="175" t="n">
        <v>0.019</v>
      </c>
      <c r="X2597" s="172" t="inlineStr">
        <is>
          <t>中金公司自营</t>
        </is>
      </c>
      <c r="Y2597" s="191" t="n">
        <v>0.2</v>
      </c>
    </row>
    <row r="2598">
      <c r="A2598" s="172" t="n">
        <v>139</v>
      </c>
      <c r="B2598" s="172" t="inlineStr">
        <is>
          <t>9月</t>
        </is>
      </c>
      <c r="C2598" s="172" t="inlineStr">
        <is>
          <t>消金</t>
        </is>
      </c>
      <c r="D2598" s="172" t="inlineStr">
        <is>
          <t>金条&amp;白取混发</t>
        </is>
      </c>
      <c r="E2598" s="172" t="inlineStr">
        <is>
          <t>耘睿28-4</t>
        </is>
      </c>
      <c r="F2598" s="172" t="inlineStr">
        <is>
          <t>上交所</t>
        </is>
      </c>
      <c r="G2598" s="172" t="inlineStr">
        <is>
          <t>招商证券</t>
        </is>
      </c>
      <c r="H2598" s="172" t="inlineStr">
        <is>
          <t>国信证券</t>
        </is>
      </c>
      <c r="I2598" s="172" t="inlineStr">
        <is>
          <t>邮储北分</t>
        </is>
      </c>
      <c r="J2598" s="172" t="n">
        <v>10</v>
      </c>
      <c r="K2598" s="172" t="inlineStr">
        <is>
          <t>22+24</t>
        </is>
      </c>
      <c r="L2598" s="208" t="n">
        <v>46266</v>
      </c>
      <c r="M2598" s="175" t="n">
        <v>0.0148</v>
      </c>
      <c r="N2598" s="176" t="n">
        <v>0.02258</v>
      </c>
      <c r="O2598" s="172" t="n">
        <v>1.3</v>
      </c>
      <c r="P2598" s="172" t="inlineStr">
        <is>
          <t>优先B</t>
        </is>
      </c>
      <c r="Q2598" s="175" t="n">
        <v>0.03</v>
      </c>
      <c r="R2598" s="192" t="n">
        <v>0.3</v>
      </c>
      <c r="S2598" s="172" t="inlineStr">
        <is>
          <t>AA+</t>
        </is>
      </c>
      <c r="T2598" s="175" t="n">
        <v>0.019</v>
      </c>
      <c r="U2598" s="172" t="n"/>
      <c r="V2598" s="172" t="n"/>
      <c r="W2598" s="175" t="n">
        <v>0.0198</v>
      </c>
      <c r="X2598" s="172" t="inlineStr">
        <is>
          <t>中信证券</t>
        </is>
      </c>
      <c r="Y2598" s="191" t="n">
        <v>0.3</v>
      </c>
    </row>
    <row r="2599">
      <c r="A2599" s="172" t="n">
        <v>139</v>
      </c>
      <c r="B2599" s="173" t="inlineStr">
        <is>
          <t>9月</t>
        </is>
      </c>
      <c r="C2599" s="173" t="inlineStr">
        <is>
          <t>消金</t>
        </is>
      </c>
      <c r="D2599" s="173" t="inlineStr">
        <is>
          <t>金条&amp;白取混发</t>
        </is>
      </c>
      <c r="E2599" s="173" t="inlineStr">
        <is>
          <t>耘睿28-4</t>
        </is>
      </c>
      <c r="F2599" s="173" t="inlineStr">
        <is>
          <t>上交所</t>
        </is>
      </c>
      <c r="G2599" s="173" t="inlineStr">
        <is>
          <t>招商证券</t>
        </is>
      </c>
      <c r="H2599" s="173" t="inlineStr">
        <is>
          <t>国信证券</t>
        </is>
      </c>
      <c r="I2599" s="173" t="inlineStr">
        <is>
          <t>邮储北分</t>
        </is>
      </c>
      <c r="J2599" s="172" t="n">
        <v>10</v>
      </c>
      <c r="K2599" s="173" t="inlineStr">
        <is>
          <t>22+24</t>
        </is>
      </c>
      <c r="L2599" s="202" t="n">
        <v>46266</v>
      </c>
      <c r="M2599" s="175" t="n">
        <v>0.0148</v>
      </c>
      <c r="N2599" s="176" t="n">
        <v>0.02258</v>
      </c>
      <c r="O2599" s="172" t="n">
        <v>1.3</v>
      </c>
      <c r="P2599" s="177" t="inlineStr">
        <is>
          <t>中间级</t>
        </is>
      </c>
      <c r="Q2599" s="178" t="n">
        <v>0.02</v>
      </c>
      <c r="R2599" s="179" t="n">
        <v>0.2</v>
      </c>
      <c r="S2599" s="177" t="inlineStr">
        <is>
          <t>AA-</t>
        </is>
      </c>
      <c r="T2599" s="178" t="n">
        <v>0.032</v>
      </c>
      <c r="U2599" s="177" t="inlineStr">
        <is>
          <t>中信证券投顾</t>
        </is>
      </c>
      <c r="V2599" s="192" t="n">
        <v>0.1</v>
      </c>
      <c r="W2599" s="172" t="n"/>
      <c r="X2599" s="172" t="n"/>
      <c r="Y2599" s="172" t="n"/>
    </row>
    <row r="2600">
      <c r="A2600" s="172" t="n">
        <v>139</v>
      </c>
      <c r="B2600" s="173" t="inlineStr">
        <is>
          <t>9月</t>
        </is>
      </c>
      <c r="C2600" s="173" t="inlineStr">
        <is>
          <t>消金</t>
        </is>
      </c>
      <c r="D2600" s="173" t="inlineStr">
        <is>
          <t>金条&amp;白取混发</t>
        </is>
      </c>
      <c r="E2600" s="173" t="inlineStr">
        <is>
          <t>耘睿28-4</t>
        </is>
      </c>
      <c r="F2600" s="173" t="inlineStr">
        <is>
          <t>上交所</t>
        </is>
      </c>
      <c r="G2600" s="173" t="inlineStr">
        <is>
          <t>招商证券</t>
        </is>
      </c>
      <c r="H2600" s="173" t="inlineStr">
        <is>
          <t>国信证券</t>
        </is>
      </c>
      <c r="I2600" s="173" t="inlineStr">
        <is>
          <t>邮储北分</t>
        </is>
      </c>
      <c r="J2600" s="172" t="n">
        <v>10</v>
      </c>
      <c r="K2600" s="173" t="inlineStr">
        <is>
          <t>22+24</t>
        </is>
      </c>
      <c r="L2600" s="202" t="n">
        <v>46266</v>
      </c>
      <c r="M2600" s="175" t="n">
        <v>0.0148</v>
      </c>
      <c r="N2600" s="176" t="n">
        <v>0.02258</v>
      </c>
      <c r="O2600" s="172" t="n">
        <v>1.3</v>
      </c>
      <c r="P2600" s="172" t="inlineStr">
        <is>
          <t>中间级</t>
        </is>
      </c>
      <c r="Q2600" s="178" t="n">
        <v>0.02</v>
      </c>
      <c r="R2600" s="179" t="n">
        <v>0.2</v>
      </c>
      <c r="S2600" s="177" t="inlineStr">
        <is>
          <t>AA-</t>
        </is>
      </c>
      <c r="T2600" s="178" t="n">
        <v>0.032</v>
      </c>
      <c r="U2600" s="177" t="inlineStr">
        <is>
          <t>中金自营</t>
        </is>
      </c>
      <c r="V2600" s="192" t="n">
        <v>0.1</v>
      </c>
      <c r="W2600" s="172" t="n"/>
      <c r="X2600" s="172" t="n"/>
      <c r="Y2600" s="172" t="n"/>
    </row>
    <row r="2601">
      <c r="A2601" s="172" t="n">
        <v>139</v>
      </c>
      <c r="B2601" s="173" t="inlineStr">
        <is>
          <t>9月</t>
        </is>
      </c>
      <c r="C2601" s="173" t="inlineStr">
        <is>
          <t>消金</t>
        </is>
      </c>
      <c r="D2601" s="173" t="inlineStr">
        <is>
          <t>金条&amp;白取混发</t>
        </is>
      </c>
      <c r="E2601" s="173" t="inlineStr">
        <is>
          <t>耘睿28-4</t>
        </is>
      </c>
      <c r="F2601" s="173" t="inlineStr">
        <is>
          <t>上交所</t>
        </is>
      </c>
      <c r="G2601" s="173" t="inlineStr">
        <is>
          <t>招商证券</t>
        </is>
      </c>
      <c r="H2601" s="173" t="inlineStr">
        <is>
          <t>国信证券</t>
        </is>
      </c>
      <c r="I2601" s="173" t="inlineStr">
        <is>
          <t>邮储北分</t>
        </is>
      </c>
      <c r="J2601" s="172" t="n">
        <v>10</v>
      </c>
      <c r="K2601" s="173" t="inlineStr">
        <is>
          <t>22+24</t>
        </is>
      </c>
      <c r="L2601" s="202" t="n">
        <v>46266</v>
      </c>
      <c r="M2601" s="175" t="n">
        <v>0.0148</v>
      </c>
      <c r="N2601" s="176" t="n">
        <v>0.02258</v>
      </c>
      <c r="O2601" s="172" t="n">
        <v>1.3</v>
      </c>
      <c r="P2601" s="177" t="inlineStr">
        <is>
          <t>受益权</t>
        </is>
      </c>
      <c r="Q2601" s="178" t="n">
        <v>0.05</v>
      </c>
      <c r="R2601" s="179" t="n">
        <v>0.5</v>
      </c>
      <c r="S2601" s="177" t="inlineStr">
        <is>
          <t>无</t>
        </is>
      </c>
      <c r="T2601" s="178" t="n">
        <v>0.0495</v>
      </c>
      <c r="U2601" s="177" t="inlineStr">
        <is>
          <t>中金投顾</t>
        </is>
      </c>
      <c r="V2601" s="192" t="n">
        <v>0.4</v>
      </c>
      <c r="W2601" s="172" t="n"/>
      <c r="X2601" s="172" t="n"/>
      <c r="Y2601" s="172" t="n"/>
    </row>
    <row r="2602">
      <c r="A2602" s="172" t="n">
        <v>139</v>
      </c>
      <c r="B2602" s="173" t="inlineStr">
        <is>
          <t>9月</t>
        </is>
      </c>
      <c r="C2602" s="173" t="inlineStr">
        <is>
          <t>消金</t>
        </is>
      </c>
      <c r="D2602" s="173" t="inlineStr">
        <is>
          <t>金条&amp;白取混发</t>
        </is>
      </c>
      <c r="E2602" s="173" t="inlineStr">
        <is>
          <t>耘睿28-4</t>
        </is>
      </c>
      <c r="F2602" s="173" t="inlineStr">
        <is>
          <t>上交所</t>
        </is>
      </c>
      <c r="G2602" s="173" t="inlineStr">
        <is>
          <t>招商证券</t>
        </is>
      </c>
      <c r="H2602" s="173" t="inlineStr">
        <is>
          <t>国信证券</t>
        </is>
      </c>
      <c r="I2602" s="173" t="inlineStr">
        <is>
          <t>邮储北分</t>
        </is>
      </c>
      <c r="J2602" s="172" t="n">
        <v>10</v>
      </c>
      <c r="K2602" s="173" t="inlineStr">
        <is>
          <t>22+24</t>
        </is>
      </c>
      <c r="L2602" s="202" t="n">
        <v>46266</v>
      </c>
      <c r="M2602" s="175" t="n">
        <v>0.0148</v>
      </c>
      <c r="N2602" s="176" t="n">
        <v>0.02258</v>
      </c>
      <c r="O2602" s="172" t="n">
        <v>1.3</v>
      </c>
      <c r="P2602" s="172" t="inlineStr">
        <is>
          <t>受益权</t>
        </is>
      </c>
      <c r="Q2602" s="178" t="n">
        <v>0.05</v>
      </c>
      <c r="R2602" s="179" t="n">
        <v>0.5</v>
      </c>
      <c r="S2602" s="177" t="inlineStr">
        <is>
          <t>无</t>
        </is>
      </c>
      <c r="T2602" s="178" t="n">
        <v>0.0495</v>
      </c>
      <c r="U2602" s="177" t="inlineStr">
        <is>
          <t>中信建投衍生品</t>
        </is>
      </c>
      <c r="V2602" s="192" t="n">
        <v>0.1</v>
      </c>
      <c r="W2602" s="172" t="n"/>
      <c r="X2602" s="172" t="n"/>
      <c r="Y2602" s="172" t="n"/>
    </row>
    <row r="2603">
      <c r="A2603" s="172" t="n">
        <v>140</v>
      </c>
      <c r="B2603" s="173" t="inlineStr">
        <is>
          <t>9月</t>
        </is>
      </c>
      <c r="C2603" s="173" t="inlineStr">
        <is>
          <t>消金</t>
        </is>
      </c>
      <c r="D2603" s="173" t="inlineStr">
        <is>
          <t>金条&amp;白取混发</t>
        </is>
      </c>
      <c r="E2603" s="173" t="inlineStr">
        <is>
          <t>2026东樾4号3期（东樾4-5）</t>
        </is>
      </c>
      <c r="F2603" s="173" t="inlineStr">
        <is>
          <t>银行间</t>
        </is>
      </c>
      <c r="G2603" s="173" t="inlineStr">
        <is>
          <t>招商证券</t>
        </is>
      </c>
      <c r="H2603" s="173" t="inlineStr">
        <is>
          <t>国信证券/光大证券/中信证券</t>
        </is>
      </c>
      <c r="I2603" s="173" t="inlineStr">
        <is>
          <t>工银天分</t>
        </is>
      </c>
      <c r="J2603" s="172" t="n">
        <v>10</v>
      </c>
      <c r="K2603" s="173" t="inlineStr">
        <is>
          <t>22+24</t>
        </is>
      </c>
      <c r="L2603" s="202" t="n">
        <v>46266</v>
      </c>
      <c r="M2603" s="175" t="n">
        <v>0.0148</v>
      </c>
      <c r="N2603" s="176" t="n">
        <v>0.02273</v>
      </c>
      <c r="O2603" s="172" t="n">
        <v>1.82</v>
      </c>
      <c r="P2603" s="177" t="inlineStr">
        <is>
          <t>优先A</t>
        </is>
      </c>
      <c r="Q2603" s="178" t="n">
        <v>0.87</v>
      </c>
      <c r="R2603" s="179" t="n">
        <v>9</v>
      </c>
      <c r="S2603" s="177" t="inlineStr">
        <is>
          <t>AAA</t>
        </is>
      </c>
      <c r="T2603" s="178" t="n">
        <v>0.018</v>
      </c>
      <c r="U2603" s="177" t="inlineStr">
        <is>
          <t>建信信托</t>
        </is>
      </c>
      <c r="V2603" s="192" t="n">
        <v>0.5</v>
      </c>
      <c r="W2603" s="175" t="n">
        <v>0.018</v>
      </c>
      <c r="X2603" s="172" t="inlineStr">
        <is>
          <t>建信信托</t>
        </is>
      </c>
      <c r="Y2603" s="191" t="n">
        <v>0.5</v>
      </c>
    </row>
    <row r="2604">
      <c r="A2604" s="172" t="n">
        <v>140</v>
      </c>
      <c r="B2604" s="172" t="inlineStr">
        <is>
          <t>9月</t>
        </is>
      </c>
      <c r="C2604" s="172" t="inlineStr">
        <is>
          <t>消金</t>
        </is>
      </c>
      <c r="D2604" s="172" t="inlineStr">
        <is>
          <t>金条&amp;白取混发</t>
        </is>
      </c>
      <c r="E2604" s="172" t="inlineStr">
        <is>
          <t>2026东樾4号3期（东樾4-5）</t>
        </is>
      </c>
      <c r="F2604" s="172" t="inlineStr">
        <is>
          <t>银行间</t>
        </is>
      </c>
      <c r="G2604" s="172" t="inlineStr">
        <is>
          <t>招商证券</t>
        </is>
      </c>
      <c r="H2604" s="172" t="inlineStr">
        <is>
          <t>国信证券/光大证券/中信证券</t>
        </is>
      </c>
      <c r="I2604" s="172" t="inlineStr">
        <is>
          <t>工银天分</t>
        </is>
      </c>
      <c r="J2604" s="172" t="n">
        <v>10</v>
      </c>
      <c r="K2604" s="172" t="inlineStr">
        <is>
          <t>22+24</t>
        </is>
      </c>
      <c r="L2604" s="208" t="n">
        <v>46266</v>
      </c>
      <c r="M2604" s="175" t="n">
        <v>0.0148</v>
      </c>
      <c r="N2604" s="176" t="n">
        <v>0.02273</v>
      </c>
      <c r="O2604" s="172" t="n">
        <v>1.82</v>
      </c>
      <c r="P2604" s="172" t="inlineStr">
        <is>
          <t>优先A</t>
        </is>
      </c>
      <c r="Q2604" s="175" t="n">
        <v>0.87</v>
      </c>
      <c r="R2604" s="192" t="n">
        <v>9</v>
      </c>
      <c r="S2604" s="172" t="inlineStr">
        <is>
          <t>AAA</t>
        </is>
      </c>
      <c r="T2604" s="175" t="n">
        <v>0.018</v>
      </c>
      <c r="U2604" s="172" t="n"/>
      <c r="V2604" s="172" t="n"/>
      <c r="W2604" s="175" t="n">
        <v>0.0185</v>
      </c>
      <c r="X2604" s="172" t="inlineStr">
        <is>
          <t>建信信托</t>
        </is>
      </c>
      <c r="Y2604" s="191" t="n">
        <v>0.5</v>
      </c>
    </row>
    <row r="2605">
      <c r="A2605" s="172" t="n">
        <v>140</v>
      </c>
      <c r="B2605" s="173" t="inlineStr">
        <is>
          <t>9月</t>
        </is>
      </c>
      <c r="C2605" s="173" t="inlineStr">
        <is>
          <t>消金</t>
        </is>
      </c>
      <c r="D2605" s="173" t="inlineStr">
        <is>
          <t>金条&amp;白取混发</t>
        </is>
      </c>
      <c r="E2605" s="173" t="inlineStr">
        <is>
          <t>2026东樾4号3期（东樾4-5）</t>
        </is>
      </c>
      <c r="F2605" s="173" t="inlineStr">
        <is>
          <t>银行间</t>
        </is>
      </c>
      <c r="G2605" s="173" t="inlineStr">
        <is>
          <t>招商证券</t>
        </is>
      </c>
      <c r="H2605" s="173" t="inlineStr">
        <is>
          <t>国信证券/光大证券/中信证券</t>
        </is>
      </c>
      <c r="I2605" s="173" t="inlineStr">
        <is>
          <t>工银天分</t>
        </is>
      </c>
      <c r="J2605" s="172" t="n">
        <v>10</v>
      </c>
      <c r="K2605" s="173" t="inlineStr">
        <is>
          <t>22+24</t>
        </is>
      </c>
      <c r="L2605" s="202" t="n">
        <v>46266</v>
      </c>
      <c r="M2605" s="175" t="n">
        <v>0.0148</v>
      </c>
      <c r="N2605" s="176" t="n">
        <v>0.02273</v>
      </c>
      <c r="O2605" s="172" t="n">
        <v>1.82</v>
      </c>
      <c r="P2605" s="172" t="inlineStr">
        <is>
          <t>优先A</t>
        </is>
      </c>
      <c r="Q2605" s="178" t="n">
        <v>0.87</v>
      </c>
      <c r="R2605" s="179" t="n">
        <v>9</v>
      </c>
      <c r="S2605" s="177" t="inlineStr">
        <is>
          <t>AAA</t>
        </is>
      </c>
      <c r="T2605" s="178" t="n">
        <v>0.018</v>
      </c>
      <c r="U2605" s="177" t="inlineStr">
        <is>
          <t>平安证券投行</t>
        </is>
      </c>
      <c r="V2605" s="192" t="n">
        <v>0.29</v>
      </c>
      <c r="W2605" s="175" t="n">
        <v>0.018</v>
      </c>
      <c r="X2605" s="172" t="inlineStr">
        <is>
          <t>平安证券</t>
        </is>
      </c>
      <c r="Y2605" s="191" t="n">
        <v>0.3</v>
      </c>
    </row>
    <row r="2606">
      <c r="A2606" s="172" t="n">
        <v>140</v>
      </c>
      <c r="B2606" s="172" t="inlineStr">
        <is>
          <t>9月</t>
        </is>
      </c>
      <c r="C2606" s="172" t="inlineStr">
        <is>
          <t>消金</t>
        </is>
      </c>
      <c r="D2606" s="172" t="inlineStr">
        <is>
          <t>金条&amp;白取混发</t>
        </is>
      </c>
      <c r="E2606" s="172" t="inlineStr">
        <is>
          <t>2026东樾4号3期（东樾4-5）</t>
        </is>
      </c>
      <c r="F2606" s="172" t="inlineStr">
        <is>
          <t>银行间</t>
        </is>
      </c>
      <c r="G2606" s="172" t="inlineStr">
        <is>
          <t>招商证券</t>
        </is>
      </c>
      <c r="H2606" s="172" t="inlineStr">
        <is>
          <t>国信证券/光大证券/中信证券</t>
        </is>
      </c>
      <c r="I2606" s="172" t="inlineStr">
        <is>
          <t>工银天分</t>
        </is>
      </c>
      <c r="J2606" s="172" t="n">
        <v>10</v>
      </c>
      <c r="K2606" s="172" t="inlineStr">
        <is>
          <t>22+24</t>
        </is>
      </c>
      <c r="L2606" s="208" t="n">
        <v>46266</v>
      </c>
      <c r="M2606" s="175" t="n">
        <v>0.0148</v>
      </c>
      <c r="N2606" s="176" t="n">
        <v>0.02273</v>
      </c>
      <c r="O2606" s="172" t="n">
        <v>1.82</v>
      </c>
      <c r="P2606" s="172" t="inlineStr">
        <is>
          <t>优先A</t>
        </is>
      </c>
      <c r="Q2606" s="175" t="n">
        <v>0.87</v>
      </c>
      <c r="R2606" s="192" t="n">
        <v>9</v>
      </c>
      <c r="S2606" s="172" t="inlineStr">
        <is>
          <t>AAA</t>
        </is>
      </c>
      <c r="T2606" s="175" t="n">
        <v>0.018</v>
      </c>
      <c r="U2606" s="172" t="n"/>
      <c r="V2606" s="172" t="n"/>
      <c r="W2606" s="175" t="n">
        <v>0.0185</v>
      </c>
      <c r="X2606" s="172" t="inlineStr">
        <is>
          <t>平安证券</t>
        </is>
      </c>
      <c r="Y2606" s="191" t="n">
        <v>0.2</v>
      </c>
    </row>
    <row r="2607">
      <c r="A2607" s="172" t="n">
        <v>140</v>
      </c>
      <c r="B2607" s="173" t="inlineStr">
        <is>
          <t>9月</t>
        </is>
      </c>
      <c r="C2607" s="173" t="inlineStr">
        <is>
          <t>消金</t>
        </is>
      </c>
      <c r="D2607" s="173" t="inlineStr">
        <is>
          <t>金条&amp;白取混发</t>
        </is>
      </c>
      <c r="E2607" s="173" t="inlineStr">
        <is>
          <t>2026东樾4号3期（东樾4-5）</t>
        </is>
      </c>
      <c r="F2607" s="173" t="inlineStr">
        <is>
          <t>银行间</t>
        </is>
      </c>
      <c r="G2607" s="173" t="inlineStr">
        <is>
          <t>招商证券</t>
        </is>
      </c>
      <c r="H2607" s="173" t="inlineStr">
        <is>
          <t>国信证券/光大证券/中信证券</t>
        </is>
      </c>
      <c r="I2607" s="173" t="inlineStr">
        <is>
          <t>工银天分</t>
        </is>
      </c>
      <c r="J2607" s="172" t="n">
        <v>10</v>
      </c>
      <c r="K2607" s="173" t="inlineStr">
        <is>
          <t>22+24</t>
        </is>
      </c>
      <c r="L2607" s="202" t="n">
        <v>46266</v>
      </c>
      <c r="M2607" s="175" t="n">
        <v>0.0148</v>
      </c>
      <c r="N2607" s="176" t="n">
        <v>0.02273</v>
      </c>
      <c r="O2607" s="172" t="n">
        <v>1.82</v>
      </c>
      <c r="P2607" s="172" t="inlineStr">
        <is>
          <t>优先A</t>
        </is>
      </c>
      <c r="Q2607" s="178" t="n">
        <v>0.87</v>
      </c>
      <c r="R2607" s="179" t="n">
        <v>9</v>
      </c>
      <c r="S2607" s="177" t="inlineStr">
        <is>
          <t>AAA</t>
        </is>
      </c>
      <c r="T2607" s="178" t="n">
        <v>0.018</v>
      </c>
      <c r="U2607" s="177" t="inlineStr">
        <is>
          <t>信银理财</t>
        </is>
      </c>
      <c r="V2607" s="192" t="n">
        <v>2.61</v>
      </c>
      <c r="W2607" s="175" t="n">
        <v>0.0174</v>
      </c>
      <c r="X2607" s="172" t="inlineStr">
        <is>
          <t>信银理财</t>
        </is>
      </c>
      <c r="Y2607" s="191" t="n">
        <v>0.5</v>
      </c>
    </row>
    <row r="2608">
      <c r="A2608" s="172" t="n">
        <v>140</v>
      </c>
      <c r="B2608" s="172" t="inlineStr">
        <is>
          <t>9月</t>
        </is>
      </c>
      <c r="C2608" s="172" t="inlineStr">
        <is>
          <t>消金</t>
        </is>
      </c>
      <c r="D2608" s="172" t="inlineStr">
        <is>
          <t>金条&amp;白取混发</t>
        </is>
      </c>
      <c r="E2608" s="172" t="inlineStr">
        <is>
          <t>2026东樾4号3期（东樾4-5）</t>
        </is>
      </c>
      <c r="F2608" s="172" t="inlineStr">
        <is>
          <t>银行间</t>
        </is>
      </c>
      <c r="G2608" s="172" t="inlineStr">
        <is>
          <t>招商证券</t>
        </is>
      </c>
      <c r="H2608" s="172" t="inlineStr">
        <is>
          <t>国信证券/光大证券/中信证券</t>
        </is>
      </c>
      <c r="I2608" s="172" t="inlineStr">
        <is>
          <t>工银天分</t>
        </is>
      </c>
      <c r="J2608" s="172" t="n">
        <v>10</v>
      </c>
      <c r="K2608" s="172" t="inlineStr">
        <is>
          <t>22+24</t>
        </is>
      </c>
      <c r="L2608" s="208" t="n">
        <v>46266</v>
      </c>
      <c r="M2608" s="175" t="n">
        <v>0.0148</v>
      </c>
      <c r="N2608" s="176" t="n">
        <v>0.02273</v>
      </c>
      <c r="O2608" s="172" t="n">
        <v>1.82</v>
      </c>
      <c r="P2608" s="172" t="inlineStr">
        <is>
          <t>优先A</t>
        </is>
      </c>
      <c r="Q2608" s="175" t="n">
        <v>0.87</v>
      </c>
      <c r="R2608" s="192" t="n">
        <v>9</v>
      </c>
      <c r="S2608" s="172" t="inlineStr">
        <is>
          <t>AAA</t>
        </is>
      </c>
      <c r="T2608" s="175" t="n">
        <v>0.018</v>
      </c>
      <c r="U2608" s="172" t="n"/>
      <c r="V2608" s="172" t="n"/>
      <c r="W2608" s="175" t="n">
        <v>0.0176</v>
      </c>
      <c r="X2608" s="172" t="inlineStr">
        <is>
          <t>信银理财</t>
        </is>
      </c>
      <c r="Y2608" s="191" t="n">
        <v>0.5</v>
      </c>
    </row>
    <row r="2609">
      <c r="A2609" s="172" t="n">
        <v>140</v>
      </c>
      <c r="B2609" s="172" t="inlineStr">
        <is>
          <t>9月</t>
        </is>
      </c>
      <c r="C2609" s="172" t="inlineStr">
        <is>
          <t>消金</t>
        </is>
      </c>
      <c r="D2609" s="172" t="inlineStr">
        <is>
          <t>金条&amp;白取混发</t>
        </is>
      </c>
      <c r="E2609" s="172" t="inlineStr">
        <is>
          <t>2026东樾4号3期（东樾4-5）</t>
        </is>
      </c>
      <c r="F2609" s="172" t="inlineStr">
        <is>
          <t>银行间</t>
        </is>
      </c>
      <c r="G2609" s="172" t="inlineStr">
        <is>
          <t>招商证券</t>
        </is>
      </c>
      <c r="H2609" s="172" t="inlineStr">
        <is>
          <t>国信证券/光大证券/中信证券</t>
        </is>
      </c>
      <c r="I2609" s="172" t="inlineStr">
        <is>
          <t>工银天分</t>
        </is>
      </c>
      <c r="J2609" s="172" t="n">
        <v>10</v>
      </c>
      <c r="K2609" s="172" t="inlineStr">
        <is>
          <t>22+24</t>
        </is>
      </c>
      <c r="L2609" s="208" t="n">
        <v>46266</v>
      </c>
      <c r="M2609" s="175" t="n">
        <v>0.0148</v>
      </c>
      <c r="N2609" s="176" t="n">
        <v>0.02273</v>
      </c>
      <c r="O2609" s="172" t="n">
        <v>1.82</v>
      </c>
      <c r="P2609" s="172" t="inlineStr">
        <is>
          <t>优先A</t>
        </is>
      </c>
      <c r="Q2609" s="175" t="n">
        <v>0.87</v>
      </c>
      <c r="R2609" s="192" t="n">
        <v>9</v>
      </c>
      <c r="S2609" s="172" t="inlineStr">
        <is>
          <t>AAA</t>
        </is>
      </c>
      <c r="T2609" s="175" t="n">
        <v>0.018</v>
      </c>
      <c r="U2609" s="172" t="n"/>
      <c r="V2609" s="172" t="n"/>
      <c r="W2609" s="175" t="n">
        <v>0.0178</v>
      </c>
      <c r="X2609" s="172" t="inlineStr">
        <is>
          <t>信银理财</t>
        </is>
      </c>
      <c r="Y2609" s="191" t="n">
        <v>1.61</v>
      </c>
    </row>
    <row r="2610">
      <c r="A2610" s="172" t="n">
        <v>140</v>
      </c>
      <c r="B2610" s="173" t="inlineStr">
        <is>
          <t>9月</t>
        </is>
      </c>
      <c r="C2610" s="173" t="inlineStr">
        <is>
          <t>消金</t>
        </is>
      </c>
      <c r="D2610" s="173" t="inlineStr">
        <is>
          <t>金条&amp;白取混发</t>
        </is>
      </c>
      <c r="E2610" s="173" t="inlineStr">
        <is>
          <t>2026东樾4号3期（东樾4-5）</t>
        </is>
      </c>
      <c r="F2610" s="173" t="inlineStr">
        <is>
          <t>银行间</t>
        </is>
      </c>
      <c r="G2610" s="173" t="inlineStr">
        <is>
          <t>招商证券</t>
        </is>
      </c>
      <c r="H2610" s="173" t="inlineStr">
        <is>
          <t>国信证券/光大证券/中信证券</t>
        </is>
      </c>
      <c r="I2610" s="173" t="inlineStr">
        <is>
          <t>工银天分</t>
        </is>
      </c>
      <c r="J2610" s="172" t="n">
        <v>10</v>
      </c>
      <c r="K2610" s="173" t="inlineStr">
        <is>
          <t>22+24</t>
        </is>
      </c>
      <c r="L2610" s="202" t="n">
        <v>46266</v>
      </c>
      <c r="M2610" s="175" t="n">
        <v>0.0148</v>
      </c>
      <c r="N2610" s="176" t="n">
        <v>0.02273</v>
      </c>
      <c r="O2610" s="172" t="n">
        <v>1.82</v>
      </c>
      <c r="P2610" s="172" t="inlineStr">
        <is>
          <t>优先A</t>
        </is>
      </c>
      <c r="Q2610" s="178" t="n">
        <v>0.87</v>
      </c>
      <c r="R2610" s="179" t="n">
        <v>9</v>
      </c>
      <c r="S2610" s="177" t="inlineStr">
        <is>
          <t>AAA</t>
        </is>
      </c>
      <c r="T2610" s="178" t="n">
        <v>0.018</v>
      </c>
      <c r="U2610" s="177" t="inlineStr">
        <is>
          <t>易方达基金</t>
        </is>
      </c>
      <c r="V2610" s="192" t="n">
        <v>4.3</v>
      </c>
      <c r="W2610" s="175" t="n">
        <v>0.0177</v>
      </c>
      <c r="X2610" s="172" t="inlineStr">
        <is>
          <t>易方达基金</t>
        </is>
      </c>
      <c r="Y2610" s="191" t="n">
        <v>1.6</v>
      </c>
    </row>
    <row r="2611">
      <c r="A2611" s="172" t="n">
        <v>140</v>
      </c>
      <c r="B2611" s="172" t="inlineStr">
        <is>
          <t>9月</t>
        </is>
      </c>
      <c r="C2611" s="172" t="inlineStr">
        <is>
          <t>消金</t>
        </is>
      </c>
      <c r="D2611" s="172" t="inlineStr">
        <is>
          <t>金条&amp;白取混发</t>
        </is>
      </c>
      <c r="E2611" s="172" t="inlineStr">
        <is>
          <t>2026东樾4号3期（东樾4-5）</t>
        </is>
      </c>
      <c r="F2611" s="172" t="inlineStr">
        <is>
          <t>银行间</t>
        </is>
      </c>
      <c r="G2611" s="172" t="inlineStr">
        <is>
          <t>招商证券</t>
        </is>
      </c>
      <c r="H2611" s="172" t="inlineStr">
        <is>
          <t>国信证券/光大证券/中信证券</t>
        </is>
      </c>
      <c r="I2611" s="172" t="inlineStr">
        <is>
          <t>工银天分</t>
        </is>
      </c>
      <c r="J2611" s="172" t="n">
        <v>10</v>
      </c>
      <c r="K2611" s="172" t="inlineStr">
        <is>
          <t>22+24</t>
        </is>
      </c>
      <c r="L2611" s="208" t="n">
        <v>46266</v>
      </c>
      <c r="M2611" s="175" t="n">
        <v>0.0148</v>
      </c>
      <c r="N2611" s="176" t="n">
        <v>0.02273</v>
      </c>
      <c r="O2611" s="172" t="n">
        <v>1.82</v>
      </c>
      <c r="P2611" s="172" t="inlineStr">
        <is>
          <t>优先A</t>
        </is>
      </c>
      <c r="Q2611" s="175" t="n">
        <v>0.87</v>
      </c>
      <c r="R2611" s="192" t="n">
        <v>9</v>
      </c>
      <c r="S2611" s="172" t="inlineStr">
        <is>
          <t>AAA</t>
        </is>
      </c>
      <c r="T2611" s="175" t="n">
        <v>0.018</v>
      </c>
      <c r="U2611" s="172" t="n"/>
      <c r="V2611" s="172" t="n"/>
      <c r="W2611" s="175" t="n">
        <v>0.018</v>
      </c>
      <c r="X2611" s="172" t="inlineStr">
        <is>
          <t>易方达基金</t>
        </is>
      </c>
      <c r="Y2611" s="191" t="n">
        <v>2.7</v>
      </c>
    </row>
    <row r="2612">
      <c r="A2612" s="172" t="n">
        <v>140</v>
      </c>
      <c r="B2612" s="173" t="inlineStr">
        <is>
          <t>9月</t>
        </is>
      </c>
      <c r="C2612" s="173" t="inlineStr">
        <is>
          <t>消金</t>
        </is>
      </c>
      <c r="D2612" s="173" t="inlineStr">
        <is>
          <t>金条&amp;白取混发</t>
        </is>
      </c>
      <c r="E2612" s="173" t="inlineStr">
        <is>
          <t>2026东樾4号3期（东樾4-5）</t>
        </is>
      </c>
      <c r="F2612" s="173" t="inlineStr">
        <is>
          <t>银行间</t>
        </is>
      </c>
      <c r="G2612" s="173" t="inlineStr">
        <is>
          <t>招商证券</t>
        </is>
      </c>
      <c r="H2612" s="173" t="inlineStr">
        <is>
          <t>国信证券/光大证券/中信证券</t>
        </is>
      </c>
      <c r="I2612" s="173" t="inlineStr">
        <is>
          <t>工银天分</t>
        </is>
      </c>
      <c r="J2612" s="172" t="n">
        <v>10</v>
      </c>
      <c r="K2612" s="173" t="inlineStr">
        <is>
          <t>22+24</t>
        </is>
      </c>
      <c r="L2612" s="202" t="n">
        <v>46266</v>
      </c>
      <c r="M2612" s="175" t="n">
        <v>0.0148</v>
      </c>
      <c r="N2612" s="176" t="n">
        <v>0.02273</v>
      </c>
      <c r="O2612" s="172" t="n">
        <v>1.82</v>
      </c>
      <c r="P2612" s="172" t="inlineStr">
        <is>
          <t>优先A</t>
        </is>
      </c>
      <c r="Q2612" s="178" t="n">
        <v>0.87</v>
      </c>
      <c r="R2612" s="179" t="n">
        <v>9</v>
      </c>
      <c r="S2612" s="177" t="inlineStr">
        <is>
          <t>AAA</t>
        </is>
      </c>
      <c r="T2612" s="178" t="n">
        <v>0.018</v>
      </c>
      <c r="U2612" s="177" t="inlineStr">
        <is>
          <t>中金自营</t>
        </is>
      </c>
      <c r="V2612" s="192" t="n">
        <v>0.4</v>
      </c>
      <c r="W2612" s="175" t="n">
        <v>0.018</v>
      </c>
      <c r="X2612" s="172" t="inlineStr">
        <is>
          <t>中金自营</t>
        </is>
      </c>
      <c r="Y2612" s="191" t="n">
        <v>0.4</v>
      </c>
    </row>
    <row r="2613">
      <c r="A2613" s="172" t="n">
        <v>140</v>
      </c>
      <c r="B2613" s="172" t="inlineStr">
        <is>
          <t>9月</t>
        </is>
      </c>
      <c r="C2613" s="172" t="inlineStr">
        <is>
          <t>消金</t>
        </is>
      </c>
      <c r="D2613" s="172" t="inlineStr">
        <is>
          <t>金条&amp;白取混发</t>
        </is>
      </c>
      <c r="E2613" s="172" t="inlineStr">
        <is>
          <t>2026东樾4号3期（东樾4-5）</t>
        </is>
      </c>
      <c r="F2613" s="172" t="inlineStr">
        <is>
          <t>银行间</t>
        </is>
      </c>
      <c r="G2613" s="172" t="inlineStr">
        <is>
          <t>招商证券</t>
        </is>
      </c>
      <c r="H2613" s="172" t="inlineStr">
        <is>
          <t>国信证券/光大证券/中信证券</t>
        </is>
      </c>
      <c r="I2613" s="172" t="inlineStr">
        <is>
          <t>工银天分</t>
        </is>
      </c>
      <c r="J2613" s="172" t="n">
        <v>10</v>
      </c>
      <c r="K2613" s="172" t="inlineStr">
        <is>
          <t>22+24</t>
        </is>
      </c>
      <c r="L2613" s="208" t="n">
        <v>46266</v>
      </c>
      <c r="M2613" s="175" t="n">
        <v>0.0148</v>
      </c>
      <c r="N2613" s="176" t="n">
        <v>0.02273</v>
      </c>
      <c r="O2613" s="172" t="n">
        <v>1.82</v>
      </c>
      <c r="P2613" s="172" t="inlineStr">
        <is>
          <t>优先A</t>
        </is>
      </c>
      <c r="Q2613" s="175" t="n">
        <v>0.87</v>
      </c>
      <c r="R2613" s="192" t="n">
        <v>9</v>
      </c>
      <c r="S2613" s="172" t="inlineStr">
        <is>
          <t>AAA</t>
        </is>
      </c>
      <c r="T2613" s="175" t="n">
        <v>0.018</v>
      </c>
      <c r="U2613" s="172" t="n"/>
      <c r="V2613" s="172" t="n"/>
      <c r="W2613" s="175" t="n">
        <v>0.0183</v>
      </c>
      <c r="X2613" s="172" t="inlineStr">
        <is>
          <t>中金自营</t>
        </is>
      </c>
      <c r="Y2613" s="191" t="n">
        <v>0.4</v>
      </c>
    </row>
    <row r="2614">
      <c r="A2614" s="172" t="n">
        <v>140</v>
      </c>
      <c r="B2614" s="173" t="inlineStr">
        <is>
          <t>9月</t>
        </is>
      </c>
      <c r="C2614" s="173" t="inlineStr">
        <is>
          <t>消金</t>
        </is>
      </c>
      <c r="D2614" s="173" t="inlineStr">
        <is>
          <t>金条&amp;白取混发</t>
        </is>
      </c>
      <c r="E2614" s="173" t="inlineStr">
        <is>
          <t>2026东樾4号3期（东樾4-5）</t>
        </is>
      </c>
      <c r="F2614" s="173" t="inlineStr">
        <is>
          <t>银行间</t>
        </is>
      </c>
      <c r="G2614" s="173" t="inlineStr">
        <is>
          <t>招商证券</t>
        </is>
      </c>
      <c r="H2614" s="173" t="inlineStr">
        <is>
          <t>国信证券/光大证券/中信证券</t>
        </is>
      </c>
      <c r="I2614" s="173" t="inlineStr">
        <is>
          <t>工银天分</t>
        </is>
      </c>
      <c r="J2614" s="172" t="n">
        <v>10</v>
      </c>
      <c r="K2614" s="173" t="inlineStr">
        <is>
          <t>22+24</t>
        </is>
      </c>
      <c r="L2614" s="202" t="n">
        <v>46266</v>
      </c>
      <c r="M2614" s="175" t="n">
        <v>0.0148</v>
      </c>
      <c r="N2614" s="176" t="n">
        <v>0.02273</v>
      </c>
      <c r="O2614" s="172" t="n">
        <v>1.82</v>
      </c>
      <c r="P2614" s="172" t="inlineStr">
        <is>
          <t>优先A</t>
        </is>
      </c>
      <c r="Q2614" s="178" t="n">
        <v>0.87</v>
      </c>
      <c r="R2614" s="179" t="n">
        <v>9</v>
      </c>
      <c r="S2614" s="177" t="inlineStr">
        <is>
          <t>AAA</t>
        </is>
      </c>
      <c r="T2614" s="178" t="n">
        <v>0.018</v>
      </c>
      <c r="U2614" s="177" t="inlineStr">
        <is>
          <t>中信证券投顾</t>
        </is>
      </c>
      <c r="V2614" s="192" t="n">
        <v>0.6</v>
      </c>
      <c r="W2614" s="175" t="n">
        <v>0.018</v>
      </c>
      <c r="X2614" s="172" t="inlineStr">
        <is>
          <t>中信证券投顾</t>
        </is>
      </c>
      <c r="Y2614" s="191" t="n">
        <v>0.6</v>
      </c>
    </row>
    <row r="2615">
      <c r="A2615" s="172" t="n">
        <v>140</v>
      </c>
      <c r="B2615" s="172" t="inlineStr">
        <is>
          <t>9月</t>
        </is>
      </c>
      <c r="C2615" s="172" t="inlineStr">
        <is>
          <t>消金</t>
        </is>
      </c>
      <c r="D2615" s="172" t="inlineStr">
        <is>
          <t>金条&amp;白取混发</t>
        </is>
      </c>
      <c r="E2615" s="172" t="inlineStr">
        <is>
          <t>2026东樾4号3期（东樾4-5）</t>
        </is>
      </c>
      <c r="F2615" s="172" t="inlineStr">
        <is>
          <t>银行间</t>
        </is>
      </c>
      <c r="G2615" s="172" t="inlineStr">
        <is>
          <t>招商证券</t>
        </is>
      </c>
      <c r="H2615" s="172" t="inlineStr">
        <is>
          <t>国信证券/光大证券/中信证券</t>
        </is>
      </c>
      <c r="I2615" s="172" t="inlineStr">
        <is>
          <t>工银天分</t>
        </is>
      </c>
      <c r="J2615" s="172" t="n">
        <v>10</v>
      </c>
      <c r="K2615" s="172" t="inlineStr">
        <is>
          <t>22+24</t>
        </is>
      </c>
      <c r="L2615" s="208" t="n">
        <v>46266</v>
      </c>
      <c r="M2615" s="175" t="n">
        <v>0.0148</v>
      </c>
      <c r="N2615" s="176" t="n">
        <v>0.02273</v>
      </c>
      <c r="O2615" s="172" t="n">
        <v>1.82</v>
      </c>
      <c r="P2615" s="172" t="inlineStr">
        <is>
          <t>优先A</t>
        </is>
      </c>
      <c r="Q2615" s="175" t="n">
        <v>0.87</v>
      </c>
      <c r="R2615" s="192" t="n">
        <v>9</v>
      </c>
      <c r="S2615" s="172" t="inlineStr">
        <is>
          <t>AAA</t>
        </is>
      </c>
      <c r="T2615" s="175" t="n">
        <v>0.018</v>
      </c>
      <c r="U2615" s="172" t="n"/>
      <c r="V2615" s="172" t="n"/>
      <c r="W2615" s="175" t="n">
        <v>0.0184</v>
      </c>
      <c r="X2615" s="172" t="inlineStr">
        <is>
          <t>中信证券投顾</t>
        </is>
      </c>
      <c r="Y2615" s="191" t="n">
        <v>1</v>
      </c>
    </row>
    <row r="2616">
      <c r="A2616" s="172" t="n">
        <v>140</v>
      </c>
      <c r="B2616" s="172" t="inlineStr">
        <is>
          <t>9月</t>
        </is>
      </c>
      <c r="C2616" s="172" t="inlineStr">
        <is>
          <t>消金</t>
        </is>
      </c>
      <c r="D2616" s="172" t="inlineStr">
        <is>
          <t>金条&amp;白取混发</t>
        </is>
      </c>
      <c r="E2616" s="172" t="inlineStr">
        <is>
          <t>2026东樾4号3期（东樾4-5）</t>
        </is>
      </c>
      <c r="F2616" s="172" t="inlineStr">
        <is>
          <t>银行间</t>
        </is>
      </c>
      <c r="G2616" s="172" t="inlineStr">
        <is>
          <t>招商证券</t>
        </is>
      </c>
      <c r="H2616" s="172" t="inlineStr">
        <is>
          <t>国信证券/光大证券/中信证券</t>
        </is>
      </c>
      <c r="I2616" s="172" t="inlineStr">
        <is>
          <t>工银天分</t>
        </is>
      </c>
      <c r="J2616" s="172" t="n">
        <v>10</v>
      </c>
      <c r="K2616" s="172" t="inlineStr">
        <is>
          <t>22+24</t>
        </is>
      </c>
      <c r="L2616" s="208" t="n">
        <v>46266</v>
      </c>
      <c r="M2616" s="175" t="n">
        <v>0.0148</v>
      </c>
      <c r="N2616" s="176" t="n">
        <v>0.02273</v>
      </c>
      <c r="O2616" s="172" t="n">
        <v>1.82</v>
      </c>
      <c r="P2616" s="172" t="inlineStr">
        <is>
          <t>优先A</t>
        </is>
      </c>
      <c r="Q2616" s="175" t="n">
        <v>0.87</v>
      </c>
      <c r="R2616" s="192" t="n">
        <v>9</v>
      </c>
      <c r="S2616" s="172" t="inlineStr">
        <is>
          <t>AAA</t>
        </is>
      </c>
      <c r="T2616" s="175" t="n">
        <v>0.018</v>
      </c>
      <c r="U2616" s="172" t="n"/>
      <c r="V2616" s="172" t="n"/>
      <c r="W2616" s="175" t="n">
        <v>0.0185</v>
      </c>
      <c r="X2616" s="172" t="inlineStr">
        <is>
          <t>中信证券投顾</t>
        </is>
      </c>
      <c r="Y2616" s="191" t="n">
        <v>1</v>
      </c>
    </row>
    <row r="2617">
      <c r="A2617" s="172" t="n">
        <v>140</v>
      </c>
      <c r="B2617" s="172" t="inlineStr">
        <is>
          <t>9月</t>
        </is>
      </c>
      <c r="C2617" s="172" t="inlineStr">
        <is>
          <t>消金</t>
        </is>
      </c>
      <c r="D2617" s="172" t="inlineStr">
        <is>
          <t>金条&amp;白取混发</t>
        </is>
      </c>
      <c r="E2617" s="172" t="inlineStr">
        <is>
          <t>2026东樾4号3期（东樾4-5）</t>
        </is>
      </c>
      <c r="F2617" s="172" t="inlineStr">
        <is>
          <t>银行间</t>
        </is>
      </c>
      <c r="G2617" s="172" t="inlineStr">
        <is>
          <t>招商证券</t>
        </is>
      </c>
      <c r="H2617" s="172" t="inlineStr">
        <is>
          <t>国信证券/光大证券/中信证券</t>
        </is>
      </c>
      <c r="I2617" s="172" t="inlineStr">
        <is>
          <t>工银天分</t>
        </is>
      </c>
      <c r="J2617" s="172" t="n">
        <v>10</v>
      </c>
      <c r="K2617" s="172" t="inlineStr">
        <is>
          <t>22+24</t>
        </is>
      </c>
      <c r="L2617" s="208" t="n">
        <v>46266</v>
      </c>
      <c r="M2617" s="175" t="n">
        <v>0.0148</v>
      </c>
      <c r="N2617" s="176" t="n">
        <v>0.02273</v>
      </c>
      <c r="O2617" s="172" t="n">
        <v>1.82</v>
      </c>
      <c r="P2617" s="172" t="inlineStr">
        <is>
          <t>优先A</t>
        </is>
      </c>
      <c r="Q2617" s="175" t="n">
        <v>0.87</v>
      </c>
      <c r="R2617" s="192" t="n">
        <v>9</v>
      </c>
      <c r="S2617" s="172" t="inlineStr">
        <is>
          <t>AAA</t>
        </is>
      </c>
      <c r="T2617" s="175" t="n">
        <v>0.018</v>
      </c>
      <c r="U2617" s="172" t="n"/>
      <c r="V2617" s="172" t="n"/>
      <c r="W2617" s="175" t="n">
        <v>0.0184</v>
      </c>
      <c r="X2617" s="172" t="inlineStr">
        <is>
          <t>兴银理财-淳享1号</t>
        </is>
      </c>
      <c r="Y2617" s="191" t="n">
        <v>0.4</v>
      </c>
    </row>
    <row r="2618">
      <c r="A2618" s="172" t="n">
        <v>140</v>
      </c>
      <c r="B2618" s="172" t="inlineStr">
        <is>
          <t>9月</t>
        </is>
      </c>
      <c r="C2618" s="172" t="inlineStr">
        <is>
          <t>消金</t>
        </is>
      </c>
      <c r="D2618" s="172" t="inlineStr">
        <is>
          <t>金条&amp;白取混发</t>
        </is>
      </c>
      <c r="E2618" s="172" t="inlineStr">
        <is>
          <t>2026东樾4号3期（东樾4-5）</t>
        </is>
      </c>
      <c r="F2618" s="172" t="inlineStr">
        <is>
          <t>银行间</t>
        </is>
      </c>
      <c r="G2618" s="172" t="inlineStr">
        <is>
          <t>招商证券</t>
        </is>
      </c>
      <c r="H2618" s="172" t="inlineStr">
        <is>
          <t>国信证券/光大证券/中信证券</t>
        </is>
      </c>
      <c r="I2618" s="172" t="inlineStr">
        <is>
          <t>工银天分</t>
        </is>
      </c>
      <c r="J2618" s="172" t="n">
        <v>10</v>
      </c>
      <c r="K2618" s="172" t="inlineStr">
        <is>
          <t>22+24</t>
        </is>
      </c>
      <c r="L2618" s="208" t="n">
        <v>46266</v>
      </c>
      <c r="M2618" s="175" t="n">
        <v>0.0148</v>
      </c>
      <c r="N2618" s="176" t="n">
        <v>0.02273</v>
      </c>
      <c r="O2618" s="172" t="n">
        <v>1.82</v>
      </c>
      <c r="P2618" s="172" t="inlineStr">
        <is>
          <t>优先A</t>
        </is>
      </c>
      <c r="Q2618" s="175" t="n">
        <v>0.87</v>
      </c>
      <c r="R2618" s="192" t="n">
        <v>9</v>
      </c>
      <c r="S2618" s="172" t="inlineStr">
        <is>
          <t>AAA</t>
        </is>
      </c>
      <c r="T2618" s="175" t="n">
        <v>0.018</v>
      </c>
      <c r="U2618" s="172" t="n"/>
      <c r="V2618" s="172" t="n"/>
      <c r="W2618" s="175" t="n">
        <v>0.0185</v>
      </c>
      <c r="X2618" s="172" t="inlineStr">
        <is>
          <t>中信建投证券</t>
        </is>
      </c>
      <c r="Y2618" s="191" t="n">
        <v>1</v>
      </c>
    </row>
    <row r="2619">
      <c r="A2619" s="172" t="n">
        <v>140</v>
      </c>
      <c r="B2619" s="172" t="inlineStr">
        <is>
          <t>9月</t>
        </is>
      </c>
      <c r="C2619" s="172" t="inlineStr">
        <is>
          <t>消金</t>
        </is>
      </c>
      <c r="D2619" s="172" t="inlineStr">
        <is>
          <t>金条&amp;白取混发</t>
        </is>
      </c>
      <c r="E2619" s="172" t="inlineStr">
        <is>
          <t>2026东樾4号3期（东樾4-5）</t>
        </is>
      </c>
      <c r="F2619" s="172" t="inlineStr">
        <is>
          <t>银行间</t>
        </is>
      </c>
      <c r="G2619" s="172" t="inlineStr">
        <is>
          <t>招商证券</t>
        </is>
      </c>
      <c r="H2619" s="172" t="inlineStr">
        <is>
          <t>国信证券/光大证券/中信证券</t>
        </is>
      </c>
      <c r="I2619" s="172" t="inlineStr">
        <is>
          <t>工银天分</t>
        </is>
      </c>
      <c r="J2619" s="172" t="n">
        <v>10</v>
      </c>
      <c r="K2619" s="172" t="inlineStr">
        <is>
          <t>22+24</t>
        </is>
      </c>
      <c r="L2619" s="208" t="n">
        <v>46266</v>
      </c>
      <c r="M2619" s="175" t="n">
        <v>0.0148</v>
      </c>
      <c r="N2619" s="176" t="n">
        <v>0.02273</v>
      </c>
      <c r="O2619" s="172" t="n">
        <v>1.82</v>
      </c>
      <c r="P2619" s="172" t="inlineStr">
        <is>
          <t>优先A</t>
        </is>
      </c>
      <c r="Q2619" s="175" t="n">
        <v>0.87</v>
      </c>
      <c r="R2619" s="192" t="n">
        <v>9</v>
      </c>
      <c r="S2619" s="172" t="inlineStr">
        <is>
          <t>AAA</t>
        </is>
      </c>
      <c r="T2619" s="175" t="n">
        <v>0.018</v>
      </c>
      <c r="U2619" s="172" t="n"/>
      <c r="V2619" s="172" t="n"/>
      <c r="W2619" s="175" t="n">
        <v>0.0185</v>
      </c>
      <c r="X2619" s="172" t="inlineStr">
        <is>
          <t>光大证券</t>
        </is>
      </c>
      <c r="Y2619" s="191" t="n">
        <v>1</v>
      </c>
    </row>
    <row r="2620">
      <c r="A2620" s="172" t="n">
        <v>140</v>
      </c>
      <c r="B2620" s="172" t="inlineStr">
        <is>
          <t>9月</t>
        </is>
      </c>
      <c r="C2620" s="172" t="inlineStr">
        <is>
          <t>消金</t>
        </is>
      </c>
      <c r="D2620" s="172" t="inlineStr">
        <is>
          <t>金条&amp;白取混发</t>
        </is>
      </c>
      <c r="E2620" s="172" t="inlineStr">
        <is>
          <t>2026东樾4号3期（东樾4-5）</t>
        </is>
      </c>
      <c r="F2620" s="172" t="inlineStr">
        <is>
          <t>银行间</t>
        </is>
      </c>
      <c r="G2620" s="172" t="inlineStr">
        <is>
          <t>招商证券</t>
        </is>
      </c>
      <c r="H2620" s="172" t="inlineStr">
        <is>
          <t>国信证券/光大证券/中信证券</t>
        </is>
      </c>
      <c r="I2620" s="172" t="inlineStr">
        <is>
          <t>工银天分</t>
        </is>
      </c>
      <c r="J2620" s="172" t="n">
        <v>10</v>
      </c>
      <c r="K2620" s="172" t="inlineStr">
        <is>
          <t>22+24</t>
        </is>
      </c>
      <c r="L2620" s="208" t="n">
        <v>46266</v>
      </c>
      <c r="M2620" s="175" t="n">
        <v>0.0148</v>
      </c>
      <c r="N2620" s="176" t="n">
        <v>0.02273</v>
      </c>
      <c r="O2620" s="172" t="n">
        <v>1.82</v>
      </c>
      <c r="P2620" s="172" t="inlineStr">
        <is>
          <t>优先A</t>
        </is>
      </c>
      <c r="Q2620" s="175" t="n">
        <v>0.87</v>
      </c>
      <c r="R2620" s="192" t="n">
        <v>9</v>
      </c>
      <c r="S2620" s="172" t="inlineStr">
        <is>
          <t>AAA</t>
        </is>
      </c>
      <c r="T2620" s="175" t="n">
        <v>0.018</v>
      </c>
      <c r="U2620" s="172" t="n"/>
      <c r="V2620" s="172" t="n"/>
      <c r="W2620" s="175" t="n">
        <v>0.019</v>
      </c>
      <c r="X2620" s="172" t="inlineStr">
        <is>
          <t>兴银理财</t>
        </is>
      </c>
      <c r="Y2620" s="191" t="n">
        <v>0.296</v>
      </c>
    </row>
    <row r="2621">
      <c r="A2621" s="172" t="n">
        <v>140</v>
      </c>
      <c r="B2621" s="172" t="inlineStr">
        <is>
          <t>9月</t>
        </is>
      </c>
      <c r="C2621" s="172" t="inlineStr">
        <is>
          <t>消金</t>
        </is>
      </c>
      <c r="D2621" s="172" t="inlineStr">
        <is>
          <t>金条&amp;白取混发</t>
        </is>
      </c>
      <c r="E2621" s="172" t="inlineStr">
        <is>
          <t>2026东樾4号3期（东樾4-5）</t>
        </is>
      </c>
      <c r="F2621" s="172" t="inlineStr">
        <is>
          <t>银行间</t>
        </is>
      </c>
      <c r="G2621" s="172" t="inlineStr">
        <is>
          <t>招商证券</t>
        </is>
      </c>
      <c r="H2621" s="172" t="inlineStr">
        <is>
          <t>国信证券/光大证券/中信证券</t>
        </is>
      </c>
      <c r="I2621" s="172" t="inlineStr">
        <is>
          <t>工银天分</t>
        </is>
      </c>
      <c r="J2621" s="172" t="n">
        <v>10</v>
      </c>
      <c r="K2621" s="172" t="inlineStr">
        <is>
          <t>22+24</t>
        </is>
      </c>
      <c r="L2621" s="208" t="n">
        <v>46266</v>
      </c>
      <c r="M2621" s="175" t="n">
        <v>0.0148</v>
      </c>
      <c r="N2621" s="176" t="n">
        <v>0.02273</v>
      </c>
      <c r="O2621" s="172" t="n">
        <v>1.82</v>
      </c>
      <c r="P2621" s="172" t="inlineStr">
        <is>
          <t>优先A</t>
        </is>
      </c>
      <c r="Q2621" s="175" t="n">
        <v>0.87</v>
      </c>
      <c r="R2621" s="192" t="n">
        <v>9</v>
      </c>
      <c r="S2621" s="172" t="inlineStr">
        <is>
          <t>AAA</t>
        </is>
      </c>
      <c r="T2621" s="175" t="n">
        <v>0.018</v>
      </c>
      <c r="U2621" s="172" t="n"/>
      <c r="V2621" s="172" t="n"/>
      <c r="W2621" s="175" t="n">
        <v>0.02</v>
      </c>
      <c r="X2621" s="172" t="inlineStr">
        <is>
          <t>国信证券</t>
        </is>
      </c>
      <c r="Y2621" s="191" t="n">
        <v>1.3</v>
      </c>
    </row>
    <row r="2622">
      <c r="A2622" s="172" t="n">
        <v>140</v>
      </c>
      <c r="B2622" s="173" t="inlineStr">
        <is>
          <t>9月</t>
        </is>
      </c>
      <c r="C2622" s="173" t="inlineStr">
        <is>
          <t>消金</t>
        </is>
      </c>
      <c r="D2622" s="173" t="inlineStr">
        <is>
          <t>金条&amp;白取混发</t>
        </is>
      </c>
      <c r="E2622" s="173" t="inlineStr">
        <is>
          <t>2026东樾4号3期（东樾4-5）</t>
        </is>
      </c>
      <c r="F2622" s="173" t="inlineStr">
        <is>
          <t>银行间</t>
        </is>
      </c>
      <c r="G2622" s="173" t="inlineStr">
        <is>
          <t>招商证券</t>
        </is>
      </c>
      <c r="H2622" s="173" t="inlineStr">
        <is>
          <t>国信证券/光大证券/中信证券</t>
        </is>
      </c>
      <c r="I2622" s="173" t="inlineStr">
        <is>
          <t>工银天分</t>
        </is>
      </c>
      <c r="J2622" s="172" t="n">
        <v>10</v>
      </c>
      <c r="K2622" s="173" t="inlineStr">
        <is>
          <t>22+24</t>
        </is>
      </c>
      <c r="L2622" s="202" t="n">
        <v>46266</v>
      </c>
      <c r="M2622" s="175" t="n">
        <v>0.0148</v>
      </c>
      <c r="N2622" s="176" t="n">
        <v>0.02273</v>
      </c>
      <c r="O2622" s="172" t="n">
        <v>1.82</v>
      </c>
      <c r="P2622" s="177" t="inlineStr">
        <is>
          <t>优先B</t>
        </is>
      </c>
      <c r="Q2622" s="178" t="n">
        <v>0.04</v>
      </c>
      <c r="R2622" s="179" t="n">
        <v>0.3</v>
      </c>
      <c r="S2622" s="177" t="inlineStr">
        <is>
          <t>AA+</t>
        </is>
      </c>
      <c r="T2622" s="178" t="n">
        <v>0.019</v>
      </c>
      <c r="U2622" s="177" t="inlineStr">
        <is>
          <t>招商证券投行</t>
        </is>
      </c>
      <c r="V2622" s="192" t="n">
        <v>0.08</v>
      </c>
      <c r="W2622" s="175" t="n">
        <v>0.019</v>
      </c>
      <c r="X2622" s="172" t="inlineStr">
        <is>
          <t>招商证券</t>
        </is>
      </c>
      <c r="Y2622" s="191" t="n">
        <v>0.08</v>
      </c>
    </row>
    <row r="2623">
      <c r="A2623" s="172" t="n">
        <v>140</v>
      </c>
      <c r="B2623" s="173" t="inlineStr">
        <is>
          <t>9月</t>
        </is>
      </c>
      <c r="C2623" s="173" t="inlineStr">
        <is>
          <t>消金</t>
        </is>
      </c>
      <c r="D2623" s="173" t="inlineStr">
        <is>
          <t>金条&amp;白取混发</t>
        </is>
      </c>
      <c r="E2623" s="173" t="inlineStr">
        <is>
          <t>2026东樾4号3期（东樾4-5）</t>
        </is>
      </c>
      <c r="F2623" s="173" t="inlineStr">
        <is>
          <t>银行间</t>
        </is>
      </c>
      <c r="G2623" s="173" t="inlineStr">
        <is>
          <t>招商证券</t>
        </is>
      </c>
      <c r="H2623" s="173" t="inlineStr">
        <is>
          <t>国信证券/光大证券/中信证券</t>
        </is>
      </c>
      <c r="I2623" s="173" t="inlineStr">
        <is>
          <t>工银天分</t>
        </is>
      </c>
      <c r="J2623" s="172" t="n">
        <v>10</v>
      </c>
      <c r="K2623" s="173" t="inlineStr">
        <is>
          <t>22+24</t>
        </is>
      </c>
      <c r="L2623" s="202" t="n">
        <v>46266</v>
      </c>
      <c r="M2623" s="175" t="n">
        <v>0.0148</v>
      </c>
      <c r="N2623" s="176" t="n">
        <v>0.02273</v>
      </c>
      <c r="O2623" s="172" t="n">
        <v>1.82</v>
      </c>
      <c r="P2623" s="172" t="inlineStr">
        <is>
          <t>优先B</t>
        </is>
      </c>
      <c r="Q2623" s="178" t="n">
        <v>0.04</v>
      </c>
      <c r="R2623" s="179" t="n">
        <v>0.3</v>
      </c>
      <c r="S2623" s="177" t="inlineStr">
        <is>
          <t>AA+</t>
        </is>
      </c>
      <c r="T2623" s="178" t="n">
        <v>0.019</v>
      </c>
      <c r="U2623" s="177" t="inlineStr">
        <is>
          <t>中金自营</t>
        </is>
      </c>
      <c r="V2623" s="192" t="n">
        <v>0.2</v>
      </c>
      <c r="W2623" s="175" t="n">
        <v>0.019</v>
      </c>
      <c r="X2623" s="172" t="inlineStr">
        <is>
          <t>中金自营</t>
        </is>
      </c>
      <c r="Y2623" s="191" t="n">
        <v>0.2</v>
      </c>
    </row>
    <row r="2624">
      <c r="A2624" s="172" t="n">
        <v>140</v>
      </c>
      <c r="B2624" s="173" t="inlineStr">
        <is>
          <t>9月</t>
        </is>
      </c>
      <c r="C2624" s="173" t="inlineStr">
        <is>
          <t>消金</t>
        </is>
      </c>
      <c r="D2624" s="173" t="inlineStr">
        <is>
          <t>金条&amp;白取混发</t>
        </is>
      </c>
      <c r="E2624" s="173" t="inlineStr">
        <is>
          <t>2026东樾4号3期（东樾4-5）</t>
        </is>
      </c>
      <c r="F2624" s="173" t="inlineStr">
        <is>
          <t>银行间</t>
        </is>
      </c>
      <c r="G2624" s="173" t="inlineStr">
        <is>
          <t>招商证券</t>
        </is>
      </c>
      <c r="H2624" s="173" t="inlineStr">
        <is>
          <t>国信证券/光大证券/中信证券</t>
        </is>
      </c>
      <c r="I2624" s="173" t="inlineStr">
        <is>
          <t>工银天分</t>
        </is>
      </c>
      <c r="J2624" s="172" t="n">
        <v>10</v>
      </c>
      <c r="K2624" s="173" t="inlineStr">
        <is>
          <t>22+24</t>
        </is>
      </c>
      <c r="L2624" s="202" t="n">
        <v>46266</v>
      </c>
      <c r="M2624" s="175" t="n">
        <v>0.0148</v>
      </c>
      <c r="N2624" s="176" t="n">
        <v>0.02273</v>
      </c>
      <c r="O2624" s="172" t="n">
        <v>1.82</v>
      </c>
      <c r="P2624" s="172" t="inlineStr">
        <is>
          <t>优先B</t>
        </is>
      </c>
      <c r="Q2624" s="178" t="n">
        <v>0.04</v>
      </c>
      <c r="R2624" s="179" t="n">
        <v>0.3</v>
      </c>
      <c r="S2624" s="177" t="inlineStr">
        <is>
          <t>AA+</t>
        </is>
      </c>
      <c r="T2624" s="178" t="n">
        <v>0.019</v>
      </c>
      <c r="U2624" s="177" t="inlineStr">
        <is>
          <t>中信证券投顾</t>
        </is>
      </c>
      <c r="V2624" s="192" t="n">
        <v>0.12</v>
      </c>
      <c r="W2624" s="175" t="n">
        <v>0.019</v>
      </c>
      <c r="X2624" s="172" t="inlineStr">
        <is>
          <t>中信证券投顾</t>
        </is>
      </c>
      <c r="Y2624" s="191" t="n">
        <v>0.12</v>
      </c>
    </row>
    <row r="2625">
      <c r="A2625" s="172" t="n">
        <v>140</v>
      </c>
      <c r="B2625" s="172" t="inlineStr">
        <is>
          <t>9月</t>
        </is>
      </c>
      <c r="C2625" s="172" t="inlineStr">
        <is>
          <t>消金</t>
        </is>
      </c>
      <c r="D2625" s="172" t="inlineStr">
        <is>
          <t>金条&amp;白取混发</t>
        </is>
      </c>
      <c r="E2625" s="172" t="inlineStr">
        <is>
          <t>2026东樾4号3期（东樾4-5）</t>
        </is>
      </c>
      <c r="F2625" s="172" t="inlineStr">
        <is>
          <t>银行间</t>
        </is>
      </c>
      <c r="G2625" s="172" t="inlineStr">
        <is>
          <t>招商证券</t>
        </is>
      </c>
      <c r="H2625" s="172" t="inlineStr">
        <is>
          <t>国信证券/光大证券/中信证券</t>
        </is>
      </c>
      <c r="I2625" s="172" t="inlineStr">
        <is>
          <t>工银天分</t>
        </is>
      </c>
      <c r="J2625" s="172" t="n">
        <v>10</v>
      </c>
      <c r="K2625" s="172" t="inlineStr">
        <is>
          <t>22+24</t>
        </is>
      </c>
      <c r="L2625" s="208" t="n">
        <v>46266</v>
      </c>
      <c r="M2625" s="175" t="n">
        <v>0.0148</v>
      </c>
      <c r="N2625" s="176" t="n">
        <v>0.02273</v>
      </c>
      <c r="O2625" s="172" t="n">
        <v>1.82</v>
      </c>
      <c r="P2625" s="172" t="inlineStr">
        <is>
          <t>优先B</t>
        </is>
      </c>
      <c r="Q2625" s="175" t="n">
        <v>0.04</v>
      </c>
      <c r="R2625" s="192" t="n">
        <v>0.3</v>
      </c>
      <c r="S2625" s="172" t="inlineStr">
        <is>
          <t>AA+</t>
        </is>
      </c>
      <c r="T2625" s="175" t="n">
        <v>0.019</v>
      </c>
      <c r="U2625" s="172" t="n"/>
      <c r="V2625" s="172" t="n"/>
      <c r="W2625" s="175" t="n">
        <v>0.0195</v>
      </c>
      <c r="X2625" s="172" t="inlineStr">
        <is>
          <t>建信信托</t>
        </is>
      </c>
      <c r="Y2625" s="191" t="n">
        <v>0.2</v>
      </c>
    </row>
    <row r="2626">
      <c r="A2626" s="172" t="n">
        <v>140</v>
      </c>
      <c r="B2626" s="172" t="inlineStr">
        <is>
          <t>9月</t>
        </is>
      </c>
      <c r="C2626" s="172" t="inlineStr">
        <is>
          <t>消金</t>
        </is>
      </c>
      <c r="D2626" s="172" t="inlineStr">
        <is>
          <t>金条&amp;白取混发</t>
        </is>
      </c>
      <c r="E2626" s="172" t="inlineStr">
        <is>
          <t>2026东樾4号3期（东樾4-5）</t>
        </is>
      </c>
      <c r="F2626" s="172" t="inlineStr">
        <is>
          <t>银行间</t>
        </is>
      </c>
      <c r="G2626" s="172" t="inlineStr">
        <is>
          <t>招商证券</t>
        </is>
      </c>
      <c r="H2626" s="172" t="inlineStr">
        <is>
          <t>国信证券/光大证券/中信证券</t>
        </is>
      </c>
      <c r="I2626" s="172" t="inlineStr">
        <is>
          <t>工银天分</t>
        </is>
      </c>
      <c r="J2626" s="172" t="n">
        <v>10</v>
      </c>
      <c r="K2626" s="172" t="inlineStr">
        <is>
          <t>22+24</t>
        </is>
      </c>
      <c r="L2626" s="208" t="n">
        <v>46266</v>
      </c>
      <c r="M2626" s="175" t="n">
        <v>0.0148</v>
      </c>
      <c r="N2626" s="176" t="n">
        <v>0.02273</v>
      </c>
      <c r="O2626" s="172" t="n">
        <v>1.82</v>
      </c>
      <c r="P2626" s="172" t="inlineStr">
        <is>
          <t>优先B</t>
        </is>
      </c>
      <c r="Q2626" s="175" t="n">
        <v>0.04</v>
      </c>
      <c r="R2626" s="192" t="n">
        <v>0.3</v>
      </c>
      <c r="S2626" s="172" t="inlineStr">
        <is>
          <t>AA+</t>
        </is>
      </c>
      <c r="T2626" s="175" t="n">
        <v>0.019</v>
      </c>
      <c r="U2626" s="172" t="n"/>
      <c r="V2626" s="172" t="n"/>
      <c r="W2626" s="175" t="n">
        <v>0.0198</v>
      </c>
      <c r="X2626" s="172" t="inlineStr">
        <is>
          <t>中信证券自营</t>
        </is>
      </c>
      <c r="Y2626" s="191" t="n">
        <v>0.4</v>
      </c>
    </row>
    <row r="2627">
      <c r="A2627" s="172" t="n">
        <v>140</v>
      </c>
      <c r="B2627" s="173" t="inlineStr">
        <is>
          <t>9月</t>
        </is>
      </c>
      <c r="C2627" s="173" t="inlineStr">
        <is>
          <t>消金</t>
        </is>
      </c>
      <c r="D2627" s="173" t="inlineStr">
        <is>
          <t>金条&amp;白取混发</t>
        </is>
      </c>
      <c r="E2627" s="173" t="inlineStr">
        <is>
          <t>2026东樾4号3期（东樾4-5）</t>
        </is>
      </c>
      <c r="F2627" s="173" t="inlineStr">
        <is>
          <t>银行间</t>
        </is>
      </c>
      <c r="G2627" s="173" t="inlineStr">
        <is>
          <t>招商证券</t>
        </is>
      </c>
      <c r="H2627" s="173" t="inlineStr">
        <is>
          <t>国信证券/光大证券/中信证券</t>
        </is>
      </c>
      <c r="I2627" s="173" t="inlineStr">
        <is>
          <t>工银天分</t>
        </is>
      </c>
      <c r="J2627" s="172" t="n">
        <v>10</v>
      </c>
      <c r="K2627" s="173" t="inlineStr">
        <is>
          <t>22+24</t>
        </is>
      </c>
      <c r="L2627" s="202" t="n">
        <v>46266</v>
      </c>
      <c r="M2627" s="175" t="n">
        <v>0.0148</v>
      </c>
      <c r="N2627" s="176" t="n">
        <v>0.02273</v>
      </c>
      <c r="O2627" s="172" t="n">
        <v>1.82</v>
      </c>
      <c r="P2627" s="177" t="inlineStr">
        <is>
          <t>中间级</t>
        </is>
      </c>
      <c r="Q2627" s="178" t="n">
        <v>0.04</v>
      </c>
      <c r="R2627" s="179" t="n">
        <v>0.2</v>
      </c>
      <c r="S2627" s="177" t="inlineStr">
        <is>
          <t>AA-</t>
        </is>
      </c>
      <c r="T2627" s="178" t="n">
        <v>0.032</v>
      </c>
      <c r="U2627" s="177" t="inlineStr">
        <is>
          <t>建信信托</t>
        </is>
      </c>
      <c r="V2627" s="192" t="n">
        <v>0.2</v>
      </c>
      <c r="W2627" s="172" t="n"/>
      <c r="X2627" s="172" t="n"/>
      <c r="Y2627" s="172" t="n"/>
    </row>
    <row r="2628">
      <c r="A2628" s="172" t="n">
        <v>140</v>
      </c>
      <c r="B2628" s="173" t="inlineStr">
        <is>
          <t>9月</t>
        </is>
      </c>
      <c r="C2628" s="173" t="inlineStr">
        <is>
          <t>消金</t>
        </is>
      </c>
      <c r="D2628" s="173" t="inlineStr">
        <is>
          <t>金条&amp;白取混发</t>
        </is>
      </c>
      <c r="E2628" s="173" t="inlineStr">
        <is>
          <t>2026东樾4号3期（东樾4-5）</t>
        </is>
      </c>
      <c r="F2628" s="173" t="inlineStr">
        <is>
          <t>银行间</t>
        </is>
      </c>
      <c r="G2628" s="173" t="inlineStr">
        <is>
          <t>招商证券</t>
        </is>
      </c>
      <c r="H2628" s="173" t="inlineStr">
        <is>
          <t>国信证券/光大证券/中信证券</t>
        </is>
      </c>
      <c r="I2628" s="173" t="inlineStr">
        <is>
          <t>工银天分</t>
        </is>
      </c>
      <c r="J2628" s="172" t="n">
        <v>10</v>
      </c>
      <c r="K2628" s="173" t="inlineStr">
        <is>
          <t>22+24</t>
        </is>
      </c>
      <c r="L2628" s="202" t="n">
        <v>46266</v>
      </c>
      <c r="M2628" s="175" t="n">
        <v>0.0148</v>
      </c>
      <c r="N2628" s="176" t="n">
        <v>0.02273</v>
      </c>
      <c r="O2628" s="172" t="n">
        <v>1.82</v>
      </c>
      <c r="P2628" s="172" t="inlineStr">
        <is>
          <t>中间级</t>
        </is>
      </c>
      <c r="Q2628" s="178" t="n">
        <v>0.04</v>
      </c>
      <c r="R2628" s="179" t="n">
        <v>0.2</v>
      </c>
      <c r="S2628" s="177" t="inlineStr">
        <is>
          <t>AA-</t>
        </is>
      </c>
      <c r="T2628" s="178" t="n">
        <v>0.032</v>
      </c>
      <c r="U2628" s="177" t="inlineStr">
        <is>
          <t>利曦基金</t>
        </is>
      </c>
      <c r="V2628" s="192" t="n">
        <v>0.1</v>
      </c>
      <c r="W2628" s="172" t="n"/>
      <c r="X2628" s="172" t="n"/>
      <c r="Y2628" s="172" t="n"/>
    </row>
    <row r="2629">
      <c r="A2629" s="172" t="n">
        <v>140</v>
      </c>
      <c r="B2629" s="173" t="inlineStr">
        <is>
          <t>9月</t>
        </is>
      </c>
      <c r="C2629" s="173" t="inlineStr">
        <is>
          <t>消金</t>
        </is>
      </c>
      <c r="D2629" s="173" t="inlineStr">
        <is>
          <t>金条&amp;白取混发</t>
        </is>
      </c>
      <c r="E2629" s="173" t="inlineStr">
        <is>
          <t>2026东樾4号3期（东樾4-5）</t>
        </is>
      </c>
      <c r="F2629" s="173" t="inlineStr">
        <is>
          <t>银行间</t>
        </is>
      </c>
      <c r="G2629" s="173" t="inlineStr">
        <is>
          <t>招商证券</t>
        </is>
      </c>
      <c r="H2629" s="173" t="inlineStr">
        <is>
          <t>国信证券/光大证券/中信证券</t>
        </is>
      </c>
      <c r="I2629" s="173" t="inlineStr">
        <is>
          <t>工银天分</t>
        </is>
      </c>
      <c r="J2629" s="172" t="n">
        <v>10</v>
      </c>
      <c r="K2629" s="173" t="inlineStr">
        <is>
          <t>22+24</t>
        </is>
      </c>
      <c r="L2629" s="202" t="n">
        <v>46266</v>
      </c>
      <c r="M2629" s="175" t="n">
        <v>0.0148</v>
      </c>
      <c r="N2629" s="176" t="n">
        <v>0.02273</v>
      </c>
      <c r="O2629" s="172" t="n">
        <v>1.82</v>
      </c>
      <c r="P2629" s="172" t="inlineStr">
        <is>
          <t>中间级</t>
        </is>
      </c>
      <c r="Q2629" s="178" t="n">
        <v>0.04</v>
      </c>
      <c r="R2629" s="179" t="n">
        <v>0.2</v>
      </c>
      <c r="S2629" s="177" t="inlineStr">
        <is>
          <t>AA-</t>
        </is>
      </c>
      <c r="T2629" s="178" t="n">
        <v>0.032</v>
      </c>
      <c r="U2629" s="177" t="inlineStr">
        <is>
          <t>中信证券自营</t>
        </is>
      </c>
      <c r="V2629" s="192" t="n">
        <v>0.1</v>
      </c>
      <c r="W2629" s="172" t="n"/>
      <c r="X2629" s="172" t="n"/>
      <c r="Y2629" s="172" t="n"/>
    </row>
    <row r="2630">
      <c r="A2630" s="172" t="n">
        <v>140</v>
      </c>
      <c r="B2630" s="173" t="inlineStr">
        <is>
          <t>9月</t>
        </is>
      </c>
      <c r="C2630" s="173" t="inlineStr">
        <is>
          <t>消金</t>
        </is>
      </c>
      <c r="D2630" s="173" t="inlineStr">
        <is>
          <t>金条&amp;白取混发</t>
        </is>
      </c>
      <c r="E2630" s="173" t="inlineStr">
        <is>
          <t>2026东樾4号3期（东樾4-5）</t>
        </is>
      </c>
      <c r="F2630" s="173" t="inlineStr">
        <is>
          <t>银行间</t>
        </is>
      </c>
      <c r="G2630" s="173" t="inlineStr">
        <is>
          <t>招商证券</t>
        </is>
      </c>
      <c r="H2630" s="173" t="inlineStr">
        <is>
          <t>国信证券/光大证券/中信证券</t>
        </is>
      </c>
      <c r="I2630" s="173" t="inlineStr">
        <is>
          <t>工银天分</t>
        </is>
      </c>
      <c r="J2630" s="172" t="n">
        <v>10</v>
      </c>
      <c r="K2630" s="173" t="inlineStr">
        <is>
          <t>22+24</t>
        </is>
      </c>
      <c r="L2630" s="202" t="n">
        <v>46266</v>
      </c>
      <c r="M2630" s="175" t="n">
        <v>0.0148</v>
      </c>
      <c r="N2630" s="176" t="n">
        <v>0.02273</v>
      </c>
      <c r="O2630" s="172" t="n">
        <v>1.82</v>
      </c>
      <c r="P2630" s="177" t="inlineStr">
        <is>
          <t>受益权</t>
        </is>
      </c>
      <c r="Q2630" s="178" t="n">
        <v>0.05</v>
      </c>
      <c r="R2630" s="179" t="n">
        <v>0.5</v>
      </c>
      <c r="S2630" s="177" t="inlineStr">
        <is>
          <t>无</t>
        </is>
      </c>
      <c r="T2630" s="178" t="n">
        <v>0.0495</v>
      </c>
      <c r="U2630" s="177" t="inlineStr">
        <is>
          <t>中信建投投顾</t>
        </is>
      </c>
      <c r="V2630" s="192" t="n">
        <v>0.2</v>
      </c>
      <c r="W2630" s="172" t="n"/>
      <c r="X2630" s="172" t="n"/>
      <c r="Y2630" s="172" t="n"/>
    </row>
    <row r="2631">
      <c r="A2631" s="172" t="n">
        <v>140</v>
      </c>
      <c r="B2631" s="173" t="inlineStr">
        <is>
          <t>9月</t>
        </is>
      </c>
      <c r="C2631" s="173" t="inlineStr">
        <is>
          <t>消金</t>
        </is>
      </c>
      <c r="D2631" s="173" t="inlineStr">
        <is>
          <t>金条&amp;白取混发</t>
        </is>
      </c>
      <c r="E2631" s="173" t="inlineStr">
        <is>
          <t>2026东樾4号3期（东樾4-5）</t>
        </is>
      </c>
      <c r="F2631" s="173" t="inlineStr">
        <is>
          <t>银行间</t>
        </is>
      </c>
      <c r="G2631" s="173" t="inlineStr">
        <is>
          <t>招商证券</t>
        </is>
      </c>
      <c r="H2631" s="173" t="inlineStr">
        <is>
          <t>国信证券/光大证券/中信证券</t>
        </is>
      </c>
      <c r="I2631" s="173" t="inlineStr">
        <is>
          <t>工银天分</t>
        </is>
      </c>
      <c r="J2631" s="172" t="n">
        <v>10</v>
      </c>
      <c r="K2631" s="173" t="inlineStr">
        <is>
          <t>22+24</t>
        </is>
      </c>
      <c r="L2631" s="202" t="n">
        <v>46266</v>
      </c>
      <c r="M2631" s="175" t="n">
        <v>0.0148</v>
      </c>
      <c r="N2631" s="176" t="n">
        <v>0.02273</v>
      </c>
      <c r="O2631" s="172" t="n">
        <v>1.82</v>
      </c>
      <c r="P2631" s="172" t="inlineStr">
        <is>
          <t>受益权</t>
        </is>
      </c>
      <c r="Q2631" s="178" t="n">
        <v>0.05</v>
      </c>
      <c r="R2631" s="179" t="n">
        <v>0.5</v>
      </c>
      <c r="S2631" s="177" t="inlineStr">
        <is>
          <t>无</t>
        </is>
      </c>
      <c r="T2631" s="178" t="n">
        <v>0.0495</v>
      </c>
      <c r="U2631" s="177" t="inlineStr">
        <is>
          <t>国泰海通自营</t>
        </is>
      </c>
      <c r="V2631" s="192" t="n">
        <v>0.1</v>
      </c>
      <c r="W2631" s="172" t="n"/>
      <c r="X2631" s="172" t="n"/>
      <c r="Y2631" s="172" t="n"/>
    </row>
    <row r="2632">
      <c r="A2632" s="172" t="n">
        <v>140</v>
      </c>
      <c r="B2632" s="173" t="inlineStr">
        <is>
          <t>9月</t>
        </is>
      </c>
      <c r="C2632" s="173" t="inlineStr">
        <is>
          <t>消金</t>
        </is>
      </c>
      <c r="D2632" s="173" t="inlineStr">
        <is>
          <t>金条&amp;白取混发</t>
        </is>
      </c>
      <c r="E2632" s="173" t="inlineStr">
        <is>
          <t>2026东樾4号3期（东樾4-5）</t>
        </is>
      </c>
      <c r="F2632" s="173" t="inlineStr">
        <is>
          <t>银行间</t>
        </is>
      </c>
      <c r="G2632" s="173" t="inlineStr">
        <is>
          <t>招商证券</t>
        </is>
      </c>
      <c r="H2632" s="173" t="inlineStr">
        <is>
          <t>国信证券/光大证券/中信证券</t>
        </is>
      </c>
      <c r="I2632" s="173" t="inlineStr">
        <is>
          <t>工银天分</t>
        </is>
      </c>
      <c r="J2632" s="172" t="n">
        <v>10</v>
      </c>
      <c r="K2632" s="173" t="inlineStr">
        <is>
          <t>22+24</t>
        </is>
      </c>
      <c r="L2632" s="202" t="n">
        <v>46266</v>
      </c>
      <c r="M2632" s="175" t="n">
        <v>0.0148</v>
      </c>
      <c r="N2632" s="176" t="n">
        <v>0.02273</v>
      </c>
      <c r="O2632" s="172" t="n">
        <v>1.82</v>
      </c>
      <c r="P2632" s="172" t="inlineStr">
        <is>
          <t>受益权</t>
        </is>
      </c>
      <c r="Q2632" s="178" t="n">
        <v>0.05</v>
      </c>
      <c r="R2632" s="179" t="n">
        <v>0.5</v>
      </c>
      <c r="S2632" s="177" t="inlineStr">
        <is>
          <t>无</t>
        </is>
      </c>
      <c r="T2632" s="178" t="n">
        <v>0.0495</v>
      </c>
      <c r="U2632" s="177" t="inlineStr">
        <is>
          <t>中金投顾</t>
        </is>
      </c>
      <c r="V2632" s="192" t="n">
        <v>0.1</v>
      </c>
      <c r="W2632" s="172" t="n"/>
      <c r="X2632" s="172" t="n"/>
      <c r="Y2632" s="172" t="n"/>
    </row>
    <row r="2633">
      <c r="A2633" s="172" t="n">
        <v>140</v>
      </c>
      <c r="B2633" s="173" t="inlineStr">
        <is>
          <t>9月</t>
        </is>
      </c>
      <c r="C2633" s="173" t="inlineStr">
        <is>
          <t>消金</t>
        </is>
      </c>
      <c r="D2633" s="173" t="inlineStr">
        <is>
          <t>金条&amp;白取混发</t>
        </is>
      </c>
      <c r="E2633" s="173" t="inlineStr">
        <is>
          <t>2026东樾4号3期（东樾4-5）</t>
        </is>
      </c>
      <c r="F2633" s="173" t="inlineStr">
        <is>
          <t>银行间</t>
        </is>
      </c>
      <c r="G2633" s="173" t="inlineStr">
        <is>
          <t>招商证券</t>
        </is>
      </c>
      <c r="H2633" s="173" t="inlineStr">
        <is>
          <t>国信证券/光大证券/中信证券</t>
        </is>
      </c>
      <c r="I2633" s="173" t="inlineStr">
        <is>
          <t>工银天分</t>
        </is>
      </c>
      <c r="J2633" s="172" t="n">
        <v>10</v>
      </c>
      <c r="K2633" s="173" t="inlineStr">
        <is>
          <t>22+24</t>
        </is>
      </c>
      <c r="L2633" s="202" t="n">
        <v>46266</v>
      </c>
      <c r="M2633" s="175" t="n">
        <v>0.0148</v>
      </c>
      <c r="N2633" s="176" t="n">
        <v>0.02273</v>
      </c>
      <c r="O2633" s="172" t="n">
        <v>1.82</v>
      </c>
      <c r="P2633" s="172" t="inlineStr">
        <is>
          <t>受益权</t>
        </is>
      </c>
      <c r="Q2633" s="178" t="n">
        <v>0.05</v>
      </c>
      <c r="R2633" s="179" t="n">
        <v>0.5</v>
      </c>
      <c r="S2633" s="177" t="inlineStr">
        <is>
          <t>无</t>
        </is>
      </c>
      <c r="T2633" s="178" t="n">
        <v>0.0495</v>
      </c>
      <c r="U2633" s="177" t="inlineStr">
        <is>
          <t>西部证券自营</t>
        </is>
      </c>
      <c r="V2633" s="192" t="n">
        <v>0.1</v>
      </c>
      <c r="W2633" s="172" t="n"/>
      <c r="X2633" s="172" t="n"/>
      <c r="Y2633" s="172" t="n"/>
    </row>
    <row r="2634">
      <c r="A2634" s="172" t="n">
        <v>141</v>
      </c>
      <c r="B2634" s="173" t="inlineStr">
        <is>
          <t>9月</t>
        </is>
      </c>
      <c r="C2634" s="173" t="inlineStr">
        <is>
          <t>消金</t>
        </is>
      </c>
      <c r="D2634" s="173" t="inlineStr">
        <is>
          <t>金条&amp;白取混发</t>
        </is>
      </c>
      <c r="E2634" s="173" t="inlineStr">
        <is>
          <t>耘睿28-5</t>
        </is>
      </c>
      <c r="F2634" s="173" t="inlineStr">
        <is>
          <t>上交所</t>
        </is>
      </c>
      <c r="G2634" s="173" t="inlineStr">
        <is>
          <t>财通资管</t>
        </is>
      </c>
      <c r="H2634" s="173" t="inlineStr">
        <is>
          <t>首创证券</t>
        </is>
      </c>
      <c r="I2634" s="173" t="inlineStr">
        <is>
          <t>民生北分</t>
        </is>
      </c>
      <c r="J2634" s="172" t="n">
        <v>10</v>
      </c>
      <c r="K2634" s="173" t="inlineStr">
        <is>
          <t>22+24</t>
        </is>
      </c>
      <c r="L2634" s="202" t="n">
        <v>46268</v>
      </c>
      <c r="M2634" s="175" t="n">
        <v>0.0148</v>
      </c>
      <c r="N2634" s="176" t="n">
        <v>0.02241</v>
      </c>
      <c r="O2634" s="172" t="n">
        <v>2.28</v>
      </c>
      <c r="P2634" s="177" t="inlineStr">
        <is>
          <t>优先A</t>
        </is>
      </c>
      <c r="Q2634" s="178" t="n">
        <v>0.9</v>
      </c>
      <c r="R2634" s="179" t="n">
        <v>9</v>
      </c>
      <c r="S2634" s="177" t="inlineStr">
        <is>
          <t>AAA</t>
        </is>
      </c>
      <c r="T2634" s="178" t="n">
        <v>0.0178</v>
      </c>
      <c r="U2634" s="177" t="inlineStr">
        <is>
          <t>民生理财</t>
        </is>
      </c>
      <c r="V2634" s="192" t="n">
        <v>2.5</v>
      </c>
      <c r="W2634" s="175" t="n">
        <v>0.0174</v>
      </c>
      <c r="X2634" s="172" t="inlineStr">
        <is>
          <t>民生理财</t>
        </is>
      </c>
      <c r="Y2634" s="191" t="n">
        <v>2.7</v>
      </c>
    </row>
    <row r="2635">
      <c r="A2635" s="172" t="n">
        <v>141</v>
      </c>
      <c r="B2635" s="173" t="inlineStr">
        <is>
          <t>9月</t>
        </is>
      </c>
      <c r="C2635" s="173" t="inlineStr">
        <is>
          <t>消金</t>
        </is>
      </c>
      <c r="D2635" s="173" t="inlineStr">
        <is>
          <t>金条&amp;白取混发</t>
        </is>
      </c>
      <c r="E2635" s="173" t="inlineStr">
        <is>
          <t>耘睿28-5</t>
        </is>
      </c>
      <c r="F2635" s="173" t="inlineStr">
        <is>
          <t>上交所</t>
        </is>
      </c>
      <c r="G2635" s="173" t="inlineStr">
        <is>
          <t>财通资管</t>
        </is>
      </c>
      <c r="H2635" s="173" t="inlineStr">
        <is>
          <t>首创证券</t>
        </is>
      </c>
      <c r="I2635" s="173" t="inlineStr">
        <is>
          <t>民生北分</t>
        </is>
      </c>
      <c r="J2635" s="172" t="n">
        <v>10</v>
      </c>
      <c r="K2635" s="173" t="inlineStr">
        <is>
          <t>22+24</t>
        </is>
      </c>
      <c r="L2635" s="202" t="n">
        <v>46268</v>
      </c>
      <c r="M2635" s="175" t="n">
        <v>0.0148</v>
      </c>
      <c r="N2635" s="176" t="n">
        <v>0.02241</v>
      </c>
      <c r="O2635" s="172" t="n">
        <v>2.28</v>
      </c>
      <c r="P2635" s="172" t="inlineStr">
        <is>
          <t>优先A</t>
        </is>
      </c>
      <c r="Q2635" s="178" t="n">
        <v>0.9</v>
      </c>
      <c r="R2635" s="179" t="n">
        <v>9</v>
      </c>
      <c r="S2635" s="177" t="inlineStr">
        <is>
          <t>AAA</t>
        </is>
      </c>
      <c r="T2635" s="178" t="n">
        <v>0.0178</v>
      </c>
      <c r="U2635" s="177" t="inlineStr">
        <is>
          <t>易方达基金</t>
        </is>
      </c>
      <c r="V2635" s="192" t="n">
        <v>1.1</v>
      </c>
      <c r="W2635" s="175" t="n">
        <v>0.0176</v>
      </c>
      <c r="X2635" s="172" t="inlineStr">
        <is>
          <t>易方达</t>
        </is>
      </c>
      <c r="Y2635" s="191" t="n">
        <v>0.9</v>
      </c>
    </row>
    <row r="2636">
      <c r="A2636" s="172" t="n">
        <v>141</v>
      </c>
      <c r="B2636" s="172" t="inlineStr">
        <is>
          <t>9月</t>
        </is>
      </c>
      <c r="C2636" s="172" t="inlineStr">
        <is>
          <t>消金</t>
        </is>
      </c>
      <c r="D2636" s="172" t="inlineStr">
        <is>
          <t>金条&amp;白取混发</t>
        </is>
      </c>
      <c r="E2636" s="172" t="inlineStr">
        <is>
          <t>耘睿28-5</t>
        </is>
      </c>
      <c r="F2636" s="172" t="inlineStr">
        <is>
          <t>上交所</t>
        </is>
      </c>
      <c r="G2636" s="172" t="inlineStr">
        <is>
          <t>财通资管</t>
        </is>
      </c>
      <c r="H2636" s="172" t="inlineStr">
        <is>
          <t>首创证券</t>
        </is>
      </c>
      <c r="I2636" s="172" t="inlineStr">
        <is>
          <t>民生北分</t>
        </is>
      </c>
      <c r="J2636" s="172" t="n">
        <v>10</v>
      </c>
      <c r="K2636" s="172" t="inlineStr">
        <is>
          <t>22+24</t>
        </is>
      </c>
      <c r="L2636" s="208" t="n">
        <v>46268</v>
      </c>
      <c r="M2636" s="175" t="n">
        <v>0.0148</v>
      </c>
      <c r="N2636" s="176" t="n">
        <v>0.02241</v>
      </c>
      <c r="O2636" s="172" t="n">
        <v>2.28</v>
      </c>
      <c r="P2636" s="172" t="inlineStr">
        <is>
          <t>优先A</t>
        </is>
      </c>
      <c r="Q2636" s="175" t="n">
        <v>0.9</v>
      </c>
      <c r="R2636" s="192" t="n">
        <v>9</v>
      </c>
      <c r="S2636" s="172" t="inlineStr">
        <is>
          <t>AAA</t>
        </is>
      </c>
      <c r="T2636" s="175" t="n">
        <v>0.0178</v>
      </c>
      <c r="U2636" s="172" t="n"/>
      <c r="V2636" s="172" t="n"/>
      <c r="W2636" s="175" t="n">
        <v>0.0178</v>
      </c>
      <c r="X2636" s="172" t="inlineStr">
        <is>
          <t>易方达</t>
        </is>
      </c>
      <c r="Y2636" s="191" t="n">
        <v>0.3</v>
      </c>
    </row>
    <row r="2637">
      <c r="A2637" s="172" t="n">
        <v>141</v>
      </c>
      <c r="B2637" s="172" t="inlineStr">
        <is>
          <t>9月</t>
        </is>
      </c>
      <c r="C2637" s="172" t="inlineStr">
        <is>
          <t>消金</t>
        </is>
      </c>
      <c r="D2637" s="172" t="inlineStr">
        <is>
          <t>金条&amp;白取混发</t>
        </is>
      </c>
      <c r="E2637" s="172" t="inlineStr">
        <is>
          <t>耘睿28-5</t>
        </is>
      </c>
      <c r="F2637" s="172" t="inlineStr">
        <is>
          <t>上交所</t>
        </is>
      </c>
      <c r="G2637" s="172" t="inlineStr">
        <is>
          <t>财通资管</t>
        </is>
      </c>
      <c r="H2637" s="172" t="inlineStr">
        <is>
          <t>首创证券</t>
        </is>
      </c>
      <c r="I2637" s="172" t="inlineStr">
        <is>
          <t>民生北分</t>
        </is>
      </c>
      <c r="J2637" s="172" t="n">
        <v>10</v>
      </c>
      <c r="K2637" s="172" t="inlineStr">
        <is>
          <t>22+24</t>
        </is>
      </c>
      <c r="L2637" s="208" t="n">
        <v>46268</v>
      </c>
      <c r="M2637" s="175" t="n">
        <v>0.0148</v>
      </c>
      <c r="N2637" s="176" t="n">
        <v>0.02241</v>
      </c>
      <c r="O2637" s="172" t="n">
        <v>2.28</v>
      </c>
      <c r="P2637" s="172" t="inlineStr">
        <is>
          <t>优先A</t>
        </is>
      </c>
      <c r="Q2637" s="175" t="n">
        <v>0.9</v>
      </c>
      <c r="R2637" s="192" t="n">
        <v>9</v>
      </c>
      <c r="S2637" s="172" t="inlineStr">
        <is>
          <t>AAA</t>
        </is>
      </c>
      <c r="T2637" s="175" t="n">
        <v>0.0178</v>
      </c>
      <c r="U2637" s="172" t="n"/>
      <c r="V2637" s="172" t="n"/>
      <c r="W2637" s="175" t="n">
        <v>0.0179</v>
      </c>
      <c r="X2637" s="172" t="inlineStr">
        <is>
          <t>易方达</t>
        </is>
      </c>
      <c r="Y2637" s="191" t="n">
        <v>3.8</v>
      </c>
    </row>
    <row r="2638">
      <c r="A2638" s="172" t="n">
        <v>141</v>
      </c>
      <c r="B2638" s="173" t="inlineStr">
        <is>
          <t>9月</t>
        </is>
      </c>
      <c r="C2638" s="173" t="inlineStr">
        <is>
          <t>消金</t>
        </is>
      </c>
      <c r="D2638" s="173" t="inlineStr">
        <is>
          <t>金条&amp;白取混发</t>
        </is>
      </c>
      <c r="E2638" s="173" t="inlineStr">
        <is>
          <t>耘睿28-5</t>
        </is>
      </c>
      <c r="F2638" s="173" t="inlineStr">
        <is>
          <t>上交所</t>
        </is>
      </c>
      <c r="G2638" s="173" t="inlineStr">
        <is>
          <t>财通资管</t>
        </is>
      </c>
      <c r="H2638" s="173" t="inlineStr">
        <is>
          <t>首创证券</t>
        </is>
      </c>
      <c r="I2638" s="173" t="inlineStr">
        <is>
          <t>民生北分</t>
        </is>
      </c>
      <c r="J2638" s="172" t="n">
        <v>10</v>
      </c>
      <c r="K2638" s="173" t="inlineStr">
        <is>
          <t>22+24</t>
        </is>
      </c>
      <c r="L2638" s="202" t="n">
        <v>46268</v>
      </c>
      <c r="M2638" s="175" t="n">
        <v>0.0148</v>
      </c>
      <c r="N2638" s="176" t="n">
        <v>0.02241</v>
      </c>
      <c r="O2638" s="172" t="n">
        <v>2.28</v>
      </c>
      <c r="P2638" s="172" t="inlineStr">
        <is>
          <t>优先A</t>
        </is>
      </c>
      <c r="Q2638" s="178" t="n">
        <v>0.9</v>
      </c>
      <c r="R2638" s="179" t="n">
        <v>9</v>
      </c>
      <c r="S2638" s="177" t="inlineStr">
        <is>
          <t>AAA</t>
        </is>
      </c>
      <c r="T2638" s="178" t="n">
        <v>0.0178</v>
      </c>
      <c r="U2638" s="177" t="inlineStr">
        <is>
          <t>信银理财</t>
        </is>
      </c>
      <c r="V2638" s="192" t="n">
        <v>2.7</v>
      </c>
      <c r="W2638" s="175" t="n">
        <v>0.0176</v>
      </c>
      <c r="X2638" s="172" t="inlineStr">
        <is>
          <t>信银理财</t>
        </is>
      </c>
      <c r="Y2638" s="191" t="n">
        <v>2.7</v>
      </c>
    </row>
    <row r="2639">
      <c r="A2639" s="172" t="n">
        <v>141</v>
      </c>
      <c r="B2639" s="173" t="inlineStr">
        <is>
          <t>9月</t>
        </is>
      </c>
      <c r="C2639" s="173" t="inlineStr">
        <is>
          <t>消金</t>
        </is>
      </c>
      <c r="D2639" s="173" t="inlineStr">
        <is>
          <t>金条&amp;白取混发</t>
        </is>
      </c>
      <c r="E2639" s="173" t="inlineStr">
        <is>
          <t>耘睿28-5</t>
        </is>
      </c>
      <c r="F2639" s="173" t="inlineStr">
        <is>
          <t>上交所</t>
        </is>
      </c>
      <c r="G2639" s="173" t="inlineStr">
        <is>
          <t>财通资管</t>
        </is>
      </c>
      <c r="H2639" s="173" t="inlineStr">
        <is>
          <t>首创证券</t>
        </is>
      </c>
      <c r="I2639" s="173" t="inlineStr">
        <is>
          <t>民生北分</t>
        </is>
      </c>
      <c r="J2639" s="172" t="n">
        <v>10</v>
      </c>
      <c r="K2639" s="173" t="inlineStr">
        <is>
          <t>22+24</t>
        </is>
      </c>
      <c r="L2639" s="202" t="n">
        <v>46268</v>
      </c>
      <c r="M2639" s="175" t="n">
        <v>0.0148</v>
      </c>
      <c r="N2639" s="176" t="n">
        <v>0.02241</v>
      </c>
      <c r="O2639" s="172" t="n">
        <v>2.28</v>
      </c>
      <c r="P2639" s="172" t="inlineStr">
        <is>
          <t>优先A</t>
        </is>
      </c>
      <c r="Q2639" s="178" t="n">
        <v>0.9</v>
      </c>
      <c r="R2639" s="179" t="n">
        <v>9</v>
      </c>
      <c r="S2639" s="177" t="inlineStr">
        <is>
          <t>AAA</t>
        </is>
      </c>
      <c r="T2639" s="178" t="n">
        <v>0.0178</v>
      </c>
      <c r="U2639" s="177" t="inlineStr">
        <is>
          <t>石嘴山银行</t>
        </is>
      </c>
      <c r="V2639" s="192" t="n">
        <v>0.5</v>
      </c>
      <c r="W2639" s="175" t="n">
        <v>0.0178</v>
      </c>
      <c r="X2639" s="172" t="inlineStr">
        <is>
          <t>石嘴山银行</t>
        </is>
      </c>
      <c r="Y2639" s="191" t="n">
        <v>0.5</v>
      </c>
    </row>
    <row r="2640">
      <c r="A2640" s="172" t="n">
        <v>141</v>
      </c>
      <c r="B2640" s="173" t="inlineStr">
        <is>
          <t>9月</t>
        </is>
      </c>
      <c r="C2640" s="173" t="inlineStr">
        <is>
          <t>消金</t>
        </is>
      </c>
      <c r="D2640" s="173" t="inlineStr">
        <is>
          <t>金条&amp;白取混发</t>
        </is>
      </c>
      <c r="E2640" s="173" t="inlineStr">
        <is>
          <t>耘睿28-5</t>
        </is>
      </c>
      <c r="F2640" s="173" t="inlineStr">
        <is>
          <t>上交所</t>
        </is>
      </c>
      <c r="G2640" s="173" t="inlineStr">
        <is>
          <t>财通资管</t>
        </is>
      </c>
      <c r="H2640" s="173" t="inlineStr">
        <is>
          <t>首创证券</t>
        </is>
      </c>
      <c r="I2640" s="173" t="inlineStr">
        <is>
          <t>民生北分</t>
        </is>
      </c>
      <c r="J2640" s="172" t="n">
        <v>10</v>
      </c>
      <c r="K2640" s="173" t="inlineStr">
        <is>
          <t>22+24</t>
        </is>
      </c>
      <c r="L2640" s="202" t="n">
        <v>46268</v>
      </c>
      <c r="M2640" s="175" t="n">
        <v>0.0148</v>
      </c>
      <c r="N2640" s="176" t="n">
        <v>0.02241</v>
      </c>
      <c r="O2640" s="172" t="n">
        <v>2.28</v>
      </c>
      <c r="P2640" s="172" t="inlineStr">
        <is>
          <t>优先A</t>
        </is>
      </c>
      <c r="Q2640" s="178" t="n">
        <v>0.9</v>
      </c>
      <c r="R2640" s="179" t="n">
        <v>9</v>
      </c>
      <c r="S2640" s="177" t="inlineStr">
        <is>
          <t>AAA</t>
        </is>
      </c>
      <c r="T2640" s="178" t="n">
        <v>0.0178</v>
      </c>
      <c r="U2640" s="177" t="inlineStr">
        <is>
          <t>中信证券投顾</t>
        </is>
      </c>
      <c r="V2640" s="192" t="n">
        <v>0.2</v>
      </c>
      <c r="W2640" s="175" t="n">
        <v>0.0178</v>
      </c>
      <c r="X2640" s="172" t="inlineStr">
        <is>
          <t>中信证券投顾</t>
        </is>
      </c>
      <c r="Y2640" s="191" t="n">
        <v>0.3</v>
      </c>
    </row>
    <row r="2641">
      <c r="A2641" s="172" t="n">
        <v>141</v>
      </c>
      <c r="B2641" s="173" t="inlineStr">
        <is>
          <t>9月</t>
        </is>
      </c>
      <c r="C2641" s="173" t="inlineStr">
        <is>
          <t>消金</t>
        </is>
      </c>
      <c r="D2641" s="173" t="inlineStr">
        <is>
          <t>金条&amp;白取混发</t>
        </is>
      </c>
      <c r="E2641" s="173" t="inlineStr">
        <is>
          <t>耘睿28-5</t>
        </is>
      </c>
      <c r="F2641" s="173" t="inlineStr">
        <is>
          <t>上交所</t>
        </is>
      </c>
      <c r="G2641" s="173" t="inlineStr">
        <is>
          <t>财通资管</t>
        </is>
      </c>
      <c r="H2641" s="173" t="inlineStr">
        <is>
          <t>首创证券</t>
        </is>
      </c>
      <c r="I2641" s="173" t="inlineStr">
        <is>
          <t>民生北分</t>
        </is>
      </c>
      <c r="J2641" s="172" t="n">
        <v>10</v>
      </c>
      <c r="K2641" s="173" t="inlineStr">
        <is>
          <t>22+24</t>
        </is>
      </c>
      <c r="L2641" s="202" t="n">
        <v>46268</v>
      </c>
      <c r="M2641" s="175" t="n">
        <v>0.0148</v>
      </c>
      <c r="N2641" s="176" t="n">
        <v>0.02241</v>
      </c>
      <c r="O2641" s="172" t="n">
        <v>2.28</v>
      </c>
      <c r="P2641" s="172" t="inlineStr">
        <is>
          <t>优先A</t>
        </is>
      </c>
      <c r="Q2641" s="178" t="n">
        <v>0.9</v>
      </c>
      <c r="R2641" s="179" t="n">
        <v>9</v>
      </c>
      <c r="S2641" s="177" t="inlineStr">
        <is>
          <t>AAA</t>
        </is>
      </c>
      <c r="T2641" s="178" t="n">
        <v>0.0178</v>
      </c>
      <c r="U2641" s="177" t="inlineStr">
        <is>
          <t>华夏基金</t>
        </is>
      </c>
      <c r="V2641" s="192" t="n">
        <v>1</v>
      </c>
      <c r="W2641" s="175" t="n">
        <v>0.0178</v>
      </c>
      <c r="X2641" s="172" t="inlineStr">
        <is>
          <t>华夏基金</t>
        </is>
      </c>
      <c r="Y2641" s="191" t="n">
        <v>1.3</v>
      </c>
    </row>
    <row r="2642">
      <c r="A2642" s="172" t="n">
        <v>141</v>
      </c>
      <c r="B2642" s="173" t="inlineStr">
        <is>
          <t>9月</t>
        </is>
      </c>
      <c r="C2642" s="173" t="inlineStr">
        <is>
          <t>消金</t>
        </is>
      </c>
      <c r="D2642" s="173" t="inlineStr">
        <is>
          <t>金条&amp;白取混发</t>
        </is>
      </c>
      <c r="E2642" s="173" t="inlineStr">
        <is>
          <t>耘睿28-5</t>
        </is>
      </c>
      <c r="F2642" s="173" t="inlineStr">
        <is>
          <t>上交所</t>
        </is>
      </c>
      <c r="G2642" s="173" t="inlineStr">
        <is>
          <t>财通资管</t>
        </is>
      </c>
      <c r="H2642" s="173" t="inlineStr">
        <is>
          <t>首创证券</t>
        </is>
      </c>
      <c r="I2642" s="173" t="inlineStr">
        <is>
          <t>民生北分</t>
        </is>
      </c>
      <c r="J2642" s="172" t="n">
        <v>10</v>
      </c>
      <c r="K2642" s="173" t="inlineStr">
        <is>
          <t>22+24</t>
        </is>
      </c>
      <c r="L2642" s="202" t="n">
        <v>46268</v>
      </c>
      <c r="M2642" s="175" t="n">
        <v>0.0148</v>
      </c>
      <c r="N2642" s="176" t="n">
        <v>0.02241</v>
      </c>
      <c r="O2642" s="172" t="n">
        <v>2.28</v>
      </c>
      <c r="P2642" s="172" t="inlineStr">
        <is>
          <t>优先A</t>
        </is>
      </c>
      <c r="Q2642" s="178" t="n">
        <v>0.9</v>
      </c>
      <c r="R2642" s="179" t="n">
        <v>9</v>
      </c>
      <c r="S2642" s="177" t="inlineStr">
        <is>
          <t>AAA</t>
        </is>
      </c>
      <c r="T2642" s="178" t="n">
        <v>0.0178</v>
      </c>
      <c r="U2642" s="177" t="inlineStr">
        <is>
          <t>上银理财</t>
        </is>
      </c>
      <c r="V2642" s="192" t="n">
        <v>1</v>
      </c>
      <c r="W2642" s="175" t="n">
        <v>0.0178</v>
      </c>
      <c r="X2642" s="172" t="inlineStr">
        <is>
          <t>上银理财</t>
        </is>
      </c>
      <c r="Y2642" s="191" t="n">
        <v>1.4</v>
      </c>
    </row>
    <row r="2643">
      <c r="A2643" s="172" t="n">
        <v>141</v>
      </c>
      <c r="B2643" s="172" t="inlineStr">
        <is>
          <t>9月</t>
        </is>
      </c>
      <c r="C2643" s="172" t="inlineStr">
        <is>
          <t>消金</t>
        </is>
      </c>
      <c r="D2643" s="172" t="inlineStr">
        <is>
          <t>金条&amp;白取混发</t>
        </is>
      </c>
      <c r="E2643" s="172" t="inlineStr">
        <is>
          <t>耘睿28-5</t>
        </is>
      </c>
      <c r="F2643" s="172" t="inlineStr">
        <is>
          <t>上交所</t>
        </is>
      </c>
      <c r="G2643" s="172" t="inlineStr">
        <is>
          <t>财通资管</t>
        </is>
      </c>
      <c r="H2643" s="172" t="inlineStr">
        <is>
          <t>首创证券</t>
        </is>
      </c>
      <c r="I2643" s="172" t="inlineStr">
        <is>
          <t>民生北分</t>
        </is>
      </c>
      <c r="J2643" s="172" t="n">
        <v>10</v>
      </c>
      <c r="K2643" s="172" t="inlineStr">
        <is>
          <t>22+24</t>
        </is>
      </c>
      <c r="L2643" s="208" t="n">
        <v>46268</v>
      </c>
      <c r="M2643" s="175" t="n">
        <v>0.0148</v>
      </c>
      <c r="N2643" s="176" t="n">
        <v>0.02241</v>
      </c>
      <c r="O2643" s="172" t="n">
        <v>2.28</v>
      </c>
      <c r="P2643" s="172" t="inlineStr">
        <is>
          <t>优先A</t>
        </is>
      </c>
      <c r="Q2643" s="175" t="n">
        <v>0.9</v>
      </c>
      <c r="R2643" s="192" t="n">
        <v>9</v>
      </c>
      <c r="S2643" s="172" t="inlineStr">
        <is>
          <t>AAA</t>
        </is>
      </c>
      <c r="T2643" s="175" t="n">
        <v>0.0178</v>
      </c>
      <c r="U2643" s="172" t="n"/>
      <c r="V2643" s="172" t="n"/>
      <c r="W2643" s="175" t="n">
        <v>0.0185</v>
      </c>
      <c r="X2643" s="172" t="inlineStr">
        <is>
          <t>建投衍生品</t>
        </is>
      </c>
      <c r="Y2643" s="191" t="n">
        <v>1</v>
      </c>
    </row>
    <row r="2644">
      <c r="A2644" s="172" t="n">
        <v>141</v>
      </c>
      <c r="B2644" s="172" t="inlineStr">
        <is>
          <t>9月</t>
        </is>
      </c>
      <c r="C2644" s="172" t="inlineStr">
        <is>
          <t>消金</t>
        </is>
      </c>
      <c r="D2644" s="172" t="inlineStr">
        <is>
          <t>金条&amp;白取混发</t>
        </is>
      </c>
      <c r="E2644" s="172" t="inlineStr">
        <is>
          <t>耘睿28-5</t>
        </is>
      </c>
      <c r="F2644" s="172" t="inlineStr">
        <is>
          <t>上交所</t>
        </is>
      </c>
      <c r="G2644" s="172" t="inlineStr">
        <is>
          <t>财通资管</t>
        </is>
      </c>
      <c r="H2644" s="172" t="inlineStr">
        <is>
          <t>首创证券</t>
        </is>
      </c>
      <c r="I2644" s="172" t="inlineStr">
        <is>
          <t>民生北分</t>
        </is>
      </c>
      <c r="J2644" s="172" t="n">
        <v>10</v>
      </c>
      <c r="K2644" s="172" t="inlineStr">
        <is>
          <t>22+24</t>
        </is>
      </c>
      <c r="L2644" s="208" t="n">
        <v>46268</v>
      </c>
      <c r="M2644" s="175" t="n">
        <v>0.0148</v>
      </c>
      <c r="N2644" s="176" t="n">
        <v>0.02241</v>
      </c>
      <c r="O2644" s="172" t="n">
        <v>2.28</v>
      </c>
      <c r="P2644" s="172" t="inlineStr">
        <is>
          <t>优先A</t>
        </is>
      </c>
      <c r="Q2644" s="175" t="n">
        <v>0.9</v>
      </c>
      <c r="R2644" s="192" t="n">
        <v>9</v>
      </c>
      <c r="S2644" s="172" t="inlineStr">
        <is>
          <t>AAA</t>
        </is>
      </c>
      <c r="T2644" s="175" t="n">
        <v>0.0178</v>
      </c>
      <c r="U2644" s="172" t="n"/>
      <c r="V2644" s="172" t="n"/>
      <c r="W2644" s="175" t="n">
        <v>0.0185</v>
      </c>
      <c r="X2644" s="172" t="inlineStr">
        <is>
          <t>利曦基金</t>
        </is>
      </c>
      <c r="Y2644" s="191" t="n">
        <v>2</v>
      </c>
    </row>
    <row r="2645">
      <c r="A2645" s="172" t="n">
        <v>141</v>
      </c>
      <c r="B2645" s="172" t="inlineStr">
        <is>
          <t>9月</t>
        </is>
      </c>
      <c r="C2645" s="172" t="inlineStr">
        <is>
          <t>消金</t>
        </is>
      </c>
      <c r="D2645" s="172" t="inlineStr">
        <is>
          <t>金条&amp;白取混发</t>
        </is>
      </c>
      <c r="E2645" s="172" t="inlineStr">
        <is>
          <t>耘睿28-5</t>
        </is>
      </c>
      <c r="F2645" s="172" t="inlineStr">
        <is>
          <t>上交所</t>
        </is>
      </c>
      <c r="G2645" s="172" t="inlineStr">
        <is>
          <t>财通资管</t>
        </is>
      </c>
      <c r="H2645" s="172" t="inlineStr">
        <is>
          <t>首创证券</t>
        </is>
      </c>
      <c r="I2645" s="172" t="inlineStr">
        <is>
          <t>民生北分</t>
        </is>
      </c>
      <c r="J2645" s="172" t="n">
        <v>10</v>
      </c>
      <c r="K2645" s="172" t="inlineStr">
        <is>
          <t>22+24</t>
        </is>
      </c>
      <c r="L2645" s="208" t="n">
        <v>46268</v>
      </c>
      <c r="M2645" s="175" t="n">
        <v>0.0148</v>
      </c>
      <c r="N2645" s="176" t="n">
        <v>0.02241</v>
      </c>
      <c r="O2645" s="172" t="n">
        <v>2.28</v>
      </c>
      <c r="P2645" s="172" t="inlineStr">
        <is>
          <t>优先A</t>
        </is>
      </c>
      <c r="Q2645" s="175" t="n">
        <v>0.9</v>
      </c>
      <c r="R2645" s="192" t="n">
        <v>9</v>
      </c>
      <c r="S2645" s="172" t="inlineStr">
        <is>
          <t>AAA</t>
        </is>
      </c>
      <c r="T2645" s="175" t="n">
        <v>0.0178</v>
      </c>
      <c r="U2645" s="172" t="n"/>
      <c r="V2645" s="172" t="n"/>
      <c r="W2645" s="175" t="n">
        <v>0.0185</v>
      </c>
      <c r="X2645" s="172" t="inlineStr">
        <is>
          <t>财通资管</t>
        </is>
      </c>
      <c r="Y2645" s="191" t="n">
        <v>1.4</v>
      </c>
    </row>
    <row r="2646">
      <c r="A2646" s="172" t="n">
        <v>141</v>
      </c>
      <c r="B2646" s="172" t="inlineStr">
        <is>
          <t>9月</t>
        </is>
      </c>
      <c r="C2646" s="172" t="inlineStr">
        <is>
          <t>消金</t>
        </is>
      </c>
      <c r="D2646" s="172" t="inlineStr">
        <is>
          <t>金条&amp;白取混发</t>
        </is>
      </c>
      <c r="E2646" s="172" t="inlineStr">
        <is>
          <t>耘睿28-5</t>
        </is>
      </c>
      <c r="F2646" s="172" t="inlineStr">
        <is>
          <t>上交所</t>
        </is>
      </c>
      <c r="G2646" s="172" t="inlineStr">
        <is>
          <t>财通资管</t>
        </is>
      </c>
      <c r="H2646" s="172" t="inlineStr">
        <is>
          <t>首创证券</t>
        </is>
      </c>
      <c r="I2646" s="172" t="inlineStr">
        <is>
          <t>民生北分</t>
        </is>
      </c>
      <c r="J2646" s="172" t="n">
        <v>10</v>
      </c>
      <c r="K2646" s="172" t="inlineStr">
        <is>
          <t>22+24</t>
        </is>
      </c>
      <c r="L2646" s="208" t="n">
        <v>46268</v>
      </c>
      <c r="M2646" s="175" t="n">
        <v>0.0148</v>
      </c>
      <c r="N2646" s="176" t="n">
        <v>0.02241</v>
      </c>
      <c r="O2646" s="172" t="n">
        <v>2.28</v>
      </c>
      <c r="P2646" s="172" t="inlineStr">
        <is>
          <t>优先A</t>
        </is>
      </c>
      <c r="Q2646" s="175" t="n">
        <v>0.9</v>
      </c>
      <c r="R2646" s="192" t="n">
        <v>9</v>
      </c>
      <c r="S2646" s="172" t="inlineStr">
        <is>
          <t>AAA</t>
        </is>
      </c>
      <c r="T2646" s="175" t="n">
        <v>0.0178</v>
      </c>
      <c r="U2646" s="172" t="n"/>
      <c r="V2646" s="172" t="n"/>
      <c r="W2646" s="175" t="n">
        <v>0.025</v>
      </c>
      <c r="X2646" s="172" t="inlineStr">
        <is>
          <t>首创自营</t>
        </is>
      </c>
      <c r="Y2646" s="191" t="n">
        <v>0.9</v>
      </c>
    </row>
    <row r="2647">
      <c r="A2647" s="172" t="n">
        <v>141</v>
      </c>
      <c r="B2647" s="173" t="inlineStr">
        <is>
          <t>9月</t>
        </is>
      </c>
      <c r="C2647" s="173" t="inlineStr">
        <is>
          <t>消金</t>
        </is>
      </c>
      <c r="D2647" s="173" t="inlineStr">
        <is>
          <t>金条&amp;白取混发</t>
        </is>
      </c>
      <c r="E2647" s="173" t="inlineStr">
        <is>
          <t>耘睿28-5</t>
        </is>
      </c>
      <c r="F2647" s="173" t="inlineStr">
        <is>
          <t>上交所</t>
        </is>
      </c>
      <c r="G2647" s="173" t="inlineStr">
        <is>
          <t>财通资管</t>
        </is>
      </c>
      <c r="H2647" s="173" t="inlineStr">
        <is>
          <t>首创证券</t>
        </is>
      </c>
      <c r="I2647" s="173" t="inlineStr">
        <is>
          <t>民生北分</t>
        </is>
      </c>
      <c r="J2647" s="172" t="n">
        <v>10</v>
      </c>
      <c r="K2647" s="173" t="inlineStr">
        <is>
          <t>22+24</t>
        </is>
      </c>
      <c r="L2647" s="202" t="n">
        <v>46268</v>
      </c>
      <c r="M2647" s="175" t="n">
        <v>0.0148</v>
      </c>
      <c r="N2647" s="176" t="n">
        <v>0.02241</v>
      </c>
      <c r="O2647" s="172" t="n">
        <v>2.28</v>
      </c>
      <c r="P2647" s="177" t="inlineStr">
        <is>
          <t>优先B</t>
        </is>
      </c>
      <c r="Q2647" s="178" t="n">
        <v>0.03</v>
      </c>
      <c r="R2647" s="179" t="n">
        <v>0.3</v>
      </c>
      <c r="S2647" s="177" t="inlineStr">
        <is>
          <t>AA+</t>
        </is>
      </c>
      <c r="T2647" s="178" t="n">
        <v>0.0192</v>
      </c>
      <c r="U2647" s="177" t="inlineStr">
        <is>
          <t>民生理财</t>
        </is>
      </c>
      <c r="V2647" s="192" t="n">
        <v>0.09</v>
      </c>
      <c r="W2647" s="175" t="n">
        <v>0.0175</v>
      </c>
      <c r="X2647" s="172" t="inlineStr">
        <is>
          <t>民生理财</t>
        </is>
      </c>
      <c r="Y2647" s="191" t="n">
        <v>0.09</v>
      </c>
    </row>
    <row r="2648">
      <c r="A2648" s="172" t="n">
        <v>141</v>
      </c>
      <c r="B2648" s="173" t="inlineStr">
        <is>
          <t>9月</t>
        </is>
      </c>
      <c r="C2648" s="173" t="inlineStr">
        <is>
          <t>消金</t>
        </is>
      </c>
      <c r="D2648" s="173" t="inlineStr">
        <is>
          <t>金条&amp;白取混发</t>
        </is>
      </c>
      <c r="E2648" s="173" t="inlineStr">
        <is>
          <t>耘睿28-5</t>
        </is>
      </c>
      <c r="F2648" s="173" t="inlineStr">
        <is>
          <t>上交所</t>
        </is>
      </c>
      <c r="G2648" s="173" t="inlineStr">
        <is>
          <t>财通资管</t>
        </is>
      </c>
      <c r="H2648" s="173" t="inlineStr">
        <is>
          <t>首创证券</t>
        </is>
      </c>
      <c r="I2648" s="173" t="inlineStr">
        <is>
          <t>民生北分</t>
        </is>
      </c>
      <c r="J2648" s="172" t="n">
        <v>10</v>
      </c>
      <c r="K2648" s="173" t="inlineStr">
        <is>
          <t>22+24</t>
        </is>
      </c>
      <c r="L2648" s="202" t="n">
        <v>46268</v>
      </c>
      <c r="M2648" s="175" t="n">
        <v>0.0148</v>
      </c>
      <c r="N2648" s="176" t="n">
        <v>0.02241</v>
      </c>
      <c r="O2648" s="172" t="n">
        <v>2.28</v>
      </c>
      <c r="P2648" s="172" t="inlineStr">
        <is>
          <t>优先B</t>
        </is>
      </c>
      <c r="Q2648" s="178" t="n">
        <v>0.03</v>
      </c>
      <c r="R2648" s="179" t="n">
        <v>0.3</v>
      </c>
      <c r="S2648" s="177" t="inlineStr">
        <is>
          <t>AA+</t>
        </is>
      </c>
      <c r="T2648" s="178" t="n">
        <v>0.0192</v>
      </c>
      <c r="U2648" s="177" t="inlineStr">
        <is>
          <t>中金自营</t>
        </is>
      </c>
      <c r="V2648" s="192" t="n">
        <v>0.07000000000000001</v>
      </c>
      <c r="W2648" s="175" t="n">
        <v>0.0192</v>
      </c>
      <c r="X2648" s="172" t="inlineStr">
        <is>
          <t>中金自营</t>
        </is>
      </c>
      <c r="Y2648" s="191" t="n">
        <v>0.2</v>
      </c>
    </row>
    <row r="2649">
      <c r="A2649" s="172" t="n">
        <v>141</v>
      </c>
      <c r="B2649" s="173" t="inlineStr">
        <is>
          <t>9月</t>
        </is>
      </c>
      <c r="C2649" s="173" t="inlineStr">
        <is>
          <t>消金</t>
        </is>
      </c>
      <c r="D2649" s="173" t="inlineStr">
        <is>
          <t>金条&amp;白取混发</t>
        </is>
      </c>
      <c r="E2649" s="173" t="inlineStr">
        <is>
          <t>耘睿28-5</t>
        </is>
      </c>
      <c r="F2649" s="173" t="inlineStr">
        <is>
          <t>上交所</t>
        </is>
      </c>
      <c r="G2649" s="173" t="inlineStr">
        <is>
          <t>财通资管</t>
        </is>
      </c>
      <c r="H2649" s="173" t="inlineStr">
        <is>
          <t>首创证券</t>
        </is>
      </c>
      <c r="I2649" s="173" t="inlineStr">
        <is>
          <t>民生北分</t>
        </is>
      </c>
      <c r="J2649" s="172" t="n">
        <v>10</v>
      </c>
      <c r="K2649" s="173" t="inlineStr">
        <is>
          <t>22+24</t>
        </is>
      </c>
      <c r="L2649" s="202" t="n">
        <v>46268</v>
      </c>
      <c r="M2649" s="175" t="n">
        <v>0.0148</v>
      </c>
      <c r="N2649" s="176" t="n">
        <v>0.02241</v>
      </c>
      <c r="O2649" s="172" t="n">
        <v>2.28</v>
      </c>
      <c r="P2649" s="172" t="inlineStr">
        <is>
          <t>优先B</t>
        </is>
      </c>
      <c r="Q2649" s="178" t="n">
        <v>0.03</v>
      </c>
      <c r="R2649" s="179" t="n">
        <v>0.3</v>
      </c>
      <c r="S2649" s="177" t="inlineStr">
        <is>
          <t>AA+</t>
        </is>
      </c>
      <c r="T2649" s="178" t="n">
        <v>0.0192</v>
      </c>
      <c r="U2649" s="177" t="inlineStr">
        <is>
          <t>中信证券自营</t>
        </is>
      </c>
      <c r="V2649" s="192" t="n">
        <v>0.11</v>
      </c>
      <c r="W2649" s="175" t="n">
        <v>0.0192</v>
      </c>
      <c r="X2649" s="172" t="inlineStr">
        <is>
          <t>中信证券自营</t>
        </is>
      </c>
      <c r="Y2649" s="191" t="n">
        <v>0.3</v>
      </c>
    </row>
    <row r="2650">
      <c r="A2650" s="172" t="n">
        <v>141</v>
      </c>
      <c r="B2650" s="173" t="inlineStr">
        <is>
          <t>9月</t>
        </is>
      </c>
      <c r="C2650" s="173" t="inlineStr">
        <is>
          <t>消金</t>
        </is>
      </c>
      <c r="D2650" s="173" t="inlineStr">
        <is>
          <t>金条&amp;白取混发</t>
        </is>
      </c>
      <c r="E2650" s="173" t="inlineStr">
        <is>
          <t>耘睿28-5</t>
        </is>
      </c>
      <c r="F2650" s="173" t="inlineStr">
        <is>
          <t>上交所</t>
        </is>
      </c>
      <c r="G2650" s="173" t="inlineStr">
        <is>
          <t>财通资管</t>
        </is>
      </c>
      <c r="H2650" s="173" t="inlineStr">
        <is>
          <t>首创证券</t>
        </is>
      </c>
      <c r="I2650" s="173" t="inlineStr">
        <is>
          <t>民生北分</t>
        </is>
      </c>
      <c r="J2650" s="172" t="n">
        <v>10</v>
      </c>
      <c r="K2650" s="173" t="inlineStr">
        <is>
          <t>22+24</t>
        </is>
      </c>
      <c r="L2650" s="202" t="n">
        <v>46268</v>
      </c>
      <c r="M2650" s="175" t="n">
        <v>0.0148</v>
      </c>
      <c r="N2650" s="176" t="n">
        <v>0.02241</v>
      </c>
      <c r="O2650" s="172" t="n">
        <v>2.28</v>
      </c>
      <c r="P2650" s="172" t="inlineStr">
        <is>
          <t>优先B</t>
        </is>
      </c>
      <c r="Q2650" s="178" t="n">
        <v>0.03</v>
      </c>
      <c r="R2650" s="179" t="n">
        <v>0.3</v>
      </c>
      <c r="S2650" s="177" t="inlineStr">
        <is>
          <t>AA+</t>
        </is>
      </c>
      <c r="T2650" s="178" t="n">
        <v>0.0192</v>
      </c>
      <c r="U2650" s="177" t="inlineStr">
        <is>
          <t>中信证券投顾</t>
        </is>
      </c>
      <c r="V2650" s="192" t="n">
        <v>0.03</v>
      </c>
      <c r="W2650" s="175" t="n">
        <v>0.0192</v>
      </c>
      <c r="X2650" s="172" t="inlineStr">
        <is>
          <t>中信证券投顾</t>
        </is>
      </c>
      <c r="Y2650" s="191" t="n">
        <v>0.09</v>
      </c>
    </row>
    <row r="2651">
      <c r="A2651" s="172" t="n">
        <v>141</v>
      </c>
      <c r="B2651" s="172" t="inlineStr">
        <is>
          <t>9月</t>
        </is>
      </c>
      <c r="C2651" s="172" t="inlineStr">
        <is>
          <t>消金</t>
        </is>
      </c>
      <c r="D2651" s="172" t="inlineStr">
        <is>
          <t>金条&amp;白取混发</t>
        </is>
      </c>
      <c r="E2651" s="172" t="inlineStr">
        <is>
          <t>耘睿28-5</t>
        </is>
      </c>
      <c r="F2651" s="172" t="inlineStr">
        <is>
          <t>上交所</t>
        </is>
      </c>
      <c r="G2651" s="172" t="inlineStr">
        <is>
          <t>财通资管</t>
        </is>
      </c>
      <c r="H2651" s="172" t="inlineStr">
        <is>
          <t>首创证券</t>
        </is>
      </c>
      <c r="I2651" s="172" t="inlineStr">
        <is>
          <t>民生北分</t>
        </is>
      </c>
      <c r="J2651" s="172" t="n">
        <v>10</v>
      </c>
      <c r="K2651" s="172" t="inlineStr">
        <is>
          <t>22+24</t>
        </is>
      </c>
      <c r="L2651" s="208" t="n">
        <v>46268</v>
      </c>
      <c r="M2651" s="175" t="n">
        <v>0.0148</v>
      </c>
      <c r="N2651" s="176" t="n">
        <v>0.02241</v>
      </c>
      <c r="O2651" s="172" t="n">
        <v>2.28</v>
      </c>
      <c r="P2651" s="172" t="inlineStr">
        <is>
          <t>优先B</t>
        </is>
      </c>
      <c r="Q2651" s="175" t="n">
        <v>0.03</v>
      </c>
      <c r="R2651" s="192" t="n">
        <v>0.3</v>
      </c>
      <c r="S2651" s="172" t="inlineStr">
        <is>
          <t>AA+</t>
        </is>
      </c>
      <c r="T2651" s="175" t="n">
        <v>0.0192</v>
      </c>
      <c r="U2651" s="172" t="n"/>
      <c r="V2651" s="172" t="n"/>
      <c r="W2651" s="175" t="n">
        <v>0.027</v>
      </c>
      <c r="X2651" s="172" t="inlineStr">
        <is>
          <t>财通资管</t>
        </is>
      </c>
      <c r="Y2651" s="191" t="n">
        <v>0.1</v>
      </c>
    </row>
    <row r="2652">
      <c r="A2652" s="172" t="n">
        <v>141</v>
      </c>
      <c r="B2652" s="172" t="inlineStr">
        <is>
          <t>9月</t>
        </is>
      </c>
      <c r="C2652" s="172" t="inlineStr">
        <is>
          <t>消金</t>
        </is>
      </c>
      <c r="D2652" s="172" t="inlineStr">
        <is>
          <t>金条&amp;白取混发</t>
        </is>
      </c>
      <c r="E2652" s="172" t="inlineStr">
        <is>
          <t>耘睿28-5</t>
        </is>
      </c>
      <c r="F2652" s="172" t="inlineStr">
        <is>
          <t>上交所</t>
        </is>
      </c>
      <c r="G2652" s="172" t="inlineStr">
        <is>
          <t>财通资管</t>
        </is>
      </c>
      <c r="H2652" s="172" t="inlineStr">
        <is>
          <t>首创证券</t>
        </is>
      </c>
      <c r="I2652" s="172" t="inlineStr">
        <is>
          <t>民生北分</t>
        </is>
      </c>
      <c r="J2652" s="172" t="n">
        <v>10</v>
      </c>
      <c r="K2652" s="172" t="inlineStr">
        <is>
          <t>22+24</t>
        </is>
      </c>
      <c r="L2652" s="208" t="n">
        <v>46268</v>
      </c>
      <c r="M2652" s="175" t="n">
        <v>0.0148</v>
      </c>
      <c r="N2652" s="176" t="n">
        <v>0.02241</v>
      </c>
      <c r="O2652" s="172" t="n">
        <v>2.28</v>
      </c>
      <c r="P2652" s="172" t="inlineStr">
        <is>
          <t>优先B</t>
        </is>
      </c>
      <c r="Q2652" s="175" t="n">
        <v>0.03</v>
      </c>
      <c r="R2652" s="192" t="n">
        <v>0.3</v>
      </c>
      <c r="S2652" s="172" t="inlineStr">
        <is>
          <t>AA+</t>
        </is>
      </c>
      <c r="T2652" s="175" t="n">
        <v>0.0192</v>
      </c>
      <c r="U2652" s="172" t="n"/>
      <c r="V2652" s="172" t="n"/>
      <c r="W2652" s="175" t="n">
        <v>0.027</v>
      </c>
      <c r="X2652" s="172" t="inlineStr">
        <is>
          <t>首创自营</t>
        </is>
      </c>
      <c r="Y2652" s="191" t="n">
        <v>0.03</v>
      </c>
    </row>
    <row r="2653">
      <c r="A2653" s="172" t="n">
        <v>141</v>
      </c>
      <c r="B2653" s="173" t="inlineStr">
        <is>
          <t>9月</t>
        </is>
      </c>
      <c r="C2653" s="173" t="inlineStr">
        <is>
          <t>消金</t>
        </is>
      </c>
      <c r="D2653" s="173" t="inlineStr">
        <is>
          <t>金条&amp;白取混发</t>
        </is>
      </c>
      <c r="E2653" s="173" t="inlineStr">
        <is>
          <t>耘睿28-5</t>
        </is>
      </c>
      <c r="F2653" s="173" t="inlineStr">
        <is>
          <t>上交所</t>
        </is>
      </c>
      <c r="G2653" s="173" t="inlineStr">
        <is>
          <t>财通资管</t>
        </is>
      </c>
      <c r="H2653" s="173" t="inlineStr">
        <is>
          <t>首创证券</t>
        </is>
      </c>
      <c r="I2653" s="173" t="inlineStr">
        <is>
          <t>民生北分</t>
        </is>
      </c>
      <c r="J2653" s="172" t="n">
        <v>10</v>
      </c>
      <c r="K2653" s="173" t="inlineStr">
        <is>
          <t>22+24</t>
        </is>
      </c>
      <c r="L2653" s="202" t="n">
        <v>46268</v>
      </c>
      <c r="M2653" s="175" t="n">
        <v>0.0148</v>
      </c>
      <c r="N2653" s="176" t="n">
        <v>0.02241</v>
      </c>
      <c r="O2653" s="172" t="n">
        <v>2.28</v>
      </c>
      <c r="P2653" s="177" t="inlineStr">
        <is>
          <t>中间级</t>
        </is>
      </c>
      <c r="Q2653" s="178" t="n">
        <v>0.02</v>
      </c>
      <c r="R2653" s="179" t="n">
        <v>0.2</v>
      </c>
      <c r="S2653" s="177" t="inlineStr">
        <is>
          <t>AA-</t>
        </is>
      </c>
      <c r="T2653" s="178" t="n">
        <v>0.032</v>
      </c>
      <c r="U2653" s="177" t="inlineStr">
        <is>
          <t>中金财富</t>
        </is>
      </c>
      <c r="V2653" s="192" t="n">
        <v>0.1</v>
      </c>
      <c r="W2653" s="172" t="n"/>
      <c r="X2653" s="172" t="n"/>
      <c r="Y2653" s="172" t="n"/>
    </row>
    <row r="2654">
      <c r="A2654" s="172" t="n">
        <v>141</v>
      </c>
      <c r="B2654" s="173" t="inlineStr">
        <is>
          <t>9月</t>
        </is>
      </c>
      <c r="C2654" s="173" t="inlineStr">
        <is>
          <t>消金</t>
        </is>
      </c>
      <c r="D2654" s="173" t="inlineStr">
        <is>
          <t>金条&amp;白取混发</t>
        </is>
      </c>
      <c r="E2654" s="173" t="inlineStr">
        <is>
          <t>耘睿28-5</t>
        </is>
      </c>
      <c r="F2654" s="173" t="inlineStr">
        <is>
          <t>上交所</t>
        </is>
      </c>
      <c r="G2654" s="173" t="inlineStr">
        <is>
          <t>财通资管</t>
        </is>
      </c>
      <c r="H2654" s="173" t="inlineStr">
        <is>
          <t>首创证券</t>
        </is>
      </c>
      <c r="I2654" s="173" t="inlineStr">
        <is>
          <t>民生北分</t>
        </is>
      </c>
      <c r="J2654" s="172" t="n">
        <v>10</v>
      </c>
      <c r="K2654" s="173" t="inlineStr">
        <is>
          <t>22+24</t>
        </is>
      </c>
      <c r="L2654" s="202" t="n">
        <v>46268</v>
      </c>
      <c r="M2654" s="175" t="n">
        <v>0.0148</v>
      </c>
      <c r="N2654" s="176" t="n">
        <v>0.02241</v>
      </c>
      <c r="O2654" s="172" t="n">
        <v>2.28</v>
      </c>
      <c r="P2654" s="172" t="inlineStr">
        <is>
          <t>中间级</t>
        </is>
      </c>
      <c r="Q2654" s="178" t="n">
        <v>0.02</v>
      </c>
      <c r="R2654" s="179" t="n">
        <v>0.2</v>
      </c>
      <c r="S2654" s="177" t="inlineStr">
        <is>
          <t>AA-</t>
        </is>
      </c>
      <c r="T2654" s="178" t="n">
        <v>0.032</v>
      </c>
      <c r="U2654" s="177" t="inlineStr">
        <is>
          <t>中信证券自营</t>
        </is>
      </c>
      <c r="V2654" s="192" t="n">
        <v>0.1</v>
      </c>
      <c r="W2654" s="172" t="n"/>
      <c r="X2654" s="172" t="n"/>
      <c r="Y2654" s="172" t="n"/>
    </row>
    <row r="2655">
      <c r="A2655" s="172" t="n">
        <v>141</v>
      </c>
      <c r="B2655" s="173" t="inlineStr">
        <is>
          <t>9月</t>
        </is>
      </c>
      <c r="C2655" s="173" t="inlineStr">
        <is>
          <t>消金</t>
        </is>
      </c>
      <c r="D2655" s="173" t="inlineStr">
        <is>
          <t>金条&amp;白取混发</t>
        </is>
      </c>
      <c r="E2655" s="173" t="inlineStr">
        <is>
          <t>耘睿28-5</t>
        </is>
      </c>
      <c r="F2655" s="173" t="inlineStr">
        <is>
          <t>上交所</t>
        </is>
      </c>
      <c r="G2655" s="173" t="inlineStr">
        <is>
          <t>财通资管</t>
        </is>
      </c>
      <c r="H2655" s="173" t="inlineStr">
        <is>
          <t>首创证券</t>
        </is>
      </c>
      <c r="I2655" s="173" t="inlineStr">
        <is>
          <t>民生北分</t>
        </is>
      </c>
      <c r="J2655" s="172" t="n">
        <v>10</v>
      </c>
      <c r="K2655" s="173" t="inlineStr">
        <is>
          <t>22+24</t>
        </is>
      </c>
      <c r="L2655" s="202" t="n">
        <v>46268</v>
      </c>
      <c r="M2655" s="175" t="n">
        <v>0.0148</v>
      </c>
      <c r="N2655" s="176" t="n">
        <v>0.02241</v>
      </c>
      <c r="O2655" s="172" t="n">
        <v>2.28</v>
      </c>
      <c r="P2655" s="177" t="inlineStr">
        <is>
          <t>受益权</t>
        </is>
      </c>
      <c r="Q2655" s="178" t="n">
        <v>0.05</v>
      </c>
      <c r="R2655" s="179" t="n">
        <v>0.5</v>
      </c>
      <c r="S2655" s="177" t="inlineStr">
        <is>
          <t>无</t>
        </is>
      </c>
      <c r="T2655" s="178" t="n">
        <v>0.0495</v>
      </c>
      <c r="U2655" s="177" t="inlineStr">
        <is>
          <t>国信证券自营</t>
        </is>
      </c>
      <c r="V2655" s="192" t="n">
        <v>0.1</v>
      </c>
      <c r="W2655" s="172" t="n"/>
      <c r="X2655" s="172" t="n"/>
      <c r="Y2655" s="172" t="n"/>
    </row>
    <row r="2656">
      <c r="A2656" s="172" t="n">
        <v>141</v>
      </c>
      <c r="B2656" s="173" t="inlineStr">
        <is>
          <t>9月</t>
        </is>
      </c>
      <c r="C2656" s="173" t="inlineStr">
        <is>
          <t>消金</t>
        </is>
      </c>
      <c r="D2656" s="173" t="inlineStr">
        <is>
          <t>金条&amp;白取混发</t>
        </is>
      </c>
      <c r="E2656" s="173" t="inlineStr">
        <is>
          <t>耘睿28-5</t>
        </is>
      </c>
      <c r="F2656" s="173" t="inlineStr">
        <is>
          <t>上交所</t>
        </is>
      </c>
      <c r="G2656" s="173" t="inlineStr">
        <is>
          <t>财通资管</t>
        </is>
      </c>
      <c r="H2656" s="173" t="inlineStr">
        <is>
          <t>首创证券</t>
        </is>
      </c>
      <c r="I2656" s="173" t="inlineStr">
        <is>
          <t>民生北分</t>
        </is>
      </c>
      <c r="J2656" s="172" t="n">
        <v>10</v>
      </c>
      <c r="K2656" s="173" t="inlineStr">
        <is>
          <t>22+24</t>
        </is>
      </c>
      <c r="L2656" s="202" t="n">
        <v>46268</v>
      </c>
      <c r="M2656" s="175" t="n">
        <v>0.0148</v>
      </c>
      <c r="N2656" s="176" t="n">
        <v>0.02241</v>
      </c>
      <c r="O2656" s="172" t="n">
        <v>2.28</v>
      </c>
      <c r="P2656" s="172" t="inlineStr">
        <is>
          <t>受益权</t>
        </is>
      </c>
      <c r="Q2656" s="178" t="n">
        <v>0.05</v>
      </c>
      <c r="R2656" s="179" t="n">
        <v>0.5</v>
      </c>
      <c r="S2656" s="177" t="inlineStr">
        <is>
          <t>无</t>
        </is>
      </c>
      <c r="T2656" s="178" t="n">
        <v>0.0495</v>
      </c>
      <c r="U2656" s="177" t="inlineStr">
        <is>
          <t>朗姿韩亚</t>
        </is>
      </c>
      <c r="V2656" s="192" t="n">
        <v>0.2</v>
      </c>
      <c r="W2656" s="172" t="n"/>
      <c r="X2656" s="172" t="n"/>
      <c r="Y2656" s="172" t="n"/>
    </row>
    <row r="2657">
      <c r="A2657" s="172" t="n">
        <v>141</v>
      </c>
      <c r="B2657" s="173" t="inlineStr">
        <is>
          <t>9月</t>
        </is>
      </c>
      <c r="C2657" s="173" t="inlineStr">
        <is>
          <t>消金</t>
        </is>
      </c>
      <c r="D2657" s="173" t="inlineStr">
        <is>
          <t>金条&amp;白取混发</t>
        </is>
      </c>
      <c r="E2657" s="173" t="inlineStr">
        <is>
          <t>耘睿28-5</t>
        </is>
      </c>
      <c r="F2657" s="173" t="inlineStr">
        <is>
          <t>上交所</t>
        </is>
      </c>
      <c r="G2657" s="173" t="inlineStr">
        <is>
          <t>财通资管</t>
        </is>
      </c>
      <c r="H2657" s="173" t="inlineStr">
        <is>
          <t>首创证券</t>
        </is>
      </c>
      <c r="I2657" s="173" t="inlineStr">
        <is>
          <t>民生北分</t>
        </is>
      </c>
      <c r="J2657" s="172" t="n">
        <v>10</v>
      </c>
      <c r="K2657" s="173" t="inlineStr">
        <is>
          <t>22+24</t>
        </is>
      </c>
      <c r="L2657" s="202" t="n">
        <v>46268</v>
      </c>
      <c r="M2657" s="175" t="n">
        <v>0.0148</v>
      </c>
      <c r="N2657" s="176" t="n">
        <v>0.02241</v>
      </c>
      <c r="O2657" s="172" t="n">
        <v>2.28</v>
      </c>
      <c r="P2657" s="172" t="inlineStr">
        <is>
          <t>受益权</t>
        </is>
      </c>
      <c r="Q2657" s="178" t="n">
        <v>0.05</v>
      </c>
      <c r="R2657" s="179" t="n">
        <v>0.5</v>
      </c>
      <c r="S2657" s="177" t="inlineStr">
        <is>
          <t>无</t>
        </is>
      </c>
      <c r="T2657" s="178" t="n">
        <v>0.0495</v>
      </c>
      <c r="U2657" s="177" t="inlineStr">
        <is>
          <t>西部证券自营</t>
        </is>
      </c>
      <c r="V2657" s="192" t="n">
        <v>0.2</v>
      </c>
      <c r="W2657" s="172" t="n"/>
      <c r="X2657" s="172" t="n"/>
      <c r="Y2657" s="172" t="n"/>
    </row>
    <row r="2658">
      <c r="A2658" s="172" t="n">
        <v>142</v>
      </c>
      <c r="B2658" s="172" t="inlineStr">
        <is>
          <t>9月</t>
        </is>
      </c>
      <c r="C2658" s="172" t="inlineStr">
        <is>
          <t>企金</t>
        </is>
      </c>
      <c r="D2658" s="172" t="inlineStr">
        <is>
          <t>小贷企业主贷</t>
        </is>
      </c>
      <c r="E2658" s="172" t="inlineStr">
        <is>
          <t>盛赢4-5</t>
        </is>
      </c>
      <c r="F2658" s="172" t="inlineStr">
        <is>
          <t>上交所</t>
        </is>
      </c>
      <c r="G2658" s="172" t="inlineStr">
        <is>
          <t>财通资管</t>
        </is>
      </c>
      <c r="H2658" s="172" t="inlineStr">
        <is>
          <t>华福证券</t>
        </is>
      </c>
      <c r="I2658" s="172" t="inlineStr">
        <is>
          <t>招行北分</t>
        </is>
      </c>
      <c r="J2658" s="172" t="n">
        <v>8</v>
      </c>
      <c r="K2658" s="172" t="inlineStr">
        <is>
          <t>9+24</t>
        </is>
      </c>
      <c r="L2658" s="202" t="n">
        <v>46269</v>
      </c>
      <c r="M2658" s="175" t="n">
        <v>0.0148</v>
      </c>
      <c r="N2658" s="176" t="n">
        <v>0.0194</v>
      </c>
      <c r="O2658" s="191" t="n">
        <v>2.54</v>
      </c>
      <c r="P2658" s="172" t="inlineStr">
        <is>
          <t>优先A</t>
        </is>
      </c>
      <c r="Q2658" s="175" t="n">
        <v>0.83</v>
      </c>
      <c r="R2658" s="192">
        <f>J1706*Q1706</f>
        <v/>
      </c>
      <c r="S2658" s="172" t="inlineStr">
        <is>
          <t>AAA</t>
        </is>
      </c>
      <c r="T2658" s="175" t="n">
        <v>0.0165</v>
      </c>
      <c r="U2658" s="172" t="inlineStr">
        <is>
          <t>信银理财</t>
        </is>
      </c>
      <c r="V2658" s="191" t="n">
        <v>1.99</v>
      </c>
      <c r="W2658" s="175" t="n">
        <v>0.0156</v>
      </c>
      <c r="X2658" s="172" t="inlineStr">
        <is>
          <t>信银理财</t>
        </is>
      </c>
      <c r="Y2658" s="191" t="n">
        <v>1.4</v>
      </c>
    </row>
    <row r="2659">
      <c r="A2659" s="172" t="n">
        <v>142</v>
      </c>
      <c r="B2659" s="172" t="inlineStr">
        <is>
          <t>9月</t>
        </is>
      </c>
      <c r="C2659" s="172" t="inlineStr">
        <is>
          <t>企金</t>
        </is>
      </c>
      <c r="D2659" s="172" t="inlineStr">
        <is>
          <t>小贷企业主贷</t>
        </is>
      </c>
      <c r="E2659" s="172" t="inlineStr">
        <is>
          <t>盛赢4-5</t>
        </is>
      </c>
      <c r="F2659" s="172" t="inlineStr">
        <is>
          <t>上交所</t>
        </is>
      </c>
      <c r="G2659" s="172" t="inlineStr">
        <is>
          <t>财通资管</t>
        </is>
      </c>
      <c r="H2659" s="172" t="inlineStr">
        <is>
          <t>华福证券</t>
        </is>
      </c>
      <c r="I2659" s="172" t="inlineStr">
        <is>
          <t>招行北分</t>
        </is>
      </c>
      <c r="J2659" s="172" t="n">
        <v>8</v>
      </c>
      <c r="K2659" s="172" t="inlineStr">
        <is>
          <t>9+24</t>
        </is>
      </c>
      <c r="L2659" s="208" t="n">
        <v>46269</v>
      </c>
      <c r="M2659" s="175" t="n">
        <v>0.0148</v>
      </c>
      <c r="N2659" s="176" t="n">
        <v>0.0194</v>
      </c>
      <c r="O2659" s="172" t="n">
        <v>2.54</v>
      </c>
      <c r="P2659" s="172" t="inlineStr">
        <is>
          <t>优先A</t>
        </is>
      </c>
      <c r="Q2659" s="175" t="n">
        <v>0.83</v>
      </c>
      <c r="R2659" s="172">
        <f>J1706*Q1706</f>
        <v/>
      </c>
      <c r="S2659" s="172" t="inlineStr">
        <is>
          <t>AAA</t>
        </is>
      </c>
      <c r="T2659" s="175" t="n">
        <v>0.0165</v>
      </c>
      <c r="U2659" s="172" t="n"/>
      <c r="V2659" s="172" t="n"/>
      <c r="W2659" s="175" t="n">
        <v>0.016</v>
      </c>
      <c r="X2659" s="172" t="inlineStr">
        <is>
          <t>信银理财</t>
        </is>
      </c>
      <c r="Y2659" s="191" t="n">
        <v>0.59</v>
      </c>
    </row>
    <row r="2660">
      <c r="A2660" s="172" t="n">
        <v>142</v>
      </c>
      <c r="B2660" s="172" t="inlineStr">
        <is>
          <t>9月</t>
        </is>
      </c>
      <c r="C2660" s="172" t="inlineStr">
        <is>
          <t>企金</t>
        </is>
      </c>
      <c r="D2660" s="172" t="inlineStr">
        <is>
          <t>小贷企业主贷</t>
        </is>
      </c>
      <c r="E2660" s="172" t="inlineStr">
        <is>
          <t>盛赢4-5</t>
        </is>
      </c>
      <c r="F2660" s="172" t="inlineStr">
        <is>
          <t>上交所</t>
        </is>
      </c>
      <c r="G2660" s="172" t="inlineStr">
        <is>
          <t>财通资管</t>
        </is>
      </c>
      <c r="H2660" s="172" t="inlineStr">
        <is>
          <t>华福证券</t>
        </is>
      </c>
      <c r="I2660" s="172" t="inlineStr">
        <is>
          <t>招行北分</t>
        </is>
      </c>
      <c r="J2660" s="172" t="n">
        <v>8</v>
      </c>
      <c r="K2660" s="172" t="inlineStr">
        <is>
          <t>9+24</t>
        </is>
      </c>
      <c r="L2660" s="202" t="n">
        <v>46269</v>
      </c>
      <c r="M2660" s="175" t="n">
        <v>0.0148</v>
      </c>
      <c r="N2660" s="176" t="n">
        <v>0.0194</v>
      </c>
      <c r="O2660" s="191" t="n">
        <v>2.54</v>
      </c>
      <c r="P2660" s="172" t="inlineStr">
        <is>
          <t>优先A</t>
        </is>
      </c>
      <c r="Q2660" s="175" t="n">
        <v>0.83</v>
      </c>
      <c r="R2660" s="192">
        <f>J1706*Q1706</f>
        <v/>
      </c>
      <c r="S2660" s="172" t="inlineStr">
        <is>
          <t>AAA</t>
        </is>
      </c>
      <c r="T2660" s="175" t="n">
        <v>0.0165</v>
      </c>
      <c r="U2660" s="172" t="inlineStr">
        <is>
          <t>招银理财</t>
        </is>
      </c>
      <c r="V2660" s="191" t="n">
        <v>1.99</v>
      </c>
      <c r="W2660" s="175" t="n">
        <v>0.0156</v>
      </c>
      <c r="X2660" s="172" t="inlineStr">
        <is>
          <t>招银理财</t>
        </is>
      </c>
      <c r="Y2660" s="191" t="n">
        <v>1.99</v>
      </c>
    </row>
    <row r="2661">
      <c r="A2661" s="172" t="n">
        <v>142</v>
      </c>
      <c r="B2661" s="172" t="inlineStr">
        <is>
          <t>9月</t>
        </is>
      </c>
      <c r="C2661" s="172" t="inlineStr">
        <is>
          <t>企金</t>
        </is>
      </c>
      <c r="D2661" s="172" t="inlineStr">
        <is>
          <t>小贷企业主贷</t>
        </is>
      </c>
      <c r="E2661" s="172" t="inlineStr">
        <is>
          <t>盛赢4-5</t>
        </is>
      </c>
      <c r="F2661" s="172" t="inlineStr">
        <is>
          <t>上交所</t>
        </is>
      </c>
      <c r="G2661" s="172" t="inlineStr">
        <is>
          <t>财通资管</t>
        </is>
      </c>
      <c r="H2661" s="172" t="inlineStr">
        <is>
          <t>华福证券</t>
        </is>
      </c>
      <c r="I2661" s="172" t="inlineStr">
        <is>
          <t>招行北分</t>
        </is>
      </c>
      <c r="J2661" s="172" t="n">
        <v>8</v>
      </c>
      <c r="K2661" s="172" t="inlineStr">
        <is>
          <t>9+24</t>
        </is>
      </c>
      <c r="L2661" s="202" t="n">
        <v>46269</v>
      </c>
      <c r="M2661" s="175" t="n">
        <v>0.0148</v>
      </c>
      <c r="N2661" s="176" t="n">
        <v>0.0194</v>
      </c>
      <c r="O2661" s="191" t="n">
        <v>2.54</v>
      </c>
      <c r="P2661" s="172" t="inlineStr">
        <is>
          <t>优先A</t>
        </is>
      </c>
      <c r="Q2661" s="175" t="n">
        <v>0.83</v>
      </c>
      <c r="R2661" s="192">
        <f>J1706*Q1706</f>
        <v/>
      </c>
      <c r="S2661" s="172" t="inlineStr">
        <is>
          <t>AAA</t>
        </is>
      </c>
      <c r="T2661" s="175" t="n">
        <v>0.0165</v>
      </c>
      <c r="U2661" s="172" t="inlineStr">
        <is>
          <t>中邮理财</t>
        </is>
      </c>
      <c r="V2661" s="191" t="n">
        <v>1.5</v>
      </c>
      <c r="W2661" s="175" t="n">
        <v>0.0164</v>
      </c>
      <c r="X2661" s="172" t="inlineStr">
        <is>
          <t>中邮理财</t>
        </is>
      </c>
      <c r="Y2661" s="191" t="n">
        <v>1</v>
      </c>
    </row>
    <row r="2662">
      <c r="A2662" s="172" t="n">
        <v>142</v>
      </c>
      <c r="B2662" s="172" t="inlineStr">
        <is>
          <t>9月</t>
        </is>
      </c>
      <c r="C2662" s="172" t="inlineStr">
        <is>
          <t>企金</t>
        </is>
      </c>
      <c r="D2662" s="172" t="inlineStr">
        <is>
          <t>小贷企业主贷</t>
        </is>
      </c>
      <c r="E2662" s="172" t="inlineStr">
        <is>
          <t>盛赢4-5</t>
        </is>
      </c>
      <c r="F2662" s="172" t="inlineStr">
        <is>
          <t>上交所</t>
        </is>
      </c>
      <c r="G2662" s="172" t="inlineStr">
        <is>
          <t>财通资管</t>
        </is>
      </c>
      <c r="H2662" s="172" t="inlineStr">
        <is>
          <t>华福证券</t>
        </is>
      </c>
      <c r="I2662" s="172" t="inlineStr">
        <is>
          <t>招行北分</t>
        </is>
      </c>
      <c r="J2662" s="172" t="n">
        <v>8</v>
      </c>
      <c r="K2662" s="172" t="inlineStr">
        <is>
          <t>9+24</t>
        </is>
      </c>
      <c r="L2662" s="208" t="n">
        <v>46269</v>
      </c>
      <c r="M2662" s="175" t="n">
        <v>0.0148</v>
      </c>
      <c r="N2662" s="176" t="n">
        <v>0.0194</v>
      </c>
      <c r="O2662" s="172" t="n">
        <v>2.54</v>
      </c>
      <c r="P2662" s="172" t="inlineStr">
        <is>
          <t>优先A</t>
        </is>
      </c>
      <c r="Q2662" s="175" t="n">
        <v>0.83</v>
      </c>
      <c r="R2662" s="172">
        <f>J1706*Q1706</f>
        <v/>
      </c>
      <c r="S2662" s="172" t="inlineStr">
        <is>
          <t>AAA</t>
        </is>
      </c>
      <c r="T2662" s="175" t="n">
        <v>0.0165</v>
      </c>
      <c r="U2662" s="172" t="n"/>
      <c r="V2662" s="172" t="n"/>
      <c r="W2662" s="175" t="n">
        <v>0.0165</v>
      </c>
      <c r="X2662" s="172" t="inlineStr">
        <is>
          <t>中邮理财</t>
        </is>
      </c>
      <c r="Y2662" s="191" t="n">
        <v>0.992</v>
      </c>
    </row>
    <row r="2663">
      <c r="A2663" s="172" t="n">
        <v>142</v>
      </c>
      <c r="B2663" s="172" t="inlineStr">
        <is>
          <t>9月</t>
        </is>
      </c>
      <c r="C2663" s="172" t="inlineStr">
        <is>
          <t>企金</t>
        </is>
      </c>
      <c r="D2663" s="172" t="inlineStr">
        <is>
          <t>小贷企业主贷</t>
        </is>
      </c>
      <c r="E2663" s="172" t="inlineStr">
        <is>
          <t>盛赢4-5</t>
        </is>
      </c>
      <c r="F2663" s="172" t="inlineStr">
        <is>
          <t>上交所</t>
        </is>
      </c>
      <c r="G2663" s="172" t="inlineStr">
        <is>
          <t>财通资管</t>
        </is>
      </c>
      <c r="H2663" s="172" t="inlineStr">
        <is>
          <t>华福证券</t>
        </is>
      </c>
      <c r="I2663" s="172" t="inlineStr">
        <is>
          <t>招行北分</t>
        </is>
      </c>
      <c r="J2663" s="172" t="n">
        <v>8</v>
      </c>
      <c r="K2663" s="172" t="inlineStr">
        <is>
          <t>9+24</t>
        </is>
      </c>
      <c r="L2663" s="202" t="n">
        <v>46269</v>
      </c>
      <c r="M2663" s="175" t="n">
        <v>0.0148</v>
      </c>
      <c r="N2663" s="176" t="n">
        <v>0.0194</v>
      </c>
      <c r="O2663" s="191" t="n">
        <v>2.54</v>
      </c>
      <c r="P2663" s="172" t="inlineStr">
        <is>
          <t>优先A</t>
        </is>
      </c>
      <c r="Q2663" s="175" t="n">
        <v>0.83</v>
      </c>
      <c r="R2663" s="192">
        <f>J1706*Q1706</f>
        <v/>
      </c>
      <c r="S2663" s="172" t="inlineStr">
        <is>
          <t>AAA</t>
        </is>
      </c>
      <c r="T2663" s="175" t="n">
        <v>0.0165</v>
      </c>
      <c r="U2663" s="172" t="inlineStr">
        <is>
          <t>中信证券投顾</t>
        </is>
      </c>
      <c r="V2663" s="191" t="n">
        <v>0.4</v>
      </c>
      <c r="W2663" s="172" t="n"/>
      <c r="X2663" s="172" t="n"/>
      <c r="Y2663" s="172" t="n"/>
    </row>
    <row r="2664">
      <c r="A2664" s="172" t="n">
        <v>142</v>
      </c>
      <c r="B2664" s="172" t="inlineStr">
        <is>
          <t>9月</t>
        </is>
      </c>
      <c r="C2664" s="172" t="inlineStr">
        <is>
          <t>企金</t>
        </is>
      </c>
      <c r="D2664" s="172" t="inlineStr">
        <is>
          <t>小贷企业主贷</t>
        </is>
      </c>
      <c r="E2664" s="172" t="inlineStr">
        <is>
          <t>盛赢4-5</t>
        </is>
      </c>
      <c r="F2664" s="172" t="inlineStr">
        <is>
          <t>上交所</t>
        </is>
      </c>
      <c r="G2664" s="172" t="inlineStr">
        <is>
          <t>财通资管</t>
        </is>
      </c>
      <c r="H2664" s="172" t="inlineStr">
        <is>
          <t>华福证券</t>
        </is>
      </c>
      <c r="I2664" s="172" t="inlineStr">
        <is>
          <t>招行北分</t>
        </is>
      </c>
      <c r="J2664" s="172" t="n">
        <v>8</v>
      </c>
      <c r="K2664" s="172" t="inlineStr">
        <is>
          <t>9+24</t>
        </is>
      </c>
      <c r="L2664" s="202" t="n">
        <v>46269</v>
      </c>
      <c r="M2664" s="175" t="n">
        <v>0.0148</v>
      </c>
      <c r="N2664" s="176" t="n">
        <v>0.0194</v>
      </c>
      <c r="O2664" s="191" t="n">
        <v>2.54</v>
      </c>
      <c r="P2664" s="172" t="inlineStr">
        <is>
          <t>优先A</t>
        </is>
      </c>
      <c r="Q2664" s="175" t="n">
        <v>0.83</v>
      </c>
      <c r="R2664" s="192">
        <f>J1706*Q1706</f>
        <v/>
      </c>
      <c r="S2664" s="172" t="inlineStr">
        <is>
          <t>AAA</t>
        </is>
      </c>
      <c r="T2664" s="175" t="n">
        <v>0.0165</v>
      </c>
      <c r="U2664" s="172" t="inlineStr">
        <is>
          <t>上银基金</t>
        </is>
      </c>
      <c r="V2664" s="191" t="n">
        <v>0.42</v>
      </c>
      <c r="W2664" s="175" t="n">
        <v>0.0165</v>
      </c>
      <c r="X2664" s="172" t="inlineStr">
        <is>
          <t>上银基金</t>
        </is>
      </c>
      <c r="Y2664" s="191" t="n">
        <v>0.66</v>
      </c>
    </row>
    <row r="2665">
      <c r="A2665" s="172" t="n">
        <v>142</v>
      </c>
      <c r="B2665" s="172" t="inlineStr">
        <is>
          <t>9月</t>
        </is>
      </c>
      <c r="C2665" s="172" t="inlineStr">
        <is>
          <t>企金</t>
        </is>
      </c>
      <c r="D2665" s="172" t="inlineStr">
        <is>
          <t>小贷企业主贷</t>
        </is>
      </c>
      <c r="E2665" s="172" t="inlineStr">
        <is>
          <t>盛赢4-5</t>
        </is>
      </c>
      <c r="F2665" s="172" t="inlineStr">
        <is>
          <t>上交所</t>
        </is>
      </c>
      <c r="G2665" s="172" t="inlineStr">
        <is>
          <t>财通资管</t>
        </is>
      </c>
      <c r="H2665" s="172" t="inlineStr">
        <is>
          <t>华福证券</t>
        </is>
      </c>
      <c r="I2665" s="172" t="inlineStr">
        <is>
          <t>招行北分</t>
        </is>
      </c>
      <c r="J2665" s="172" t="n">
        <v>8</v>
      </c>
      <c r="K2665" s="172" t="inlineStr">
        <is>
          <t>9+24</t>
        </is>
      </c>
      <c r="L2665" s="202" t="n">
        <v>46269</v>
      </c>
      <c r="M2665" s="175" t="n">
        <v>0.0148</v>
      </c>
      <c r="N2665" s="176" t="n">
        <v>0.0194</v>
      </c>
      <c r="O2665" s="191" t="n">
        <v>2.54</v>
      </c>
      <c r="P2665" s="172" t="inlineStr">
        <is>
          <t>优先A</t>
        </is>
      </c>
      <c r="Q2665" s="175" t="n">
        <v>0.83</v>
      </c>
      <c r="R2665" s="192">
        <f>J1706*Q1706</f>
        <v/>
      </c>
      <c r="S2665" s="172" t="inlineStr">
        <is>
          <t>AAA</t>
        </is>
      </c>
      <c r="T2665" s="175" t="n">
        <v>0.0165</v>
      </c>
      <c r="U2665" s="172" t="inlineStr">
        <is>
          <t>盛际小贷</t>
        </is>
      </c>
      <c r="V2665" s="191" t="n">
        <v>0.34</v>
      </c>
      <c r="W2665" s="175" t="n">
        <v>0.01</v>
      </c>
      <c r="X2665" s="172" t="inlineStr">
        <is>
          <t>盛际小贷</t>
        </is>
      </c>
      <c r="Y2665" s="191" t="n">
        <v>0.34</v>
      </c>
    </row>
    <row r="2666">
      <c r="A2666" s="172" t="n">
        <v>142</v>
      </c>
      <c r="B2666" s="172" t="inlineStr">
        <is>
          <t>9月</t>
        </is>
      </c>
      <c r="C2666" s="172" t="inlineStr">
        <is>
          <t>企金</t>
        </is>
      </c>
      <c r="D2666" s="172" t="inlineStr">
        <is>
          <t>小贷企业主贷</t>
        </is>
      </c>
      <c r="E2666" s="172" t="inlineStr">
        <is>
          <t>盛赢4-5</t>
        </is>
      </c>
      <c r="F2666" s="172" t="inlineStr">
        <is>
          <t>上交所</t>
        </is>
      </c>
      <c r="G2666" s="172" t="inlineStr">
        <is>
          <t>财通资管</t>
        </is>
      </c>
      <c r="H2666" s="172" t="inlineStr">
        <is>
          <t>华福证券</t>
        </is>
      </c>
      <c r="I2666" s="172" t="inlineStr">
        <is>
          <t>招行北分</t>
        </is>
      </c>
      <c r="J2666" s="172" t="n">
        <v>8</v>
      </c>
      <c r="K2666" s="172" t="inlineStr">
        <is>
          <t>9+24</t>
        </is>
      </c>
      <c r="L2666" s="208" t="n">
        <v>46269</v>
      </c>
      <c r="M2666" s="175" t="n">
        <v>0.0148</v>
      </c>
      <c r="N2666" s="176" t="n">
        <v>0.0194</v>
      </c>
      <c r="O2666" s="172" t="n">
        <v>2.54</v>
      </c>
      <c r="P2666" s="172" t="inlineStr">
        <is>
          <t>优先A</t>
        </is>
      </c>
      <c r="Q2666" s="175" t="n">
        <v>0.83</v>
      </c>
      <c r="R2666" s="172">
        <f>J1706*Q1706</f>
        <v/>
      </c>
      <c r="S2666" s="172" t="inlineStr">
        <is>
          <t>AAA</t>
        </is>
      </c>
      <c r="T2666" s="175" t="n">
        <v>0.0165</v>
      </c>
      <c r="U2666" s="172" t="n"/>
      <c r="V2666" s="172" t="n"/>
      <c r="W2666" s="175" t="n">
        <v>0.0165</v>
      </c>
      <c r="X2666" s="172" t="inlineStr">
        <is>
          <t>中信投顾</t>
        </is>
      </c>
      <c r="Y2666" s="191" t="n">
        <v>0.8</v>
      </c>
    </row>
    <row r="2667">
      <c r="A2667" s="172" t="n">
        <v>142</v>
      </c>
      <c r="B2667" s="172" t="inlineStr">
        <is>
          <t>9月</t>
        </is>
      </c>
      <c r="C2667" s="172" t="inlineStr">
        <is>
          <t>企金</t>
        </is>
      </c>
      <c r="D2667" s="172" t="inlineStr">
        <is>
          <t>小贷企业主贷</t>
        </is>
      </c>
      <c r="E2667" s="172" t="inlineStr">
        <is>
          <t>盛赢4-5</t>
        </is>
      </c>
      <c r="F2667" s="172" t="inlineStr">
        <is>
          <t>上交所</t>
        </is>
      </c>
      <c r="G2667" s="172" t="inlineStr">
        <is>
          <t>财通资管</t>
        </is>
      </c>
      <c r="H2667" s="172" t="inlineStr">
        <is>
          <t>华福证券</t>
        </is>
      </c>
      <c r="I2667" s="172" t="inlineStr">
        <is>
          <t>招行北分</t>
        </is>
      </c>
      <c r="J2667" s="172" t="n">
        <v>8</v>
      </c>
      <c r="K2667" s="172" t="inlineStr">
        <is>
          <t>9+24</t>
        </is>
      </c>
      <c r="L2667" s="208" t="n">
        <v>46269</v>
      </c>
      <c r="M2667" s="175" t="n">
        <v>0.0148</v>
      </c>
      <c r="N2667" s="176" t="n">
        <v>0.0194</v>
      </c>
      <c r="O2667" s="172" t="n">
        <v>2.54</v>
      </c>
      <c r="P2667" s="172" t="inlineStr">
        <is>
          <t>优先A</t>
        </is>
      </c>
      <c r="Q2667" s="175" t="n">
        <v>0.83</v>
      </c>
      <c r="R2667" s="172">
        <f>J1706*Q1706</f>
        <v/>
      </c>
      <c r="S2667" s="172" t="inlineStr">
        <is>
          <t>AAA</t>
        </is>
      </c>
      <c r="T2667" s="175" t="n">
        <v>0.0165</v>
      </c>
      <c r="U2667" s="172" t="n"/>
      <c r="V2667" s="172" t="n"/>
      <c r="W2667" s="175" t="n">
        <v>0.0166</v>
      </c>
      <c r="X2667" s="172" t="inlineStr">
        <is>
          <t>中信投顾</t>
        </is>
      </c>
      <c r="Y2667" s="191" t="n">
        <v>0.7</v>
      </c>
    </row>
    <row r="2668">
      <c r="A2668" s="172" t="n">
        <v>142</v>
      </c>
      <c r="B2668" s="172" t="inlineStr">
        <is>
          <t>9月</t>
        </is>
      </c>
      <c r="C2668" s="172" t="inlineStr">
        <is>
          <t>企金</t>
        </is>
      </c>
      <c r="D2668" s="172" t="inlineStr">
        <is>
          <t>小贷企业主贷</t>
        </is>
      </c>
      <c r="E2668" s="172" t="inlineStr">
        <is>
          <t>盛赢4-5</t>
        </is>
      </c>
      <c r="F2668" s="172" t="inlineStr">
        <is>
          <t>上交所</t>
        </is>
      </c>
      <c r="G2668" s="172" t="inlineStr">
        <is>
          <t>财通资管</t>
        </is>
      </c>
      <c r="H2668" s="172" t="inlineStr">
        <is>
          <t>华福证券</t>
        </is>
      </c>
      <c r="I2668" s="172" t="inlineStr">
        <is>
          <t>招行北分</t>
        </is>
      </c>
      <c r="J2668" s="172" t="n">
        <v>8</v>
      </c>
      <c r="K2668" s="172" t="inlineStr">
        <is>
          <t>9+24</t>
        </is>
      </c>
      <c r="L2668" s="208" t="n">
        <v>46269</v>
      </c>
      <c r="M2668" s="175" t="n">
        <v>0.0148</v>
      </c>
      <c r="N2668" s="176" t="n">
        <v>0.0194</v>
      </c>
      <c r="O2668" s="172" t="n">
        <v>2.54</v>
      </c>
      <c r="P2668" s="172" t="inlineStr">
        <is>
          <t>优先A</t>
        </is>
      </c>
      <c r="Q2668" s="175" t="n">
        <v>0.83</v>
      </c>
      <c r="R2668" s="172">
        <f>J1706*Q1706</f>
        <v/>
      </c>
      <c r="S2668" s="172" t="inlineStr">
        <is>
          <t>AAA</t>
        </is>
      </c>
      <c r="T2668" s="175" t="n">
        <v>0.0165</v>
      </c>
      <c r="U2668" s="172" t="n"/>
      <c r="V2668" s="172" t="n"/>
      <c r="W2668" s="175" t="n">
        <v>0.0168</v>
      </c>
      <c r="X2668" s="172" t="inlineStr">
        <is>
          <t>易方达</t>
        </is>
      </c>
      <c r="Y2668" s="191" t="n">
        <v>0.6</v>
      </c>
    </row>
    <row r="2669">
      <c r="A2669" s="172" t="n">
        <v>142</v>
      </c>
      <c r="B2669" s="172" t="inlineStr">
        <is>
          <t>9月</t>
        </is>
      </c>
      <c r="C2669" s="172" t="inlineStr">
        <is>
          <t>企金</t>
        </is>
      </c>
      <c r="D2669" s="172" t="inlineStr">
        <is>
          <t>小贷企业主贷</t>
        </is>
      </c>
      <c r="E2669" s="172" t="inlineStr">
        <is>
          <t>盛赢4-5</t>
        </is>
      </c>
      <c r="F2669" s="172" t="inlineStr">
        <is>
          <t>上交所</t>
        </is>
      </c>
      <c r="G2669" s="172" t="inlineStr">
        <is>
          <t>财通资管</t>
        </is>
      </c>
      <c r="H2669" s="172" t="inlineStr">
        <is>
          <t>华福证券</t>
        </is>
      </c>
      <c r="I2669" s="172" t="inlineStr">
        <is>
          <t>招行北分</t>
        </is>
      </c>
      <c r="J2669" s="172" t="n">
        <v>8</v>
      </c>
      <c r="K2669" s="172" t="inlineStr">
        <is>
          <t>9+24</t>
        </is>
      </c>
      <c r="L2669" s="208" t="n">
        <v>46269</v>
      </c>
      <c r="M2669" s="175" t="n">
        <v>0.0148</v>
      </c>
      <c r="N2669" s="176" t="n">
        <v>0.0194</v>
      </c>
      <c r="O2669" s="172" t="n">
        <v>2.54</v>
      </c>
      <c r="P2669" s="172" t="inlineStr">
        <is>
          <t>优先A</t>
        </is>
      </c>
      <c r="Q2669" s="175" t="n">
        <v>0.83</v>
      </c>
      <c r="R2669" s="172">
        <f>J1706*Q1706</f>
        <v/>
      </c>
      <c r="S2669" s="172" t="inlineStr">
        <is>
          <t>AAA</t>
        </is>
      </c>
      <c r="T2669" s="175" t="n">
        <v>0.0165</v>
      </c>
      <c r="U2669" s="172" t="n"/>
      <c r="V2669" s="172" t="n"/>
      <c r="W2669" s="175" t="n">
        <v>0.017</v>
      </c>
      <c r="X2669" s="172" t="inlineStr">
        <is>
          <t>易方达</t>
        </is>
      </c>
      <c r="Y2669" s="191" t="n">
        <v>1.364</v>
      </c>
    </row>
    <row r="2670">
      <c r="A2670" s="172" t="n">
        <v>142</v>
      </c>
      <c r="B2670" s="172" t="inlineStr">
        <is>
          <t>9月</t>
        </is>
      </c>
      <c r="C2670" s="172" t="inlineStr">
        <is>
          <t>企金</t>
        </is>
      </c>
      <c r="D2670" s="172" t="inlineStr">
        <is>
          <t>小贷企业主贷</t>
        </is>
      </c>
      <c r="E2670" s="172" t="inlineStr">
        <is>
          <t>盛赢4-5</t>
        </is>
      </c>
      <c r="F2670" s="172" t="inlineStr">
        <is>
          <t>上交所</t>
        </is>
      </c>
      <c r="G2670" s="172" t="inlineStr">
        <is>
          <t>财通资管</t>
        </is>
      </c>
      <c r="H2670" s="172" t="inlineStr">
        <is>
          <t>华福证券</t>
        </is>
      </c>
      <c r="I2670" s="172" t="inlineStr">
        <is>
          <t>招行北分</t>
        </is>
      </c>
      <c r="J2670" s="172" t="n">
        <v>8</v>
      </c>
      <c r="K2670" s="172" t="inlineStr">
        <is>
          <t>9+24</t>
        </is>
      </c>
      <c r="L2670" s="208" t="n">
        <v>46269</v>
      </c>
      <c r="M2670" s="175" t="n">
        <v>0.0148</v>
      </c>
      <c r="N2670" s="176" t="n">
        <v>0.0194</v>
      </c>
      <c r="O2670" s="172" t="n">
        <v>2.54</v>
      </c>
      <c r="P2670" s="172" t="inlineStr">
        <is>
          <t>优先A</t>
        </is>
      </c>
      <c r="Q2670" s="175" t="n">
        <v>0.83</v>
      </c>
      <c r="R2670" s="172">
        <f>J1706*Q1706</f>
        <v/>
      </c>
      <c r="S2670" s="172" t="inlineStr">
        <is>
          <t>AAA</t>
        </is>
      </c>
      <c r="T2670" s="175" t="n">
        <v>0.0165</v>
      </c>
      <c r="U2670" s="172" t="n"/>
      <c r="V2670" s="172" t="n"/>
      <c r="W2670" s="175" t="n">
        <v>0.017</v>
      </c>
      <c r="X2670" s="172" t="inlineStr">
        <is>
          <t>利曦基金</t>
        </is>
      </c>
      <c r="Y2670" s="191" t="n">
        <v>2</v>
      </c>
    </row>
    <row r="2671">
      <c r="A2671" s="172" t="n">
        <v>142</v>
      </c>
      <c r="B2671" s="172" t="inlineStr">
        <is>
          <t>9月</t>
        </is>
      </c>
      <c r="C2671" s="172" t="inlineStr">
        <is>
          <t>企金</t>
        </is>
      </c>
      <c r="D2671" s="172" t="inlineStr">
        <is>
          <t>小贷企业主贷</t>
        </is>
      </c>
      <c r="E2671" s="172" t="inlineStr">
        <is>
          <t>盛赢4-5</t>
        </is>
      </c>
      <c r="F2671" s="172" t="inlineStr">
        <is>
          <t>上交所</t>
        </is>
      </c>
      <c r="G2671" s="172" t="inlineStr">
        <is>
          <t>财通资管</t>
        </is>
      </c>
      <c r="H2671" s="172" t="inlineStr">
        <is>
          <t>华福证券</t>
        </is>
      </c>
      <c r="I2671" s="172" t="inlineStr">
        <is>
          <t>招行北分</t>
        </is>
      </c>
      <c r="J2671" s="172" t="n">
        <v>8</v>
      </c>
      <c r="K2671" s="172" t="inlineStr">
        <is>
          <t>9+24</t>
        </is>
      </c>
      <c r="L2671" s="208" t="n">
        <v>46269</v>
      </c>
      <c r="M2671" s="175" t="n">
        <v>0.0148</v>
      </c>
      <c r="N2671" s="176" t="n">
        <v>0.0194</v>
      </c>
      <c r="O2671" s="172" t="n">
        <v>2.54</v>
      </c>
      <c r="P2671" s="172" t="inlineStr">
        <is>
          <t>优先A</t>
        </is>
      </c>
      <c r="Q2671" s="175" t="n">
        <v>0.83</v>
      </c>
      <c r="R2671" s="172">
        <f>J1706*Q1706</f>
        <v/>
      </c>
      <c r="S2671" s="172" t="inlineStr">
        <is>
          <t>AAA</t>
        </is>
      </c>
      <c r="T2671" s="175" t="n">
        <v>0.0165</v>
      </c>
      <c r="U2671" s="172" t="n"/>
      <c r="V2671" s="172" t="n"/>
      <c r="W2671" s="175" t="n">
        <v>0.0175</v>
      </c>
      <c r="X2671" s="172" t="inlineStr">
        <is>
          <t>财通资管</t>
        </is>
      </c>
      <c r="Y2671" s="191" t="n">
        <v>1.1</v>
      </c>
    </row>
    <row r="2672">
      <c r="A2672" s="172" t="n">
        <v>142</v>
      </c>
      <c r="B2672" s="172" t="inlineStr">
        <is>
          <t>9月</t>
        </is>
      </c>
      <c r="C2672" s="172" t="inlineStr">
        <is>
          <t>企金</t>
        </is>
      </c>
      <c r="D2672" s="172" t="inlineStr">
        <is>
          <t>小贷企业主贷</t>
        </is>
      </c>
      <c r="E2672" s="172" t="inlineStr">
        <is>
          <t>盛赢4-5</t>
        </is>
      </c>
      <c r="F2672" s="172" t="inlineStr">
        <is>
          <t>上交所</t>
        </is>
      </c>
      <c r="G2672" s="172" t="inlineStr">
        <is>
          <t>财通资管</t>
        </is>
      </c>
      <c r="H2672" s="172" t="inlineStr">
        <is>
          <t>华福证券</t>
        </is>
      </c>
      <c r="I2672" s="172" t="inlineStr">
        <is>
          <t>招行北分</t>
        </is>
      </c>
      <c r="J2672" s="172" t="n">
        <v>8</v>
      </c>
      <c r="K2672" s="172" t="inlineStr">
        <is>
          <t>9+24</t>
        </is>
      </c>
      <c r="L2672" s="208" t="n">
        <v>46269</v>
      </c>
      <c r="M2672" s="175" t="n">
        <v>0.0148</v>
      </c>
      <c r="N2672" s="176" t="n">
        <v>0.0194</v>
      </c>
      <c r="O2672" s="172" t="n">
        <v>2.54</v>
      </c>
      <c r="P2672" s="172" t="inlineStr">
        <is>
          <t>优先A</t>
        </is>
      </c>
      <c r="Q2672" s="175" t="n">
        <v>0.83</v>
      </c>
      <c r="R2672" s="172">
        <f>J1706*Q1706</f>
        <v/>
      </c>
      <c r="S2672" s="172" t="inlineStr">
        <is>
          <t>AAA</t>
        </is>
      </c>
      <c r="T2672" s="175" t="n">
        <v>0.0165</v>
      </c>
      <c r="U2672" s="172" t="n"/>
      <c r="V2672" s="172" t="n"/>
      <c r="W2672" s="175" t="n">
        <v>0.0175</v>
      </c>
      <c r="X2672" s="172" t="inlineStr">
        <is>
          <t>国信证券</t>
        </is>
      </c>
      <c r="Y2672" s="191" t="n">
        <v>0.5</v>
      </c>
    </row>
    <row r="2673">
      <c r="A2673" s="172" t="n">
        <v>142</v>
      </c>
      <c r="B2673" s="172" t="inlineStr">
        <is>
          <t>9月</t>
        </is>
      </c>
      <c r="C2673" s="172" t="inlineStr">
        <is>
          <t>企金</t>
        </is>
      </c>
      <c r="D2673" s="172" t="inlineStr">
        <is>
          <t>小贷企业主贷</t>
        </is>
      </c>
      <c r="E2673" s="172" t="inlineStr">
        <is>
          <t>盛赢4-5</t>
        </is>
      </c>
      <c r="F2673" s="172" t="inlineStr">
        <is>
          <t>上交所</t>
        </is>
      </c>
      <c r="G2673" s="172" t="inlineStr">
        <is>
          <t>财通资管</t>
        </is>
      </c>
      <c r="H2673" s="172" t="inlineStr">
        <is>
          <t>华福证券</t>
        </is>
      </c>
      <c r="I2673" s="172" t="inlineStr">
        <is>
          <t>招行北分</t>
        </is>
      </c>
      <c r="J2673" s="172" t="n">
        <v>8</v>
      </c>
      <c r="K2673" s="172" t="inlineStr">
        <is>
          <t>9+24</t>
        </is>
      </c>
      <c r="L2673" s="208" t="n">
        <v>46269</v>
      </c>
      <c r="M2673" s="175" t="n">
        <v>0.0148</v>
      </c>
      <c r="N2673" s="176" t="n">
        <v>0.0194</v>
      </c>
      <c r="O2673" s="172" t="n">
        <v>2.54</v>
      </c>
      <c r="P2673" s="172" t="inlineStr">
        <is>
          <t>优先A</t>
        </is>
      </c>
      <c r="Q2673" s="175" t="n">
        <v>0.83</v>
      </c>
      <c r="R2673" s="172">
        <f>J1706*Q1706</f>
        <v/>
      </c>
      <c r="S2673" s="172" t="inlineStr">
        <is>
          <t>AAA</t>
        </is>
      </c>
      <c r="T2673" s="175" t="n">
        <v>0.0165</v>
      </c>
      <c r="U2673" s="172" t="n"/>
      <c r="V2673" s="172" t="n"/>
      <c r="W2673" s="175" t="n">
        <v>0.0175</v>
      </c>
      <c r="X2673" s="172" t="inlineStr">
        <is>
          <t>首创证券</t>
        </is>
      </c>
      <c r="Y2673" s="191" t="n">
        <v>0.5</v>
      </c>
    </row>
    <row r="2674">
      <c r="A2674" s="172" t="n">
        <v>142</v>
      </c>
      <c r="B2674" s="172" t="inlineStr">
        <is>
          <t>9月</t>
        </is>
      </c>
      <c r="C2674" s="172" t="inlineStr">
        <is>
          <t>企金</t>
        </is>
      </c>
      <c r="D2674" s="172" t="inlineStr">
        <is>
          <t>小贷企业主贷</t>
        </is>
      </c>
      <c r="E2674" s="172" t="inlineStr">
        <is>
          <t>盛赢4-5</t>
        </is>
      </c>
      <c r="F2674" s="172" t="inlineStr">
        <is>
          <t>上交所</t>
        </is>
      </c>
      <c r="G2674" s="172" t="inlineStr">
        <is>
          <t>财通资管</t>
        </is>
      </c>
      <c r="H2674" s="172" t="inlineStr">
        <is>
          <t>华福证券</t>
        </is>
      </c>
      <c r="I2674" s="172" t="inlineStr">
        <is>
          <t>招行北分</t>
        </is>
      </c>
      <c r="J2674" s="172" t="n">
        <v>8</v>
      </c>
      <c r="K2674" s="172" t="inlineStr">
        <is>
          <t>9+24</t>
        </is>
      </c>
      <c r="L2674" s="208" t="n">
        <v>46269</v>
      </c>
      <c r="M2674" s="175" t="n">
        <v>0.0148</v>
      </c>
      <c r="N2674" s="176" t="n">
        <v>0.0194</v>
      </c>
      <c r="O2674" s="172" t="n">
        <v>2.54</v>
      </c>
      <c r="P2674" s="172" t="inlineStr">
        <is>
          <t>优先A</t>
        </is>
      </c>
      <c r="Q2674" s="175" t="n">
        <v>0.83</v>
      </c>
      <c r="R2674" s="172">
        <f>J1706*Q1706</f>
        <v/>
      </c>
      <c r="S2674" s="172" t="inlineStr">
        <is>
          <t>AAA</t>
        </is>
      </c>
      <c r="T2674" s="175" t="n">
        <v>0.0165</v>
      </c>
      <c r="U2674" s="172" t="n"/>
      <c r="V2674" s="172" t="n"/>
      <c r="W2674" s="175" t="n">
        <v>0.0175</v>
      </c>
      <c r="X2674" s="172" t="inlineStr">
        <is>
          <t>广银理财</t>
        </is>
      </c>
      <c r="Y2674" s="191" t="n">
        <v>1.8</v>
      </c>
    </row>
    <row r="2675">
      <c r="A2675" s="172" t="n">
        <v>142</v>
      </c>
      <c r="B2675" s="172" t="inlineStr">
        <is>
          <t>9月</t>
        </is>
      </c>
      <c r="C2675" s="172" t="inlineStr">
        <is>
          <t>企金</t>
        </is>
      </c>
      <c r="D2675" s="172" t="inlineStr">
        <is>
          <t>小贷企业主贷</t>
        </is>
      </c>
      <c r="E2675" s="172" t="inlineStr">
        <is>
          <t>盛赢4-5</t>
        </is>
      </c>
      <c r="F2675" s="172" t="inlineStr">
        <is>
          <t>上交所</t>
        </is>
      </c>
      <c r="G2675" s="172" t="inlineStr">
        <is>
          <t>财通资管</t>
        </is>
      </c>
      <c r="H2675" s="172" t="inlineStr">
        <is>
          <t>华福证券</t>
        </is>
      </c>
      <c r="I2675" s="172" t="inlineStr">
        <is>
          <t>招行北分</t>
        </is>
      </c>
      <c r="J2675" s="172" t="n">
        <v>8</v>
      </c>
      <c r="K2675" s="172" t="inlineStr">
        <is>
          <t>9+24</t>
        </is>
      </c>
      <c r="L2675" s="208" t="n">
        <v>46269</v>
      </c>
      <c r="M2675" s="175" t="n">
        <v>0.0148</v>
      </c>
      <c r="N2675" s="176" t="n">
        <v>0.0194</v>
      </c>
      <c r="O2675" s="172" t="n">
        <v>2.54</v>
      </c>
      <c r="P2675" s="172" t="inlineStr">
        <is>
          <t>优先A</t>
        </is>
      </c>
      <c r="Q2675" s="175" t="n">
        <v>0.83</v>
      </c>
      <c r="R2675" s="172">
        <f>J1706*Q1706</f>
        <v/>
      </c>
      <c r="S2675" s="172" t="inlineStr">
        <is>
          <t>AAA</t>
        </is>
      </c>
      <c r="T2675" s="175" t="n">
        <v>0.0165</v>
      </c>
      <c r="U2675" s="172" t="n"/>
      <c r="V2675" s="172" t="n"/>
      <c r="W2675" s="175" t="n">
        <v>0.0177</v>
      </c>
      <c r="X2675" s="172" t="inlineStr">
        <is>
          <t>建信信托</t>
        </is>
      </c>
      <c r="Y2675" s="191" t="n">
        <v>0.5</v>
      </c>
    </row>
    <row r="2676">
      <c r="A2676" s="172" t="n">
        <v>142</v>
      </c>
      <c r="B2676" s="172" t="inlineStr">
        <is>
          <t>9月</t>
        </is>
      </c>
      <c r="C2676" s="172" t="inlineStr">
        <is>
          <t>企金</t>
        </is>
      </c>
      <c r="D2676" s="172" t="inlineStr">
        <is>
          <t>小贷企业主贷</t>
        </is>
      </c>
      <c r="E2676" s="172" t="inlineStr">
        <is>
          <t>盛赢4-5</t>
        </is>
      </c>
      <c r="F2676" s="172" t="inlineStr">
        <is>
          <t>上交所</t>
        </is>
      </c>
      <c r="G2676" s="172" t="inlineStr">
        <is>
          <t>财通资管</t>
        </is>
      </c>
      <c r="H2676" s="172" t="inlineStr">
        <is>
          <t>华福证券</t>
        </is>
      </c>
      <c r="I2676" s="172" t="inlineStr">
        <is>
          <t>招行北分</t>
        </is>
      </c>
      <c r="J2676" s="172" t="n">
        <v>8</v>
      </c>
      <c r="K2676" s="172" t="inlineStr">
        <is>
          <t>9+24</t>
        </is>
      </c>
      <c r="L2676" s="208" t="n">
        <v>46269</v>
      </c>
      <c r="M2676" s="175" t="n">
        <v>0.0148</v>
      </c>
      <c r="N2676" s="176" t="n">
        <v>0.0194</v>
      </c>
      <c r="O2676" s="172" t="n">
        <v>2.54</v>
      </c>
      <c r="P2676" s="172" t="inlineStr">
        <is>
          <t>优先A</t>
        </is>
      </c>
      <c r="Q2676" s="175" t="n">
        <v>0.83</v>
      </c>
      <c r="R2676" s="172">
        <f>J1706*Q1706</f>
        <v/>
      </c>
      <c r="S2676" s="172" t="inlineStr">
        <is>
          <t>AAA</t>
        </is>
      </c>
      <c r="T2676" s="175" t="n">
        <v>0.0165</v>
      </c>
      <c r="U2676" s="172" t="n"/>
      <c r="V2676" s="172" t="n"/>
      <c r="W2676" s="175" t="n">
        <v>0.0185</v>
      </c>
      <c r="X2676" s="172" t="inlineStr">
        <is>
          <t>平安证券</t>
        </is>
      </c>
      <c r="Y2676" s="191" t="n">
        <v>0.5</v>
      </c>
    </row>
    <row r="2677">
      <c r="A2677" s="172" t="n">
        <v>142</v>
      </c>
      <c r="B2677" s="172" t="inlineStr">
        <is>
          <t>9月</t>
        </is>
      </c>
      <c r="C2677" s="172" t="inlineStr">
        <is>
          <t>企金</t>
        </is>
      </c>
      <c r="D2677" s="172" t="inlineStr">
        <is>
          <t>小贷企业主贷</t>
        </is>
      </c>
      <c r="E2677" s="172" t="inlineStr">
        <is>
          <t>盛赢4-5</t>
        </is>
      </c>
      <c r="F2677" s="172" t="inlineStr">
        <is>
          <t>上交所</t>
        </is>
      </c>
      <c r="G2677" s="172" t="inlineStr">
        <is>
          <t>财通资管</t>
        </is>
      </c>
      <c r="H2677" s="172" t="inlineStr">
        <is>
          <t>华福证券</t>
        </is>
      </c>
      <c r="I2677" s="172" t="inlineStr">
        <is>
          <t>招行北分</t>
        </is>
      </c>
      <c r="J2677" s="172" t="n">
        <v>8</v>
      </c>
      <c r="K2677" s="172" t="inlineStr">
        <is>
          <t>9+24</t>
        </is>
      </c>
      <c r="L2677" s="208" t="n">
        <v>46269</v>
      </c>
      <c r="M2677" s="175" t="n">
        <v>0.0148</v>
      </c>
      <c r="N2677" s="176" t="n">
        <v>0.0194</v>
      </c>
      <c r="O2677" s="172" t="n">
        <v>2.54</v>
      </c>
      <c r="P2677" s="172" t="inlineStr">
        <is>
          <t>优先A</t>
        </is>
      </c>
      <c r="Q2677" s="175" t="n">
        <v>0.83</v>
      </c>
      <c r="R2677" s="172">
        <f>J1706*Q1706</f>
        <v/>
      </c>
      <c r="S2677" s="172" t="inlineStr">
        <is>
          <t>AAA</t>
        </is>
      </c>
      <c r="T2677" s="175" t="n">
        <v>0.0165</v>
      </c>
      <c r="U2677" s="172" t="n"/>
      <c r="V2677" s="172" t="n"/>
      <c r="W2677" s="175" t="n">
        <v>0.024</v>
      </c>
      <c r="X2677" s="172" t="inlineStr">
        <is>
          <t>华福证券</t>
        </is>
      </c>
      <c r="Y2677" s="191" t="n">
        <v>0.5</v>
      </c>
    </row>
    <row r="2678">
      <c r="A2678" s="172" t="n">
        <v>142</v>
      </c>
      <c r="B2678" s="172" t="inlineStr">
        <is>
          <t>9月</t>
        </is>
      </c>
      <c r="C2678" s="172" t="inlineStr">
        <is>
          <t>企金</t>
        </is>
      </c>
      <c r="D2678" s="172" t="inlineStr">
        <is>
          <t>小贷企业主贷</t>
        </is>
      </c>
      <c r="E2678" s="172" t="inlineStr">
        <is>
          <t>盛赢4-5</t>
        </is>
      </c>
      <c r="F2678" s="172" t="inlineStr">
        <is>
          <t>上交所</t>
        </is>
      </c>
      <c r="G2678" s="172" t="inlineStr">
        <is>
          <t>财通资管</t>
        </is>
      </c>
      <c r="H2678" s="172" t="inlineStr">
        <is>
          <t>华福证券</t>
        </is>
      </c>
      <c r="I2678" s="172" t="inlineStr">
        <is>
          <t>招行北分</t>
        </is>
      </c>
      <c r="J2678" s="172" t="n">
        <v>8</v>
      </c>
      <c r="K2678" s="172" t="inlineStr">
        <is>
          <t>9+24</t>
        </is>
      </c>
      <c r="L2678" s="202" t="n">
        <v>46269</v>
      </c>
      <c r="M2678" s="175" t="n">
        <v>0.0148</v>
      </c>
      <c r="N2678" s="176" t="n">
        <v>0.0194</v>
      </c>
      <c r="O2678" s="191" t="n">
        <v>2.54</v>
      </c>
      <c r="P2678" s="172" t="inlineStr">
        <is>
          <t>优先B</t>
        </is>
      </c>
      <c r="Q2678" s="175" t="n">
        <v>0.05</v>
      </c>
      <c r="R2678" s="192">
        <f>J1706*Q1712</f>
        <v/>
      </c>
      <c r="S2678" s="175" t="inlineStr">
        <is>
          <t>AA+</t>
        </is>
      </c>
      <c r="T2678" s="175" t="n">
        <v>0.0185</v>
      </c>
      <c r="U2678" s="172" t="inlineStr">
        <is>
          <t>招银理财</t>
        </is>
      </c>
      <c r="V2678" s="191" t="n">
        <v>0.12</v>
      </c>
      <c r="W2678" s="175" t="n">
        <v>0.017</v>
      </c>
      <c r="X2678" s="172" t="inlineStr">
        <is>
          <t>招银理财</t>
        </is>
      </c>
      <c r="Y2678" s="191" t="n">
        <v>0.12</v>
      </c>
    </row>
    <row r="2679">
      <c r="A2679" s="172" t="n">
        <v>142</v>
      </c>
      <c r="B2679" s="172" t="inlineStr">
        <is>
          <t>9月</t>
        </is>
      </c>
      <c r="C2679" s="172" t="inlineStr">
        <is>
          <t>企金</t>
        </is>
      </c>
      <c r="D2679" s="172" t="inlineStr">
        <is>
          <t>小贷企业主贷</t>
        </is>
      </c>
      <c r="E2679" s="172" t="inlineStr">
        <is>
          <t>盛赢4-5</t>
        </is>
      </c>
      <c r="F2679" s="172" t="inlineStr">
        <is>
          <t>上交所</t>
        </is>
      </c>
      <c r="G2679" s="172" t="inlineStr">
        <is>
          <t>财通资管</t>
        </is>
      </c>
      <c r="H2679" s="172" t="inlineStr">
        <is>
          <t>华福证券</t>
        </is>
      </c>
      <c r="I2679" s="172" t="inlineStr">
        <is>
          <t>招行北分</t>
        </is>
      </c>
      <c r="J2679" s="172" t="n">
        <v>8</v>
      </c>
      <c r="K2679" s="172" t="inlineStr">
        <is>
          <t>9+24</t>
        </is>
      </c>
      <c r="L2679" s="202" t="n">
        <v>46269</v>
      </c>
      <c r="M2679" s="175" t="n">
        <v>0.0148</v>
      </c>
      <c r="N2679" s="176" t="n">
        <v>0.0194</v>
      </c>
      <c r="O2679" s="191" t="n">
        <v>2.54</v>
      </c>
      <c r="P2679" s="172" t="inlineStr">
        <is>
          <t>优先B</t>
        </is>
      </c>
      <c r="Q2679" s="175" t="n">
        <v>0.05</v>
      </c>
      <c r="R2679" s="192">
        <f>J1706*Q1712</f>
        <v/>
      </c>
      <c r="S2679" s="175" t="inlineStr">
        <is>
          <t>AA+</t>
        </is>
      </c>
      <c r="T2679" s="175" t="n">
        <v>0.0185</v>
      </c>
      <c r="U2679" s="172" t="inlineStr">
        <is>
          <t>申万投顾</t>
        </is>
      </c>
      <c r="V2679" s="191" t="n">
        <v>0.1</v>
      </c>
      <c r="W2679" s="175" t="n">
        <v>0.0183</v>
      </c>
      <c r="X2679" s="172" t="inlineStr">
        <is>
          <t>申万投顾</t>
        </is>
      </c>
      <c r="Y2679" s="191" t="n">
        <v>0.1</v>
      </c>
    </row>
    <row r="2680">
      <c r="A2680" s="172" t="n">
        <v>142</v>
      </c>
      <c r="B2680" s="172" t="inlineStr">
        <is>
          <t>9月</t>
        </is>
      </c>
      <c r="C2680" s="172" t="inlineStr">
        <is>
          <t>企金</t>
        </is>
      </c>
      <c r="D2680" s="172" t="inlineStr">
        <is>
          <t>小贷企业主贷</t>
        </is>
      </c>
      <c r="E2680" s="172" t="inlineStr">
        <is>
          <t>盛赢4-5</t>
        </is>
      </c>
      <c r="F2680" s="172" t="inlineStr">
        <is>
          <t>上交所</t>
        </is>
      </c>
      <c r="G2680" s="172" t="inlineStr">
        <is>
          <t>财通资管</t>
        </is>
      </c>
      <c r="H2680" s="172" t="inlineStr">
        <is>
          <t>华福证券</t>
        </is>
      </c>
      <c r="I2680" s="172" t="inlineStr">
        <is>
          <t>招行北分</t>
        </is>
      </c>
      <c r="J2680" s="172" t="n">
        <v>8</v>
      </c>
      <c r="K2680" s="172" t="inlineStr">
        <is>
          <t>9+24</t>
        </is>
      </c>
      <c r="L2680" s="202" t="n">
        <v>46269</v>
      </c>
      <c r="M2680" s="175" t="n">
        <v>0.0148</v>
      </c>
      <c r="N2680" s="176" t="n">
        <v>0.0194</v>
      </c>
      <c r="O2680" s="191" t="n">
        <v>2.54</v>
      </c>
      <c r="P2680" s="172" t="inlineStr">
        <is>
          <t>优先B</t>
        </is>
      </c>
      <c r="Q2680" s="175" t="n">
        <v>0.05</v>
      </c>
      <c r="R2680" s="192">
        <f>J1706*Q1712</f>
        <v/>
      </c>
      <c r="S2680" s="175" t="inlineStr">
        <is>
          <t>AA+</t>
        </is>
      </c>
      <c r="T2680" s="175" t="n">
        <v>0.0185</v>
      </c>
      <c r="U2680" s="172" t="inlineStr">
        <is>
          <t>中信证券投顾</t>
        </is>
      </c>
      <c r="V2680" s="191" t="n">
        <v>0.06</v>
      </c>
      <c r="W2680" s="175" t="n">
        <v>0.019</v>
      </c>
      <c r="X2680" s="172" t="inlineStr">
        <is>
          <t>中信证券</t>
        </is>
      </c>
      <c r="Y2680" s="191" t="n">
        <v>0.1</v>
      </c>
    </row>
    <row r="2681">
      <c r="A2681" s="172" t="n">
        <v>142</v>
      </c>
      <c r="B2681" s="172" t="inlineStr">
        <is>
          <t>9月</t>
        </is>
      </c>
      <c r="C2681" s="172" t="inlineStr">
        <is>
          <t>企金</t>
        </is>
      </c>
      <c r="D2681" s="172" t="inlineStr">
        <is>
          <t>小贷企业主贷</t>
        </is>
      </c>
      <c r="E2681" s="172" t="inlineStr">
        <is>
          <t>盛赢4-5</t>
        </is>
      </c>
      <c r="F2681" s="172" t="inlineStr">
        <is>
          <t>上交所</t>
        </is>
      </c>
      <c r="G2681" s="172" t="inlineStr">
        <is>
          <t>财通资管</t>
        </is>
      </c>
      <c r="H2681" s="172" t="inlineStr">
        <is>
          <t>华福证券</t>
        </is>
      </c>
      <c r="I2681" s="172" t="inlineStr">
        <is>
          <t>招行北分</t>
        </is>
      </c>
      <c r="J2681" s="172" t="n">
        <v>8</v>
      </c>
      <c r="K2681" s="172" t="inlineStr">
        <is>
          <t>9+24</t>
        </is>
      </c>
      <c r="L2681" s="202" t="n">
        <v>46269</v>
      </c>
      <c r="M2681" s="175" t="n">
        <v>0.0148</v>
      </c>
      <c r="N2681" s="176" t="n">
        <v>0.0194</v>
      </c>
      <c r="O2681" s="191" t="n">
        <v>2.54</v>
      </c>
      <c r="P2681" s="172" t="inlineStr">
        <is>
          <t>优先B</t>
        </is>
      </c>
      <c r="Q2681" s="175" t="n">
        <v>0.05</v>
      </c>
      <c r="R2681" s="192">
        <f>J1706*Q1712</f>
        <v/>
      </c>
      <c r="S2681" s="175" t="inlineStr">
        <is>
          <t>AA+</t>
        </is>
      </c>
      <c r="T2681" s="175" t="n">
        <v>0.0185</v>
      </c>
      <c r="U2681" s="172" t="inlineStr">
        <is>
          <t>利曦基金</t>
        </is>
      </c>
      <c r="V2681" s="191" t="n">
        <v>0.1</v>
      </c>
      <c r="W2681" s="175" t="n">
        <v>0.0185</v>
      </c>
      <c r="X2681" s="172" t="inlineStr">
        <is>
          <t>利曦基金</t>
        </is>
      </c>
      <c r="Y2681" s="191" t="n">
        <v>0.1</v>
      </c>
    </row>
    <row r="2682">
      <c r="A2682" s="172" t="n">
        <v>142</v>
      </c>
      <c r="B2682" s="172" t="inlineStr">
        <is>
          <t>9月</t>
        </is>
      </c>
      <c r="C2682" s="172" t="inlineStr">
        <is>
          <t>企金</t>
        </is>
      </c>
      <c r="D2682" s="172" t="inlineStr">
        <is>
          <t>小贷企业主贷</t>
        </is>
      </c>
      <c r="E2682" s="172" t="inlineStr">
        <is>
          <t>盛赢4-5</t>
        </is>
      </c>
      <c r="F2682" s="172" t="inlineStr">
        <is>
          <t>上交所</t>
        </is>
      </c>
      <c r="G2682" s="172" t="inlineStr">
        <is>
          <t>财通资管</t>
        </is>
      </c>
      <c r="H2682" s="172" t="inlineStr">
        <is>
          <t>华福证券</t>
        </is>
      </c>
      <c r="I2682" s="172" t="inlineStr">
        <is>
          <t>招行北分</t>
        </is>
      </c>
      <c r="J2682" s="172" t="n">
        <v>8</v>
      </c>
      <c r="K2682" s="172" t="inlineStr">
        <is>
          <t>9+24</t>
        </is>
      </c>
      <c r="L2682" s="202" t="n">
        <v>46269</v>
      </c>
      <c r="M2682" s="175" t="n">
        <v>0.0148</v>
      </c>
      <c r="N2682" s="176" t="n">
        <v>0.0194</v>
      </c>
      <c r="O2682" s="191" t="n">
        <v>2.54</v>
      </c>
      <c r="P2682" s="172" t="inlineStr">
        <is>
          <t>优先B</t>
        </is>
      </c>
      <c r="Q2682" s="175" t="n">
        <v>0.05</v>
      </c>
      <c r="R2682" s="192">
        <f>J1706*Q1712</f>
        <v/>
      </c>
      <c r="S2682" s="175" t="inlineStr">
        <is>
          <t>AA+</t>
        </is>
      </c>
      <c r="T2682" s="175" t="n">
        <v>0.0185</v>
      </c>
      <c r="U2682" s="172" t="inlineStr">
        <is>
          <t>盛际小贷</t>
        </is>
      </c>
      <c r="V2682" s="191" t="n">
        <v>0.02</v>
      </c>
      <c r="W2682" s="175" t="n">
        <v>0.01</v>
      </c>
      <c r="X2682" s="172" t="inlineStr">
        <is>
          <t>盛际小贷</t>
        </is>
      </c>
      <c r="Y2682" s="191" t="n">
        <v>0.02</v>
      </c>
    </row>
    <row r="2683">
      <c r="A2683" s="172" t="n">
        <v>142</v>
      </c>
      <c r="B2683" s="172" t="inlineStr">
        <is>
          <t>9月</t>
        </is>
      </c>
      <c r="C2683" s="172" t="inlineStr">
        <is>
          <t>企金</t>
        </is>
      </c>
      <c r="D2683" s="172" t="inlineStr">
        <is>
          <t>小贷企业主贷</t>
        </is>
      </c>
      <c r="E2683" s="172" t="inlineStr">
        <is>
          <t>盛赢4-5</t>
        </is>
      </c>
      <c r="F2683" s="172" t="inlineStr">
        <is>
          <t>上交所</t>
        </is>
      </c>
      <c r="G2683" s="172" t="inlineStr">
        <is>
          <t>财通资管</t>
        </is>
      </c>
      <c r="H2683" s="172" t="inlineStr">
        <is>
          <t>华福证券</t>
        </is>
      </c>
      <c r="I2683" s="172" t="inlineStr">
        <is>
          <t>招行北分</t>
        </is>
      </c>
      <c r="J2683" s="172" t="n">
        <v>8</v>
      </c>
      <c r="K2683" s="172" t="inlineStr">
        <is>
          <t>9+24</t>
        </is>
      </c>
      <c r="L2683" s="208" t="n">
        <v>46269</v>
      </c>
      <c r="M2683" s="175" t="n">
        <v>0.0148</v>
      </c>
      <c r="N2683" s="176" t="n">
        <v>0.0194</v>
      </c>
      <c r="O2683" s="172" t="n">
        <v>2.54</v>
      </c>
      <c r="P2683" s="172" t="inlineStr">
        <is>
          <t>优先B</t>
        </is>
      </c>
      <c r="Q2683" s="175" t="n">
        <v>0.05</v>
      </c>
      <c r="R2683" s="172">
        <f>J1706*Q1712</f>
        <v/>
      </c>
      <c r="S2683" s="172" t="inlineStr">
        <is>
          <t>AA+</t>
        </is>
      </c>
      <c r="T2683" s="175" t="n">
        <v>0.0185</v>
      </c>
      <c r="U2683" s="172" t="n"/>
      <c r="V2683" s="172" t="n"/>
      <c r="W2683" s="175" t="n">
        <v>0.0185</v>
      </c>
      <c r="X2683" s="172" t="inlineStr">
        <is>
          <t>中信投顾</t>
        </is>
      </c>
      <c r="Y2683" s="191" t="n">
        <v>0.06</v>
      </c>
    </row>
    <row r="2684">
      <c r="A2684" s="172" t="n">
        <v>142</v>
      </c>
      <c r="B2684" s="172" t="inlineStr">
        <is>
          <t>9月</t>
        </is>
      </c>
      <c r="C2684" s="172" t="inlineStr">
        <is>
          <t>企金</t>
        </is>
      </c>
      <c r="D2684" s="172" t="inlineStr">
        <is>
          <t>小贷企业主贷</t>
        </is>
      </c>
      <c r="E2684" s="172" t="inlineStr">
        <is>
          <t>盛赢4-5</t>
        </is>
      </c>
      <c r="F2684" s="172" t="inlineStr">
        <is>
          <t>上交所</t>
        </is>
      </c>
      <c r="G2684" s="172" t="inlineStr">
        <is>
          <t>财通资管</t>
        </is>
      </c>
      <c r="H2684" s="172" t="inlineStr">
        <is>
          <t>华福证券</t>
        </is>
      </c>
      <c r="I2684" s="172" t="inlineStr">
        <is>
          <t>招行北分</t>
        </is>
      </c>
      <c r="J2684" s="172" t="n">
        <v>8</v>
      </c>
      <c r="K2684" s="172" t="inlineStr">
        <is>
          <t>9+24</t>
        </is>
      </c>
      <c r="L2684" s="208" t="n">
        <v>46269</v>
      </c>
      <c r="M2684" s="175" t="n">
        <v>0.0148</v>
      </c>
      <c r="N2684" s="176" t="n">
        <v>0.0194</v>
      </c>
      <c r="O2684" s="172" t="n">
        <v>2.54</v>
      </c>
      <c r="P2684" s="172" t="inlineStr">
        <is>
          <t>优先B</t>
        </is>
      </c>
      <c r="Q2684" s="175" t="n">
        <v>0.05</v>
      </c>
      <c r="R2684" s="172">
        <f>J1706*Q1712</f>
        <v/>
      </c>
      <c r="S2684" s="172" t="inlineStr">
        <is>
          <t>AA+</t>
        </is>
      </c>
      <c r="T2684" s="175" t="n">
        <v>0.0185</v>
      </c>
      <c r="U2684" s="172" t="n"/>
      <c r="V2684" s="172" t="n"/>
      <c r="W2684" s="175" t="n">
        <v>0.019</v>
      </c>
      <c r="X2684" s="172" t="inlineStr">
        <is>
          <t>建信信托</t>
        </is>
      </c>
      <c r="Y2684" s="191" t="n">
        <v>0.2</v>
      </c>
    </row>
    <row r="2685">
      <c r="A2685" s="172" t="n">
        <v>142</v>
      </c>
      <c r="B2685" s="172" t="inlineStr">
        <is>
          <t>9月</t>
        </is>
      </c>
      <c r="C2685" s="172" t="inlineStr">
        <is>
          <t>企金</t>
        </is>
      </c>
      <c r="D2685" s="172" t="inlineStr">
        <is>
          <t>小贷企业主贷</t>
        </is>
      </c>
      <c r="E2685" s="172" t="inlineStr">
        <is>
          <t>盛赢4-5</t>
        </is>
      </c>
      <c r="F2685" s="172" t="inlineStr">
        <is>
          <t>上交所</t>
        </is>
      </c>
      <c r="G2685" s="172" t="inlineStr">
        <is>
          <t>财通资管</t>
        </is>
      </c>
      <c r="H2685" s="172" t="inlineStr">
        <is>
          <t>华福证券</t>
        </is>
      </c>
      <c r="I2685" s="172" t="inlineStr">
        <is>
          <t>招行北分</t>
        </is>
      </c>
      <c r="J2685" s="172" t="n">
        <v>8</v>
      </c>
      <c r="K2685" s="172" t="inlineStr">
        <is>
          <t>9+24</t>
        </is>
      </c>
      <c r="L2685" s="208" t="n">
        <v>46269</v>
      </c>
      <c r="M2685" s="175" t="n">
        <v>0.0148</v>
      </c>
      <c r="N2685" s="176" t="n">
        <v>0.0194</v>
      </c>
      <c r="O2685" s="172" t="n">
        <v>2.54</v>
      </c>
      <c r="P2685" s="172" t="inlineStr">
        <is>
          <t>优先B</t>
        </is>
      </c>
      <c r="Q2685" s="175" t="n">
        <v>0.05</v>
      </c>
      <c r="R2685" s="172">
        <f>J1706*Q1712</f>
        <v/>
      </c>
      <c r="S2685" s="172" t="inlineStr">
        <is>
          <t>AA+</t>
        </is>
      </c>
      <c r="T2685" s="175" t="n">
        <v>0.0185</v>
      </c>
      <c r="U2685" s="172" t="n"/>
      <c r="V2685" s="172" t="n"/>
      <c r="W2685" s="175" t="n">
        <v>0.02</v>
      </c>
      <c r="X2685" s="172" t="inlineStr">
        <is>
          <t>财通资管</t>
        </is>
      </c>
      <c r="Y2685" s="191" t="n">
        <v>0.3</v>
      </c>
    </row>
    <row r="2686">
      <c r="A2686" s="172" t="n">
        <v>142</v>
      </c>
      <c r="B2686" s="172" t="inlineStr">
        <is>
          <t>9月</t>
        </is>
      </c>
      <c r="C2686" s="172" t="inlineStr">
        <is>
          <t>企金</t>
        </is>
      </c>
      <c r="D2686" s="172" t="inlineStr">
        <is>
          <t>小贷企业主贷</t>
        </is>
      </c>
      <c r="E2686" s="172" t="inlineStr">
        <is>
          <t>盛赢4-5</t>
        </is>
      </c>
      <c r="F2686" s="172" t="inlineStr">
        <is>
          <t>上交所</t>
        </is>
      </c>
      <c r="G2686" s="172" t="inlineStr">
        <is>
          <t>财通资管</t>
        </is>
      </c>
      <c r="H2686" s="172" t="inlineStr">
        <is>
          <t>华福证券</t>
        </is>
      </c>
      <c r="I2686" s="172" t="inlineStr">
        <is>
          <t>招行北分</t>
        </is>
      </c>
      <c r="J2686" s="172" t="n">
        <v>8</v>
      </c>
      <c r="K2686" s="172" t="inlineStr">
        <is>
          <t>9+24</t>
        </is>
      </c>
      <c r="L2686" s="202" t="n">
        <v>46269</v>
      </c>
      <c r="M2686" s="175" t="n">
        <v>0.0148</v>
      </c>
      <c r="N2686" s="176" t="n">
        <v>0.0194</v>
      </c>
      <c r="O2686" s="191" t="n">
        <v>2.54</v>
      </c>
      <c r="P2686" s="172" t="inlineStr">
        <is>
          <t>中间级</t>
        </is>
      </c>
      <c r="Q2686" s="175" t="n">
        <v>0.07000000000000001</v>
      </c>
      <c r="R2686" s="192">
        <f>J1706*Q1717</f>
        <v/>
      </c>
      <c r="S2686" s="175" t="inlineStr">
        <is>
          <t>AA-</t>
        </is>
      </c>
      <c r="T2686" s="175" t="n">
        <v>0.031</v>
      </c>
      <c r="U2686" s="177" t="inlineStr">
        <is>
          <t>建信信托</t>
        </is>
      </c>
      <c r="V2686" s="191" t="n">
        <v>0.37</v>
      </c>
      <c r="W2686" s="172" t="n"/>
      <c r="X2686" s="172" t="n"/>
      <c r="Y2686" s="172" t="n"/>
    </row>
    <row r="2687">
      <c r="A2687" s="172" t="n">
        <v>142</v>
      </c>
      <c r="B2687" s="172" t="inlineStr">
        <is>
          <t>9月</t>
        </is>
      </c>
      <c r="C2687" s="172" t="inlineStr">
        <is>
          <t>企金</t>
        </is>
      </c>
      <c r="D2687" s="172" t="inlineStr">
        <is>
          <t>小贷企业主贷</t>
        </is>
      </c>
      <c r="E2687" s="172" t="inlineStr">
        <is>
          <t>盛赢4-5</t>
        </is>
      </c>
      <c r="F2687" s="172" t="inlineStr">
        <is>
          <t>上交所</t>
        </is>
      </c>
      <c r="G2687" s="172" t="inlineStr">
        <is>
          <t>财通资管</t>
        </is>
      </c>
      <c r="H2687" s="172" t="inlineStr">
        <is>
          <t>华福证券</t>
        </is>
      </c>
      <c r="I2687" s="172" t="inlineStr">
        <is>
          <t>招行北分</t>
        </is>
      </c>
      <c r="J2687" s="172" t="n">
        <v>8</v>
      </c>
      <c r="K2687" s="172" t="inlineStr">
        <is>
          <t>9+24</t>
        </is>
      </c>
      <c r="L2687" s="202" t="n">
        <v>46269</v>
      </c>
      <c r="M2687" s="175" t="n">
        <v>0.0148</v>
      </c>
      <c r="N2687" s="176" t="n">
        <v>0.0194</v>
      </c>
      <c r="O2687" s="191" t="n">
        <v>2.54</v>
      </c>
      <c r="P2687" s="172" t="inlineStr">
        <is>
          <t>中间级</t>
        </is>
      </c>
      <c r="Q2687" s="175" t="n">
        <v>0.07000000000000001</v>
      </c>
      <c r="R2687" s="192">
        <f>J1706*Q1717</f>
        <v/>
      </c>
      <c r="S2687" s="175" t="inlineStr">
        <is>
          <t>AA-</t>
        </is>
      </c>
      <c r="T2687" s="175" t="n">
        <v>0.031</v>
      </c>
      <c r="U2687" s="177" t="inlineStr">
        <is>
          <t>东方财富证券自营</t>
        </is>
      </c>
      <c r="V2687" s="191" t="n">
        <v>0.16</v>
      </c>
      <c r="W2687" s="172" t="n"/>
      <c r="X2687" s="172" t="n"/>
      <c r="Y2687" s="172" t="n"/>
    </row>
    <row r="2688">
      <c r="A2688" s="172" t="n">
        <v>142</v>
      </c>
      <c r="B2688" s="172" t="inlineStr">
        <is>
          <t>9月</t>
        </is>
      </c>
      <c r="C2688" s="172" t="inlineStr">
        <is>
          <t>企金</t>
        </is>
      </c>
      <c r="D2688" s="172" t="inlineStr">
        <is>
          <t>小贷企业主贷</t>
        </is>
      </c>
      <c r="E2688" s="172" t="inlineStr">
        <is>
          <t>盛赢4-5</t>
        </is>
      </c>
      <c r="F2688" s="172" t="inlineStr">
        <is>
          <t>上交所</t>
        </is>
      </c>
      <c r="G2688" s="172" t="inlineStr">
        <is>
          <t>财通资管</t>
        </is>
      </c>
      <c r="H2688" s="172" t="inlineStr">
        <is>
          <t>华福证券</t>
        </is>
      </c>
      <c r="I2688" s="172" t="inlineStr">
        <is>
          <t>招行北分</t>
        </is>
      </c>
      <c r="J2688" s="172" t="n">
        <v>8</v>
      </c>
      <c r="K2688" s="172" t="inlineStr">
        <is>
          <t>9+24</t>
        </is>
      </c>
      <c r="L2688" s="202" t="n">
        <v>46269</v>
      </c>
      <c r="M2688" s="175" t="n">
        <v>0.0148</v>
      </c>
      <c r="N2688" s="176" t="n">
        <v>0.0194</v>
      </c>
      <c r="O2688" s="191" t="n">
        <v>2.54</v>
      </c>
      <c r="P2688" s="172" t="inlineStr">
        <is>
          <t>中间级</t>
        </is>
      </c>
      <c r="Q2688" s="175" t="n">
        <v>0.07000000000000001</v>
      </c>
      <c r="R2688" s="192">
        <f>J1706*Q1717</f>
        <v/>
      </c>
      <c r="S2688" s="175" t="inlineStr">
        <is>
          <t>AA-</t>
        </is>
      </c>
      <c r="T2688" s="175" t="n">
        <v>0.031</v>
      </c>
      <c r="U2688" s="172" t="inlineStr">
        <is>
          <t>盛际小贷</t>
        </is>
      </c>
      <c r="V2688" s="191" t="n">
        <v>0.03</v>
      </c>
      <c r="W2688" s="172" t="n"/>
      <c r="X2688" s="172" t="n"/>
      <c r="Y2688" s="172" t="n"/>
    </row>
    <row r="2689">
      <c r="A2689" s="172" t="n">
        <v>142</v>
      </c>
      <c r="B2689" s="172" t="inlineStr">
        <is>
          <t>9月</t>
        </is>
      </c>
      <c r="C2689" s="172" t="inlineStr">
        <is>
          <t>企金</t>
        </is>
      </c>
      <c r="D2689" s="172" t="inlineStr">
        <is>
          <t>小贷企业主贷</t>
        </is>
      </c>
      <c r="E2689" s="172" t="inlineStr">
        <is>
          <t>盛赢4-5</t>
        </is>
      </c>
      <c r="F2689" s="172" t="inlineStr">
        <is>
          <t>上交所</t>
        </is>
      </c>
      <c r="G2689" s="172" t="inlineStr">
        <is>
          <t>财通资管</t>
        </is>
      </c>
      <c r="H2689" s="172" t="inlineStr">
        <is>
          <t>华福证券</t>
        </is>
      </c>
      <c r="I2689" s="172" t="inlineStr">
        <is>
          <t>招行北分</t>
        </is>
      </c>
      <c r="J2689" s="172" t="n">
        <v>8</v>
      </c>
      <c r="K2689" s="172" t="inlineStr">
        <is>
          <t>9+24</t>
        </is>
      </c>
      <c r="L2689" s="202" t="n">
        <v>46269</v>
      </c>
      <c r="M2689" s="175" t="n">
        <v>0.0148</v>
      </c>
      <c r="N2689" s="176" t="n">
        <v>0.0194</v>
      </c>
      <c r="O2689" s="191" t="n">
        <v>2.54</v>
      </c>
      <c r="P2689" s="172" t="inlineStr">
        <is>
          <t>次级</t>
        </is>
      </c>
      <c r="Q2689" s="175" t="n">
        <v>0.05</v>
      </c>
      <c r="R2689" s="192">
        <f>J1706*Q1720</f>
        <v/>
      </c>
      <c r="S2689" s="175" t="inlineStr">
        <is>
          <t>无</t>
        </is>
      </c>
      <c r="T2689" s="175" t="n">
        <v>0.0455</v>
      </c>
      <c r="U2689" s="177" t="inlineStr">
        <is>
          <t>中泰证券自营</t>
        </is>
      </c>
      <c r="V2689" s="191" t="n">
        <v>0.2</v>
      </c>
      <c r="W2689" s="172" t="n"/>
      <c r="X2689" s="172" t="n"/>
      <c r="Y2689" s="172" t="n"/>
    </row>
    <row r="2690">
      <c r="A2690" s="172" t="n">
        <v>142</v>
      </c>
      <c r="B2690" s="172" t="inlineStr">
        <is>
          <t>9月</t>
        </is>
      </c>
      <c r="C2690" s="172" t="inlineStr">
        <is>
          <t>企金</t>
        </is>
      </c>
      <c r="D2690" s="172" t="inlineStr">
        <is>
          <t>小贷企业主贷</t>
        </is>
      </c>
      <c r="E2690" s="172" t="inlineStr">
        <is>
          <t>盛赢4-5</t>
        </is>
      </c>
      <c r="F2690" s="172" t="inlineStr">
        <is>
          <t>上交所</t>
        </is>
      </c>
      <c r="G2690" s="172" t="inlineStr">
        <is>
          <t>财通资管</t>
        </is>
      </c>
      <c r="H2690" s="172" t="inlineStr">
        <is>
          <t>华福证券</t>
        </is>
      </c>
      <c r="I2690" s="172" t="inlineStr">
        <is>
          <t>招行北分</t>
        </is>
      </c>
      <c r="J2690" s="172" t="n">
        <v>8</v>
      </c>
      <c r="K2690" s="172" t="inlineStr">
        <is>
          <t>9+24</t>
        </is>
      </c>
      <c r="L2690" s="202" t="n">
        <v>46269</v>
      </c>
      <c r="M2690" s="175" t="n">
        <v>0.0148</v>
      </c>
      <c r="N2690" s="176" t="n">
        <v>0.0194</v>
      </c>
      <c r="O2690" s="191" t="n">
        <v>2.54</v>
      </c>
      <c r="P2690" s="172" t="inlineStr">
        <is>
          <t>次级</t>
        </is>
      </c>
      <c r="Q2690" s="175" t="n">
        <v>0.05</v>
      </c>
      <c r="R2690" s="192">
        <f>J1706*Q1720</f>
        <v/>
      </c>
      <c r="S2690" s="175" t="inlineStr">
        <is>
          <t>无</t>
        </is>
      </c>
      <c r="T2690" s="175" t="n">
        <v>0.0455</v>
      </c>
      <c r="U2690" s="177" t="inlineStr">
        <is>
          <t>朗姿韩亚</t>
        </is>
      </c>
      <c r="V2690" s="191" t="n">
        <v>0.18</v>
      </c>
      <c r="W2690" s="172" t="n"/>
      <c r="X2690" s="172" t="n"/>
      <c r="Y2690" s="172" t="n"/>
    </row>
    <row r="2691">
      <c r="A2691" s="172" t="n">
        <v>142</v>
      </c>
      <c r="B2691" s="172" t="inlineStr">
        <is>
          <t>9月</t>
        </is>
      </c>
      <c r="C2691" s="172" t="inlineStr">
        <is>
          <t>企金</t>
        </is>
      </c>
      <c r="D2691" s="172" t="inlineStr">
        <is>
          <t>小贷企业主贷</t>
        </is>
      </c>
      <c r="E2691" s="172" t="inlineStr">
        <is>
          <t>盛赢4-5</t>
        </is>
      </c>
      <c r="F2691" s="172" t="inlineStr">
        <is>
          <t>上交所</t>
        </is>
      </c>
      <c r="G2691" s="172" t="inlineStr">
        <is>
          <t>财通资管</t>
        </is>
      </c>
      <c r="H2691" s="172" t="inlineStr">
        <is>
          <t>华福证券</t>
        </is>
      </c>
      <c r="I2691" s="172" t="inlineStr">
        <is>
          <t>招行北分</t>
        </is>
      </c>
      <c r="J2691" s="172" t="n">
        <v>8</v>
      </c>
      <c r="K2691" s="172" t="inlineStr">
        <is>
          <t>9+24</t>
        </is>
      </c>
      <c r="L2691" s="202" t="n">
        <v>46269</v>
      </c>
      <c r="M2691" s="175" t="n">
        <v>0.0148</v>
      </c>
      <c r="N2691" s="176" t="n">
        <v>0.0194</v>
      </c>
      <c r="O2691" s="191" t="n">
        <v>2.54</v>
      </c>
      <c r="P2691" s="172" t="inlineStr">
        <is>
          <t>次级</t>
        </is>
      </c>
      <c r="Q2691" s="175" t="n">
        <v>0.05</v>
      </c>
      <c r="R2691" s="192">
        <f>J1706*Q1720</f>
        <v/>
      </c>
      <c r="S2691" s="175" t="inlineStr">
        <is>
          <t>无</t>
        </is>
      </c>
      <c r="T2691" s="175" t="n">
        <v>0.0455</v>
      </c>
      <c r="U2691" s="172" t="inlineStr">
        <is>
          <t>盛际小贷</t>
        </is>
      </c>
      <c r="V2691" s="191" t="n">
        <v>0.02</v>
      </c>
      <c r="W2691" s="172" t="n"/>
      <c r="X2691" s="172" t="n"/>
      <c r="Y2691" s="172" t="n"/>
    </row>
    <row r="2692">
      <c r="A2692" s="172" t="n">
        <v>143</v>
      </c>
      <c r="B2692" s="172" t="inlineStr">
        <is>
          <t>9月</t>
        </is>
      </c>
      <c r="C2692" s="172" t="inlineStr">
        <is>
          <t>企金</t>
        </is>
      </c>
      <c r="D2692" s="172" t="inlineStr">
        <is>
          <t>保理</t>
        </is>
      </c>
      <c r="E2692" s="172" t="inlineStr">
        <is>
          <t>京诚16-4</t>
        </is>
      </c>
      <c r="F2692" s="172" t="inlineStr">
        <is>
          <t>上交所</t>
        </is>
      </c>
      <c r="G2692" s="172" t="inlineStr">
        <is>
          <t>财通资管</t>
        </is>
      </c>
      <c r="H2692" s="172" t="inlineStr">
        <is>
          <t>平安证券</t>
        </is>
      </c>
      <c r="I2692" s="172" t="inlineStr">
        <is>
          <t>光大北分</t>
        </is>
      </c>
      <c r="J2692" s="172" t="n">
        <v>10</v>
      </c>
      <c r="K2692" s="172" t="inlineStr">
        <is>
          <t>3+3</t>
        </is>
      </c>
      <c r="L2692" s="202" t="n">
        <v>46272</v>
      </c>
      <c r="M2692" s="175" t="n">
        <v>0.01485</v>
      </c>
      <c r="N2692" s="176" t="n">
        <v>0.017</v>
      </c>
      <c r="O2692" s="191" t="n">
        <v>2.12</v>
      </c>
      <c r="P2692" s="172" t="inlineStr">
        <is>
          <t>优先级</t>
        </is>
      </c>
      <c r="Q2692" s="175" t="n">
        <v>0.99</v>
      </c>
      <c r="R2692" s="192">
        <f>J1723*Q1723</f>
        <v/>
      </c>
      <c r="S2692" s="172" t="inlineStr">
        <is>
          <t>AAA</t>
        </is>
      </c>
      <c r="T2692" s="175" t="n">
        <v>0.0155</v>
      </c>
      <c r="U2692" s="172" t="inlineStr">
        <is>
          <t>平安理财</t>
        </is>
      </c>
      <c r="V2692" s="191" t="n">
        <v>2.47</v>
      </c>
      <c r="W2692" s="175" t="n">
        <v>0.015</v>
      </c>
      <c r="X2692" s="172" t="inlineStr">
        <is>
          <t>平安理财</t>
        </is>
      </c>
      <c r="Y2692" s="191" t="n">
        <v>2.47</v>
      </c>
    </row>
    <row r="2693">
      <c r="A2693" s="172" t="n">
        <v>143</v>
      </c>
      <c r="B2693" s="172" t="inlineStr">
        <is>
          <t>9月</t>
        </is>
      </c>
      <c r="C2693" s="172" t="inlineStr">
        <is>
          <t>企金</t>
        </is>
      </c>
      <c r="D2693" s="172" t="inlineStr">
        <is>
          <t>保理</t>
        </is>
      </c>
      <c r="E2693" s="172" t="inlineStr">
        <is>
          <t>京诚16-4</t>
        </is>
      </c>
      <c r="F2693" s="172" t="inlineStr">
        <is>
          <t>上交所</t>
        </is>
      </c>
      <c r="G2693" s="172" t="inlineStr">
        <is>
          <t>财通资管</t>
        </is>
      </c>
      <c r="H2693" s="172" t="inlineStr">
        <is>
          <t>平安证券</t>
        </is>
      </c>
      <c r="I2693" s="172" t="inlineStr">
        <is>
          <t>光大北分</t>
        </is>
      </c>
      <c r="J2693" s="172" t="n">
        <v>10</v>
      </c>
      <c r="K2693" s="172" t="inlineStr">
        <is>
          <t>3+3</t>
        </is>
      </c>
      <c r="L2693" s="202" t="n">
        <v>46272</v>
      </c>
      <c r="M2693" s="175" t="n">
        <v>0.01485</v>
      </c>
      <c r="N2693" s="176" t="n">
        <v>0.017</v>
      </c>
      <c r="O2693" s="191" t="n">
        <v>2.12</v>
      </c>
      <c r="P2693" s="172" t="inlineStr">
        <is>
          <t>优先级</t>
        </is>
      </c>
      <c r="Q2693" s="175" t="n">
        <v>0.99</v>
      </c>
      <c r="R2693" s="192">
        <f>J1723*Q1723</f>
        <v/>
      </c>
      <c r="S2693" s="172" t="inlineStr">
        <is>
          <t>AAA</t>
        </is>
      </c>
      <c r="T2693" s="175" t="n">
        <v>0.0155</v>
      </c>
      <c r="U2693" s="172" t="inlineStr">
        <is>
          <t>浦银理财</t>
        </is>
      </c>
      <c r="V2693" s="191" t="n">
        <v>2.28</v>
      </c>
      <c r="W2693" s="175" t="n">
        <v>0.0151</v>
      </c>
      <c r="X2693" s="172" t="inlineStr">
        <is>
          <t>浦银理财</t>
        </is>
      </c>
      <c r="Y2693" s="191" t="n">
        <v>0.5</v>
      </c>
    </row>
    <row r="2694">
      <c r="A2694" s="172" t="n">
        <v>143</v>
      </c>
      <c r="B2694" s="172" t="inlineStr">
        <is>
          <t>9月</t>
        </is>
      </c>
      <c r="C2694" s="172" t="inlineStr">
        <is>
          <t>企金</t>
        </is>
      </c>
      <c r="D2694" s="172" t="inlineStr">
        <is>
          <t>保理</t>
        </is>
      </c>
      <c r="E2694" s="172" t="inlineStr">
        <is>
          <t>京诚16-4</t>
        </is>
      </c>
      <c r="F2694" s="172" t="inlineStr">
        <is>
          <t>上交所</t>
        </is>
      </c>
      <c r="G2694" s="172" t="inlineStr">
        <is>
          <t>财通资管</t>
        </is>
      </c>
      <c r="H2694" s="172" t="inlineStr">
        <is>
          <t>平安证券</t>
        </is>
      </c>
      <c r="I2694" s="172" t="inlineStr">
        <is>
          <t>光大北分</t>
        </is>
      </c>
      <c r="J2694" s="172" t="n">
        <v>10</v>
      </c>
      <c r="K2694" s="172" t="inlineStr">
        <is>
          <t>3+3</t>
        </is>
      </c>
      <c r="L2694" s="208" t="n">
        <v>46272</v>
      </c>
      <c r="M2694" s="175" t="n">
        <v>0.01485</v>
      </c>
      <c r="N2694" s="176" t="n">
        <v>0.017</v>
      </c>
      <c r="O2694" s="172" t="n">
        <v>2.12</v>
      </c>
      <c r="P2694" s="172" t="inlineStr">
        <is>
          <t>优先级</t>
        </is>
      </c>
      <c r="Q2694" s="175" t="n">
        <v>0.99</v>
      </c>
      <c r="R2694" s="172">
        <f>J1723*Q1723</f>
        <v/>
      </c>
      <c r="S2694" s="172" t="inlineStr">
        <is>
          <t>AAA</t>
        </is>
      </c>
      <c r="T2694" s="175" t="n">
        <v>0.0155</v>
      </c>
      <c r="U2694" s="172" t="n"/>
      <c r="V2694" s="172" t="n"/>
      <c r="W2694" s="175" t="n">
        <v>0.0155</v>
      </c>
      <c r="X2694" s="172" t="inlineStr">
        <is>
          <t>浦银理财</t>
        </is>
      </c>
      <c r="Y2694" s="191" t="n">
        <v>1.78</v>
      </c>
    </row>
    <row r="2695">
      <c r="A2695" s="172" t="n">
        <v>143</v>
      </c>
      <c r="B2695" s="172" t="inlineStr">
        <is>
          <t>9月</t>
        </is>
      </c>
      <c r="C2695" s="172" t="inlineStr">
        <is>
          <t>企金</t>
        </is>
      </c>
      <c r="D2695" s="172" t="inlineStr">
        <is>
          <t>保理</t>
        </is>
      </c>
      <c r="E2695" s="172" t="inlineStr">
        <is>
          <t>京诚16-4</t>
        </is>
      </c>
      <c r="F2695" s="172" t="inlineStr">
        <is>
          <t>上交所</t>
        </is>
      </c>
      <c r="G2695" s="172" t="inlineStr">
        <is>
          <t>财通资管</t>
        </is>
      </c>
      <c r="H2695" s="172" t="inlineStr">
        <is>
          <t>平安证券</t>
        </is>
      </c>
      <c r="I2695" s="172" t="inlineStr">
        <is>
          <t>光大北分</t>
        </is>
      </c>
      <c r="J2695" s="172" t="n">
        <v>10</v>
      </c>
      <c r="K2695" s="172" t="inlineStr">
        <is>
          <t>3+3</t>
        </is>
      </c>
      <c r="L2695" s="208" t="n">
        <v>46272</v>
      </c>
      <c r="M2695" s="175" t="n">
        <v>0.01485</v>
      </c>
      <c r="N2695" s="176" t="n">
        <v>0.017</v>
      </c>
      <c r="O2695" s="172" t="n">
        <v>2.12</v>
      </c>
      <c r="P2695" s="172" t="inlineStr">
        <is>
          <t>优先级</t>
        </is>
      </c>
      <c r="Q2695" s="175" t="n">
        <v>0.99</v>
      </c>
      <c r="R2695" s="172">
        <f>J1723*Q1723</f>
        <v/>
      </c>
      <c r="S2695" s="172" t="inlineStr">
        <is>
          <t>AAA</t>
        </is>
      </c>
      <c r="T2695" s="175" t="n">
        <v>0.0155</v>
      </c>
      <c r="U2695" s="172" t="n"/>
      <c r="V2695" s="172" t="n"/>
      <c r="W2695" s="175" t="n">
        <v>0.016</v>
      </c>
      <c r="X2695" s="172" t="inlineStr">
        <is>
          <t>浦银理财</t>
        </is>
      </c>
      <c r="Y2695" s="191" t="n">
        <v>0.48</v>
      </c>
    </row>
    <row r="2696">
      <c r="A2696" s="172" t="n">
        <v>143</v>
      </c>
      <c r="B2696" s="172" t="inlineStr">
        <is>
          <t>9月</t>
        </is>
      </c>
      <c r="C2696" s="172" t="inlineStr">
        <is>
          <t>企金</t>
        </is>
      </c>
      <c r="D2696" s="172" t="inlineStr">
        <is>
          <t>保理</t>
        </is>
      </c>
      <c r="E2696" s="172" t="inlineStr">
        <is>
          <t>京诚16-4</t>
        </is>
      </c>
      <c r="F2696" s="172" t="inlineStr">
        <is>
          <t>上交所</t>
        </is>
      </c>
      <c r="G2696" s="172" t="inlineStr">
        <is>
          <t>财通资管</t>
        </is>
      </c>
      <c r="H2696" s="172" t="inlineStr">
        <is>
          <t>平安证券</t>
        </is>
      </c>
      <c r="I2696" s="172" t="inlineStr">
        <is>
          <t>光大北分</t>
        </is>
      </c>
      <c r="J2696" s="172" t="n">
        <v>10</v>
      </c>
      <c r="K2696" s="172" t="inlineStr">
        <is>
          <t>3+3</t>
        </is>
      </c>
      <c r="L2696" s="202" t="n">
        <v>46272</v>
      </c>
      <c r="M2696" s="175" t="n">
        <v>0.01485</v>
      </c>
      <c r="N2696" s="176" t="n">
        <v>0.017</v>
      </c>
      <c r="O2696" s="191" t="n">
        <v>2.12</v>
      </c>
      <c r="P2696" s="172" t="inlineStr">
        <is>
          <t>优先级</t>
        </is>
      </c>
      <c r="Q2696" s="175" t="n">
        <v>0.99</v>
      </c>
      <c r="R2696" s="192">
        <f>J1723*Q1723</f>
        <v/>
      </c>
      <c r="S2696" s="172" t="inlineStr">
        <is>
          <t>AAA</t>
        </is>
      </c>
      <c r="T2696" s="175" t="n">
        <v>0.0155</v>
      </c>
      <c r="U2696" s="172" t="inlineStr">
        <is>
          <t>中银理财</t>
        </is>
      </c>
      <c r="V2696" s="191" t="n">
        <v>2.62</v>
      </c>
      <c r="W2696" s="175" t="n">
        <v>0.0153</v>
      </c>
      <c r="X2696" s="172" t="inlineStr">
        <is>
          <t>中银理财</t>
        </is>
      </c>
      <c r="Y2696" s="191" t="n">
        <v>0.62</v>
      </c>
    </row>
    <row r="2697">
      <c r="A2697" s="172" t="n">
        <v>143</v>
      </c>
      <c r="B2697" s="172" t="inlineStr">
        <is>
          <t>9月</t>
        </is>
      </c>
      <c r="C2697" s="172" t="inlineStr">
        <is>
          <t>企金</t>
        </is>
      </c>
      <c r="D2697" s="172" t="inlineStr">
        <is>
          <t>保理</t>
        </is>
      </c>
      <c r="E2697" s="172" t="inlineStr">
        <is>
          <t>京诚16-4</t>
        </is>
      </c>
      <c r="F2697" s="172" t="inlineStr">
        <is>
          <t>上交所</t>
        </is>
      </c>
      <c r="G2697" s="172" t="inlineStr">
        <is>
          <t>财通资管</t>
        </is>
      </c>
      <c r="H2697" s="172" t="inlineStr">
        <is>
          <t>平安证券</t>
        </is>
      </c>
      <c r="I2697" s="172" t="inlineStr">
        <is>
          <t>光大北分</t>
        </is>
      </c>
      <c r="J2697" s="172" t="n">
        <v>10</v>
      </c>
      <c r="K2697" s="172" t="inlineStr">
        <is>
          <t>3+3</t>
        </is>
      </c>
      <c r="L2697" s="208" t="n">
        <v>46272</v>
      </c>
      <c r="M2697" s="175" t="n">
        <v>0.01485</v>
      </c>
      <c r="N2697" s="176" t="n">
        <v>0.017</v>
      </c>
      <c r="O2697" s="172" t="n">
        <v>2.12</v>
      </c>
      <c r="P2697" s="172" t="inlineStr">
        <is>
          <t>优先级</t>
        </is>
      </c>
      <c r="Q2697" s="175" t="n">
        <v>0.99</v>
      </c>
      <c r="R2697" s="172">
        <f>J1723*Q1723</f>
        <v/>
      </c>
      <c r="S2697" s="172" t="inlineStr">
        <is>
          <t>AAA</t>
        </is>
      </c>
      <c r="T2697" s="175" t="n">
        <v>0.0155</v>
      </c>
      <c r="U2697" s="172" t="n"/>
      <c r="V2697" s="172" t="n"/>
      <c r="W2697" s="175" t="n">
        <v>0.0154</v>
      </c>
      <c r="X2697" s="172" t="inlineStr">
        <is>
          <t>中银理财</t>
        </is>
      </c>
      <c r="Y2697" s="191" t="n">
        <v>1</v>
      </c>
    </row>
    <row r="2698">
      <c r="A2698" s="172" t="n">
        <v>143</v>
      </c>
      <c r="B2698" s="172" t="inlineStr">
        <is>
          <t>9月</t>
        </is>
      </c>
      <c r="C2698" s="172" t="inlineStr">
        <is>
          <t>企金</t>
        </is>
      </c>
      <c r="D2698" s="172" t="inlineStr">
        <is>
          <t>保理</t>
        </is>
      </c>
      <c r="E2698" s="172" t="inlineStr">
        <is>
          <t>京诚16-4</t>
        </is>
      </c>
      <c r="F2698" s="172" t="inlineStr">
        <is>
          <t>上交所</t>
        </is>
      </c>
      <c r="G2698" s="172" t="inlineStr">
        <is>
          <t>财通资管</t>
        </is>
      </c>
      <c r="H2698" s="172" t="inlineStr">
        <is>
          <t>平安证券</t>
        </is>
      </c>
      <c r="I2698" s="172" t="inlineStr">
        <is>
          <t>光大北分</t>
        </is>
      </c>
      <c r="J2698" s="172" t="n">
        <v>10</v>
      </c>
      <c r="K2698" s="172" t="inlineStr">
        <is>
          <t>3+3</t>
        </is>
      </c>
      <c r="L2698" s="208" t="n">
        <v>46272</v>
      </c>
      <c r="M2698" s="175" t="n">
        <v>0.01485</v>
      </c>
      <c r="N2698" s="176" t="n">
        <v>0.017</v>
      </c>
      <c r="O2698" s="172" t="n">
        <v>2.12</v>
      </c>
      <c r="P2698" s="172" t="inlineStr">
        <is>
          <t>优先级</t>
        </is>
      </c>
      <c r="Q2698" s="175" t="n">
        <v>0.99</v>
      </c>
      <c r="R2698" s="172">
        <f>J1723*Q1723</f>
        <v/>
      </c>
      <c r="S2698" s="172" t="inlineStr">
        <is>
          <t>AAA</t>
        </is>
      </c>
      <c r="T2698" s="175" t="n">
        <v>0.0155</v>
      </c>
      <c r="U2698" s="172" t="n"/>
      <c r="V2698" s="172" t="n"/>
      <c r="W2698" s="175" t="n">
        <v>0.0155</v>
      </c>
      <c r="X2698" s="172" t="inlineStr">
        <is>
          <t>中银理财</t>
        </is>
      </c>
      <c r="Y2698" s="191" t="n">
        <v>1</v>
      </c>
    </row>
    <row r="2699">
      <c r="A2699" s="172" t="n">
        <v>143</v>
      </c>
      <c r="B2699" s="172" t="inlineStr">
        <is>
          <t>9月</t>
        </is>
      </c>
      <c r="C2699" s="172" t="inlineStr">
        <is>
          <t>企金</t>
        </is>
      </c>
      <c r="D2699" s="172" t="inlineStr">
        <is>
          <t>保理</t>
        </is>
      </c>
      <c r="E2699" s="172" t="inlineStr">
        <is>
          <t>京诚16-4</t>
        </is>
      </c>
      <c r="F2699" s="172" t="inlineStr">
        <is>
          <t>上交所</t>
        </is>
      </c>
      <c r="G2699" s="172" t="inlineStr">
        <is>
          <t>财通资管</t>
        </is>
      </c>
      <c r="H2699" s="172" t="inlineStr">
        <is>
          <t>平安证券</t>
        </is>
      </c>
      <c r="I2699" s="172" t="inlineStr">
        <is>
          <t>光大北分</t>
        </is>
      </c>
      <c r="J2699" s="172" t="n">
        <v>10</v>
      </c>
      <c r="K2699" s="172" t="inlineStr">
        <is>
          <t>3+3</t>
        </is>
      </c>
      <c r="L2699" s="208" t="n">
        <v>46272</v>
      </c>
      <c r="M2699" s="175" t="n">
        <v>0.01485</v>
      </c>
      <c r="N2699" s="176" t="n">
        <v>0.017</v>
      </c>
      <c r="O2699" s="172" t="n">
        <v>2.12</v>
      </c>
      <c r="P2699" s="172" t="inlineStr">
        <is>
          <t>优先级</t>
        </is>
      </c>
      <c r="Q2699" s="175" t="n">
        <v>0.99</v>
      </c>
      <c r="R2699" s="172">
        <f>J1723*Q1723</f>
        <v/>
      </c>
      <c r="S2699" s="172" t="inlineStr">
        <is>
          <t>AAA</t>
        </is>
      </c>
      <c r="T2699" s="175" t="n">
        <v>0.0155</v>
      </c>
      <c r="U2699" s="172" t="n"/>
      <c r="V2699" s="172" t="n"/>
      <c r="W2699" s="175" t="n">
        <v>0.016</v>
      </c>
      <c r="X2699" s="172" t="inlineStr">
        <is>
          <t>中银理财</t>
        </is>
      </c>
      <c r="Y2699" s="191" t="n">
        <v>0.28</v>
      </c>
    </row>
    <row r="2700">
      <c r="A2700" s="172" t="n">
        <v>143</v>
      </c>
      <c r="B2700" s="172" t="inlineStr">
        <is>
          <t>9月</t>
        </is>
      </c>
      <c r="C2700" s="172" t="inlineStr">
        <is>
          <t>企金</t>
        </is>
      </c>
      <c r="D2700" s="172" t="inlineStr">
        <is>
          <t>保理</t>
        </is>
      </c>
      <c r="E2700" s="172" t="inlineStr">
        <is>
          <t>京诚16-4</t>
        </is>
      </c>
      <c r="F2700" s="172" t="inlineStr">
        <is>
          <t>上交所</t>
        </is>
      </c>
      <c r="G2700" s="172" t="inlineStr">
        <is>
          <t>财通资管</t>
        </is>
      </c>
      <c r="H2700" s="172" t="inlineStr">
        <is>
          <t>平安证券</t>
        </is>
      </c>
      <c r="I2700" s="172" t="inlineStr">
        <is>
          <t>光大北分</t>
        </is>
      </c>
      <c r="J2700" s="172" t="n">
        <v>10</v>
      </c>
      <c r="K2700" s="172" t="inlineStr">
        <is>
          <t>3+3</t>
        </is>
      </c>
      <c r="L2700" s="202" t="n">
        <v>46272</v>
      </c>
      <c r="M2700" s="175" t="n">
        <v>0.01485</v>
      </c>
      <c r="N2700" s="176" t="n">
        <v>0.017</v>
      </c>
      <c r="O2700" s="191" t="n">
        <v>2.12</v>
      </c>
      <c r="P2700" s="172" t="inlineStr">
        <is>
          <t>优先级</t>
        </is>
      </c>
      <c r="Q2700" s="175" t="n">
        <v>0.99</v>
      </c>
      <c r="R2700" s="192">
        <f>J1723*Q1723</f>
        <v/>
      </c>
      <c r="S2700" s="172" t="inlineStr">
        <is>
          <t>AAA</t>
        </is>
      </c>
      <c r="T2700" s="175" t="n">
        <v>0.0155</v>
      </c>
      <c r="U2700" s="172" t="inlineStr">
        <is>
          <t>民生理财</t>
        </is>
      </c>
      <c r="V2700" s="191" t="n">
        <v>1</v>
      </c>
      <c r="W2700" s="175" t="n">
        <v>0.0154</v>
      </c>
      <c r="X2700" s="172" t="inlineStr">
        <is>
          <t>民生理财</t>
        </is>
      </c>
      <c r="Y2700" s="191" t="n">
        <v>0.5</v>
      </c>
    </row>
    <row r="2701">
      <c r="A2701" s="172" t="n">
        <v>143</v>
      </c>
      <c r="B2701" s="172" t="inlineStr">
        <is>
          <t>9月</t>
        </is>
      </c>
      <c r="C2701" s="172" t="inlineStr">
        <is>
          <t>企金</t>
        </is>
      </c>
      <c r="D2701" s="172" t="inlineStr">
        <is>
          <t>保理</t>
        </is>
      </c>
      <c r="E2701" s="172" t="inlineStr">
        <is>
          <t>京诚16-4</t>
        </is>
      </c>
      <c r="F2701" s="172" t="inlineStr">
        <is>
          <t>上交所</t>
        </is>
      </c>
      <c r="G2701" s="172" t="inlineStr">
        <is>
          <t>财通资管</t>
        </is>
      </c>
      <c r="H2701" s="172" t="inlineStr">
        <is>
          <t>平安证券</t>
        </is>
      </c>
      <c r="I2701" s="172" t="inlineStr">
        <is>
          <t>光大北分</t>
        </is>
      </c>
      <c r="J2701" s="172" t="n">
        <v>10</v>
      </c>
      <c r="K2701" s="172" t="inlineStr">
        <is>
          <t>3+3</t>
        </is>
      </c>
      <c r="L2701" s="208" t="n">
        <v>46272</v>
      </c>
      <c r="M2701" s="175" t="n">
        <v>0.01485</v>
      </c>
      <c r="N2701" s="176" t="n">
        <v>0.017</v>
      </c>
      <c r="O2701" s="172" t="n">
        <v>2.12</v>
      </c>
      <c r="P2701" s="172" t="inlineStr">
        <is>
          <t>优先级</t>
        </is>
      </c>
      <c r="Q2701" s="175" t="n">
        <v>0.99</v>
      </c>
      <c r="R2701" s="172">
        <f>J1723*Q1723</f>
        <v/>
      </c>
      <c r="S2701" s="172" t="inlineStr">
        <is>
          <t>AAA</t>
        </is>
      </c>
      <c r="T2701" s="175" t="n">
        <v>0.0155</v>
      </c>
      <c r="U2701" s="172" t="n"/>
      <c r="V2701" s="172" t="n"/>
      <c r="W2701" s="175" t="n">
        <v>0.0155</v>
      </c>
      <c r="X2701" s="172" t="inlineStr">
        <is>
          <t>民生理财</t>
        </is>
      </c>
      <c r="Y2701" s="191" t="n">
        <v>0.5</v>
      </c>
    </row>
    <row r="2702">
      <c r="A2702" s="172" t="n">
        <v>143</v>
      </c>
      <c r="B2702" s="172" t="inlineStr">
        <is>
          <t>9月</t>
        </is>
      </c>
      <c r="C2702" s="172" t="inlineStr">
        <is>
          <t>企金</t>
        </is>
      </c>
      <c r="D2702" s="172" t="inlineStr">
        <is>
          <t>保理</t>
        </is>
      </c>
      <c r="E2702" s="172" t="inlineStr">
        <is>
          <t>京诚16-4</t>
        </is>
      </c>
      <c r="F2702" s="172" t="inlineStr">
        <is>
          <t>上交所</t>
        </is>
      </c>
      <c r="G2702" s="172" t="inlineStr">
        <is>
          <t>财通资管</t>
        </is>
      </c>
      <c r="H2702" s="172" t="inlineStr">
        <is>
          <t>平安证券</t>
        </is>
      </c>
      <c r="I2702" s="172" t="inlineStr">
        <is>
          <t>光大北分</t>
        </is>
      </c>
      <c r="J2702" s="172" t="n">
        <v>10</v>
      </c>
      <c r="K2702" s="172" t="inlineStr">
        <is>
          <t>3+3</t>
        </is>
      </c>
      <c r="L2702" s="208" t="n">
        <v>46272</v>
      </c>
      <c r="M2702" s="175" t="n">
        <v>0.01485</v>
      </c>
      <c r="N2702" s="176" t="n">
        <v>0.017</v>
      </c>
      <c r="O2702" s="172" t="n">
        <v>2.12</v>
      </c>
      <c r="P2702" s="172" t="inlineStr">
        <is>
          <t>优先级</t>
        </is>
      </c>
      <c r="Q2702" s="175" t="n">
        <v>0.99</v>
      </c>
      <c r="R2702" s="172">
        <f>J1723*Q1723</f>
        <v/>
      </c>
      <c r="S2702" s="172" t="inlineStr">
        <is>
          <t>AAA</t>
        </is>
      </c>
      <c r="T2702" s="175" t="n">
        <v>0.0155</v>
      </c>
      <c r="U2702" s="172" t="n"/>
      <c r="V2702" s="172" t="n"/>
      <c r="W2702" s="175" t="n">
        <v>0.0158</v>
      </c>
      <c r="X2702" s="172" t="inlineStr">
        <is>
          <t>民生理财</t>
        </is>
      </c>
      <c r="Y2702" s="191" t="n">
        <v>1.97</v>
      </c>
    </row>
    <row r="2703">
      <c r="A2703" s="172" t="n">
        <v>143</v>
      </c>
      <c r="B2703" s="172" t="inlineStr">
        <is>
          <t>9月</t>
        </is>
      </c>
      <c r="C2703" s="172" t="inlineStr">
        <is>
          <t>企金</t>
        </is>
      </c>
      <c r="D2703" s="172" t="inlineStr">
        <is>
          <t>保理</t>
        </is>
      </c>
      <c r="E2703" s="172" t="inlineStr">
        <is>
          <t>京诚16-4</t>
        </is>
      </c>
      <c r="F2703" s="172" t="inlineStr">
        <is>
          <t>上交所</t>
        </is>
      </c>
      <c r="G2703" s="172" t="inlineStr">
        <is>
          <t>财通资管</t>
        </is>
      </c>
      <c r="H2703" s="172" t="inlineStr">
        <is>
          <t>平安证券</t>
        </is>
      </c>
      <c r="I2703" s="172" t="inlineStr">
        <is>
          <t>光大北分</t>
        </is>
      </c>
      <c r="J2703" s="172" t="n">
        <v>10</v>
      </c>
      <c r="K2703" s="172" t="inlineStr">
        <is>
          <t>3+3</t>
        </is>
      </c>
      <c r="L2703" s="202" t="n">
        <v>46272</v>
      </c>
      <c r="M2703" s="175" t="n">
        <v>0.01485</v>
      </c>
      <c r="N2703" s="176" t="n">
        <v>0.017</v>
      </c>
      <c r="O2703" s="191" t="n">
        <v>2.12</v>
      </c>
      <c r="P2703" s="172" t="inlineStr">
        <is>
          <t>优先级</t>
        </is>
      </c>
      <c r="Q2703" s="175" t="n">
        <v>0.99</v>
      </c>
      <c r="R2703" s="192">
        <f>J1723*Q1723</f>
        <v/>
      </c>
      <c r="S2703" s="172" t="inlineStr">
        <is>
          <t>AAA</t>
        </is>
      </c>
      <c r="T2703" s="175" t="n">
        <v>0.0155</v>
      </c>
      <c r="U2703" s="172" t="inlineStr">
        <is>
          <t>西部证券自营</t>
        </is>
      </c>
      <c r="V2703" s="191" t="n">
        <v>0.5</v>
      </c>
      <c r="W2703" s="175" t="n">
        <v>0.0154</v>
      </c>
      <c r="X2703" s="172" t="inlineStr">
        <is>
          <t>西部证券</t>
        </is>
      </c>
      <c r="Y2703" s="191" t="n">
        <v>0.5</v>
      </c>
    </row>
    <row r="2704">
      <c r="A2704" s="172" t="n">
        <v>143</v>
      </c>
      <c r="B2704" s="172" t="inlineStr">
        <is>
          <t>9月</t>
        </is>
      </c>
      <c r="C2704" s="172" t="inlineStr">
        <is>
          <t>企金</t>
        </is>
      </c>
      <c r="D2704" s="172" t="inlineStr">
        <is>
          <t>保理</t>
        </is>
      </c>
      <c r="E2704" s="172" t="inlineStr">
        <is>
          <t>京诚16-4</t>
        </is>
      </c>
      <c r="F2704" s="172" t="inlineStr">
        <is>
          <t>上交所</t>
        </is>
      </c>
      <c r="G2704" s="172" t="inlineStr">
        <is>
          <t>财通资管</t>
        </is>
      </c>
      <c r="H2704" s="172" t="inlineStr">
        <is>
          <t>平安证券</t>
        </is>
      </c>
      <c r="I2704" s="172" t="inlineStr">
        <is>
          <t>光大北分</t>
        </is>
      </c>
      <c r="J2704" s="172" t="n">
        <v>10</v>
      </c>
      <c r="K2704" s="172" t="inlineStr">
        <is>
          <t>3+3</t>
        </is>
      </c>
      <c r="L2704" s="202" t="n">
        <v>46272</v>
      </c>
      <c r="M2704" s="175" t="n">
        <v>0.01485</v>
      </c>
      <c r="N2704" s="176" t="n">
        <v>0.017</v>
      </c>
      <c r="O2704" s="191" t="n">
        <v>2.12</v>
      </c>
      <c r="P2704" s="172" t="inlineStr">
        <is>
          <t>优先级</t>
        </is>
      </c>
      <c r="Q2704" s="175" t="n">
        <v>0.99</v>
      </c>
      <c r="R2704" s="192">
        <f>J1723*Q1723</f>
        <v/>
      </c>
      <c r="S2704" s="172" t="inlineStr">
        <is>
          <t>AAA</t>
        </is>
      </c>
      <c r="T2704" s="175" t="n">
        <v>0.0155</v>
      </c>
      <c r="U2704" s="172" t="inlineStr">
        <is>
          <t>工银理财</t>
        </is>
      </c>
      <c r="V2704" s="191" t="n">
        <v>1</v>
      </c>
      <c r="W2704" s="175" t="n">
        <v>0.0155</v>
      </c>
      <c r="X2704" s="172" t="inlineStr">
        <is>
          <t>工银理财</t>
        </is>
      </c>
      <c r="Y2704" s="191" t="n">
        <v>1</v>
      </c>
    </row>
    <row r="2705">
      <c r="A2705" s="172" t="n">
        <v>143</v>
      </c>
      <c r="B2705" s="172" t="inlineStr">
        <is>
          <t>9月</t>
        </is>
      </c>
      <c r="C2705" s="172" t="inlineStr">
        <is>
          <t>企金</t>
        </is>
      </c>
      <c r="D2705" s="172" t="inlineStr">
        <is>
          <t>保理</t>
        </is>
      </c>
      <c r="E2705" s="172" t="inlineStr">
        <is>
          <t>京诚16-4</t>
        </is>
      </c>
      <c r="F2705" s="172" t="inlineStr">
        <is>
          <t>上交所</t>
        </is>
      </c>
      <c r="G2705" s="172" t="inlineStr">
        <is>
          <t>财通资管</t>
        </is>
      </c>
      <c r="H2705" s="172" t="inlineStr">
        <is>
          <t>平安证券</t>
        </is>
      </c>
      <c r="I2705" s="172" t="inlineStr">
        <is>
          <t>光大北分</t>
        </is>
      </c>
      <c r="J2705" s="172" t="n">
        <v>10</v>
      </c>
      <c r="K2705" s="172" t="inlineStr">
        <is>
          <t>3+3</t>
        </is>
      </c>
      <c r="L2705" s="208" t="n">
        <v>46272</v>
      </c>
      <c r="M2705" s="175" t="n">
        <v>0.01485</v>
      </c>
      <c r="N2705" s="176" t="n">
        <v>0.017</v>
      </c>
      <c r="O2705" s="172" t="n">
        <v>2.12</v>
      </c>
      <c r="P2705" s="172" t="inlineStr">
        <is>
          <t>优先级</t>
        </is>
      </c>
      <c r="Q2705" s="175" t="n">
        <v>0.99</v>
      </c>
      <c r="R2705" s="172">
        <f>J1723*Q1723</f>
        <v/>
      </c>
      <c r="S2705" s="172" t="inlineStr">
        <is>
          <t>AAA</t>
        </is>
      </c>
      <c r="T2705" s="175" t="n">
        <v>0.0155</v>
      </c>
      <c r="U2705" s="172" t="n"/>
      <c r="V2705" s="172" t="n"/>
      <c r="W2705" s="175" t="n">
        <v>0.0156</v>
      </c>
      <c r="X2705" s="172" t="inlineStr">
        <is>
          <t>工银理财</t>
        </is>
      </c>
      <c r="Y2705" s="191" t="n">
        <v>1.5</v>
      </c>
    </row>
    <row r="2706">
      <c r="A2706" s="172" t="n">
        <v>143</v>
      </c>
      <c r="B2706" s="172" t="inlineStr">
        <is>
          <t>9月</t>
        </is>
      </c>
      <c r="C2706" s="172" t="inlineStr">
        <is>
          <t>企金</t>
        </is>
      </c>
      <c r="D2706" s="172" t="inlineStr">
        <is>
          <t>保理</t>
        </is>
      </c>
      <c r="E2706" s="172" t="inlineStr">
        <is>
          <t>京诚16-4</t>
        </is>
      </c>
      <c r="F2706" s="172" t="inlineStr">
        <is>
          <t>上交所</t>
        </is>
      </c>
      <c r="G2706" s="172" t="inlineStr">
        <is>
          <t>财通资管</t>
        </is>
      </c>
      <c r="H2706" s="172" t="inlineStr">
        <is>
          <t>平安证券</t>
        </is>
      </c>
      <c r="I2706" s="172" t="inlineStr">
        <is>
          <t>光大北分</t>
        </is>
      </c>
      <c r="J2706" s="172" t="n">
        <v>10</v>
      </c>
      <c r="K2706" s="172" t="inlineStr">
        <is>
          <t>3+3</t>
        </is>
      </c>
      <c r="L2706" s="202" t="n">
        <v>46272</v>
      </c>
      <c r="M2706" s="175" t="n">
        <v>0.01485</v>
      </c>
      <c r="N2706" s="176" t="n">
        <v>0.017</v>
      </c>
      <c r="O2706" s="191" t="n">
        <v>2.12</v>
      </c>
      <c r="P2706" s="172" t="inlineStr">
        <is>
          <t>优先级</t>
        </is>
      </c>
      <c r="Q2706" s="175" t="n">
        <v>0.99</v>
      </c>
      <c r="R2706" s="192">
        <f>J1723*Q1723</f>
        <v/>
      </c>
      <c r="S2706" s="172" t="inlineStr">
        <is>
          <t>AAA</t>
        </is>
      </c>
      <c r="T2706" s="175" t="n">
        <v>0.0155</v>
      </c>
      <c r="U2706" s="172" t="inlineStr">
        <is>
          <t>财通资管</t>
        </is>
      </c>
      <c r="V2706" s="191" t="n">
        <v>0.03</v>
      </c>
      <c r="W2706" s="175" t="n">
        <v>0.0155</v>
      </c>
      <c r="X2706" s="172" t="inlineStr">
        <is>
          <t>财通资管</t>
        </is>
      </c>
      <c r="Y2706" s="191" t="n">
        <v>0.03</v>
      </c>
    </row>
    <row r="2707">
      <c r="A2707" s="172" t="n">
        <v>143</v>
      </c>
      <c r="B2707" s="172" t="inlineStr">
        <is>
          <t>9月</t>
        </is>
      </c>
      <c r="C2707" s="172" t="inlineStr">
        <is>
          <t>企金</t>
        </is>
      </c>
      <c r="D2707" s="172" t="inlineStr">
        <is>
          <t>保理</t>
        </is>
      </c>
      <c r="E2707" s="172" t="inlineStr">
        <is>
          <t>京诚16-4</t>
        </is>
      </c>
      <c r="F2707" s="172" t="inlineStr">
        <is>
          <t>上交所</t>
        </is>
      </c>
      <c r="G2707" s="172" t="inlineStr">
        <is>
          <t>财通资管</t>
        </is>
      </c>
      <c r="H2707" s="172" t="inlineStr">
        <is>
          <t>平安证券</t>
        </is>
      </c>
      <c r="I2707" s="172" t="inlineStr">
        <is>
          <t>光大北分</t>
        </is>
      </c>
      <c r="J2707" s="172" t="n">
        <v>10</v>
      </c>
      <c r="K2707" s="172" t="inlineStr">
        <is>
          <t>3+3</t>
        </is>
      </c>
      <c r="L2707" s="208" t="n">
        <v>46272</v>
      </c>
      <c r="M2707" s="175" t="n">
        <v>0.01485</v>
      </c>
      <c r="N2707" s="176" t="n">
        <v>0.017</v>
      </c>
      <c r="O2707" s="172" t="n">
        <v>2.12</v>
      </c>
      <c r="P2707" s="172" t="inlineStr">
        <is>
          <t>优先级</t>
        </is>
      </c>
      <c r="Q2707" s="175" t="n">
        <v>0.99</v>
      </c>
      <c r="R2707" s="172">
        <f>J1723*Q1723</f>
        <v/>
      </c>
      <c r="S2707" s="172" t="inlineStr">
        <is>
          <t>AAA</t>
        </is>
      </c>
      <c r="T2707" s="175" t="n">
        <v>0.0155</v>
      </c>
      <c r="U2707" s="172" t="n"/>
      <c r="V2707" s="172" t="n"/>
      <c r="W2707" s="175" t="n">
        <v>0.024</v>
      </c>
      <c r="X2707" s="172" t="inlineStr">
        <is>
          <t>财通资管</t>
        </is>
      </c>
      <c r="Y2707" s="191" t="n">
        <v>1.5</v>
      </c>
    </row>
    <row r="2708">
      <c r="A2708" s="172" t="n">
        <v>143</v>
      </c>
      <c r="B2708" s="172" t="inlineStr">
        <is>
          <t>9月</t>
        </is>
      </c>
      <c r="C2708" s="172" t="inlineStr">
        <is>
          <t>企金</t>
        </is>
      </c>
      <c r="D2708" s="172" t="inlineStr">
        <is>
          <t>保理</t>
        </is>
      </c>
      <c r="E2708" s="172" t="inlineStr">
        <is>
          <t>京诚16-4</t>
        </is>
      </c>
      <c r="F2708" s="172" t="inlineStr">
        <is>
          <t>上交所</t>
        </is>
      </c>
      <c r="G2708" s="172" t="inlineStr">
        <is>
          <t>财通资管</t>
        </is>
      </c>
      <c r="H2708" s="172" t="inlineStr">
        <is>
          <t>平安证券</t>
        </is>
      </c>
      <c r="I2708" s="172" t="inlineStr">
        <is>
          <t>光大北分</t>
        </is>
      </c>
      <c r="J2708" s="172" t="n">
        <v>10</v>
      </c>
      <c r="K2708" s="172" t="inlineStr">
        <is>
          <t>3+3</t>
        </is>
      </c>
      <c r="L2708" s="208" t="n">
        <v>46272</v>
      </c>
      <c r="M2708" s="175" t="n">
        <v>0.01485</v>
      </c>
      <c r="N2708" s="176" t="n">
        <v>0.017</v>
      </c>
      <c r="O2708" s="172" t="n">
        <v>2.12</v>
      </c>
      <c r="P2708" s="172" t="inlineStr">
        <is>
          <t>优先级</t>
        </is>
      </c>
      <c r="Q2708" s="175" t="n">
        <v>0.99</v>
      </c>
      <c r="R2708" s="172">
        <f>J1723*Q1723</f>
        <v/>
      </c>
      <c r="S2708" s="172" t="inlineStr">
        <is>
          <t>AAA</t>
        </is>
      </c>
      <c r="T2708" s="175" t="n">
        <v>0.0155</v>
      </c>
      <c r="U2708" s="172" t="n"/>
      <c r="V2708" s="172" t="n"/>
      <c r="W2708" s="175" t="n">
        <v>0.0157</v>
      </c>
      <c r="X2708" s="172" t="inlineStr">
        <is>
          <t>兴银理财</t>
        </is>
      </c>
      <c r="Y2708" s="191" t="n">
        <v>1.98</v>
      </c>
    </row>
    <row r="2709">
      <c r="A2709" s="172" t="n">
        <v>143</v>
      </c>
      <c r="B2709" s="172" t="inlineStr">
        <is>
          <t>9月</t>
        </is>
      </c>
      <c r="C2709" s="172" t="inlineStr">
        <is>
          <t>企金</t>
        </is>
      </c>
      <c r="D2709" s="172" t="inlineStr">
        <is>
          <t>保理</t>
        </is>
      </c>
      <c r="E2709" s="172" t="inlineStr">
        <is>
          <t>京诚16-4</t>
        </is>
      </c>
      <c r="F2709" s="172" t="inlineStr">
        <is>
          <t>上交所</t>
        </is>
      </c>
      <c r="G2709" s="172" t="inlineStr">
        <is>
          <t>财通资管</t>
        </is>
      </c>
      <c r="H2709" s="172" t="inlineStr">
        <is>
          <t>平安证券</t>
        </is>
      </c>
      <c r="I2709" s="172" t="inlineStr">
        <is>
          <t>光大北分</t>
        </is>
      </c>
      <c r="J2709" s="172" t="n">
        <v>10</v>
      </c>
      <c r="K2709" s="172" t="inlineStr">
        <is>
          <t>3+3</t>
        </is>
      </c>
      <c r="L2709" s="208" t="n">
        <v>46272</v>
      </c>
      <c r="M2709" s="175" t="n">
        <v>0.01485</v>
      </c>
      <c r="N2709" s="176" t="n">
        <v>0.017</v>
      </c>
      <c r="O2709" s="172" t="n">
        <v>2.12</v>
      </c>
      <c r="P2709" s="172" t="inlineStr">
        <is>
          <t>优先级</t>
        </is>
      </c>
      <c r="Q2709" s="175" t="n">
        <v>0.99</v>
      </c>
      <c r="R2709" s="172">
        <f>J1723*Q1723</f>
        <v/>
      </c>
      <c r="S2709" s="172" t="inlineStr">
        <is>
          <t>AAA</t>
        </is>
      </c>
      <c r="T2709" s="175" t="n">
        <v>0.0155</v>
      </c>
      <c r="U2709" s="172" t="n"/>
      <c r="V2709" s="172" t="n"/>
      <c r="W2709" s="175" t="n">
        <v>0.0161</v>
      </c>
      <c r="X2709" s="172" t="inlineStr">
        <is>
          <t>建信理财</t>
        </is>
      </c>
      <c r="Y2709" s="191" t="n">
        <v>0.9</v>
      </c>
    </row>
    <row r="2710">
      <c r="A2710" s="172" t="n">
        <v>143</v>
      </c>
      <c r="B2710" s="172" t="inlineStr">
        <is>
          <t>9月</t>
        </is>
      </c>
      <c r="C2710" s="172" t="inlineStr">
        <is>
          <t>企金</t>
        </is>
      </c>
      <c r="D2710" s="172" t="inlineStr">
        <is>
          <t>保理</t>
        </is>
      </c>
      <c r="E2710" s="172" t="inlineStr">
        <is>
          <t>京诚16-4</t>
        </is>
      </c>
      <c r="F2710" s="172" t="inlineStr">
        <is>
          <t>上交所</t>
        </is>
      </c>
      <c r="G2710" s="172" t="inlineStr">
        <is>
          <t>财通资管</t>
        </is>
      </c>
      <c r="H2710" s="172" t="inlineStr">
        <is>
          <t>平安证券</t>
        </is>
      </c>
      <c r="I2710" s="172" t="inlineStr">
        <is>
          <t>光大北分</t>
        </is>
      </c>
      <c r="J2710" s="172" t="n">
        <v>10</v>
      </c>
      <c r="K2710" s="172" t="inlineStr">
        <is>
          <t>3+3</t>
        </is>
      </c>
      <c r="L2710" s="208" t="n">
        <v>46272</v>
      </c>
      <c r="M2710" s="175" t="n">
        <v>0.01485</v>
      </c>
      <c r="N2710" s="176" t="n">
        <v>0.017</v>
      </c>
      <c r="O2710" s="172" t="n">
        <v>2.12</v>
      </c>
      <c r="P2710" s="172" t="inlineStr">
        <is>
          <t>优先级</t>
        </is>
      </c>
      <c r="Q2710" s="175" t="n">
        <v>0.99</v>
      </c>
      <c r="R2710" s="172">
        <f>J1723*Q1723</f>
        <v/>
      </c>
      <c r="S2710" s="172" t="inlineStr">
        <is>
          <t>AAA</t>
        </is>
      </c>
      <c r="T2710" s="175" t="n">
        <v>0.0155</v>
      </c>
      <c r="U2710" s="172" t="n"/>
      <c r="V2710" s="172" t="n"/>
      <c r="W2710" s="175" t="n">
        <v>0.017</v>
      </c>
      <c r="X2710" s="172" t="inlineStr">
        <is>
          <t>平安证券</t>
        </is>
      </c>
      <c r="Y2710" s="191" t="n">
        <v>0.5</v>
      </c>
    </row>
    <row r="2711">
      <c r="A2711" s="172" t="n">
        <v>143</v>
      </c>
      <c r="B2711" s="172" t="inlineStr">
        <is>
          <t>9月</t>
        </is>
      </c>
      <c r="C2711" s="172" t="inlineStr">
        <is>
          <t>企金</t>
        </is>
      </c>
      <c r="D2711" s="172" t="inlineStr">
        <is>
          <t>保理</t>
        </is>
      </c>
      <c r="E2711" s="172" t="inlineStr">
        <is>
          <t>京诚16-4</t>
        </is>
      </c>
      <c r="F2711" s="172" t="inlineStr">
        <is>
          <t>上交所</t>
        </is>
      </c>
      <c r="G2711" s="172" t="inlineStr">
        <is>
          <t>财通资管</t>
        </is>
      </c>
      <c r="H2711" s="172" t="inlineStr">
        <is>
          <t>平安证券</t>
        </is>
      </c>
      <c r="I2711" s="172" t="inlineStr">
        <is>
          <t>光大北分</t>
        </is>
      </c>
      <c r="J2711" s="172" t="n">
        <v>10</v>
      </c>
      <c r="K2711" s="172" t="inlineStr">
        <is>
          <t>3+3</t>
        </is>
      </c>
      <c r="L2711" s="208" t="n">
        <v>46272</v>
      </c>
      <c r="M2711" s="175" t="n">
        <v>0.01485</v>
      </c>
      <c r="N2711" s="176" t="n">
        <v>0.017</v>
      </c>
      <c r="O2711" s="172" t="n">
        <v>2.12</v>
      </c>
      <c r="P2711" s="172" t="inlineStr">
        <is>
          <t>优先级</t>
        </is>
      </c>
      <c r="Q2711" s="175" t="n">
        <v>0.99</v>
      </c>
      <c r="R2711" s="172">
        <f>J1723*Q1723</f>
        <v/>
      </c>
      <c r="S2711" s="172" t="inlineStr">
        <is>
          <t>AAA</t>
        </is>
      </c>
      <c r="T2711" s="175" t="n">
        <v>0.0155</v>
      </c>
      <c r="U2711" s="172" t="n"/>
      <c r="V2711" s="172" t="n"/>
      <c r="W2711" s="175" t="n">
        <v>0.024</v>
      </c>
      <c r="X2711" s="172" t="inlineStr">
        <is>
          <t>利曦基金</t>
        </is>
      </c>
      <c r="Y2711" s="191" t="n">
        <v>2</v>
      </c>
    </row>
    <row r="2712">
      <c r="A2712" s="172" t="n">
        <v>143</v>
      </c>
      <c r="B2712" s="172" t="inlineStr">
        <is>
          <t>9月</t>
        </is>
      </c>
      <c r="C2712" s="172" t="inlineStr">
        <is>
          <t>企金</t>
        </is>
      </c>
      <c r="D2712" s="172" t="inlineStr">
        <is>
          <t>保理</t>
        </is>
      </c>
      <c r="E2712" s="172" t="inlineStr">
        <is>
          <t>京诚16-4</t>
        </is>
      </c>
      <c r="F2712" s="172" t="inlineStr">
        <is>
          <t>上交所</t>
        </is>
      </c>
      <c r="G2712" s="172" t="inlineStr">
        <is>
          <t>财通资管</t>
        </is>
      </c>
      <c r="H2712" s="172" t="inlineStr">
        <is>
          <t>平安证券</t>
        </is>
      </c>
      <c r="I2712" s="172" t="inlineStr">
        <is>
          <t>光大北分</t>
        </is>
      </c>
      <c r="J2712" s="172" t="n">
        <v>10</v>
      </c>
      <c r="K2712" s="172" t="inlineStr">
        <is>
          <t>3+3</t>
        </is>
      </c>
      <c r="L2712" s="202" t="n">
        <v>46272</v>
      </c>
      <c r="M2712" s="175" t="n">
        <v>0.01485</v>
      </c>
      <c r="N2712" s="176" t="n">
        <v>0.017</v>
      </c>
      <c r="O2712" s="191" t="n">
        <v>2.12</v>
      </c>
      <c r="P2712" s="172" t="inlineStr">
        <is>
          <t>次级</t>
        </is>
      </c>
      <c r="Q2712" s="175" t="n">
        <v>0.01</v>
      </c>
      <c r="R2712" s="192">
        <f>J1723*Q1730</f>
        <v/>
      </c>
      <c r="S2712" s="175" t="inlineStr">
        <is>
          <t>无</t>
        </is>
      </c>
      <c r="T2712" s="175" t="n">
        <v>0.043</v>
      </c>
      <c r="U2712" s="172" t="inlineStr">
        <is>
          <t>利曦基金</t>
        </is>
      </c>
      <c r="V2712" s="191" t="n">
        <v>0.1</v>
      </c>
      <c r="W2712" s="172" t="n"/>
      <c r="X2712" s="172" t="n"/>
      <c r="Y2712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2026-09-12T04:08:13Z</dcterms:modified>
  <cp:lastModifiedBy>wupeizhi.nolan</cp:lastModifiedBy>
</cp:coreProperties>
</file>