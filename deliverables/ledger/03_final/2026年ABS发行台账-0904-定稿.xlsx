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91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杭州银行/南京银行/江苏银行/中信银行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杭州银行/南京银行/江苏银行/中信银行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杭州银行/南京银行/江苏银行/中信银行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杭州银行/南京银行/江苏银行/中信银行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杭州银行/南京银行/江苏银行/中信银行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杭州银行/南京银行/江苏银行/中信银行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杭州银行/南京银行/江苏银行/中信银行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杭州银行/南京银行/江苏银行/中信银行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杭州银行/南京银行/江苏银行/中信银行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杭州银行/南京银行/江苏银行/中信银行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杭州银行/南京银行/江苏银行/中信银行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平层非标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平层非标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平层非标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江苏银行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0.01942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0.01942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0.01942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0.01942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0.01942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0.01942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0.01942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0.01942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0.01942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0.01942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0.01942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0.01942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0.01942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0.01942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0.01942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0.01942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0.01942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0.01942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0.01942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0.01942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0.01942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0.01942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0.01942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0.01942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0.01942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0.01942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0.01942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8月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8月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8月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8月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8月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8月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8月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8月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8月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8月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8月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8月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8月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8月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8月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8月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8月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8月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8月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8月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8月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工银天津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工银天津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工银天津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工银天津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工银天津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工银天津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工银天津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工银天津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工银天津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工银天津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工银天津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工银天津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工银天津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工银天津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工银天津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工银天津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工银天津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工银天津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工银天津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工银天津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工银天津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工银天津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工银天津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工银天津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工银天津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工银天津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工银天津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工银天津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工银天津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工银天津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工银天津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工银天津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工银天津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工银天津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工银天津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工银天津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工银天津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工银天津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工银天津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工银天津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工银天津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工银天津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工银天津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工银天津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工银天津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工银天津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工银天津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工银天津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工银天津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工银天津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工银天津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工银天津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工银天津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工银天津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工银天津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工银天津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工银天津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工银天津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工银天津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工银天津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工银天津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工银天津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工银天津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工银天津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工银天津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工银天津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工银天津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0.0164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0.0164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0.0164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0.0164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0.0164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0.0164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0.0164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0.0164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0.0164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0.0164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0.0164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0.0164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0.0164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0.0164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0.0164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0.0164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0.0164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0.0164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0.0164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0.0164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0.0164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0.0187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0.0187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0.0187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0.0187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0.0187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0.0187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0.0187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0.0187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0.0187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0.0187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0.0187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0.0187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0.0187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0.0187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0.0187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0.0187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0.0187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0.0187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0.0187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0.0187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0.0187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5" t="n">
        <v>0.016</v>
      </c>
      <c r="X2165" s="172" t="inlineStr">
        <is>
          <t>交银理财有限责任公司</t>
        </is>
      </c>
      <c r="Y2165" s="191" t="n">
        <v>1</v>
      </c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5" t="n">
        <v>0.0158</v>
      </c>
      <c r="X2166" s="172" t="inlineStr">
        <is>
          <t>工银理财有限责任公司</t>
        </is>
      </c>
      <c r="Y2166" s="191" t="n">
        <v>2.5</v>
      </c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5" t="n">
        <v>0.016</v>
      </c>
      <c r="X2167" s="172" t="inlineStr">
        <is>
          <t>江苏银行股份有限公司</t>
        </is>
      </c>
      <c r="Y2167" s="191" t="n">
        <v>1.8</v>
      </c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5" t="n">
        <v>0.016</v>
      </c>
      <c r="X2168" s="172" t="inlineStr">
        <is>
          <t>中邮理财有限责任公司</t>
        </is>
      </c>
      <c r="Y2168" s="191" t="n">
        <v>2.7</v>
      </c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5" t="n">
        <v>0.016</v>
      </c>
      <c r="X2169" s="172" t="inlineStr">
        <is>
          <t>平安养老保险股份有限公司</t>
        </is>
      </c>
      <c r="Y2169" s="191" t="n">
        <v>0.9</v>
      </c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5" t="n">
        <v>0.0157</v>
      </c>
      <c r="X2170" s="172" t="inlineStr">
        <is>
          <t>中国建设银行股份有限公司</t>
        </is>
      </c>
      <c r="Y2170" s="191" t="n">
        <v>1.8</v>
      </c>
    </row>
    <row r="2171">
      <c r="A2171" s="172" t="n">
        <v>122</v>
      </c>
      <c r="B2171" s="172" t="inlineStr">
        <is>
          <t>7月</t>
        </is>
      </c>
      <c r="C2171" s="172" t="inlineStr">
        <is>
          <t>消金</t>
        </is>
      </c>
      <c r="D2171" s="172" t="inlineStr">
        <is>
          <t>赊销白条</t>
        </is>
      </c>
      <c r="E2171" s="172" t="inlineStr">
        <is>
          <t>东裕11号夏裕（可续发）</t>
        </is>
      </c>
      <c r="F2171" s="172" t="inlineStr">
        <is>
          <t>银行间</t>
        </is>
      </c>
      <c r="G2171" s="172" t="inlineStr">
        <is>
          <t>兴业证券</t>
        </is>
      </c>
      <c r="H2171" s="172" t="inlineStr">
        <is>
          <t>江苏银行/建设银行/东方证券/中信证券</t>
        </is>
      </c>
      <c r="I2171" s="172" t="inlineStr">
        <is>
          <t>兴业北分</t>
        </is>
      </c>
      <c r="J2171" s="172" t="n">
        <v>10</v>
      </c>
      <c r="K2171" s="172" t="inlineStr">
        <is>
          <t>10+10+9+3</t>
        </is>
      </c>
      <c r="L2171" s="208" t="n">
        <v>46231</v>
      </c>
      <c r="M2171" s="175" t="n">
        <v>0.0148</v>
      </c>
      <c r="N2171" s="176" t="n">
        <v>0.0182</v>
      </c>
      <c r="O2171" s="172" t="n">
        <v>1.69</v>
      </c>
      <c r="P2171" s="172" t="inlineStr">
        <is>
          <t>优先A</t>
        </is>
      </c>
      <c r="Q2171" s="175" t="n">
        <v>0.9</v>
      </c>
      <c r="R2171" s="192" t="n">
        <v>9</v>
      </c>
      <c r="S2171" s="172" t="inlineStr">
        <is>
          <t>AAA</t>
        </is>
      </c>
      <c r="T2171" s="175" t="n">
        <v>0.016</v>
      </c>
      <c r="U2171" s="172" t="n"/>
      <c r="V2171" s="172" t="n"/>
      <c r="W2171" s="175" t="n">
        <v>0.0165</v>
      </c>
      <c r="X2171" s="172" t="inlineStr">
        <is>
          <t>杭银理财有限责任公司</t>
        </is>
      </c>
      <c r="Y2171" s="191" t="n">
        <v>0.4</v>
      </c>
    </row>
    <row r="2172">
      <c r="A2172" s="172" t="n">
        <v>122</v>
      </c>
      <c r="B2172" s="172" t="inlineStr">
        <is>
          <t>7月</t>
        </is>
      </c>
      <c r="C2172" s="172" t="inlineStr">
        <is>
          <t>消金</t>
        </is>
      </c>
      <c r="D2172" s="172" t="inlineStr">
        <is>
          <t>赊销白条</t>
        </is>
      </c>
      <c r="E2172" s="172" t="inlineStr">
        <is>
          <t>东裕11号夏裕（可续发）</t>
        </is>
      </c>
      <c r="F2172" s="172" t="inlineStr">
        <is>
          <t>银行间</t>
        </is>
      </c>
      <c r="G2172" s="172" t="inlineStr">
        <is>
          <t>兴业证券</t>
        </is>
      </c>
      <c r="H2172" s="172" t="inlineStr">
        <is>
          <t>江苏银行/建设银行/东方证券/中信证券</t>
        </is>
      </c>
      <c r="I2172" s="172" t="inlineStr">
        <is>
          <t>兴业北分</t>
        </is>
      </c>
      <c r="J2172" s="172" t="n">
        <v>10</v>
      </c>
      <c r="K2172" s="172" t="inlineStr">
        <is>
          <t>10+10+9+3</t>
        </is>
      </c>
      <c r="L2172" s="208" t="n">
        <v>46231</v>
      </c>
      <c r="M2172" s="175" t="n">
        <v>0.0148</v>
      </c>
      <c r="N2172" s="176" t="n">
        <v>0.0182</v>
      </c>
      <c r="O2172" s="172" t="n">
        <v>1.69</v>
      </c>
      <c r="P2172" s="172" t="inlineStr">
        <is>
          <t>优先A</t>
        </is>
      </c>
      <c r="Q2172" s="175" t="n">
        <v>0.9</v>
      </c>
      <c r="R2172" s="192" t="n">
        <v>9</v>
      </c>
      <c r="S2172" s="172" t="inlineStr">
        <is>
          <t>AAA</t>
        </is>
      </c>
      <c r="T2172" s="175" t="n">
        <v>0.016</v>
      </c>
      <c r="U2172" s="172" t="n"/>
      <c r="V2172" s="172" t="n"/>
      <c r="W2172" s="175" t="n">
        <v>0.017</v>
      </c>
      <c r="X2172" s="172" t="inlineStr">
        <is>
          <t>中信证券股份有限公司</t>
        </is>
      </c>
      <c r="Y2172" s="191" t="n">
        <v>1</v>
      </c>
    </row>
    <row r="2173">
      <c r="A2173" s="172" t="n">
        <v>122</v>
      </c>
      <c r="B2173" s="172" t="inlineStr">
        <is>
          <t>7月</t>
        </is>
      </c>
      <c r="C2173" s="172" t="inlineStr">
        <is>
          <t>消金</t>
        </is>
      </c>
      <c r="D2173" s="172" t="inlineStr">
        <is>
          <t>赊销白条</t>
        </is>
      </c>
      <c r="E2173" s="172" t="inlineStr">
        <is>
          <t>东裕11号夏裕（可续发）</t>
        </is>
      </c>
      <c r="F2173" s="172" t="inlineStr">
        <is>
          <t>银行间</t>
        </is>
      </c>
      <c r="G2173" s="172" t="inlineStr">
        <is>
          <t>兴业证券</t>
        </is>
      </c>
      <c r="H2173" s="172" t="inlineStr">
        <is>
          <t>江苏银行/建设银行/东方证券/中信证券</t>
        </is>
      </c>
      <c r="I2173" s="172" t="inlineStr">
        <is>
          <t>兴业北分</t>
        </is>
      </c>
      <c r="J2173" s="172" t="n">
        <v>10</v>
      </c>
      <c r="K2173" s="172" t="inlineStr">
        <is>
          <t>10+10+9+3</t>
        </is>
      </c>
      <c r="L2173" s="208" t="n">
        <v>46231</v>
      </c>
      <c r="M2173" s="175" t="n">
        <v>0.0148</v>
      </c>
      <c r="N2173" s="176" t="n">
        <v>0.0182</v>
      </c>
      <c r="O2173" s="172" t="n">
        <v>1.69</v>
      </c>
      <c r="P2173" s="172" t="inlineStr">
        <is>
          <t>优先A</t>
        </is>
      </c>
      <c r="Q2173" s="175" t="n">
        <v>0.9</v>
      </c>
      <c r="R2173" s="192" t="n">
        <v>9</v>
      </c>
      <c r="S2173" s="172" t="inlineStr">
        <is>
          <t>AAA</t>
        </is>
      </c>
      <c r="T2173" s="175" t="n">
        <v>0.016</v>
      </c>
      <c r="U2173" s="172" t="n"/>
      <c r="V2173" s="172" t="n"/>
      <c r="W2173" s="175" t="n">
        <v>0.017</v>
      </c>
      <c r="X2173" s="172" t="inlineStr">
        <is>
          <t>华兴证券有限公司</t>
        </is>
      </c>
      <c r="Y2173" s="191" t="n">
        <v>0.2</v>
      </c>
    </row>
    <row r="2174">
      <c r="A2174" s="172" t="n">
        <v>122</v>
      </c>
      <c r="B2174" s="172" t="inlineStr">
        <is>
          <t>7月</t>
        </is>
      </c>
      <c r="C2174" s="172" t="inlineStr">
        <is>
          <t>消金</t>
        </is>
      </c>
      <c r="D2174" s="172" t="inlineStr">
        <is>
          <t>赊销白条</t>
        </is>
      </c>
      <c r="E2174" s="172" t="inlineStr">
        <is>
          <t>东裕11号夏裕（可续发）</t>
        </is>
      </c>
      <c r="F2174" s="172" t="inlineStr">
        <is>
          <t>银行间</t>
        </is>
      </c>
      <c r="G2174" s="172" t="inlineStr">
        <is>
          <t>兴业证券</t>
        </is>
      </c>
      <c r="H2174" s="172" t="inlineStr">
        <is>
          <t>江苏银行/建设银行/东方证券/中信证券</t>
        </is>
      </c>
      <c r="I2174" s="172" t="inlineStr">
        <is>
          <t>兴业北分</t>
        </is>
      </c>
      <c r="J2174" s="172" t="n">
        <v>10</v>
      </c>
      <c r="K2174" s="172" t="inlineStr">
        <is>
          <t>10+10+9+3</t>
        </is>
      </c>
      <c r="L2174" s="208" t="n">
        <v>46231</v>
      </c>
      <c r="M2174" s="175" t="n">
        <v>0.0148</v>
      </c>
      <c r="N2174" s="176" t="n">
        <v>0.0182</v>
      </c>
      <c r="O2174" s="172" t="n">
        <v>1.69</v>
      </c>
      <c r="P2174" s="172" t="inlineStr">
        <is>
          <t>优先A</t>
        </is>
      </c>
      <c r="Q2174" s="175" t="n">
        <v>0.9</v>
      </c>
      <c r="R2174" s="192" t="n">
        <v>9</v>
      </c>
      <c r="S2174" s="172" t="inlineStr">
        <is>
          <t>AAA</t>
        </is>
      </c>
      <c r="T2174" s="175" t="n">
        <v>0.016</v>
      </c>
      <c r="U2174" s="172" t="n"/>
      <c r="V2174" s="172" t="n"/>
      <c r="W2174" s="175" t="n">
        <v>0.024</v>
      </c>
      <c r="X2174" s="172" t="inlineStr">
        <is>
          <t>兴业证券股份有限公司</t>
        </is>
      </c>
      <c r="Y2174" s="191" t="n">
        <v>1.5</v>
      </c>
    </row>
    <row r="2175">
      <c r="A2175" s="172" t="n">
        <v>122</v>
      </c>
      <c r="B2175" s="172" t="inlineStr">
        <is>
          <t>7月</t>
        </is>
      </c>
      <c r="C2175" s="172" t="inlineStr">
        <is>
          <t>消金</t>
        </is>
      </c>
      <c r="D2175" s="172" t="inlineStr">
        <is>
          <t>赊销白条</t>
        </is>
      </c>
      <c r="E2175" s="172" t="inlineStr">
        <is>
          <t>东裕11号夏裕（可续发）</t>
        </is>
      </c>
      <c r="F2175" s="172" t="inlineStr">
        <is>
          <t>银行间</t>
        </is>
      </c>
      <c r="G2175" s="172" t="inlineStr">
        <is>
          <t>兴业证券</t>
        </is>
      </c>
      <c r="H2175" s="172" t="inlineStr">
        <is>
          <t>江苏银行/建设银行/东方证券/中信证券</t>
        </is>
      </c>
      <c r="I2175" s="172" t="inlineStr">
        <is>
          <t>兴业北分</t>
        </is>
      </c>
      <c r="J2175" s="172" t="n">
        <v>10</v>
      </c>
      <c r="K2175" s="172" t="inlineStr">
        <is>
          <t>10+10+9+3</t>
        </is>
      </c>
      <c r="L2175" s="208" t="n">
        <v>46231</v>
      </c>
      <c r="M2175" s="175" t="n">
        <v>0.0148</v>
      </c>
      <c r="N2175" s="176" t="n">
        <v>0.0182</v>
      </c>
      <c r="O2175" s="172" t="n">
        <v>1.69</v>
      </c>
      <c r="P2175" s="172" t="inlineStr">
        <is>
          <t>优先A</t>
        </is>
      </c>
      <c r="Q2175" s="175" t="n">
        <v>0.9</v>
      </c>
      <c r="R2175" s="192" t="n">
        <v>9</v>
      </c>
      <c r="S2175" s="172" t="inlineStr">
        <is>
          <t>AAA</t>
        </is>
      </c>
      <c r="T2175" s="175" t="n">
        <v>0.016</v>
      </c>
      <c r="U2175" s="172" t="n"/>
      <c r="V2175" s="172" t="n"/>
      <c r="W2175" s="175" t="n">
        <v>0.024</v>
      </c>
      <c r="X2175" s="172" t="inlineStr">
        <is>
          <t>东方证券股份有限公司</t>
        </is>
      </c>
      <c r="Y2175" s="191" t="n">
        <v>1.4</v>
      </c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7" t="inlineStr">
        <is>
          <t>优先B</t>
        </is>
      </c>
      <c r="Q2176" s="178" t="n">
        <v>0.03</v>
      </c>
      <c r="R2176" s="179" t="n">
        <v>0.3</v>
      </c>
      <c r="S2176" s="177" t="inlineStr">
        <is>
          <t>AA+</t>
        </is>
      </c>
      <c r="T2176" s="178" t="n">
        <v>0.0175</v>
      </c>
      <c r="U2176" s="177" t="inlineStr">
        <is>
          <t>交银理财</t>
        </is>
      </c>
      <c r="V2176" s="192" t="n">
        <v>0.09</v>
      </c>
      <c r="W2176" s="175" t="n">
        <v>0.017</v>
      </c>
      <c r="X2176" s="172" t="inlineStr">
        <is>
          <t>交银理财有限责任公司</t>
        </is>
      </c>
      <c r="Y2176" s="191" t="n">
        <v>0.09</v>
      </c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优先B</t>
        </is>
      </c>
      <c r="Q2177" s="178" t="n">
        <v>0.03</v>
      </c>
      <c r="R2177" s="179" t="n">
        <v>0.3</v>
      </c>
      <c r="S2177" s="177" t="inlineStr">
        <is>
          <t>AA+</t>
        </is>
      </c>
      <c r="T2177" s="178" t="n">
        <v>0.0175</v>
      </c>
      <c r="U2177" s="177" t="inlineStr">
        <is>
          <t>杭州联合银行</t>
        </is>
      </c>
      <c r="V2177" s="192" t="n">
        <v>0.09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2" t="inlineStr">
        <is>
          <t>优先B</t>
        </is>
      </c>
      <c r="Q2178" s="178" t="n">
        <v>0.03</v>
      </c>
      <c r="R2178" s="179" t="n">
        <v>0.3</v>
      </c>
      <c r="S2178" s="177" t="inlineStr">
        <is>
          <t>AA+</t>
        </is>
      </c>
      <c r="T2178" s="178" t="n">
        <v>0.0175</v>
      </c>
      <c r="U2178" s="177" t="inlineStr">
        <is>
          <t>兴业证券投行</t>
        </is>
      </c>
      <c r="V2178" s="192" t="n">
        <v>0.12</v>
      </c>
      <c r="W2178" s="172" t="n"/>
      <c r="X2178" s="172" t="n"/>
      <c r="Y2178" s="172" t="n"/>
    </row>
    <row r="2179">
      <c r="A2179" s="172" t="n">
        <v>122</v>
      </c>
      <c r="B2179" s="172" t="inlineStr">
        <is>
          <t>7月</t>
        </is>
      </c>
      <c r="C2179" s="172" t="inlineStr">
        <is>
          <t>消金</t>
        </is>
      </c>
      <c r="D2179" s="172" t="inlineStr">
        <is>
          <t>赊销白条</t>
        </is>
      </c>
      <c r="E2179" s="172" t="inlineStr">
        <is>
          <t>东裕11号夏裕（可续发）</t>
        </is>
      </c>
      <c r="F2179" s="172" t="inlineStr">
        <is>
          <t>银行间</t>
        </is>
      </c>
      <c r="G2179" s="172" t="inlineStr">
        <is>
          <t>兴业证券</t>
        </is>
      </c>
      <c r="H2179" s="172" t="inlineStr">
        <is>
          <t>江苏银行/建设银行/东方证券/中信证券</t>
        </is>
      </c>
      <c r="I2179" s="172" t="inlineStr">
        <is>
          <t>兴业北分</t>
        </is>
      </c>
      <c r="J2179" s="172" t="n">
        <v>10</v>
      </c>
      <c r="K2179" s="172" t="inlineStr">
        <is>
          <t>10+10+9+3</t>
        </is>
      </c>
      <c r="L2179" s="208" t="n">
        <v>46231</v>
      </c>
      <c r="M2179" s="175" t="n">
        <v>0.0148</v>
      </c>
      <c r="N2179" s="176" t="n">
        <v>0.0182</v>
      </c>
      <c r="O2179" s="172" t="n">
        <v>1.69</v>
      </c>
      <c r="P2179" s="172" t="inlineStr">
        <is>
          <t>优先B</t>
        </is>
      </c>
      <c r="Q2179" s="175" t="n">
        <v>0.03</v>
      </c>
      <c r="R2179" s="192" t="n">
        <v>0.3</v>
      </c>
      <c r="S2179" s="172" t="inlineStr">
        <is>
          <t>AA+</t>
        </is>
      </c>
      <c r="T2179" s="175" t="n">
        <v>0.0175</v>
      </c>
      <c r="U2179" s="172" t="n"/>
      <c r="V2179" s="172" t="n"/>
      <c r="W2179" s="175" t="n">
        <v>0.0175</v>
      </c>
      <c r="X2179" s="172" t="inlineStr">
        <is>
          <t>杭州联合农村商业银行股份有限公司</t>
        </is>
      </c>
      <c r="Y2179" s="191" t="n">
        <v>0.09</v>
      </c>
    </row>
    <row r="2180">
      <c r="A2180" s="172" t="n">
        <v>122</v>
      </c>
      <c r="B2180" s="172" t="inlineStr">
        <is>
          <t>7月</t>
        </is>
      </c>
      <c r="C2180" s="172" t="inlineStr">
        <is>
          <t>消金</t>
        </is>
      </c>
      <c r="D2180" s="172" t="inlineStr">
        <is>
          <t>赊销白条</t>
        </is>
      </c>
      <c r="E2180" s="172" t="inlineStr">
        <is>
          <t>东裕11号夏裕（可续发）</t>
        </is>
      </c>
      <c r="F2180" s="172" t="inlineStr">
        <is>
          <t>银行间</t>
        </is>
      </c>
      <c r="G2180" s="172" t="inlineStr">
        <is>
          <t>兴业证券</t>
        </is>
      </c>
      <c r="H2180" s="172" t="inlineStr">
        <is>
          <t>江苏银行/建设银行/东方证券/中信证券</t>
        </is>
      </c>
      <c r="I2180" s="172" t="inlineStr">
        <is>
          <t>兴业北分</t>
        </is>
      </c>
      <c r="J2180" s="172" t="n">
        <v>10</v>
      </c>
      <c r="K2180" s="172" t="inlineStr">
        <is>
          <t>10+10+9+3</t>
        </is>
      </c>
      <c r="L2180" s="208" t="n">
        <v>46231</v>
      </c>
      <c r="M2180" s="175" t="n">
        <v>0.0148</v>
      </c>
      <c r="N2180" s="176" t="n">
        <v>0.0182</v>
      </c>
      <c r="O2180" s="172" t="n">
        <v>1.69</v>
      </c>
      <c r="P2180" s="172" t="inlineStr">
        <is>
          <t>优先B</t>
        </is>
      </c>
      <c r="Q2180" s="175" t="n">
        <v>0.03</v>
      </c>
      <c r="R2180" s="192" t="n">
        <v>0.3</v>
      </c>
      <c r="S2180" s="172" t="inlineStr">
        <is>
          <t>AA+</t>
        </is>
      </c>
      <c r="T2180" s="175" t="n">
        <v>0.0175</v>
      </c>
      <c r="U2180" s="172" t="n"/>
      <c r="V2180" s="172" t="n"/>
      <c r="W2180" s="175" t="n">
        <v>0.0175</v>
      </c>
      <c r="X2180" s="172" t="inlineStr">
        <is>
          <t>兴业证券股份有限公司</t>
        </is>
      </c>
      <c r="Y2180" s="191" t="n">
        <v>0.12</v>
      </c>
    </row>
    <row r="2181">
      <c r="A2181" s="172" t="n">
        <v>122</v>
      </c>
      <c r="B2181" s="173" t="inlineStr">
        <is>
          <t>7月</t>
        </is>
      </c>
      <c r="C2181" s="173" t="inlineStr">
        <is>
          <t>消金</t>
        </is>
      </c>
      <c r="D2181" s="173" t="inlineStr">
        <is>
          <t>赊销白条</t>
        </is>
      </c>
      <c r="E2181" s="173" t="inlineStr">
        <is>
          <t>东裕11号夏裕（可续发）</t>
        </is>
      </c>
      <c r="F2181" s="173" t="inlineStr">
        <is>
          <t>银行间</t>
        </is>
      </c>
      <c r="G2181" s="173" t="inlineStr">
        <is>
          <t>兴业证券</t>
        </is>
      </c>
      <c r="H2181" s="173" t="inlineStr">
        <is>
          <t>江苏银行/建设银行/东方证券/中信证券</t>
        </is>
      </c>
      <c r="I2181" s="173" t="inlineStr">
        <is>
          <t>兴业北分</t>
        </is>
      </c>
      <c r="J2181" s="172" t="n">
        <v>10</v>
      </c>
      <c r="K2181" s="173" t="inlineStr">
        <is>
          <t>10+10+9+3</t>
        </is>
      </c>
      <c r="L2181" s="202" t="n">
        <v>46231</v>
      </c>
      <c r="M2181" s="175" t="n">
        <v>0.0148</v>
      </c>
      <c r="N2181" s="176" t="n">
        <v>0.0182</v>
      </c>
      <c r="O2181" s="191" t="n">
        <v>1.69</v>
      </c>
      <c r="P2181" s="177" t="inlineStr">
        <is>
          <t>中间级</t>
        </is>
      </c>
      <c r="Q2181" s="178" t="n">
        <v>0.02</v>
      </c>
      <c r="R2181" s="179" t="n">
        <v>0.2</v>
      </c>
      <c r="S2181" s="177" t="inlineStr">
        <is>
          <t>A+</t>
        </is>
      </c>
      <c r="T2181" s="178" t="n">
        <v>0.031</v>
      </c>
      <c r="U2181" s="177" t="inlineStr">
        <is>
          <t>杭州联合银行</t>
        </is>
      </c>
      <c r="V2181" s="192" t="n">
        <v>0.06</v>
      </c>
      <c r="W2181" s="172" t="n"/>
      <c r="X2181" s="172" t="n"/>
      <c r="Y2181" s="172" t="n"/>
    </row>
    <row r="2182">
      <c r="A2182" s="172" t="n">
        <v>122</v>
      </c>
      <c r="B2182" s="173" t="inlineStr">
        <is>
          <t>7月</t>
        </is>
      </c>
      <c r="C2182" s="173" t="inlineStr">
        <is>
          <t>消金</t>
        </is>
      </c>
      <c r="D2182" s="173" t="inlineStr">
        <is>
          <t>赊销白条</t>
        </is>
      </c>
      <c r="E2182" s="173" t="inlineStr">
        <is>
          <t>东裕11号夏裕（可续发）</t>
        </is>
      </c>
      <c r="F2182" s="173" t="inlineStr">
        <is>
          <t>银行间</t>
        </is>
      </c>
      <c r="G2182" s="173" t="inlineStr">
        <is>
          <t>兴业证券</t>
        </is>
      </c>
      <c r="H2182" s="173" t="inlineStr">
        <is>
          <t>江苏银行/建设银行/东方证券/中信证券</t>
        </is>
      </c>
      <c r="I2182" s="173" t="inlineStr">
        <is>
          <t>兴业北分</t>
        </is>
      </c>
      <c r="J2182" s="172" t="n">
        <v>10</v>
      </c>
      <c r="K2182" s="173" t="inlineStr">
        <is>
          <t>10+10+9+3</t>
        </is>
      </c>
      <c r="L2182" s="202" t="n">
        <v>46231</v>
      </c>
      <c r="M2182" s="175" t="n">
        <v>0.0148</v>
      </c>
      <c r="N2182" s="176" t="n">
        <v>0.0182</v>
      </c>
      <c r="O2182" s="191" t="n">
        <v>1.69</v>
      </c>
      <c r="P2182" s="172" t="inlineStr">
        <is>
          <t>中间级</t>
        </is>
      </c>
      <c r="Q2182" s="178" t="n">
        <v>0.02</v>
      </c>
      <c r="R2182" s="179" t="n">
        <v>0.2</v>
      </c>
      <c r="S2182" s="177" t="inlineStr">
        <is>
          <t>A+</t>
        </is>
      </c>
      <c r="T2182" s="178" t="n">
        <v>0.031</v>
      </c>
      <c r="U2182" s="177" t="inlineStr">
        <is>
          <t>平安理财</t>
        </is>
      </c>
      <c r="V2182" s="192" t="n">
        <v>0.06</v>
      </c>
      <c r="W2182" s="172" t="n"/>
      <c r="X2182" s="172" t="n"/>
      <c r="Y2182" s="172" t="n"/>
    </row>
    <row r="2183">
      <c r="A2183" s="172" t="n">
        <v>122</v>
      </c>
      <c r="B2183" s="173" t="inlineStr">
        <is>
          <t>7月</t>
        </is>
      </c>
      <c r="C2183" s="173" t="inlineStr">
        <is>
          <t>消金</t>
        </is>
      </c>
      <c r="D2183" s="173" t="inlineStr">
        <is>
          <t>赊销白条</t>
        </is>
      </c>
      <c r="E2183" s="173" t="inlineStr">
        <is>
          <t>东裕11号夏裕（可续发）</t>
        </is>
      </c>
      <c r="F2183" s="173" t="inlineStr">
        <is>
          <t>银行间</t>
        </is>
      </c>
      <c r="G2183" s="173" t="inlineStr">
        <is>
          <t>兴业证券</t>
        </is>
      </c>
      <c r="H2183" s="173" t="inlineStr">
        <is>
          <t>江苏银行/建设银行/东方证券/中信证券</t>
        </is>
      </c>
      <c r="I2183" s="173" t="inlineStr">
        <is>
          <t>兴业北分</t>
        </is>
      </c>
      <c r="J2183" s="172" t="n">
        <v>10</v>
      </c>
      <c r="K2183" s="173" t="inlineStr">
        <is>
          <t>10+10+9+3</t>
        </is>
      </c>
      <c r="L2183" s="202" t="n">
        <v>46231</v>
      </c>
      <c r="M2183" s="175" t="n">
        <v>0.0148</v>
      </c>
      <c r="N2183" s="176" t="n">
        <v>0.0182</v>
      </c>
      <c r="O2183" s="191" t="n">
        <v>1.69</v>
      </c>
      <c r="P2183" s="172" t="inlineStr">
        <is>
          <t>中间级</t>
        </is>
      </c>
      <c r="Q2183" s="178" t="n">
        <v>0.02</v>
      </c>
      <c r="R2183" s="179" t="n">
        <v>0.2</v>
      </c>
      <c r="S2183" s="177" t="inlineStr">
        <is>
          <t>A+</t>
        </is>
      </c>
      <c r="T2183" s="178" t="n">
        <v>0.031</v>
      </c>
      <c r="U2183" s="177" t="inlineStr">
        <is>
          <t>招银理财</t>
        </is>
      </c>
      <c r="V2183" s="192" t="n">
        <v>0.06</v>
      </c>
      <c r="W2183" s="172" t="n"/>
      <c r="X2183" s="172" t="n"/>
      <c r="Y2183" s="172" t="n"/>
    </row>
    <row r="2184">
      <c r="A2184" s="172" t="n">
        <v>122</v>
      </c>
      <c r="B2184" s="173" t="inlineStr">
        <is>
          <t>7月</t>
        </is>
      </c>
      <c r="C2184" s="173" t="inlineStr">
        <is>
          <t>消金</t>
        </is>
      </c>
      <c r="D2184" s="173" t="inlineStr">
        <is>
          <t>赊销白条</t>
        </is>
      </c>
      <c r="E2184" s="173" t="inlineStr">
        <is>
          <t>东裕11号夏裕（可续发）</t>
        </is>
      </c>
      <c r="F2184" s="173" t="inlineStr">
        <is>
          <t>银行间</t>
        </is>
      </c>
      <c r="G2184" s="173" t="inlineStr">
        <is>
          <t>兴业证券</t>
        </is>
      </c>
      <c r="H2184" s="173" t="inlineStr">
        <is>
          <t>江苏银行/建设银行/东方证券/中信证券</t>
        </is>
      </c>
      <c r="I2184" s="173" t="inlineStr">
        <is>
          <t>兴业北分</t>
        </is>
      </c>
      <c r="J2184" s="172" t="n">
        <v>10</v>
      </c>
      <c r="K2184" s="173" t="inlineStr">
        <is>
          <t>10+10+9+3</t>
        </is>
      </c>
      <c r="L2184" s="202" t="n">
        <v>46231</v>
      </c>
      <c r="M2184" s="175" t="n">
        <v>0.0148</v>
      </c>
      <c r="N2184" s="176" t="n">
        <v>0.0182</v>
      </c>
      <c r="O2184" s="191" t="n">
        <v>1.69</v>
      </c>
      <c r="P2184" s="172" t="inlineStr">
        <is>
          <t>中间级</t>
        </is>
      </c>
      <c r="Q2184" s="178" t="n">
        <v>0.02</v>
      </c>
      <c r="R2184" s="179" t="n">
        <v>0.2</v>
      </c>
      <c r="S2184" s="177" t="inlineStr">
        <is>
          <t>A+</t>
        </is>
      </c>
      <c r="T2184" s="178" t="n">
        <v>0.031</v>
      </c>
      <c r="U2184" s="177" t="inlineStr">
        <is>
          <t>中信建投衍生品</t>
        </is>
      </c>
      <c r="V2184" s="192" t="n">
        <v>0.02</v>
      </c>
      <c r="W2184" s="172" t="n"/>
      <c r="X2184" s="172" t="n"/>
      <c r="Y2184" s="172" t="n"/>
    </row>
    <row r="2185">
      <c r="A2185" s="172" t="n">
        <v>122</v>
      </c>
      <c r="B2185" s="173" t="inlineStr">
        <is>
          <t>7月</t>
        </is>
      </c>
      <c r="C2185" s="173" t="inlineStr">
        <is>
          <t>消金</t>
        </is>
      </c>
      <c r="D2185" s="173" t="inlineStr">
        <is>
          <t>赊销白条</t>
        </is>
      </c>
      <c r="E2185" s="173" t="inlineStr">
        <is>
          <t>东裕11号夏裕（可续发）</t>
        </is>
      </c>
      <c r="F2185" s="173" t="inlineStr">
        <is>
          <t>银行间</t>
        </is>
      </c>
      <c r="G2185" s="173" t="inlineStr">
        <is>
          <t>兴业证券</t>
        </is>
      </c>
      <c r="H2185" s="173" t="inlineStr">
        <is>
          <t>江苏银行/建设银行/东方证券/中信证券</t>
        </is>
      </c>
      <c r="I2185" s="173" t="inlineStr">
        <is>
          <t>兴业北分</t>
        </is>
      </c>
      <c r="J2185" s="172" t="n">
        <v>10</v>
      </c>
      <c r="K2185" s="173" t="inlineStr">
        <is>
          <t>10+10+9+3</t>
        </is>
      </c>
      <c r="L2185" s="202" t="n">
        <v>46231</v>
      </c>
      <c r="M2185" s="175" t="n">
        <v>0.0148</v>
      </c>
      <c r="N2185" s="176" t="n">
        <v>0.0182</v>
      </c>
      <c r="O2185" s="191" t="n">
        <v>1.69</v>
      </c>
      <c r="P2185" s="177" t="inlineStr">
        <is>
          <t>次级</t>
        </is>
      </c>
      <c r="Q2185" s="178" t="n">
        <v>0.05</v>
      </c>
      <c r="R2185" s="179" t="n">
        <v>0.5</v>
      </c>
      <c r="S2185" s="177" t="inlineStr">
        <is>
          <t>无</t>
        </is>
      </c>
      <c r="T2185" s="178" t="n">
        <v>0.045</v>
      </c>
      <c r="U2185" s="177" t="inlineStr">
        <is>
          <t>中信证券财富</t>
        </is>
      </c>
      <c r="V2185" s="195" t="n">
        <v>0.225</v>
      </c>
      <c r="W2185" s="172" t="n"/>
      <c r="X2185" s="172" t="n"/>
      <c r="Y2185" s="172" t="n"/>
    </row>
    <row r="2186">
      <c r="A2186" s="172" t="n">
        <v>122</v>
      </c>
      <c r="B2186" s="173" t="inlineStr">
        <is>
          <t>7月</t>
        </is>
      </c>
      <c r="C2186" s="173" t="inlineStr">
        <is>
          <t>消金</t>
        </is>
      </c>
      <c r="D2186" s="173" t="inlineStr">
        <is>
          <t>赊销白条</t>
        </is>
      </c>
      <c r="E2186" s="173" t="inlineStr">
        <is>
          <t>东裕11号夏裕（可续发）</t>
        </is>
      </c>
      <c r="F2186" s="173" t="inlineStr">
        <is>
          <t>银行间</t>
        </is>
      </c>
      <c r="G2186" s="173" t="inlineStr">
        <is>
          <t>兴业证券</t>
        </is>
      </c>
      <c r="H2186" s="173" t="inlineStr">
        <is>
          <t>江苏银行/建设银行/东方证券/中信证券</t>
        </is>
      </c>
      <c r="I2186" s="173" t="inlineStr">
        <is>
          <t>兴业北分</t>
        </is>
      </c>
      <c r="J2186" s="172" t="n">
        <v>10</v>
      </c>
      <c r="K2186" s="173" t="inlineStr">
        <is>
          <t>10+10+9+3</t>
        </is>
      </c>
      <c r="L2186" s="202" t="n">
        <v>46231</v>
      </c>
      <c r="M2186" s="175" t="n">
        <v>0.0148</v>
      </c>
      <c r="N2186" s="176" t="n">
        <v>0.0182</v>
      </c>
      <c r="O2186" s="191" t="n">
        <v>1.69</v>
      </c>
      <c r="P2186" s="172" t="inlineStr">
        <is>
          <t>次级</t>
        </is>
      </c>
      <c r="Q2186" s="178" t="n">
        <v>0.05</v>
      </c>
      <c r="R2186" s="179" t="n">
        <v>0.5</v>
      </c>
      <c r="S2186" s="177" t="inlineStr">
        <is>
          <t>无</t>
        </is>
      </c>
      <c r="T2186" s="178" t="n">
        <v>0.045</v>
      </c>
      <c r="U2186" s="177" t="inlineStr">
        <is>
          <t>华兴证券自营</t>
        </is>
      </c>
      <c r="V2186" s="195" t="n">
        <v>0.075</v>
      </c>
      <c r="W2186" s="172" t="n"/>
      <c r="X2186" s="172" t="n"/>
      <c r="Y2186" s="172" t="n"/>
    </row>
    <row r="2187">
      <c r="A2187" s="172" t="n">
        <v>122</v>
      </c>
      <c r="B2187" s="173" t="inlineStr">
        <is>
          <t>7月</t>
        </is>
      </c>
      <c r="C2187" s="173" t="inlineStr">
        <is>
          <t>消金</t>
        </is>
      </c>
      <c r="D2187" s="173" t="inlineStr">
        <is>
          <t>赊销白条</t>
        </is>
      </c>
      <c r="E2187" s="173" t="inlineStr">
        <is>
          <t>东裕11号夏裕（可续发）</t>
        </is>
      </c>
      <c r="F2187" s="173" t="inlineStr">
        <is>
          <t>银行间</t>
        </is>
      </c>
      <c r="G2187" s="173" t="inlineStr">
        <is>
          <t>兴业证券</t>
        </is>
      </c>
      <c r="H2187" s="173" t="inlineStr">
        <is>
          <t>江苏银行/建设银行/东方证券/中信证券</t>
        </is>
      </c>
      <c r="I2187" s="173" t="inlineStr">
        <is>
          <t>兴业北分</t>
        </is>
      </c>
      <c r="J2187" s="172" t="n">
        <v>10</v>
      </c>
      <c r="K2187" s="173" t="inlineStr">
        <is>
          <t>10+10+9+3</t>
        </is>
      </c>
      <c r="L2187" s="202" t="n">
        <v>46231</v>
      </c>
      <c r="M2187" s="175" t="n">
        <v>0.0148</v>
      </c>
      <c r="N2187" s="176" t="n">
        <v>0.0182</v>
      </c>
      <c r="O2187" s="191" t="n">
        <v>1.69</v>
      </c>
      <c r="P2187" s="172" t="inlineStr">
        <is>
          <t>次级</t>
        </is>
      </c>
      <c r="Q2187" s="178" t="n">
        <v>0.05</v>
      </c>
      <c r="R2187" s="179" t="n">
        <v>0.5</v>
      </c>
      <c r="S2187" s="177" t="inlineStr">
        <is>
          <t>无</t>
        </is>
      </c>
      <c r="T2187" s="178" t="n">
        <v>0.045</v>
      </c>
      <c r="U2187" s="177" t="inlineStr">
        <is>
          <t>中信建投机构部</t>
        </is>
      </c>
      <c r="V2187" s="192" t="n">
        <v>0.2</v>
      </c>
      <c r="W2187" s="172" t="n"/>
      <c r="X2187" s="172" t="n"/>
      <c r="Y2187" s="172" t="n"/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0.0187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 xml:space="preserve"> 厦门汇正</t>
        </is>
      </c>
      <c r="V2188" s="191" t="n">
        <v>0.41</v>
      </c>
      <c r="W2188" s="175" t="n">
        <v>0.014</v>
      </c>
      <c r="X2188" s="172" t="inlineStr">
        <is>
          <t>厦门汇正</t>
        </is>
      </c>
      <c r="Y2188" s="191" t="n">
        <v>0.41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2" t="n">
        <v>46231</v>
      </c>
      <c r="M2189" s="175" t="n">
        <v>0.0148</v>
      </c>
      <c r="N2189" s="176" t="n">
        <v>0.0187</v>
      </c>
      <c r="O2189" s="191" t="n">
        <v>1.58</v>
      </c>
      <c r="P2189" s="172" t="inlineStr">
        <is>
          <t>优先级</t>
        </is>
      </c>
      <c r="Q2189" s="175" t="n">
        <v>0.9</v>
      </c>
      <c r="R2189" s="192">
        <f>8.1</f>
        <v/>
      </c>
      <c r="S2189" s="172" t="inlineStr">
        <is>
          <t>AAA</t>
        </is>
      </c>
      <c r="T2189" s="175" t="n">
        <v>0.016</v>
      </c>
      <c r="U2189" s="172" t="inlineStr">
        <is>
          <t>招银理财</t>
        </is>
      </c>
      <c r="V2189" s="191" t="n">
        <v>2.43</v>
      </c>
      <c r="W2189" s="175" t="n">
        <v>0.0156</v>
      </c>
      <c r="X2189" s="172" t="inlineStr">
        <is>
          <t>招银理财</t>
        </is>
      </c>
      <c r="Y2189" s="191" t="n">
        <v>2.43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2" t="n">
        <v>46231</v>
      </c>
      <c r="M2190" s="175" t="n">
        <v>0.0148</v>
      </c>
      <c r="N2190" s="176" t="n">
        <v>0.0187</v>
      </c>
      <c r="O2190" s="191" t="n">
        <v>1.58</v>
      </c>
      <c r="P2190" s="172" t="inlineStr">
        <is>
          <t>优先级</t>
        </is>
      </c>
      <c r="Q2190" s="175" t="n">
        <v>0.9</v>
      </c>
      <c r="R2190" s="192">
        <f>8.1</f>
        <v/>
      </c>
      <c r="S2190" s="172" t="inlineStr">
        <is>
          <t>AAA</t>
        </is>
      </c>
      <c r="T2190" s="175" t="n">
        <v>0.016</v>
      </c>
      <c r="U2190" s="172" t="inlineStr">
        <is>
          <t>华夏基金</t>
        </is>
      </c>
      <c r="V2190" s="191" t="n">
        <v>1.28</v>
      </c>
      <c r="W2190" s="175" t="n">
        <v>0.0158</v>
      </c>
      <c r="X2190" s="172" t="inlineStr">
        <is>
          <t>华夏基金</t>
        </is>
      </c>
      <c r="Y2190" s="191" t="n">
        <v>1.2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0.0187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</v>
      </c>
      <c r="X2191" s="172" t="inlineStr">
        <is>
          <t>华夏基金</t>
        </is>
      </c>
      <c r="Y2191" s="191" t="n">
        <v>0.1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0.0187</v>
      </c>
      <c r="O2192" s="191" t="n">
        <v>1.58</v>
      </c>
      <c r="P2192" s="172" t="inlineStr">
        <is>
          <t>优先级</t>
        </is>
      </c>
      <c r="Q2192" s="175" t="n">
        <v>0.9</v>
      </c>
      <c r="R2192" s="192">
        <f>8.1</f>
        <v/>
      </c>
      <c r="S2192" s="172" t="inlineStr">
        <is>
          <t>AAA</t>
        </is>
      </c>
      <c r="T2192" s="175" t="n">
        <v>0.016</v>
      </c>
      <c r="U2192" s="172" t="inlineStr">
        <is>
          <t>民生理财</t>
        </is>
      </c>
      <c r="V2192" s="191" t="n">
        <v>1.62</v>
      </c>
      <c r="W2192" s="175" t="n">
        <v>0.016</v>
      </c>
      <c r="X2192" s="172" t="inlineStr">
        <is>
          <t>民生理财</t>
        </is>
      </c>
      <c r="Y2192" s="191" t="n">
        <v>2.01</v>
      </c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0.0187</v>
      </c>
      <c r="O2193" s="191" t="n">
        <v>1.58</v>
      </c>
      <c r="P2193" s="172" t="inlineStr">
        <is>
          <t>优先级</t>
        </is>
      </c>
      <c r="Q2193" s="175" t="n">
        <v>0.9</v>
      </c>
      <c r="R2193" s="192">
        <f>8.1</f>
        <v/>
      </c>
      <c r="S2193" s="172" t="inlineStr">
        <is>
          <t>AAA</t>
        </is>
      </c>
      <c r="T2193" s="175" t="n">
        <v>0.016</v>
      </c>
      <c r="U2193" s="172" t="inlineStr">
        <is>
          <t>交银理财</t>
        </is>
      </c>
      <c r="V2193" s="191" t="n">
        <v>0.4</v>
      </c>
      <c r="W2193" s="175" t="n">
        <v>0.016</v>
      </c>
      <c r="X2193" s="172" t="inlineStr">
        <is>
          <t>交银理财</t>
        </is>
      </c>
      <c r="Y2193" s="191" t="n">
        <v>0.5</v>
      </c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8" t="n">
        <v>46231</v>
      </c>
      <c r="M2194" s="175" t="n">
        <v>0.0148</v>
      </c>
      <c r="N2194" s="176" t="n">
        <v>0.0187</v>
      </c>
      <c r="O2194" s="172" t="n">
        <v>1.58</v>
      </c>
      <c r="P2194" s="172" t="inlineStr">
        <is>
          <t>优先级</t>
        </is>
      </c>
      <c r="Q2194" s="175" t="n">
        <v>0.9</v>
      </c>
      <c r="R2194" s="172">
        <f>8.1</f>
        <v/>
      </c>
      <c r="S2194" s="172" t="inlineStr">
        <is>
          <t>AAA</t>
        </is>
      </c>
      <c r="T2194" s="175" t="n">
        <v>0.016</v>
      </c>
      <c r="U2194" s="172" t="n"/>
      <c r="V2194" s="172" t="n"/>
      <c r="W2194" s="175" t="n">
        <v>0.0165</v>
      </c>
      <c r="X2194" s="172" t="inlineStr">
        <is>
          <t>交银理财</t>
        </is>
      </c>
      <c r="Y2194" s="191" t="n">
        <v>1.93</v>
      </c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0.0187</v>
      </c>
      <c r="O2195" s="191" t="n">
        <v>1.58</v>
      </c>
      <c r="P2195" s="172" t="inlineStr">
        <is>
          <t>优先级</t>
        </is>
      </c>
      <c r="Q2195" s="175" t="n">
        <v>0.9</v>
      </c>
      <c r="R2195" s="192">
        <f>8.1</f>
        <v/>
      </c>
      <c r="S2195" s="172" t="inlineStr">
        <is>
          <t>AAA</t>
        </is>
      </c>
      <c r="T2195" s="175" t="n">
        <v>0.016</v>
      </c>
      <c r="U2195" s="172" t="inlineStr">
        <is>
          <t>中邮理财</t>
        </is>
      </c>
      <c r="V2195" s="191" t="n">
        <v>1.96</v>
      </c>
      <c r="W2195" s="175" t="n">
        <v>0.016</v>
      </c>
      <c r="X2195" s="172" t="inlineStr">
        <is>
          <t>中邮理财</t>
        </is>
      </c>
      <c r="Y2195" s="191" t="n">
        <v>2.42</v>
      </c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8" t="n">
        <v>46231</v>
      </c>
      <c r="M2196" s="175" t="n">
        <v>0.0148</v>
      </c>
      <c r="N2196" s="176" t="n">
        <v>0.0187</v>
      </c>
      <c r="O2196" s="172" t="n">
        <v>1.58</v>
      </c>
      <c r="P2196" s="172" t="inlineStr">
        <is>
          <t>优先级</t>
        </is>
      </c>
      <c r="Q2196" s="175" t="n">
        <v>0.9</v>
      </c>
      <c r="R2196" s="172">
        <f>8.1</f>
        <v/>
      </c>
      <c r="S2196" s="172" t="inlineStr">
        <is>
          <t>AAA</t>
        </is>
      </c>
      <c r="T2196" s="175" t="n">
        <v>0.016</v>
      </c>
      <c r="U2196" s="172" t="n"/>
      <c r="V2196" s="172" t="n"/>
      <c r="W2196" s="175" t="n">
        <v>0.0163</v>
      </c>
      <c r="X2196" s="172" t="inlineStr">
        <is>
          <t>建信理财</t>
        </is>
      </c>
      <c r="Y2196" s="191" t="n">
        <v>0.8</v>
      </c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8" t="n">
        <v>46231</v>
      </c>
      <c r="M2197" s="175" t="n">
        <v>0.0148</v>
      </c>
      <c r="N2197" s="176" t="n">
        <v>0.0187</v>
      </c>
      <c r="O2197" s="172" t="n">
        <v>1.58</v>
      </c>
      <c r="P2197" s="172" t="inlineStr">
        <is>
          <t>优先级</t>
        </is>
      </c>
      <c r="Q2197" s="175" t="n">
        <v>0.9</v>
      </c>
      <c r="R2197" s="172">
        <f>8.1</f>
        <v/>
      </c>
      <c r="S2197" s="172" t="inlineStr">
        <is>
          <t>AAA</t>
        </is>
      </c>
      <c r="T2197" s="175" t="n">
        <v>0.016</v>
      </c>
      <c r="U2197" s="172" t="n"/>
      <c r="V2197" s="172" t="n"/>
      <c r="W2197" s="175" t="n">
        <v>0.0165</v>
      </c>
      <c r="X2197" s="172" t="inlineStr">
        <is>
          <t>利曦基金</t>
        </is>
      </c>
      <c r="Y2197" s="191" t="n">
        <v>0.5</v>
      </c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8" t="n">
        <v>46231</v>
      </c>
      <c r="M2198" s="175" t="n">
        <v>0.0148</v>
      </c>
      <c r="N2198" s="176" t="n">
        <v>0.0187</v>
      </c>
      <c r="O2198" s="172" t="n">
        <v>1.58</v>
      </c>
      <c r="P2198" s="172" t="inlineStr">
        <is>
          <t>优先级</t>
        </is>
      </c>
      <c r="Q2198" s="175" t="n">
        <v>0.9</v>
      </c>
      <c r="R2198" s="172">
        <f>8.1</f>
        <v/>
      </c>
      <c r="S2198" s="172" t="inlineStr">
        <is>
          <t>AAA</t>
        </is>
      </c>
      <c r="T2198" s="175" t="n">
        <v>0.016</v>
      </c>
      <c r="U2198" s="172" t="n"/>
      <c r="V2198" s="172" t="n"/>
      <c r="W2198" s="175" t="n">
        <v>0.0168</v>
      </c>
      <c r="X2198" s="172" t="inlineStr">
        <is>
          <t>建信信托</t>
        </is>
      </c>
      <c r="Y2198" s="191" t="n">
        <v>0.5</v>
      </c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0.0187</v>
      </c>
      <c r="O2199" s="191" t="n">
        <v>1.58</v>
      </c>
      <c r="P2199" s="172" t="inlineStr">
        <is>
          <t>中间级</t>
        </is>
      </c>
      <c r="Q2199" s="175" t="n">
        <v>0.05</v>
      </c>
      <c r="R2199" s="192" t="n">
        <v>0.45</v>
      </c>
      <c r="S2199" s="175" t="inlineStr">
        <is>
          <t>AA</t>
        </is>
      </c>
      <c r="T2199" s="175" t="n">
        <v>0.031</v>
      </c>
      <c r="U2199" s="172" t="inlineStr">
        <is>
          <t>招银理财</t>
        </is>
      </c>
      <c r="V2199" s="193" t="n">
        <v>0.135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0.0187</v>
      </c>
      <c r="O2200" s="191" t="n">
        <v>1.58</v>
      </c>
      <c r="P2200" s="172" t="inlineStr">
        <is>
          <t>中间级</t>
        </is>
      </c>
      <c r="Q2200" s="175" t="n">
        <v>0.05</v>
      </c>
      <c r="R2200" s="192" t="n">
        <v>0.45</v>
      </c>
      <c r="S2200" s="175" t="inlineStr">
        <is>
          <t>AA</t>
        </is>
      </c>
      <c r="T2200" s="175" t="n">
        <v>0.031</v>
      </c>
      <c r="U2200" s="172" t="inlineStr">
        <is>
          <t>国泰海通自营</t>
        </is>
      </c>
      <c r="V2200" s="193" t="n">
        <v>0.135</v>
      </c>
      <c r="W2200" s="172" t="n"/>
      <c r="X2200" s="172" t="n"/>
      <c r="Y2200" s="172" t="n"/>
    </row>
    <row r="2201">
      <c r="A2201" s="172" t="n">
        <v>123</v>
      </c>
      <c r="B2201" s="172" t="inlineStr">
        <is>
          <t>7月</t>
        </is>
      </c>
      <c r="C2201" s="172" t="inlineStr">
        <is>
          <t>企金</t>
        </is>
      </c>
      <c r="D2201" s="172" t="inlineStr">
        <is>
          <t>金采</t>
        </is>
      </c>
      <c r="E2201" s="172" t="inlineStr">
        <is>
          <t>金采8-11</t>
        </is>
      </c>
      <c r="F2201" s="172" t="inlineStr">
        <is>
          <t>上交所</t>
        </is>
      </c>
      <c r="G2201" s="172" t="inlineStr">
        <is>
          <t>华泰资管</t>
        </is>
      </c>
      <c r="H2201" s="172" t="inlineStr">
        <is>
          <t>国开证券</t>
        </is>
      </c>
      <c r="I2201" s="172" t="inlineStr">
        <is>
          <t>青岛银行</t>
        </is>
      </c>
      <c r="J2201" s="172" t="n">
        <v>9</v>
      </c>
      <c r="K2201" s="172" t="inlineStr">
        <is>
          <t>7+12</t>
        </is>
      </c>
      <c r="L2201" s="202" t="n">
        <v>46231</v>
      </c>
      <c r="M2201" s="175" t="n">
        <v>0.0148</v>
      </c>
      <c r="N2201" s="176" t="n">
        <v>0.0187</v>
      </c>
      <c r="O2201" s="191" t="n">
        <v>1.58</v>
      </c>
      <c r="P2201" s="172" t="inlineStr">
        <is>
          <t>中间级</t>
        </is>
      </c>
      <c r="Q2201" s="175" t="n">
        <v>0.05</v>
      </c>
      <c r="R2201" s="192" t="n">
        <v>0.45</v>
      </c>
      <c r="S2201" s="175" t="inlineStr">
        <is>
          <t>AA</t>
        </is>
      </c>
      <c r="T2201" s="175" t="n">
        <v>0.031</v>
      </c>
      <c r="U2201" s="172" t="inlineStr">
        <is>
          <t>建信信托</t>
        </is>
      </c>
      <c r="V2201" s="191" t="n">
        <v>0.1</v>
      </c>
      <c r="W2201" s="172" t="n"/>
      <c r="X2201" s="172" t="n"/>
      <c r="Y2201" s="172" t="n"/>
    </row>
    <row r="2202">
      <c r="A2202" s="172" t="n">
        <v>123</v>
      </c>
      <c r="B2202" s="172" t="inlineStr">
        <is>
          <t>7月</t>
        </is>
      </c>
      <c r="C2202" s="172" t="inlineStr">
        <is>
          <t>企金</t>
        </is>
      </c>
      <c r="D2202" s="172" t="inlineStr">
        <is>
          <t>金采</t>
        </is>
      </c>
      <c r="E2202" s="172" t="inlineStr">
        <is>
          <t>金采8-11</t>
        </is>
      </c>
      <c r="F2202" s="172" t="inlineStr">
        <is>
          <t>上交所</t>
        </is>
      </c>
      <c r="G2202" s="172" t="inlineStr">
        <is>
          <t>华泰资管</t>
        </is>
      </c>
      <c r="H2202" s="172" t="inlineStr">
        <is>
          <t>国开证券</t>
        </is>
      </c>
      <c r="I2202" s="172" t="inlineStr">
        <is>
          <t>青岛银行</t>
        </is>
      </c>
      <c r="J2202" s="172" t="n">
        <v>9</v>
      </c>
      <c r="K2202" s="172" t="inlineStr">
        <is>
          <t>7+12</t>
        </is>
      </c>
      <c r="L2202" s="202" t="n">
        <v>46231</v>
      </c>
      <c r="M2202" s="175" t="n">
        <v>0.0148</v>
      </c>
      <c r="N2202" s="176" t="n">
        <v>0.0187</v>
      </c>
      <c r="O2202" s="191" t="n">
        <v>1.58</v>
      </c>
      <c r="P2202" s="172" t="inlineStr">
        <is>
          <t>中间级</t>
        </is>
      </c>
      <c r="Q2202" s="175" t="n">
        <v>0.05</v>
      </c>
      <c r="R2202" s="192" t="n">
        <v>0.45</v>
      </c>
      <c r="S2202" s="175" t="inlineStr">
        <is>
          <t>AA</t>
        </is>
      </c>
      <c r="T2202" s="175" t="n">
        <v>0.031</v>
      </c>
      <c r="U2202" s="172" t="inlineStr">
        <is>
          <t>东方财富自营</t>
        </is>
      </c>
      <c r="V2202" s="201" t="n">
        <v>0.0575</v>
      </c>
      <c r="W2202" s="172" t="n"/>
      <c r="X2202" s="172" t="n"/>
      <c r="Y2202" s="172" t="n"/>
    </row>
    <row r="2203">
      <c r="A2203" s="172" t="n">
        <v>123</v>
      </c>
      <c r="B2203" s="172" t="inlineStr">
        <is>
          <t>7月</t>
        </is>
      </c>
      <c r="C2203" s="172" t="inlineStr">
        <is>
          <t>企金</t>
        </is>
      </c>
      <c r="D2203" s="172" t="inlineStr">
        <is>
          <t>金采</t>
        </is>
      </c>
      <c r="E2203" s="172" t="inlineStr">
        <is>
          <t>金采8-11</t>
        </is>
      </c>
      <c r="F2203" s="172" t="inlineStr">
        <is>
          <t>上交所</t>
        </is>
      </c>
      <c r="G2203" s="172" t="inlineStr">
        <is>
          <t>华泰资管</t>
        </is>
      </c>
      <c r="H2203" s="172" t="inlineStr">
        <is>
          <t>国开证券</t>
        </is>
      </c>
      <c r="I2203" s="172" t="inlineStr">
        <is>
          <t>青岛银行</t>
        </is>
      </c>
      <c r="J2203" s="172" t="n">
        <v>9</v>
      </c>
      <c r="K2203" s="172" t="inlineStr">
        <is>
          <t>7+12</t>
        </is>
      </c>
      <c r="L2203" s="202" t="n">
        <v>46231</v>
      </c>
      <c r="M2203" s="175" t="n">
        <v>0.0148</v>
      </c>
      <c r="N2203" s="176" t="n">
        <v>0.0187</v>
      </c>
      <c r="O2203" s="191" t="n">
        <v>1.58</v>
      </c>
      <c r="P2203" s="172" t="inlineStr">
        <is>
          <t>中间级</t>
        </is>
      </c>
      <c r="Q2203" s="175" t="n">
        <v>0.05</v>
      </c>
      <c r="R2203" s="192" t="n">
        <v>0.45</v>
      </c>
      <c r="S2203" s="175" t="inlineStr">
        <is>
          <t>AA</t>
        </is>
      </c>
      <c r="T2203" s="175" t="n">
        <v>0.031</v>
      </c>
      <c r="U2203" s="172" t="inlineStr">
        <is>
          <t xml:space="preserve"> 厦门汇正</t>
        </is>
      </c>
      <c r="V2203" s="201" t="n">
        <v>0.0225</v>
      </c>
      <c r="W2203" s="172" t="n"/>
      <c r="X2203" s="172" t="n"/>
      <c r="Y2203" s="172" t="n"/>
    </row>
    <row r="2204">
      <c r="A2204" s="172" t="n">
        <v>123</v>
      </c>
      <c r="B2204" s="172" t="inlineStr">
        <is>
          <t>7月</t>
        </is>
      </c>
      <c r="C2204" s="172" t="inlineStr">
        <is>
          <t>企金</t>
        </is>
      </c>
      <c r="D2204" s="172" t="inlineStr">
        <is>
          <t>金采</t>
        </is>
      </c>
      <c r="E2204" s="172" t="inlineStr">
        <is>
          <t>金采8-11</t>
        </is>
      </c>
      <c r="F2204" s="172" t="inlineStr">
        <is>
          <t>上交所</t>
        </is>
      </c>
      <c r="G2204" s="172" t="inlineStr">
        <is>
          <t>华泰资管</t>
        </is>
      </c>
      <c r="H2204" s="172" t="inlineStr">
        <is>
          <t>国开证券</t>
        </is>
      </c>
      <c r="I2204" s="172" t="inlineStr">
        <is>
          <t>青岛银行</t>
        </is>
      </c>
      <c r="J2204" s="172" t="n">
        <v>9</v>
      </c>
      <c r="K2204" s="172" t="inlineStr">
        <is>
          <t>7+12</t>
        </is>
      </c>
      <c r="L2204" s="202" t="n">
        <v>46231</v>
      </c>
      <c r="M2204" s="175" t="n">
        <v>0.0148</v>
      </c>
      <c r="N2204" s="176" t="n">
        <v>0.0187</v>
      </c>
      <c r="O2204" s="191" t="n">
        <v>1.58</v>
      </c>
      <c r="P2204" s="172" t="inlineStr">
        <is>
          <t>次级</t>
        </is>
      </c>
      <c r="Q2204" s="175" t="n">
        <v>0.05</v>
      </c>
      <c r="R2204" s="192" t="n">
        <v>0.45</v>
      </c>
      <c r="S2204" s="175" t="inlineStr">
        <is>
          <t>无</t>
        </is>
      </c>
      <c r="T2204" s="175" t="n">
        <v>0.0455</v>
      </c>
      <c r="U2204" s="172" t="inlineStr">
        <is>
          <t>厦门汇正</t>
        </is>
      </c>
      <c r="V2204" s="201">
        <f>R1449*0.05</f>
        <v/>
      </c>
      <c r="W2204" s="172" t="n"/>
      <c r="X2204" s="172" t="n"/>
      <c r="Y2204" s="172" t="n"/>
    </row>
    <row r="2205">
      <c r="A2205" s="172" t="n">
        <v>123</v>
      </c>
      <c r="B2205" s="172" t="inlineStr">
        <is>
          <t>7月</t>
        </is>
      </c>
      <c r="C2205" s="172" t="inlineStr">
        <is>
          <t>企金</t>
        </is>
      </c>
      <c r="D2205" s="172" t="inlineStr">
        <is>
          <t>金采</t>
        </is>
      </c>
      <c r="E2205" s="172" t="inlineStr">
        <is>
          <t>金采8-11</t>
        </is>
      </c>
      <c r="F2205" s="172" t="inlineStr">
        <is>
          <t>上交所</t>
        </is>
      </c>
      <c r="G2205" s="172" t="inlineStr">
        <is>
          <t>华泰资管</t>
        </is>
      </c>
      <c r="H2205" s="172" t="inlineStr">
        <is>
          <t>国开证券</t>
        </is>
      </c>
      <c r="I2205" s="172" t="inlineStr">
        <is>
          <t>青岛银行</t>
        </is>
      </c>
      <c r="J2205" s="172" t="n">
        <v>9</v>
      </c>
      <c r="K2205" s="172" t="inlineStr">
        <is>
          <t>7+12</t>
        </is>
      </c>
      <c r="L2205" s="202" t="n">
        <v>46231</v>
      </c>
      <c r="M2205" s="175" t="n">
        <v>0.0148</v>
      </c>
      <c r="N2205" s="176" t="n">
        <v>0.0187</v>
      </c>
      <c r="O2205" s="191" t="n">
        <v>1.58</v>
      </c>
      <c r="P2205" s="172" t="inlineStr">
        <is>
          <t>次级</t>
        </is>
      </c>
      <c r="Q2205" s="175" t="n">
        <v>0.05</v>
      </c>
      <c r="R2205" s="192" t="n">
        <v>0.45</v>
      </c>
      <c r="S2205" s="175" t="inlineStr">
        <is>
          <t>无</t>
        </is>
      </c>
      <c r="T2205" s="175" t="n">
        <v>0.0455</v>
      </c>
      <c r="U2205" s="172" t="inlineStr">
        <is>
          <t>德邦证券自营</t>
        </is>
      </c>
      <c r="V2205" s="201" t="n">
        <v>0.1875</v>
      </c>
      <c r="W2205" s="172" t="n"/>
      <c r="X2205" s="172" t="n"/>
      <c r="Y2205" s="172" t="n"/>
    </row>
    <row r="2206">
      <c r="A2206" s="172" t="n">
        <v>123</v>
      </c>
      <c r="B2206" s="172" t="inlineStr">
        <is>
          <t>7月</t>
        </is>
      </c>
      <c r="C2206" s="172" t="inlineStr">
        <is>
          <t>企金</t>
        </is>
      </c>
      <c r="D2206" s="172" t="inlineStr">
        <is>
          <t>金采</t>
        </is>
      </c>
      <c r="E2206" s="172" t="inlineStr">
        <is>
          <t>金采8-11</t>
        </is>
      </c>
      <c r="F2206" s="172" t="inlineStr">
        <is>
          <t>上交所</t>
        </is>
      </c>
      <c r="G2206" s="172" t="inlineStr">
        <is>
          <t>华泰资管</t>
        </is>
      </c>
      <c r="H2206" s="172" t="inlineStr">
        <is>
          <t>国开证券</t>
        </is>
      </c>
      <c r="I2206" s="172" t="inlineStr">
        <is>
          <t>青岛银行</t>
        </is>
      </c>
      <c r="J2206" s="172" t="n">
        <v>9</v>
      </c>
      <c r="K2206" s="172" t="inlineStr">
        <is>
          <t>7+12</t>
        </is>
      </c>
      <c r="L2206" s="202" t="n">
        <v>46231</v>
      </c>
      <c r="M2206" s="175" t="n">
        <v>0.0148</v>
      </c>
      <c r="N2206" s="176" t="n">
        <v>0.0187</v>
      </c>
      <c r="O2206" s="191" t="n">
        <v>1.58</v>
      </c>
      <c r="P2206" s="172" t="inlineStr">
        <is>
          <t>次级</t>
        </is>
      </c>
      <c r="Q2206" s="175" t="n">
        <v>0.05</v>
      </c>
      <c r="R2206" s="192" t="n">
        <v>0.45</v>
      </c>
      <c r="S2206" s="175" t="inlineStr">
        <is>
          <t>无</t>
        </is>
      </c>
      <c r="T2206" s="175" t="n">
        <v>0.0455</v>
      </c>
      <c r="U2206" s="172" t="inlineStr">
        <is>
          <t>中泰证券自营</t>
        </is>
      </c>
      <c r="V2206" s="193" t="n">
        <v>0.17</v>
      </c>
      <c r="W2206" s="172" t="n"/>
      <c r="X2206" s="172" t="n"/>
      <c r="Y2206" s="172" t="n"/>
    </row>
    <row r="2207">
      <c r="A2207" s="172" t="n">
        <v>123</v>
      </c>
      <c r="B2207" s="172" t="inlineStr">
        <is>
          <t>7月</t>
        </is>
      </c>
      <c r="C2207" s="172" t="inlineStr">
        <is>
          <t>企金</t>
        </is>
      </c>
      <c r="D2207" s="172" t="inlineStr">
        <is>
          <t>金采</t>
        </is>
      </c>
      <c r="E2207" s="172" t="inlineStr">
        <is>
          <t>金采8-11</t>
        </is>
      </c>
      <c r="F2207" s="172" t="inlineStr">
        <is>
          <t>上交所</t>
        </is>
      </c>
      <c r="G2207" s="172" t="inlineStr">
        <is>
          <t>华泰资管</t>
        </is>
      </c>
      <c r="H2207" s="172" t="inlineStr">
        <is>
          <t>国开证券</t>
        </is>
      </c>
      <c r="I2207" s="172" t="inlineStr">
        <is>
          <t>青岛银行</t>
        </is>
      </c>
      <c r="J2207" s="172" t="n">
        <v>9</v>
      </c>
      <c r="K2207" s="172" t="inlineStr">
        <is>
          <t>7+12</t>
        </is>
      </c>
      <c r="L2207" s="202" t="n">
        <v>46231</v>
      </c>
      <c r="M2207" s="175" t="n">
        <v>0.0148</v>
      </c>
      <c r="N2207" s="176" t="n">
        <v>0.0187</v>
      </c>
      <c r="O2207" s="191" t="n">
        <v>1.58</v>
      </c>
      <c r="P2207" s="172" t="inlineStr">
        <is>
          <t>次级</t>
        </is>
      </c>
      <c r="Q2207" s="175" t="n">
        <v>0.05</v>
      </c>
      <c r="R2207" s="192" t="n">
        <v>0.45</v>
      </c>
      <c r="S2207" s="175" t="inlineStr">
        <is>
          <t>无</t>
        </is>
      </c>
      <c r="T2207" s="175" t="n">
        <v>0.0455</v>
      </c>
      <c r="U2207" s="172" t="inlineStr">
        <is>
          <t>申万宏源自营</t>
        </is>
      </c>
      <c r="V2207" s="191" t="n">
        <v>0.07000000000000001</v>
      </c>
      <c r="W2207" s="172" t="n"/>
      <c r="X2207" s="172" t="n"/>
      <c r="Y2207" s="172" t="n"/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7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中邮理财</t>
        </is>
      </c>
      <c r="V2208" s="192" t="n">
        <v>2.6</v>
      </c>
      <c r="W2208" s="175" t="n">
        <v>0.0178</v>
      </c>
      <c r="X2208" s="172" t="inlineStr">
        <is>
          <t>中邮理财</t>
        </is>
      </c>
      <c r="Y2208" s="191" t="n">
        <v>2.6</v>
      </c>
    </row>
    <row r="2209">
      <c r="A2209" s="172" t="n">
        <v>124</v>
      </c>
      <c r="B2209" s="172" t="inlineStr">
        <is>
          <t>7月</t>
        </is>
      </c>
      <c r="C2209" s="172" t="inlineStr">
        <is>
          <t>消金</t>
        </is>
      </c>
      <c r="D2209" s="172" t="inlineStr">
        <is>
          <t>金条&amp;白取混发</t>
        </is>
      </c>
      <c r="E2209" s="172" t="inlineStr">
        <is>
          <t>2026东樾4号1期（东樾4-3）</t>
        </is>
      </c>
      <c r="F2209" s="172" t="inlineStr">
        <is>
          <t>银行间</t>
        </is>
      </c>
      <c r="G2209" s="172" t="inlineStr">
        <is>
          <t>中信证券</t>
        </is>
      </c>
      <c r="H2209" s="172" t="inlineStr">
        <is>
          <t>国信证券/光大证券/国泰海通</t>
        </is>
      </c>
      <c r="I2209" s="172" t="inlineStr">
        <is>
          <t>中邮北分</t>
        </is>
      </c>
      <c r="J2209" s="172" t="n">
        <v>10</v>
      </c>
      <c r="K2209" s="172" t="inlineStr">
        <is>
          <t>22+24</t>
        </is>
      </c>
      <c r="L2209" s="208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5" t="n">
        <v>0.87</v>
      </c>
      <c r="R2209" s="192" t="n">
        <v>8.699999999999999</v>
      </c>
      <c r="S2209" s="172" t="inlineStr">
        <is>
          <t>AAA</t>
        </is>
      </c>
      <c r="T2209" s="175" t="n">
        <v>0.018</v>
      </c>
      <c r="U2209" s="172" t="n"/>
      <c r="V2209" s="172" t="n"/>
      <c r="W2209" s="175" t="n">
        <v>0.0197</v>
      </c>
      <c r="X2209" s="172" t="inlineStr">
        <is>
          <t>中邮理财</t>
        </is>
      </c>
      <c r="Y2209" s="191" t="n">
        <v>0.01</v>
      </c>
    </row>
    <row r="2210">
      <c r="A2210" s="172" t="n">
        <v>124</v>
      </c>
      <c r="B2210" s="173" t="inlineStr">
        <is>
          <t>7月</t>
        </is>
      </c>
      <c r="C2210" s="173" t="inlineStr">
        <is>
          <t>消金</t>
        </is>
      </c>
      <c r="D2210" s="173" t="inlineStr">
        <is>
          <t>金条&amp;白取混发</t>
        </is>
      </c>
      <c r="E2210" s="173" t="inlineStr">
        <is>
          <t>2026东樾4号1期（东樾4-3）</t>
        </is>
      </c>
      <c r="F2210" s="173" t="inlineStr">
        <is>
          <t>银行间</t>
        </is>
      </c>
      <c r="G2210" s="173" t="inlineStr">
        <is>
          <t>中信证券</t>
        </is>
      </c>
      <c r="H2210" s="173" t="inlineStr">
        <is>
          <t>国信证券/光大证券/国泰海通</t>
        </is>
      </c>
      <c r="I2210" s="173" t="inlineStr">
        <is>
          <t>中邮北分</t>
        </is>
      </c>
      <c r="J2210" s="172" t="n">
        <v>10</v>
      </c>
      <c r="K2210" s="173" t="inlineStr">
        <is>
          <t>22+24</t>
        </is>
      </c>
      <c r="L2210" s="202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8" t="n">
        <v>0.87</v>
      </c>
      <c r="R2210" s="179" t="n">
        <v>8.699999999999999</v>
      </c>
      <c r="S2210" s="177" t="inlineStr">
        <is>
          <t>AAA</t>
        </is>
      </c>
      <c r="T2210" s="178" t="n">
        <v>0.018</v>
      </c>
      <c r="U2210" s="172" t="inlineStr">
        <is>
          <t>易方达基金</t>
        </is>
      </c>
      <c r="V2210" s="192" t="n">
        <v>2.4</v>
      </c>
      <c r="W2210" s="175" t="n">
        <v>0.018</v>
      </c>
      <c r="X2210" s="172" t="inlineStr">
        <is>
          <t>易方达基金</t>
        </is>
      </c>
      <c r="Y2210" s="191" t="n">
        <v>4.3</v>
      </c>
    </row>
    <row r="2211">
      <c r="A2211" s="172" t="n">
        <v>124</v>
      </c>
      <c r="B2211" s="173" t="inlineStr">
        <is>
          <t>7月</t>
        </is>
      </c>
      <c r="C2211" s="173" t="inlineStr">
        <is>
          <t>消金</t>
        </is>
      </c>
      <c r="D2211" s="173" t="inlineStr">
        <is>
          <t>金条&amp;白取混发</t>
        </is>
      </c>
      <c r="E2211" s="173" t="inlineStr">
        <is>
          <t>2026东樾4号1期（东樾4-3）</t>
        </is>
      </c>
      <c r="F2211" s="173" t="inlineStr">
        <is>
          <t>银行间</t>
        </is>
      </c>
      <c r="G2211" s="173" t="inlineStr">
        <is>
          <t>中信证券</t>
        </is>
      </c>
      <c r="H2211" s="173" t="inlineStr">
        <is>
          <t>国信证券/光大证券/国泰海通</t>
        </is>
      </c>
      <c r="I2211" s="173" t="inlineStr">
        <is>
          <t>中邮北分</t>
        </is>
      </c>
      <c r="J2211" s="172" t="n">
        <v>10</v>
      </c>
      <c r="K2211" s="173" t="inlineStr">
        <is>
          <t>22+24</t>
        </is>
      </c>
      <c r="L2211" s="202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8" t="n">
        <v>0.87</v>
      </c>
      <c r="R2211" s="179" t="n">
        <v>8.699999999999999</v>
      </c>
      <c r="S2211" s="177" t="inlineStr">
        <is>
          <t>AAA</t>
        </is>
      </c>
      <c r="T2211" s="178" t="n">
        <v>0.018</v>
      </c>
      <c r="U2211" s="172" t="inlineStr">
        <is>
          <t>交银理财</t>
        </is>
      </c>
      <c r="V2211" s="192" t="n">
        <v>1.5</v>
      </c>
      <c r="W2211" s="175" t="n">
        <v>0.018</v>
      </c>
      <c r="X2211" s="172" t="inlineStr">
        <is>
          <t>交银理财</t>
        </is>
      </c>
      <c r="Y2211" s="191" t="n">
        <v>2.61</v>
      </c>
    </row>
    <row r="2212">
      <c r="A2212" s="172" t="n">
        <v>124</v>
      </c>
      <c r="B2212" s="173" t="inlineStr">
        <is>
          <t>7月</t>
        </is>
      </c>
      <c r="C2212" s="173" t="inlineStr">
        <is>
          <t>消金</t>
        </is>
      </c>
      <c r="D2212" s="173" t="inlineStr">
        <is>
          <t>金条&amp;白取混发</t>
        </is>
      </c>
      <c r="E2212" s="173" t="inlineStr">
        <is>
          <t>2026东樾4号1期（东樾4-3）</t>
        </is>
      </c>
      <c r="F2212" s="173" t="inlineStr">
        <is>
          <t>银行间</t>
        </is>
      </c>
      <c r="G2212" s="173" t="inlineStr">
        <is>
          <t>中信证券</t>
        </is>
      </c>
      <c r="H2212" s="173" t="inlineStr">
        <is>
          <t>国信证券/光大证券/国泰海通</t>
        </is>
      </c>
      <c r="I2212" s="173" t="inlineStr">
        <is>
          <t>中邮北分</t>
        </is>
      </c>
      <c r="J2212" s="172" t="n">
        <v>10</v>
      </c>
      <c r="K2212" s="173" t="inlineStr">
        <is>
          <t>22+24</t>
        </is>
      </c>
      <c r="L2212" s="202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8" t="n">
        <v>0.87</v>
      </c>
      <c r="R2212" s="179" t="n">
        <v>8.699999999999999</v>
      </c>
      <c r="S2212" s="177" t="inlineStr">
        <is>
          <t>AAA</t>
        </is>
      </c>
      <c r="T2212" s="178" t="n">
        <v>0.018</v>
      </c>
      <c r="U2212" s="172" t="inlineStr">
        <is>
          <t>兴银理财</t>
        </is>
      </c>
      <c r="V2212" s="192" t="n">
        <v>1</v>
      </c>
      <c r="W2212" s="175" t="n">
        <v>0.0179</v>
      </c>
      <c r="X2212" s="172" t="inlineStr">
        <is>
          <t>兴银理财</t>
        </is>
      </c>
      <c r="Y2212" s="191" t="n">
        <v>0.7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</v>
      </c>
      <c r="X2213" s="172" t="inlineStr">
        <is>
          <t>兴银理财</t>
        </is>
      </c>
      <c r="Y2213" s="191" t="n">
        <v>0.5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0.0183</v>
      </c>
      <c r="X2214" s="172" t="inlineStr">
        <is>
          <t>兴银理财</t>
        </is>
      </c>
      <c r="Y2214" s="191" t="n">
        <v>0.54</v>
      </c>
    </row>
    <row r="2215">
      <c r="A2215" s="172" t="n">
        <v>124</v>
      </c>
      <c r="B2215" s="173" t="inlineStr">
        <is>
          <t>7月</t>
        </is>
      </c>
      <c r="C2215" s="173" t="inlineStr">
        <is>
          <t>消金</t>
        </is>
      </c>
      <c r="D2215" s="173" t="inlineStr">
        <is>
          <t>金条&amp;白取混发</t>
        </is>
      </c>
      <c r="E2215" s="173" t="inlineStr">
        <is>
          <t>2026东樾4号1期（东樾4-3）</t>
        </is>
      </c>
      <c r="F2215" s="173" t="inlineStr">
        <is>
          <t>银行间</t>
        </is>
      </c>
      <c r="G2215" s="173" t="inlineStr">
        <is>
          <t>中信证券</t>
        </is>
      </c>
      <c r="H2215" s="173" t="inlineStr">
        <is>
          <t>国信证券/光大证券/国泰海通</t>
        </is>
      </c>
      <c r="I2215" s="173" t="inlineStr">
        <is>
          <t>中邮北分</t>
        </is>
      </c>
      <c r="J2215" s="172" t="n">
        <v>10</v>
      </c>
      <c r="K2215" s="173" t="inlineStr">
        <is>
          <t>22+24</t>
        </is>
      </c>
      <c r="L2215" s="202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8" t="n">
        <v>0.87</v>
      </c>
      <c r="R2215" s="179" t="n">
        <v>8.699999999999999</v>
      </c>
      <c r="S2215" s="177" t="inlineStr">
        <is>
          <t>AAA</t>
        </is>
      </c>
      <c r="T2215" s="178" t="n">
        <v>0.018</v>
      </c>
      <c r="U2215" s="172" t="inlineStr">
        <is>
          <t>建信信托</t>
        </is>
      </c>
      <c r="V2215" s="192" t="n">
        <v>0.85</v>
      </c>
      <c r="W2215" s="175" t="n">
        <v>0.018</v>
      </c>
      <c r="X2215" s="172" t="inlineStr">
        <is>
          <t>建信信托</t>
        </is>
      </c>
      <c r="Y2215" s="191" t="n">
        <v>1.5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2" t="inlineStr">
        <is>
          <t>优先A</t>
        </is>
      </c>
      <c r="Q2216" s="178" t="n">
        <v>0.87</v>
      </c>
      <c r="R2216" s="179" t="n">
        <v>8.699999999999999</v>
      </c>
      <c r="S2216" s="177" t="inlineStr">
        <is>
          <t>AAA</t>
        </is>
      </c>
      <c r="T2216" s="178" t="n">
        <v>0.018</v>
      </c>
      <c r="U2216" s="172" t="inlineStr">
        <is>
          <t>宝物财务</t>
        </is>
      </c>
      <c r="V2216" s="192" t="n">
        <v>0.35</v>
      </c>
      <c r="W2216" s="172" t="n"/>
      <c r="X2216" s="172" t="n"/>
      <c r="Y2216" s="172" t="n"/>
    </row>
    <row r="2217">
      <c r="A2217" s="172" t="n">
        <v>124</v>
      </c>
      <c r="B2217" s="172" t="inlineStr">
        <is>
          <t>7月</t>
        </is>
      </c>
      <c r="C2217" s="172" t="inlineStr">
        <is>
          <t>消金</t>
        </is>
      </c>
      <c r="D2217" s="172" t="inlineStr">
        <is>
          <t>金条&amp;白取混发</t>
        </is>
      </c>
      <c r="E2217" s="172" t="inlineStr">
        <is>
          <t>2026东樾4号1期（东樾4-3）</t>
        </is>
      </c>
      <c r="F2217" s="172" t="inlineStr">
        <is>
          <t>银行间</t>
        </is>
      </c>
      <c r="G2217" s="172" t="inlineStr">
        <is>
          <t>中信证券</t>
        </is>
      </c>
      <c r="H2217" s="172" t="inlineStr">
        <is>
          <t>国信证券/光大证券/国泰海通</t>
        </is>
      </c>
      <c r="I2217" s="172" t="inlineStr">
        <is>
          <t>中邮北分</t>
        </is>
      </c>
      <c r="J2217" s="172" t="n">
        <v>10</v>
      </c>
      <c r="K2217" s="172" t="inlineStr">
        <is>
          <t>22+24</t>
        </is>
      </c>
      <c r="L2217" s="208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优先A</t>
        </is>
      </c>
      <c r="Q2217" s="175" t="n">
        <v>0.87</v>
      </c>
      <c r="R2217" s="192" t="n">
        <v>8.699999999999999</v>
      </c>
      <c r="S2217" s="172" t="inlineStr">
        <is>
          <t>AAA</t>
        </is>
      </c>
      <c r="T2217" s="175" t="n">
        <v>0.018</v>
      </c>
      <c r="U2217" s="172" t="n"/>
      <c r="V2217" s="172" t="n"/>
      <c r="W2217" s="175" t="n">
        <v>0.018</v>
      </c>
      <c r="X2217" s="172" t="inlineStr">
        <is>
          <t>宝武集团财务公司</t>
        </is>
      </c>
      <c r="Y2217" s="191" t="n">
        <v>0.65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优先A</t>
        </is>
      </c>
      <c r="Q2218" s="175" t="n">
        <v>0.87</v>
      </c>
      <c r="R2218" s="192" t="n">
        <v>8.699999999999999</v>
      </c>
      <c r="S2218" s="172" t="inlineStr">
        <is>
          <t>AAA</t>
        </is>
      </c>
      <c r="T2218" s="175" t="n">
        <v>0.018</v>
      </c>
      <c r="U2218" s="172" t="n"/>
      <c r="V2218" s="172" t="n"/>
      <c r="W2218" s="175" t="n">
        <v>0.0184</v>
      </c>
      <c r="X2218" s="172" t="inlineStr">
        <is>
          <t>银河证券</t>
        </is>
      </c>
      <c r="Y2218" s="191" t="n">
        <v>0.5</v>
      </c>
    </row>
    <row r="2219">
      <c r="A2219" s="172" t="n">
        <v>124</v>
      </c>
      <c r="B2219" s="172" t="inlineStr">
        <is>
          <t>7月</t>
        </is>
      </c>
      <c r="C2219" s="172" t="inlineStr">
        <is>
          <t>消金</t>
        </is>
      </c>
      <c r="D2219" s="172" t="inlineStr">
        <is>
          <t>金条&amp;白取混发</t>
        </is>
      </c>
      <c r="E2219" s="172" t="inlineStr">
        <is>
          <t>2026东樾4号1期（东樾4-3）</t>
        </is>
      </c>
      <c r="F2219" s="172" t="inlineStr">
        <is>
          <t>银行间</t>
        </is>
      </c>
      <c r="G2219" s="172" t="inlineStr">
        <is>
          <t>中信证券</t>
        </is>
      </c>
      <c r="H2219" s="172" t="inlineStr">
        <is>
          <t>国信证券/光大证券/国泰海通</t>
        </is>
      </c>
      <c r="I2219" s="172" t="inlineStr">
        <is>
          <t>中邮北分</t>
        </is>
      </c>
      <c r="J2219" s="172" t="n">
        <v>10</v>
      </c>
      <c r="K2219" s="172" t="inlineStr">
        <is>
          <t>22+24</t>
        </is>
      </c>
      <c r="L2219" s="208" t="n">
        <v>46233</v>
      </c>
      <c r="M2219" s="175" t="n">
        <v>0.0148</v>
      </c>
      <c r="N2219" s="176" t="n">
        <v>0.02271</v>
      </c>
      <c r="O2219" s="172" t="n">
        <v>2.24</v>
      </c>
      <c r="P2219" s="172" t="inlineStr">
        <is>
          <t>优先A</t>
        </is>
      </c>
      <c r="Q2219" s="175" t="n">
        <v>0.87</v>
      </c>
      <c r="R2219" s="192" t="n">
        <v>8.699999999999999</v>
      </c>
      <c r="S2219" s="172" t="inlineStr">
        <is>
          <t>AAA</t>
        </is>
      </c>
      <c r="T2219" s="175" t="n">
        <v>0.018</v>
      </c>
      <c r="U2219" s="172" t="n"/>
      <c r="V2219" s="172" t="n"/>
      <c r="W2219" s="175" t="n">
        <v>0.0185</v>
      </c>
      <c r="X2219" s="172" t="inlineStr">
        <is>
          <t>中信证券（投行上报）</t>
        </is>
      </c>
      <c r="Y2219" s="191" t="n">
        <v>1.3</v>
      </c>
    </row>
    <row r="2220">
      <c r="A2220" s="172" t="n">
        <v>124</v>
      </c>
      <c r="B2220" s="172" t="inlineStr">
        <is>
          <t>7月</t>
        </is>
      </c>
      <c r="C2220" s="172" t="inlineStr">
        <is>
          <t>消金</t>
        </is>
      </c>
      <c r="D2220" s="172" t="inlineStr">
        <is>
          <t>金条&amp;白取混发</t>
        </is>
      </c>
      <c r="E2220" s="172" t="inlineStr">
        <is>
          <t>2026东樾4号1期（东樾4-3）</t>
        </is>
      </c>
      <c r="F2220" s="172" t="inlineStr">
        <is>
          <t>银行间</t>
        </is>
      </c>
      <c r="G2220" s="172" t="inlineStr">
        <is>
          <t>中信证券</t>
        </is>
      </c>
      <c r="H2220" s="172" t="inlineStr">
        <is>
          <t>国信证券/光大证券/国泰海通</t>
        </is>
      </c>
      <c r="I2220" s="172" t="inlineStr">
        <is>
          <t>中邮北分</t>
        </is>
      </c>
      <c r="J2220" s="172" t="n">
        <v>10</v>
      </c>
      <c r="K2220" s="172" t="inlineStr">
        <is>
          <t>22+24</t>
        </is>
      </c>
      <c r="L2220" s="208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优先A</t>
        </is>
      </c>
      <c r="Q2220" s="175" t="n">
        <v>0.87</v>
      </c>
      <c r="R2220" s="192" t="n">
        <v>8.699999999999999</v>
      </c>
      <c r="S2220" s="172" t="inlineStr">
        <is>
          <t>AAA</t>
        </is>
      </c>
      <c r="T2220" s="175" t="n">
        <v>0.018</v>
      </c>
      <c r="U2220" s="172" t="n"/>
      <c r="V2220" s="172" t="n"/>
      <c r="W2220" s="175" t="n">
        <v>0.0185</v>
      </c>
      <c r="X2220" s="172" t="inlineStr">
        <is>
          <t>国信证券（投行上报）</t>
        </is>
      </c>
      <c r="Y2220" s="191" t="n">
        <v>1.3</v>
      </c>
    </row>
    <row r="2221">
      <c r="A2221" s="172" t="n">
        <v>124</v>
      </c>
      <c r="B2221" s="172" t="inlineStr">
        <is>
          <t>7月</t>
        </is>
      </c>
      <c r="C2221" s="172" t="inlineStr">
        <is>
          <t>消金</t>
        </is>
      </c>
      <c r="D2221" s="172" t="inlineStr">
        <is>
          <t>金条&amp;白取混发</t>
        </is>
      </c>
      <c r="E2221" s="172" t="inlineStr">
        <is>
          <t>2026东樾4号1期（东樾4-3）</t>
        </is>
      </c>
      <c r="F2221" s="172" t="inlineStr">
        <is>
          <t>银行间</t>
        </is>
      </c>
      <c r="G2221" s="172" t="inlineStr">
        <is>
          <t>中信证券</t>
        </is>
      </c>
      <c r="H2221" s="172" t="inlineStr">
        <is>
          <t>国信证券/光大证券/国泰海通</t>
        </is>
      </c>
      <c r="I2221" s="172" t="inlineStr">
        <is>
          <t>中邮北分</t>
        </is>
      </c>
      <c r="J2221" s="172" t="n">
        <v>10</v>
      </c>
      <c r="K2221" s="172" t="inlineStr">
        <is>
          <t>22+24</t>
        </is>
      </c>
      <c r="L2221" s="208" t="n">
        <v>46233</v>
      </c>
      <c r="M2221" s="175" t="n">
        <v>0.0148</v>
      </c>
      <c r="N2221" s="176" t="n">
        <v>0.02271</v>
      </c>
      <c r="O2221" s="172" t="n">
        <v>2.24</v>
      </c>
      <c r="P2221" s="172" t="inlineStr">
        <is>
          <t>优先A</t>
        </is>
      </c>
      <c r="Q2221" s="175" t="n">
        <v>0.87</v>
      </c>
      <c r="R2221" s="192" t="n">
        <v>8.699999999999999</v>
      </c>
      <c r="S2221" s="172" t="inlineStr">
        <is>
          <t>AAA</t>
        </is>
      </c>
      <c r="T2221" s="175" t="n">
        <v>0.018</v>
      </c>
      <c r="U2221" s="172" t="n"/>
      <c r="V2221" s="172" t="n"/>
      <c r="W2221" s="175" t="n">
        <v>0.0185</v>
      </c>
      <c r="X2221" s="172" t="inlineStr">
        <is>
          <t>光大证券（投行上报）</t>
        </is>
      </c>
      <c r="Y2221" s="191" t="n">
        <v>1</v>
      </c>
    </row>
    <row r="2222">
      <c r="A2222" s="172" t="n">
        <v>124</v>
      </c>
      <c r="B2222" s="172" t="inlineStr">
        <is>
          <t>7月</t>
        </is>
      </c>
      <c r="C2222" s="172" t="inlineStr">
        <is>
          <t>消金</t>
        </is>
      </c>
      <c r="D2222" s="172" t="inlineStr">
        <is>
          <t>金条&amp;白取混发</t>
        </is>
      </c>
      <c r="E2222" s="172" t="inlineStr">
        <is>
          <t>2026东樾4号1期（东樾4-3）</t>
        </is>
      </c>
      <c r="F2222" s="172" t="inlineStr">
        <is>
          <t>银行间</t>
        </is>
      </c>
      <c r="G2222" s="172" t="inlineStr">
        <is>
          <t>中信证券</t>
        </is>
      </c>
      <c r="H2222" s="172" t="inlineStr">
        <is>
          <t>国信证券/光大证券/国泰海通</t>
        </is>
      </c>
      <c r="I2222" s="172" t="inlineStr">
        <is>
          <t>中邮北分</t>
        </is>
      </c>
      <c r="J2222" s="172" t="n">
        <v>10</v>
      </c>
      <c r="K2222" s="172" t="inlineStr">
        <is>
          <t>22+24</t>
        </is>
      </c>
      <c r="L2222" s="208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优先A</t>
        </is>
      </c>
      <c r="Q2222" s="175" t="n">
        <v>0.87</v>
      </c>
      <c r="R2222" s="192" t="n">
        <v>8.699999999999999</v>
      </c>
      <c r="S2222" s="172" t="inlineStr">
        <is>
          <t>AAA</t>
        </is>
      </c>
      <c r="T2222" s="175" t="n">
        <v>0.018</v>
      </c>
      <c r="U2222" s="172" t="n"/>
      <c r="V2222" s="172" t="n"/>
      <c r="W2222" s="175" t="n">
        <v>0.024</v>
      </c>
      <c r="X2222" s="172" t="inlineStr">
        <is>
          <t>上海利曦私募</t>
        </is>
      </c>
      <c r="Y2222" s="191" t="n">
        <v>2</v>
      </c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7" t="inlineStr">
        <is>
          <t>优先B</t>
        </is>
      </c>
      <c r="Q2223" s="178" t="n">
        <v>0.04</v>
      </c>
      <c r="R2223" s="179" t="n">
        <v>0.4</v>
      </c>
      <c r="S2223" s="177" t="inlineStr">
        <is>
          <t>AA+</t>
        </is>
      </c>
      <c r="T2223" s="178" t="n">
        <v>0.0185</v>
      </c>
      <c r="U2223" s="172" t="inlineStr">
        <is>
          <t>建信信托</t>
        </is>
      </c>
      <c r="V2223" s="192" t="n">
        <v>0.28</v>
      </c>
      <c r="W2223" s="175" t="n">
        <v>0.0185</v>
      </c>
      <c r="X2223" s="172" t="inlineStr">
        <is>
          <t>建信信托</t>
        </is>
      </c>
      <c r="Y2223" s="191" t="n">
        <v>0.28</v>
      </c>
    </row>
    <row r="2224">
      <c r="A2224" s="172" t="n">
        <v>124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金条&amp;白取混发</t>
        </is>
      </c>
      <c r="E2224" s="173" t="inlineStr">
        <is>
          <t>2026东樾4号1期（东樾4-3）</t>
        </is>
      </c>
      <c r="F2224" s="173" t="inlineStr">
        <is>
          <t>银行间</t>
        </is>
      </c>
      <c r="G2224" s="173" t="inlineStr">
        <is>
          <t>中信证券</t>
        </is>
      </c>
      <c r="H2224" s="173" t="inlineStr">
        <is>
          <t>国信证券/光大证券/国泰海通</t>
        </is>
      </c>
      <c r="I2224" s="173" t="inlineStr">
        <is>
          <t>中邮北分</t>
        </is>
      </c>
      <c r="J2224" s="172" t="n">
        <v>10</v>
      </c>
      <c r="K2224" s="173" t="inlineStr">
        <is>
          <t>22+24</t>
        </is>
      </c>
      <c r="L2224" s="202" t="n">
        <v>46233</v>
      </c>
      <c r="M2224" s="175" t="n">
        <v>0.0148</v>
      </c>
      <c r="N2224" s="176" t="n">
        <v>0.02271</v>
      </c>
      <c r="O2224" s="172" t="n">
        <v>2.24</v>
      </c>
      <c r="P2224" s="172" t="inlineStr">
        <is>
          <t>优先B</t>
        </is>
      </c>
      <c r="Q2224" s="178" t="n">
        <v>0.04</v>
      </c>
      <c r="R2224" s="179" t="n">
        <v>0.4</v>
      </c>
      <c r="S2224" s="177" t="inlineStr">
        <is>
          <t>AA+</t>
        </is>
      </c>
      <c r="T2224" s="178" t="n">
        <v>0.0185</v>
      </c>
      <c r="U2224" s="172" t="inlineStr">
        <is>
          <t>交银理财</t>
        </is>
      </c>
      <c r="V2224" s="192" t="n">
        <v>0.12</v>
      </c>
      <c r="W2224" s="175" t="n">
        <v>0.018</v>
      </c>
      <c r="X2224" s="172" t="inlineStr">
        <is>
          <t>交银理财</t>
        </is>
      </c>
      <c r="Y2224" s="191" t="n">
        <v>0.12</v>
      </c>
    </row>
    <row r="2225">
      <c r="A2225" s="172" t="n">
        <v>124</v>
      </c>
      <c r="B2225" s="172" t="inlineStr">
        <is>
          <t>7月</t>
        </is>
      </c>
      <c r="C2225" s="172" t="inlineStr">
        <is>
          <t>消金</t>
        </is>
      </c>
      <c r="D2225" s="172" t="inlineStr">
        <is>
          <t>金条&amp;白取混发</t>
        </is>
      </c>
      <c r="E2225" s="172" t="inlineStr">
        <is>
          <t>2026东樾4号1期（东樾4-3）</t>
        </is>
      </c>
      <c r="F2225" s="172" t="inlineStr">
        <is>
          <t>银行间</t>
        </is>
      </c>
      <c r="G2225" s="172" t="inlineStr">
        <is>
          <t>中信证券</t>
        </is>
      </c>
      <c r="H2225" s="172" t="inlineStr">
        <is>
          <t>国信证券/光大证券/国泰海通</t>
        </is>
      </c>
      <c r="I2225" s="172" t="inlineStr">
        <is>
          <t>中邮北分</t>
        </is>
      </c>
      <c r="J2225" s="172" t="n">
        <v>10</v>
      </c>
      <c r="K2225" s="172" t="inlineStr">
        <is>
          <t>22+24</t>
        </is>
      </c>
      <c r="L2225" s="208" t="n">
        <v>46233</v>
      </c>
      <c r="M2225" s="175" t="n">
        <v>0.0148</v>
      </c>
      <c r="N2225" s="176" t="n">
        <v>0.02271</v>
      </c>
      <c r="O2225" s="172" t="n">
        <v>2.24</v>
      </c>
      <c r="P2225" s="172" t="inlineStr">
        <is>
          <t>优先B</t>
        </is>
      </c>
      <c r="Q2225" s="175" t="n">
        <v>0.04</v>
      </c>
      <c r="R2225" s="192" t="n">
        <v>0.4</v>
      </c>
      <c r="S2225" s="172" t="inlineStr">
        <is>
          <t>AA+</t>
        </is>
      </c>
      <c r="T2225" s="175" t="n">
        <v>0.0185</v>
      </c>
      <c r="U2225" s="172" t="n"/>
      <c r="V2225" s="172" t="n"/>
      <c r="W2225" s="175" t="n">
        <v>0.0195</v>
      </c>
      <c r="X2225" s="172" t="inlineStr">
        <is>
          <t>国信证券（投行上报）</t>
        </is>
      </c>
      <c r="Y2225" s="191" t="n">
        <v>0.06</v>
      </c>
    </row>
    <row r="2226">
      <c r="A2226" s="172" t="n">
        <v>124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金条&amp;白取混发</t>
        </is>
      </c>
      <c r="E2226" s="173" t="inlineStr">
        <is>
          <t>2026东樾4号1期（东樾4-3）</t>
        </is>
      </c>
      <c r="F2226" s="173" t="inlineStr">
        <is>
          <t>银行间</t>
        </is>
      </c>
      <c r="G2226" s="173" t="inlineStr">
        <is>
          <t>中信证券</t>
        </is>
      </c>
      <c r="H2226" s="173" t="inlineStr">
        <is>
          <t>国信证券/光大证券/国泰海通</t>
        </is>
      </c>
      <c r="I2226" s="173" t="inlineStr">
        <is>
          <t>中邮北分</t>
        </is>
      </c>
      <c r="J2226" s="172" t="n">
        <v>10</v>
      </c>
      <c r="K2226" s="173" t="inlineStr">
        <is>
          <t>22+24</t>
        </is>
      </c>
      <c r="L2226" s="202" t="n">
        <v>46233</v>
      </c>
      <c r="M2226" s="175" t="n">
        <v>0.0148</v>
      </c>
      <c r="N2226" s="176" t="n">
        <v>0.02271</v>
      </c>
      <c r="O2226" s="172" t="n">
        <v>2.24</v>
      </c>
      <c r="P2226" s="177" t="inlineStr">
        <is>
          <t>中间级</t>
        </is>
      </c>
      <c r="Q2226" s="178" t="n">
        <v>0.04</v>
      </c>
      <c r="R2226" s="179" t="n">
        <v>0.4</v>
      </c>
      <c r="S2226" s="177" t="inlineStr">
        <is>
          <t>A+</t>
        </is>
      </c>
      <c r="T2226" s="178" t="n">
        <v>0.032</v>
      </c>
      <c r="U2226" s="172" t="inlineStr">
        <is>
          <t>上汽财务</t>
        </is>
      </c>
      <c r="V2226" s="192" t="n">
        <v>0.3</v>
      </c>
      <c r="W2226" s="172" t="n"/>
      <c r="X2226" s="172" t="n"/>
      <c r="Y2226" s="172" t="n"/>
    </row>
    <row r="2227">
      <c r="A2227" s="172" t="n">
        <v>124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金条&amp;白取混发</t>
        </is>
      </c>
      <c r="E2227" s="173" t="inlineStr">
        <is>
          <t>2026东樾4号1期（东樾4-3）</t>
        </is>
      </c>
      <c r="F2227" s="173" t="inlineStr">
        <is>
          <t>银行间</t>
        </is>
      </c>
      <c r="G2227" s="173" t="inlineStr">
        <is>
          <t>中信证券</t>
        </is>
      </c>
      <c r="H2227" s="173" t="inlineStr">
        <is>
          <t>国信证券/光大证券/国泰海通</t>
        </is>
      </c>
      <c r="I2227" s="173" t="inlineStr">
        <is>
          <t>中邮北分</t>
        </is>
      </c>
      <c r="J2227" s="172" t="n">
        <v>10</v>
      </c>
      <c r="K2227" s="173" t="inlineStr">
        <is>
          <t>22+24</t>
        </is>
      </c>
      <c r="L2227" s="202" t="n">
        <v>46233</v>
      </c>
      <c r="M2227" s="175" t="n">
        <v>0.0148</v>
      </c>
      <c r="N2227" s="176" t="n">
        <v>0.02271</v>
      </c>
      <c r="O2227" s="172" t="n">
        <v>2.24</v>
      </c>
      <c r="P2227" s="172" t="inlineStr">
        <is>
          <t>中间级</t>
        </is>
      </c>
      <c r="Q2227" s="178" t="n">
        <v>0.04</v>
      </c>
      <c r="R2227" s="179" t="n">
        <v>0.4</v>
      </c>
      <c r="S2227" s="177" t="inlineStr">
        <is>
          <t>A+</t>
        </is>
      </c>
      <c r="T2227" s="178" t="n">
        <v>0.032</v>
      </c>
      <c r="U2227" s="172" t="inlineStr">
        <is>
          <t>中信建投机构部</t>
        </is>
      </c>
      <c r="V2227" s="192" t="n">
        <v>0.1</v>
      </c>
      <c r="W2227" s="172" t="n"/>
      <c r="X2227" s="172" t="n"/>
      <c r="Y2227" s="172" t="n"/>
    </row>
    <row r="2228">
      <c r="A2228" s="172" t="n">
        <v>124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金条&amp;白取混发</t>
        </is>
      </c>
      <c r="E2228" s="173" t="inlineStr">
        <is>
          <t>2026东樾4号1期（东樾4-3）</t>
        </is>
      </c>
      <c r="F2228" s="173" t="inlineStr">
        <is>
          <t>银行间</t>
        </is>
      </c>
      <c r="G2228" s="173" t="inlineStr">
        <is>
          <t>中信证券</t>
        </is>
      </c>
      <c r="H2228" s="173" t="inlineStr">
        <is>
          <t>国信证券/光大证券/国泰海通</t>
        </is>
      </c>
      <c r="I2228" s="173" t="inlineStr">
        <is>
          <t>中邮北分</t>
        </is>
      </c>
      <c r="J2228" s="172" t="n">
        <v>10</v>
      </c>
      <c r="K2228" s="173" t="inlineStr">
        <is>
          <t>22+24</t>
        </is>
      </c>
      <c r="L2228" s="202" t="n">
        <v>46233</v>
      </c>
      <c r="M2228" s="175" t="n">
        <v>0.0148</v>
      </c>
      <c r="N2228" s="176" t="n">
        <v>0.02271</v>
      </c>
      <c r="O2228" s="172" t="n">
        <v>2.24</v>
      </c>
      <c r="P2228" s="177" t="inlineStr">
        <is>
          <t>受益权</t>
        </is>
      </c>
      <c r="Q2228" s="178" t="n">
        <v>0.05</v>
      </c>
      <c r="R2228" s="179" t="n">
        <v>0.5</v>
      </c>
      <c r="S2228" s="177" t="inlineStr">
        <is>
          <t>无</t>
        </is>
      </c>
      <c r="T2228" s="178" t="n">
        <v>0.0495</v>
      </c>
      <c r="U2228" s="172" t="inlineStr">
        <is>
          <t>上汽财务</t>
        </is>
      </c>
      <c r="V2228" s="192" t="n">
        <v>0.3</v>
      </c>
      <c r="W2228" s="172" t="n"/>
      <c r="X2228" s="172" t="n"/>
      <c r="Y2228" s="172" t="n"/>
    </row>
    <row r="2229">
      <c r="A2229" s="172" t="n">
        <v>124</v>
      </c>
      <c r="B2229" s="173" t="inlineStr">
        <is>
          <t>7月</t>
        </is>
      </c>
      <c r="C2229" s="173" t="inlineStr">
        <is>
          <t>消金</t>
        </is>
      </c>
      <c r="D2229" s="173" t="inlineStr">
        <is>
          <t>金条&amp;白取混发</t>
        </is>
      </c>
      <c r="E2229" s="173" t="inlineStr">
        <is>
          <t>2026东樾4号1期（东樾4-3）</t>
        </is>
      </c>
      <c r="F2229" s="173" t="inlineStr">
        <is>
          <t>银行间</t>
        </is>
      </c>
      <c r="G2229" s="173" t="inlineStr">
        <is>
          <t>中信证券</t>
        </is>
      </c>
      <c r="H2229" s="173" t="inlineStr">
        <is>
          <t>国信证券/光大证券/国泰海通</t>
        </is>
      </c>
      <c r="I2229" s="173" t="inlineStr">
        <is>
          <t>中邮北分</t>
        </is>
      </c>
      <c r="J2229" s="172" t="n">
        <v>10</v>
      </c>
      <c r="K2229" s="173" t="inlineStr">
        <is>
          <t>22+24</t>
        </is>
      </c>
      <c r="L2229" s="202" t="n">
        <v>46233</v>
      </c>
      <c r="M2229" s="175" t="n">
        <v>0.0148</v>
      </c>
      <c r="N2229" s="176" t="n">
        <v>0.02271</v>
      </c>
      <c r="O2229" s="172" t="n">
        <v>2.24</v>
      </c>
      <c r="P2229" s="172" t="inlineStr">
        <is>
          <t>受益权</t>
        </is>
      </c>
      <c r="Q2229" s="178" t="n">
        <v>0.05</v>
      </c>
      <c r="R2229" s="179" t="n">
        <v>0.5</v>
      </c>
      <c r="S2229" s="177" t="inlineStr">
        <is>
          <t>无</t>
        </is>
      </c>
      <c r="T2229" s="178" t="n">
        <v>0.0495</v>
      </c>
      <c r="U2229" s="172" t="inlineStr">
        <is>
          <t>中信建投衍生品</t>
        </is>
      </c>
      <c r="V2229" s="192" t="n">
        <v>0.1</v>
      </c>
      <c r="W2229" s="172" t="n"/>
      <c r="X2229" s="172" t="n"/>
      <c r="Y2229" s="172" t="n"/>
    </row>
    <row r="2230">
      <c r="A2230" s="172" t="n">
        <v>124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金条&amp;白取混发</t>
        </is>
      </c>
      <c r="E2230" s="173" t="inlineStr">
        <is>
          <t>2026东樾4号1期（东樾4-3）</t>
        </is>
      </c>
      <c r="F2230" s="173" t="inlineStr">
        <is>
          <t>银行间</t>
        </is>
      </c>
      <c r="G2230" s="173" t="inlineStr">
        <is>
          <t>中信证券</t>
        </is>
      </c>
      <c r="H2230" s="173" t="inlineStr">
        <is>
          <t>国信证券/光大证券/国泰海通</t>
        </is>
      </c>
      <c r="I2230" s="173" t="inlineStr">
        <is>
          <t>中邮北分</t>
        </is>
      </c>
      <c r="J2230" s="172" t="n">
        <v>10</v>
      </c>
      <c r="K2230" s="173" t="inlineStr">
        <is>
          <t>22+24</t>
        </is>
      </c>
      <c r="L2230" s="202" t="n">
        <v>46233</v>
      </c>
      <c r="M2230" s="175" t="n">
        <v>0.0148</v>
      </c>
      <c r="N2230" s="176" t="n">
        <v>0.02271</v>
      </c>
      <c r="O2230" s="172" t="n">
        <v>2.24</v>
      </c>
      <c r="P2230" s="172" t="inlineStr">
        <is>
          <t>受益权</t>
        </is>
      </c>
      <c r="Q2230" s="178" t="n">
        <v>0.05</v>
      </c>
      <c r="R2230" s="179" t="n">
        <v>0.5</v>
      </c>
      <c r="S2230" s="177" t="inlineStr">
        <is>
          <t>无</t>
        </is>
      </c>
      <c r="T2230" s="178" t="n">
        <v>0.0495</v>
      </c>
      <c r="U2230" s="172" t="inlineStr">
        <is>
          <t>中信建投投顾</t>
        </is>
      </c>
      <c r="V2230" s="192" t="n">
        <v>0.1</v>
      </c>
      <c r="W2230" s="172" t="n"/>
      <c r="X2230" s="172" t="n"/>
      <c r="Y2230" s="172" t="n"/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7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厦门汇正</t>
        </is>
      </c>
      <c r="V2231" s="192" t="n">
        <v>0.12</v>
      </c>
      <c r="W2231" s="175" t="n">
        <v>0.017</v>
      </c>
      <c r="X2231" s="172" t="inlineStr">
        <is>
          <t>厦门汇正</t>
        </is>
      </c>
      <c r="Y2231" s="191" t="n">
        <v>0.12</v>
      </c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2" t="inlineStr">
        <is>
          <t>广发证券资管</t>
        </is>
      </c>
      <c r="V2232" s="192" t="n">
        <v>0.2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国新证券资管</t>
        </is>
      </c>
      <c r="V2233" s="192" t="n">
        <v>0.06</v>
      </c>
      <c r="W2233" s="175" t="n">
        <v>0.0176</v>
      </c>
      <c r="X2233" s="172" t="inlineStr">
        <is>
          <t>国新证券资管</t>
        </is>
      </c>
      <c r="Y2233" s="191" t="n">
        <v>0.1</v>
      </c>
    </row>
    <row r="2234">
      <c r="A2234" s="172" t="n">
        <v>125</v>
      </c>
      <c r="B2234" s="173" t="inlineStr">
        <is>
          <t>7月</t>
        </is>
      </c>
      <c r="C2234" s="173" t="inlineStr">
        <is>
          <t>消金</t>
        </is>
      </c>
      <c r="D2234" s="173" t="inlineStr">
        <is>
          <t>汽车融资租赁</t>
        </is>
      </c>
      <c r="E2234" s="173" t="inlineStr">
        <is>
          <t>尚乘1-3</t>
        </is>
      </c>
      <c r="F2234" s="173" t="inlineStr">
        <is>
          <t>上交所</t>
        </is>
      </c>
      <c r="G2234" s="173" t="inlineStr">
        <is>
          <t>华泰资管</t>
        </is>
      </c>
      <c r="H2234" s="173" t="inlineStr">
        <is>
          <t>国信证券/兴业证券</t>
        </is>
      </c>
      <c r="I2234" s="173" t="inlineStr">
        <is>
          <t>青岛银行</t>
        </is>
      </c>
      <c r="J2234" s="172" t="n">
        <v>8</v>
      </c>
      <c r="K2234" s="173" t="inlineStr">
        <is>
          <t>0+47</t>
        </is>
      </c>
      <c r="L2234" s="202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8" t="n">
        <v>0.2813</v>
      </c>
      <c r="R2234" s="179" t="n">
        <v>2.25</v>
      </c>
      <c r="S2234" s="177" t="inlineStr">
        <is>
          <t>AAA</t>
        </is>
      </c>
      <c r="T2234" s="178" t="n">
        <v>0.0176</v>
      </c>
      <c r="U2234" s="177" t="inlineStr">
        <is>
          <t>华兴银行</t>
        </is>
      </c>
      <c r="V2234" s="192" t="n">
        <v>0.2</v>
      </c>
      <c r="W2234" s="175" t="n">
        <v>0.017</v>
      </c>
      <c r="X2234" s="172" t="inlineStr">
        <is>
          <t>华兴银行</t>
        </is>
      </c>
      <c r="Y2234" s="191" t="n">
        <v>0.2</v>
      </c>
    </row>
    <row r="2235">
      <c r="A2235" s="172" t="n">
        <v>125</v>
      </c>
      <c r="B2235" s="173" t="inlineStr">
        <is>
          <t>7月</t>
        </is>
      </c>
      <c r="C2235" s="173" t="inlineStr">
        <is>
          <t>消金</t>
        </is>
      </c>
      <c r="D2235" s="173" t="inlineStr">
        <is>
          <t>汽车融资租赁</t>
        </is>
      </c>
      <c r="E2235" s="173" t="inlineStr">
        <is>
          <t>尚乘1-3</t>
        </is>
      </c>
      <c r="F2235" s="173" t="inlineStr">
        <is>
          <t>上交所</t>
        </is>
      </c>
      <c r="G2235" s="173" t="inlineStr">
        <is>
          <t>华泰资管</t>
        </is>
      </c>
      <c r="H2235" s="173" t="inlineStr">
        <is>
          <t>国信证券/兴业证券</t>
        </is>
      </c>
      <c r="I2235" s="173" t="inlineStr">
        <is>
          <t>青岛银行</t>
        </is>
      </c>
      <c r="J2235" s="172" t="n">
        <v>8</v>
      </c>
      <c r="K2235" s="173" t="inlineStr">
        <is>
          <t>0+47</t>
        </is>
      </c>
      <c r="L2235" s="202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8" t="n">
        <v>0.2813</v>
      </c>
      <c r="R2235" s="179" t="n">
        <v>2.25</v>
      </c>
      <c r="S2235" s="177" t="inlineStr">
        <is>
          <t>AAA</t>
        </is>
      </c>
      <c r="T2235" s="178" t="n">
        <v>0.0176</v>
      </c>
      <c r="U2235" s="177" t="inlineStr">
        <is>
          <t>汇华理财</t>
        </is>
      </c>
      <c r="V2235" s="192" t="n">
        <v>0.13</v>
      </c>
      <c r="W2235" s="175" t="n">
        <v>0.0176</v>
      </c>
      <c r="X2235" s="172" t="inlineStr">
        <is>
          <t>汇华理财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0.0177</v>
      </c>
      <c r="X2236" s="172" t="inlineStr">
        <is>
          <t>汇华理财</t>
        </is>
      </c>
      <c r="Y2236" s="191" t="n">
        <v>0.2</v>
      </c>
    </row>
    <row r="2237">
      <c r="A2237" s="172" t="n">
        <v>125</v>
      </c>
      <c r="B2237" s="173" t="inlineStr">
        <is>
          <t>7月</t>
        </is>
      </c>
      <c r="C2237" s="173" t="inlineStr">
        <is>
          <t>消金</t>
        </is>
      </c>
      <c r="D2237" s="173" t="inlineStr">
        <is>
          <t>汽车融资租赁</t>
        </is>
      </c>
      <c r="E2237" s="173" t="inlineStr">
        <is>
          <t>尚乘1-3</t>
        </is>
      </c>
      <c r="F2237" s="173" t="inlineStr">
        <is>
          <t>上交所</t>
        </is>
      </c>
      <c r="G2237" s="173" t="inlineStr">
        <is>
          <t>华泰资管</t>
        </is>
      </c>
      <c r="H2237" s="173" t="inlineStr">
        <is>
          <t>国信证券/兴业证券</t>
        </is>
      </c>
      <c r="I2237" s="173" t="inlineStr">
        <is>
          <t>青岛银行</t>
        </is>
      </c>
      <c r="J2237" s="172" t="n">
        <v>8</v>
      </c>
      <c r="K2237" s="173" t="inlineStr">
        <is>
          <t>0+47</t>
        </is>
      </c>
      <c r="L2237" s="202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8" t="n">
        <v>0.2813</v>
      </c>
      <c r="R2237" s="179" t="n">
        <v>2.25</v>
      </c>
      <c r="S2237" s="177" t="inlineStr">
        <is>
          <t>AAA</t>
        </is>
      </c>
      <c r="T2237" s="178" t="n">
        <v>0.0176</v>
      </c>
      <c r="U2237" s="177" t="inlineStr">
        <is>
          <t>民生理财</t>
        </is>
      </c>
      <c r="V2237" s="192" t="n">
        <v>0.67</v>
      </c>
      <c r="W2237" s="175" t="n">
        <v>0.017</v>
      </c>
      <c r="X2237" s="172" t="inlineStr">
        <is>
          <t>民生理财</t>
        </is>
      </c>
      <c r="Y2237" s="191" t="n">
        <v>0.67</v>
      </c>
    </row>
    <row r="2238">
      <c r="A2238" s="172" t="n">
        <v>125</v>
      </c>
      <c r="B2238" s="173" t="inlineStr">
        <is>
          <t>7月</t>
        </is>
      </c>
      <c r="C2238" s="173" t="inlineStr">
        <is>
          <t>消金</t>
        </is>
      </c>
      <c r="D2238" s="173" t="inlineStr">
        <is>
          <t>汽车融资租赁</t>
        </is>
      </c>
      <c r="E2238" s="173" t="inlineStr">
        <is>
          <t>尚乘1-3</t>
        </is>
      </c>
      <c r="F2238" s="173" t="inlineStr">
        <is>
          <t>上交所</t>
        </is>
      </c>
      <c r="G2238" s="173" t="inlineStr">
        <is>
          <t>华泰资管</t>
        </is>
      </c>
      <c r="H2238" s="173" t="inlineStr">
        <is>
          <t>国信证券/兴业证券</t>
        </is>
      </c>
      <c r="I2238" s="173" t="inlineStr">
        <is>
          <t>青岛银行</t>
        </is>
      </c>
      <c r="J2238" s="172" t="n">
        <v>8</v>
      </c>
      <c r="K2238" s="173" t="inlineStr">
        <is>
          <t>0+47</t>
        </is>
      </c>
      <c r="L2238" s="202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8" t="n">
        <v>0.2813</v>
      </c>
      <c r="R2238" s="179" t="n">
        <v>2.25</v>
      </c>
      <c r="S2238" s="177" t="inlineStr">
        <is>
          <t>AAA</t>
        </is>
      </c>
      <c r="T2238" s="178" t="n">
        <v>0.0176</v>
      </c>
      <c r="U2238" s="177" t="inlineStr">
        <is>
          <t>申万宏源投顾</t>
        </is>
      </c>
      <c r="V2238" s="192" t="n">
        <v>0.3</v>
      </c>
      <c r="W2238" s="172" t="n"/>
      <c r="X2238" s="172" t="n"/>
      <c r="Y2238" s="172" t="n"/>
    </row>
    <row r="2239">
      <c r="A2239" s="172" t="n">
        <v>125</v>
      </c>
      <c r="B2239" s="173" t="inlineStr">
        <is>
          <t>7月</t>
        </is>
      </c>
      <c r="C2239" s="173" t="inlineStr">
        <is>
          <t>消金</t>
        </is>
      </c>
      <c r="D2239" s="173" t="inlineStr">
        <is>
          <t>汽车融资租赁</t>
        </is>
      </c>
      <c r="E2239" s="173" t="inlineStr">
        <is>
          <t>尚乘1-3</t>
        </is>
      </c>
      <c r="F2239" s="173" t="inlineStr">
        <is>
          <t>上交所</t>
        </is>
      </c>
      <c r="G2239" s="173" t="inlineStr">
        <is>
          <t>华泰资管</t>
        </is>
      </c>
      <c r="H2239" s="173" t="inlineStr">
        <is>
          <t>国信证券/兴业证券</t>
        </is>
      </c>
      <c r="I2239" s="173" t="inlineStr">
        <is>
          <t>青岛银行</t>
        </is>
      </c>
      <c r="J2239" s="172" t="n">
        <v>8</v>
      </c>
      <c r="K2239" s="173" t="inlineStr">
        <is>
          <t>0+47</t>
        </is>
      </c>
      <c r="L2239" s="202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8" t="n">
        <v>0.2813</v>
      </c>
      <c r="R2239" s="179" t="n">
        <v>2.25</v>
      </c>
      <c r="S2239" s="177" t="inlineStr">
        <is>
          <t>AAA</t>
        </is>
      </c>
      <c r="T2239" s="178" t="n">
        <v>0.0176</v>
      </c>
      <c r="U2239" s="177" t="inlineStr">
        <is>
          <t>中信证券投顾</t>
        </is>
      </c>
      <c r="V2239" s="192" t="n">
        <v>0.17</v>
      </c>
      <c r="W2239" s="172" t="n"/>
      <c r="X2239" s="172" t="n"/>
      <c r="Y2239" s="172" t="n"/>
    </row>
    <row r="2240">
      <c r="A2240" s="172" t="n">
        <v>125</v>
      </c>
      <c r="B2240" s="173" t="inlineStr">
        <is>
          <t>7月</t>
        </is>
      </c>
      <c r="C2240" s="173" t="inlineStr">
        <is>
          <t>消金</t>
        </is>
      </c>
      <c r="D2240" s="173" t="inlineStr">
        <is>
          <t>汽车融资租赁</t>
        </is>
      </c>
      <c r="E2240" s="173" t="inlineStr">
        <is>
          <t>尚乘1-3</t>
        </is>
      </c>
      <c r="F2240" s="173" t="inlineStr">
        <is>
          <t>上交所</t>
        </is>
      </c>
      <c r="G2240" s="173" t="inlineStr">
        <is>
          <t>华泰资管</t>
        </is>
      </c>
      <c r="H2240" s="173" t="inlineStr">
        <is>
          <t>国信证券/兴业证券</t>
        </is>
      </c>
      <c r="I2240" s="173" t="inlineStr">
        <is>
          <t>青岛银行</t>
        </is>
      </c>
      <c r="J2240" s="172" t="n">
        <v>8</v>
      </c>
      <c r="K2240" s="173" t="inlineStr">
        <is>
          <t>0+47</t>
        </is>
      </c>
      <c r="L2240" s="202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8" t="n">
        <v>0.2813</v>
      </c>
      <c r="R2240" s="179" t="n">
        <v>2.25</v>
      </c>
      <c r="S2240" s="177" t="inlineStr">
        <is>
          <t>AAA</t>
        </is>
      </c>
      <c r="T2240" s="178" t="n">
        <v>0.0176</v>
      </c>
      <c r="U2240" s="177" t="inlineStr">
        <is>
          <t>中信证券财富</t>
        </is>
      </c>
      <c r="V2240" s="192" t="n">
        <v>0.4</v>
      </c>
      <c r="W2240" s="175" t="n">
        <v>0.017</v>
      </c>
      <c r="X2240" s="172" t="inlineStr">
        <is>
          <t>中信证券财富</t>
        </is>
      </c>
      <c r="Y2240" s="191" t="n">
        <v>0.2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0.017</v>
      </c>
      <c r="X2241" s="172" t="inlineStr">
        <is>
          <t>广发资管</t>
        </is>
      </c>
      <c r="Y2241" s="191" t="n">
        <v>0.2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0.0174</v>
      </c>
      <c r="X2242" s="172" t="inlineStr">
        <is>
          <t>中信证券财富</t>
        </is>
      </c>
      <c r="Y2242" s="191" t="n">
        <v>0.2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0.0174</v>
      </c>
      <c r="X2243" s="172" t="inlineStr">
        <is>
          <t>中信投顾2</t>
        </is>
      </c>
      <c r="Y2243" s="191" t="n">
        <v>0.17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0.0175</v>
      </c>
      <c r="X2244" s="172" t="inlineStr">
        <is>
          <t>申万投顾</t>
        </is>
      </c>
      <c r="Y2244" s="191" t="n">
        <v>0.3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0.0177</v>
      </c>
      <c r="X2245" s="172" t="inlineStr">
        <is>
          <t>易方达基金</t>
        </is>
      </c>
      <c r="Y2245" s="191" t="n">
        <v>0.6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0.0177</v>
      </c>
      <c r="X2246" s="172" t="inlineStr">
        <is>
          <t>中信投顾3</t>
        </is>
      </c>
      <c r="Y2246" s="191" t="n">
        <v>0.2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0.018</v>
      </c>
      <c r="X2247" s="172" t="inlineStr">
        <is>
          <t>财通资管</t>
        </is>
      </c>
      <c r="Y2247" s="191" t="n">
        <v>0.36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0.018</v>
      </c>
      <c r="X2248" s="172" t="inlineStr">
        <is>
          <t>中信投顾1</t>
        </is>
      </c>
      <c r="Y2248" s="191" t="n">
        <v>0.6</v>
      </c>
    </row>
    <row r="2249">
      <c r="A2249" s="172" t="n">
        <v>125</v>
      </c>
      <c r="B2249" s="172" t="inlineStr">
        <is>
          <t>7月</t>
        </is>
      </c>
      <c r="C2249" s="172" t="inlineStr">
        <is>
          <t>消金</t>
        </is>
      </c>
      <c r="D2249" s="172" t="inlineStr">
        <is>
          <t>汽车融资租赁</t>
        </is>
      </c>
      <c r="E2249" s="172" t="inlineStr">
        <is>
          <t>尚乘1-3</t>
        </is>
      </c>
      <c r="F2249" s="172" t="inlineStr">
        <is>
          <t>上交所</t>
        </is>
      </c>
      <c r="G2249" s="172" t="inlineStr">
        <is>
          <t>华泰资管</t>
        </is>
      </c>
      <c r="H2249" s="172" t="inlineStr">
        <is>
          <t>国信证券/兴业证券</t>
        </is>
      </c>
      <c r="I2249" s="172" t="inlineStr">
        <is>
          <t>青岛银行</t>
        </is>
      </c>
      <c r="J2249" s="172" t="n">
        <v>8</v>
      </c>
      <c r="K2249" s="172" t="inlineStr">
        <is>
          <t>0+47</t>
        </is>
      </c>
      <c r="L2249" s="208" t="n">
        <v>46234</v>
      </c>
      <c r="M2249" s="175" t="n">
        <v>0.0148</v>
      </c>
      <c r="N2249" s="176" t="n">
        <v>0.02865</v>
      </c>
      <c r="O2249" s="172" t="n">
        <v>3.25</v>
      </c>
      <c r="P2249" s="172" t="inlineStr">
        <is>
          <t>优先A1</t>
        </is>
      </c>
      <c r="Q2249" s="175" t="n">
        <v>0.2813</v>
      </c>
      <c r="R2249" s="192" t="n">
        <v>2.25</v>
      </c>
      <c r="S2249" s="172" t="inlineStr">
        <is>
          <t>AAA</t>
        </is>
      </c>
      <c r="T2249" s="175" t="n">
        <v>0.0176</v>
      </c>
      <c r="U2249" s="172" t="n"/>
      <c r="V2249" s="172" t="n"/>
      <c r="W2249" s="175" t="n">
        <v>0.018</v>
      </c>
      <c r="X2249" s="172" t="inlineStr">
        <is>
          <t>中金资管</t>
        </is>
      </c>
      <c r="Y2249" s="191" t="n">
        <v>0.47</v>
      </c>
    </row>
    <row r="2250">
      <c r="A2250" s="172" t="n">
        <v>125</v>
      </c>
      <c r="B2250" s="172" t="inlineStr">
        <is>
          <t>7月</t>
        </is>
      </c>
      <c r="C2250" s="172" t="inlineStr">
        <is>
          <t>消金</t>
        </is>
      </c>
      <c r="D2250" s="172" t="inlineStr">
        <is>
          <t>汽车融资租赁</t>
        </is>
      </c>
      <c r="E2250" s="172" t="inlineStr">
        <is>
          <t>尚乘1-3</t>
        </is>
      </c>
      <c r="F2250" s="172" t="inlineStr">
        <is>
          <t>上交所</t>
        </is>
      </c>
      <c r="G2250" s="172" t="inlineStr">
        <is>
          <t>华泰资管</t>
        </is>
      </c>
      <c r="H2250" s="172" t="inlineStr">
        <is>
          <t>国信证券/兴业证券</t>
        </is>
      </c>
      <c r="I2250" s="172" t="inlineStr">
        <is>
          <t>青岛银行</t>
        </is>
      </c>
      <c r="J2250" s="172" t="n">
        <v>8</v>
      </c>
      <c r="K2250" s="172" t="inlineStr">
        <is>
          <t>0+47</t>
        </is>
      </c>
      <c r="L2250" s="208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优先A1</t>
        </is>
      </c>
      <c r="Q2250" s="175" t="n">
        <v>0.2813</v>
      </c>
      <c r="R2250" s="192" t="n">
        <v>2.25</v>
      </c>
      <c r="S2250" s="172" t="inlineStr">
        <is>
          <t>AAA</t>
        </is>
      </c>
      <c r="T2250" s="175" t="n">
        <v>0.0176</v>
      </c>
      <c r="U2250" s="172" t="n"/>
      <c r="V2250" s="172" t="n"/>
      <c r="W2250" s="175" t="n">
        <v>0.0185</v>
      </c>
      <c r="X2250" s="172" t="inlineStr">
        <is>
          <t>华泰资管</t>
        </is>
      </c>
      <c r="Y2250" s="191" t="n">
        <v>0.22</v>
      </c>
    </row>
    <row r="2251">
      <c r="A2251" s="172" t="n">
        <v>125</v>
      </c>
      <c r="B2251" s="172" t="inlineStr">
        <is>
          <t>7月</t>
        </is>
      </c>
      <c r="C2251" s="172" t="inlineStr">
        <is>
          <t>消金</t>
        </is>
      </c>
      <c r="D2251" s="172" t="inlineStr">
        <is>
          <t>汽车融资租赁</t>
        </is>
      </c>
      <c r="E2251" s="172" t="inlineStr">
        <is>
          <t>尚乘1-3</t>
        </is>
      </c>
      <c r="F2251" s="172" t="inlineStr">
        <is>
          <t>上交所</t>
        </is>
      </c>
      <c r="G2251" s="172" t="inlineStr">
        <is>
          <t>华泰资管</t>
        </is>
      </c>
      <c r="H2251" s="172" t="inlineStr">
        <is>
          <t>国信证券/兴业证券</t>
        </is>
      </c>
      <c r="I2251" s="172" t="inlineStr">
        <is>
          <t>青岛银行</t>
        </is>
      </c>
      <c r="J2251" s="172" t="n">
        <v>8</v>
      </c>
      <c r="K2251" s="172" t="inlineStr">
        <is>
          <t>0+47</t>
        </is>
      </c>
      <c r="L2251" s="208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优先A1</t>
        </is>
      </c>
      <c r="Q2251" s="175" t="n">
        <v>0.2813</v>
      </c>
      <c r="R2251" s="192" t="n">
        <v>2.25</v>
      </c>
      <c r="S2251" s="172" t="inlineStr">
        <is>
          <t>AAA</t>
        </is>
      </c>
      <c r="T2251" s="175" t="n">
        <v>0.0176</v>
      </c>
      <c r="U2251" s="172" t="n"/>
      <c r="V2251" s="172" t="n"/>
      <c r="W2251" s="175" t="n">
        <v>0.0195</v>
      </c>
      <c r="X2251" s="172" t="inlineStr">
        <is>
          <t>首创证券</t>
        </is>
      </c>
      <c r="Y2251" s="191" t="n">
        <v>0.2</v>
      </c>
    </row>
    <row r="2252">
      <c r="A2252" s="172" t="n">
        <v>125</v>
      </c>
      <c r="B2252" s="172" t="inlineStr">
        <is>
          <t>7月</t>
        </is>
      </c>
      <c r="C2252" s="172" t="inlineStr">
        <is>
          <t>消金</t>
        </is>
      </c>
      <c r="D2252" s="172" t="inlineStr">
        <is>
          <t>汽车融资租赁</t>
        </is>
      </c>
      <c r="E2252" s="172" t="inlineStr">
        <is>
          <t>尚乘1-3</t>
        </is>
      </c>
      <c r="F2252" s="172" t="inlineStr">
        <is>
          <t>上交所</t>
        </is>
      </c>
      <c r="G2252" s="172" t="inlineStr">
        <is>
          <t>华泰资管</t>
        </is>
      </c>
      <c r="H2252" s="172" t="inlineStr">
        <is>
          <t>国信证券/兴业证券</t>
        </is>
      </c>
      <c r="I2252" s="172" t="inlineStr">
        <is>
          <t>青岛银行</t>
        </is>
      </c>
      <c r="J2252" s="172" t="n">
        <v>8</v>
      </c>
      <c r="K2252" s="172" t="inlineStr">
        <is>
          <t>0+47</t>
        </is>
      </c>
      <c r="L2252" s="208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优先A1</t>
        </is>
      </c>
      <c r="Q2252" s="175" t="n">
        <v>0.2813</v>
      </c>
      <c r="R2252" s="192" t="n">
        <v>2.25</v>
      </c>
      <c r="S2252" s="172" t="inlineStr">
        <is>
          <t>AAA</t>
        </is>
      </c>
      <c r="T2252" s="175" t="n">
        <v>0.0176</v>
      </c>
      <c r="U2252" s="172" t="n"/>
      <c r="V2252" s="172" t="n"/>
      <c r="W2252" s="175" t="n">
        <v>0.025</v>
      </c>
      <c r="X2252" s="172" t="inlineStr">
        <is>
          <t>华宝资管</t>
        </is>
      </c>
      <c r="Y2252" s="191" t="n">
        <v>0.5</v>
      </c>
    </row>
    <row r="2253">
      <c r="A2253" s="172" t="n">
        <v>125</v>
      </c>
      <c r="B2253" s="172" t="inlineStr">
        <is>
          <t>7月</t>
        </is>
      </c>
      <c r="C2253" s="172" t="inlineStr">
        <is>
          <t>消金</t>
        </is>
      </c>
      <c r="D2253" s="172" t="inlineStr">
        <is>
          <t>汽车融资租赁</t>
        </is>
      </c>
      <c r="E2253" s="172" t="inlineStr">
        <is>
          <t>尚乘1-3</t>
        </is>
      </c>
      <c r="F2253" s="172" t="inlineStr">
        <is>
          <t>上交所</t>
        </is>
      </c>
      <c r="G2253" s="172" t="inlineStr">
        <is>
          <t>华泰资管</t>
        </is>
      </c>
      <c r="H2253" s="172" t="inlineStr">
        <is>
          <t>国信证券/兴业证券</t>
        </is>
      </c>
      <c r="I2253" s="172" t="inlineStr">
        <is>
          <t>青岛银行</t>
        </is>
      </c>
      <c r="J2253" s="172" t="n">
        <v>8</v>
      </c>
      <c r="K2253" s="172" t="inlineStr">
        <is>
          <t>0+47</t>
        </is>
      </c>
      <c r="L2253" s="208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优先A1</t>
        </is>
      </c>
      <c r="Q2253" s="175" t="n">
        <v>0.2813</v>
      </c>
      <c r="R2253" s="192" t="n">
        <v>2.25</v>
      </c>
      <c r="S2253" s="172" t="inlineStr">
        <is>
          <t>AAA</t>
        </is>
      </c>
      <c r="T2253" s="175" t="n">
        <v>0.0176</v>
      </c>
      <c r="U2253" s="172" t="n"/>
      <c r="V2253" s="172" t="n"/>
      <c r="W2253" s="175" t="n">
        <v>0.0265</v>
      </c>
      <c r="X2253" s="172" t="inlineStr">
        <is>
          <t>华福证券</t>
        </is>
      </c>
      <c r="Y2253" s="191" t="n">
        <v>0.3</v>
      </c>
    </row>
    <row r="2254">
      <c r="A2254" s="172" t="n">
        <v>125</v>
      </c>
      <c r="B2254" s="172" t="inlineStr">
        <is>
          <t>7月</t>
        </is>
      </c>
      <c r="C2254" s="172" t="inlineStr">
        <is>
          <t>消金</t>
        </is>
      </c>
      <c r="D2254" s="172" t="inlineStr">
        <is>
          <t>汽车融资租赁</t>
        </is>
      </c>
      <c r="E2254" s="172" t="inlineStr">
        <is>
          <t>尚乘1-3</t>
        </is>
      </c>
      <c r="F2254" s="172" t="inlineStr">
        <is>
          <t>上交所</t>
        </is>
      </c>
      <c r="G2254" s="172" t="inlineStr">
        <is>
          <t>华泰资管</t>
        </is>
      </c>
      <c r="H2254" s="172" t="inlineStr">
        <is>
          <t>国信证券/兴业证券</t>
        </is>
      </c>
      <c r="I2254" s="172" t="inlineStr">
        <is>
          <t>青岛银行</t>
        </is>
      </c>
      <c r="J2254" s="172" t="n">
        <v>8</v>
      </c>
      <c r="K2254" s="172" t="inlineStr">
        <is>
          <t>0+47</t>
        </is>
      </c>
      <c r="L2254" s="208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优先A1</t>
        </is>
      </c>
      <c r="Q2254" s="175" t="n">
        <v>0.2813</v>
      </c>
      <c r="R2254" s="192" t="n">
        <v>2.25</v>
      </c>
      <c r="S2254" s="172" t="inlineStr">
        <is>
          <t>AAA</t>
        </is>
      </c>
      <c r="T2254" s="175" t="n">
        <v>0.0176</v>
      </c>
      <c r="U2254" s="172" t="n"/>
      <c r="V2254" s="172" t="n"/>
      <c r="W2254" s="175" t="n">
        <v>0.027</v>
      </c>
      <c r="X2254" s="172" t="inlineStr">
        <is>
          <t>国信证券</t>
        </is>
      </c>
      <c r="Y2254" s="191" t="n">
        <v>0.3</v>
      </c>
    </row>
    <row r="2255">
      <c r="A2255" s="172" t="n">
        <v>125</v>
      </c>
      <c r="B2255" s="172" t="inlineStr">
        <is>
          <t>7月</t>
        </is>
      </c>
      <c r="C2255" s="172" t="inlineStr">
        <is>
          <t>消金</t>
        </is>
      </c>
      <c r="D2255" s="172" t="inlineStr">
        <is>
          <t>汽车融资租赁</t>
        </is>
      </c>
      <c r="E2255" s="172" t="inlineStr">
        <is>
          <t>尚乘1-3</t>
        </is>
      </c>
      <c r="F2255" s="172" t="inlineStr">
        <is>
          <t>上交所</t>
        </is>
      </c>
      <c r="G2255" s="172" t="inlineStr">
        <is>
          <t>华泰资管</t>
        </is>
      </c>
      <c r="H2255" s="172" t="inlineStr">
        <is>
          <t>国信证券/兴业证券</t>
        </is>
      </c>
      <c r="I2255" s="172" t="inlineStr">
        <is>
          <t>青岛银行</t>
        </is>
      </c>
      <c r="J2255" s="172" t="n">
        <v>8</v>
      </c>
      <c r="K2255" s="172" t="inlineStr">
        <is>
          <t>0+47</t>
        </is>
      </c>
      <c r="L2255" s="208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优先A1</t>
        </is>
      </c>
      <c r="Q2255" s="175" t="n">
        <v>0.2813</v>
      </c>
      <c r="R2255" s="192" t="n">
        <v>2.25</v>
      </c>
      <c r="S2255" s="172" t="inlineStr">
        <is>
          <t>AAA</t>
        </is>
      </c>
      <c r="T2255" s="175" t="n">
        <v>0.0176</v>
      </c>
      <c r="U2255" s="172" t="n"/>
      <c r="V2255" s="172" t="n"/>
      <c r="W2255" s="175" t="n">
        <v>0.027</v>
      </c>
      <c r="X2255" s="172" t="inlineStr">
        <is>
          <t>利曦基金</t>
        </is>
      </c>
      <c r="Y2255" s="191" t="n">
        <v>1</v>
      </c>
    </row>
    <row r="2256">
      <c r="A2256" s="172" t="n">
        <v>125</v>
      </c>
      <c r="B2256" s="173" t="inlineStr">
        <is>
          <t>7月</t>
        </is>
      </c>
      <c r="C2256" s="173" t="inlineStr">
        <is>
          <t>消金</t>
        </is>
      </c>
      <c r="D2256" s="173" t="inlineStr">
        <is>
          <t>汽车融资租赁</t>
        </is>
      </c>
      <c r="E2256" s="173" t="inlineStr">
        <is>
          <t>尚乘1-3</t>
        </is>
      </c>
      <c r="F2256" s="173" t="inlineStr">
        <is>
          <t>上交所</t>
        </is>
      </c>
      <c r="G2256" s="173" t="inlineStr">
        <is>
          <t>华泰资管</t>
        </is>
      </c>
      <c r="H2256" s="173" t="inlineStr">
        <is>
          <t>国信证券/兴业证券</t>
        </is>
      </c>
      <c r="I2256" s="173" t="inlineStr">
        <is>
          <t>青岛银行</t>
        </is>
      </c>
      <c r="J2256" s="172" t="n">
        <v>8</v>
      </c>
      <c r="K2256" s="173" t="inlineStr">
        <is>
          <t>0+47</t>
        </is>
      </c>
      <c r="L2256" s="202" t="n">
        <v>46234</v>
      </c>
      <c r="M2256" s="175" t="n">
        <v>0.0148</v>
      </c>
      <c r="N2256" s="176" t="n">
        <v>0.02865</v>
      </c>
      <c r="O2256" s="172" t="n">
        <v>3.25</v>
      </c>
      <c r="P2256" s="177" t="inlineStr">
        <is>
          <t>优先A2</t>
        </is>
      </c>
      <c r="Q2256" s="178" t="n">
        <v>0.4625</v>
      </c>
      <c r="R2256" s="179" t="n">
        <v>3.7</v>
      </c>
      <c r="S2256" s="177" t="inlineStr">
        <is>
          <t>AAA</t>
        </is>
      </c>
      <c r="T2256" s="178" t="n">
        <v>0.0198</v>
      </c>
      <c r="U2256" s="177" t="inlineStr">
        <is>
          <t>厦门汇正</t>
        </is>
      </c>
      <c r="V2256" s="192" t="n">
        <v>0.19</v>
      </c>
      <c r="W2256" s="175" t="n">
        <v>0.019</v>
      </c>
      <c r="X2256" s="172" t="inlineStr">
        <is>
          <t>厦门汇正</t>
        </is>
      </c>
      <c r="Y2256" s="191" t="n">
        <v>0.19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青岛银行</t>
        </is>
      </c>
      <c r="V2257" s="192" t="n">
        <v>0.26</v>
      </c>
      <c r="W2257" s="175" t="n">
        <v>0.019</v>
      </c>
      <c r="X2257" s="172" t="inlineStr">
        <is>
          <t>青岛银行</t>
        </is>
      </c>
      <c r="Y2257" s="191" t="n">
        <v>0.26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广发资管</t>
        </is>
      </c>
      <c r="V2258" s="192" t="n">
        <v>0.45</v>
      </c>
      <c r="W2258" s="175" t="n">
        <v>0.019</v>
      </c>
      <c r="X2258" s="172" t="inlineStr">
        <is>
          <t>广发资管</t>
        </is>
      </c>
      <c r="Y2258" s="191" t="n">
        <v>0.45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易方达基金</t>
        </is>
      </c>
      <c r="V2259" s="192" t="n">
        <v>0.9</v>
      </c>
      <c r="W2259" s="175" t="n">
        <v>0.0198</v>
      </c>
      <c r="X2259" s="172" t="inlineStr">
        <is>
          <t>易方达基金</t>
        </is>
      </c>
      <c r="Y2259" s="191" t="n">
        <v>0.9</v>
      </c>
    </row>
    <row r="2260">
      <c r="A2260" s="172" t="n">
        <v>125</v>
      </c>
      <c r="B2260" s="173" t="inlineStr">
        <is>
          <t>7月</t>
        </is>
      </c>
      <c r="C2260" s="173" t="inlineStr">
        <is>
          <t>消金</t>
        </is>
      </c>
      <c r="D2260" s="173" t="inlineStr">
        <is>
          <t>汽车融资租赁</t>
        </is>
      </c>
      <c r="E2260" s="173" t="inlineStr">
        <is>
          <t>尚乘1-3</t>
        </is>
      </c>
      <c r="F2260" s="173" t="inlineStr">
        <is>
          <t>上交所</t>
        </is>
      </c>
      <c r="G2260" s="173" t="inlineStr">
        <is>
          <t>华泰资管</t>
        </is>
      </c>
      <c r="H2260" s="173" t="inlineStr">
        <is>
          <t>国信证券/兴业证券</t>
        </is>
      </c>
      <c r="I2260" s="173" t="inlineStr">
        <is>
          <t>青岛银行</t>
        </is>
      </c>
      <c r="J2260" s="172" t="n">
        <v>8</v>
      </c>
      <c r="K2260" s="173" t="inlineStr">
        <is>
          <t>0+47</t>
        </is>
      </c>
      <c r="L2260" s="202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8" t="n">
        <v>0.4625</v>
      </c>
      <c r="R2260" s="179" t="n">
        <v>3.7</v>
      </c>
      <c r="S2260" s="177" t="inlineStr">
        <is>
          <t>AAA</t>
        </is>
      </c>
      <c r="T2260" s="178" t="n">
        <v>0.0198</v>
      </c>
      <c r="U2260" s="177" t="inlineStr">
        <is>
          <t>朗姿韩亚</t>
        </is>
      </c>
      <c r="V2260" s="192" t="n">
        <v>0.35</v>
      </c>
      <c r="W2260" s="175" t="n">
        <v>0.0198</v>
      </c>
      <c r="X2260" s="172" t="inlineStr">
        <is>
          <t>朗姿韩亚</t>
        </is>
      </c>
      <c r="Y2260" s="191" t="n">
        <v>0.36</v>
      </c>
    </row>
    <row r="2261">
      <c r="A2261" s="172" t="n">
        <v>125</v>
      </c>
      <c r="B2261" s="173" t="inlineStr">
        <is>
          <t>7月</t>
        </is>
      </c>
      <c r="C2261" s="173" t="inlineStr">
        <is>
          <t>消金</t>
        </is>
      </c>
      <c r="D2261" s="173" t="inlineStr">
        <is>
          <t>汽车融资租赁</t>
        </is>
      </c>
      <c r="E2261" s="173" t="inlineStr">
        <is>
          <t>尚乘1-3</t>
        </is>
      </c>
      <c r="F2261" s="173" t="inlineStr">
        <is>
          <t>上交所</t>
        </is>
      </c>
      <c r="G2261" s="173" t="inlineStr">
        <is>
          <t>华泰资管</t>
        </is>
      </c>
      <c r="H2261" s="173" t="inlineStr">
        <is>
          <t>国信证券/兴业证券</t>
        </is>
      </c>
      <c r="I2261" s="173" t="inlineStr">
        <is>
          <t>青岛银行</t>
        </is>
      </c>
      <c r="J2261" s="172" t="n">
        <v>8</v>
      </c>
      <c r="K2261" s="173" t="inlineStr">
        <is>
          <t>0+47</t>
        </is>
      </c>
      <c r="L2261" s="202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8" t="n">
        <v>0.4625</v>
      </c>
      <c r="R2261" s="179" t="n">
        <v>3.7</v>
      </c>
      <c r="S2261" s="177" t="inlineStr">
        <is>
          <t>AAA</t>
        </is>
      </c>
      <c r="T2261" s="178" t="n">
        <v>0.0198</v>
      </c>
      <c r="U2261" s="177" t="inlineStr">
        <is>
          <t>中建投信托</t>
        </is>
      </c>
      <c r="V2261" s="192" t="n">
        <v>0.15</v>
      </c>
      <c r="W2261" s="175" t="n">
        <v>0.0195</v>
      </c>
      <c r="X2261" s="172" t="inlineStr">
        <is>
          <t>中建投信托</t>
        </is>
      </c>
      <c r="Y2261" s="191" t="n">
        <v>0.15</v>
      </c>
    </row>
    <row r="2262">
      <c r="A2262" s="172" t="n">
        <v>125</v>
      </c>
      <c r="B2262" s="173" t="inlineStr">
        <is>
          <t>7月</t>
        </is>
      </c>
      <c r="C2262" s="173" t="inlineStr">
        <is>
          <t>消金</t>
        </is>
      </c>
      <c r="D2262" s="173" t="inlineStr">
        <is>
          <t>汽车融资租赁</t>
        </is>
      </c>
      <c r="E2262" s="173" t="inlineStr">
        <is>
          <t>尚乘1-3</t>
        </is>
      </c>
      <c r="F2262" s="173" t="inlineStr">
        <is>
          <t>上交所</t>
        </is>
      </c>
      <c r="G2262" s="173" t="inlineStr">
        <is>
          <t>华泰资管</t>
        </is>
      </c>
      <c r="H2262" s="173" t="inlineStr">
        <is>
          <t>国信证券/兴业证券</t>
        </is>
      </c>
      <c r="I2262" s="173" t="inlineStr">
        <is>
          <t>青岛银行</t>
        </is>
      </c>
      <c r="J2262" s="172" t="n">
        <v>8</v>
      </c>
      <c r="K2262" s="173" t="inlineStr">
        <is>
          <t>0+47</t>
        </is>
      </c>
      <c r="L2262" s="202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8" t="n">
        <v>0.4625</v>
      </c>
      <c r="R2262" s="179" t="n">
        <v>3.7</v>
      </c>
      <c r="S2262" s="177" t="inlineStr">
        <is>
          <t>AAA</t>
        </is>
      </c>
      <c r="T2262" s="178" t="n">
        <v>0.0198</v>
      </c>
      <c r="U2262" s="177" t="inlineStr">
        <is>
          <t>利曦基金</t>
        </is>
      </c>
      <c r="V2262" s="192" t="n">
        <v>0.1</v>
      </c>
      <c r="W2262" s="175" t="n">
        <v>0.019</v>
      </c>
      <c r="X2262" s="172" t="inlineStr">
        <is>
          <t>利曦基金</t>
        </is>
      </c>
      <c r="Y2262" s="191" t="n">
        <v>0.1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0.029</v>
      </c>
      <c r="X2263" s="172" t="inlineStr">
        <is>
          <t>利曦基金</t>
        </is>
      </c>
      <c r="Y2263" s="191" t="n">
        <v>0.6</v>
      </c>
    </row>
    <row r="2264">
      <c r="A2264" s="172" t="n">
        <v>125</v>
      </c>
      <c r="B2264" s="173" t="inlineStr">
        <is>
          <t>7月</t>
        </is>
      </c>
      <c r="C2264" s="173" t="inlineStr">
        <is>
          <t>消金</t>
        </is>
      </c>
      <c r="D2264" s="173" t="inlineStr">
        <is>
          <t>汽车融资租赁</t>
        </is>
      </c>
      <c r="E2264" s="173" t="inlineStr">
        <is>
          <t>尚乘1-3</t>
        </is>
      </c>
      <c r="F2264" s="173" t="inlineStr">
        <is>
          <t>上交所</t>
        </is>
      </c>
      <c r="G2264" s="173" t="inlineStr">
        <is>
          <t>华泰资管</t>
        </is>
      </c>
      <c r="H2264" s="173" t="inlineStr">
        <is>
          <t>国信证券/兴业证券</t>
        </is>
      </c>
      <c r="I2264" s="173" t="inlineStr">
        <is>
          <t>青岛银行</t>
        </is>
      </c>
      <c r="J2264" s="172" t="n">
        <v>8</v>
      </c>
      <c r="K2264" s="173" t="inlineStr">
        <is>
          <t>0+47</t>
        </is>
      </c>
      <c r="L2264" s="202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8" t="n">
        <v>0.4625</v>
      </c>
      <c r="R2264" s="179" t="n">
        <v>3.7</v>
      </c>
      <c r="S2264" s="177" t="inlineStr">
        <is>
          <t>AAA</t>
        </is>
      </c>
      <c r="T2264" s="178" t="n">
        <v>0.0198</v>
      </c>
      <c r="U2264" s="177" t="inlineStr">
        <is>
          <t>申万投顾</t>
        </is>
      </c>
      <c r="V2264" s="192" t="n">
        <v>0.6</v>
      </c>
      <c r="W2264" s="175" t="n">
        <v>0.0195</v>
      </c>
      <c r="X2264" s="172" t="inlineStr">
        <is>
          <t>申万投顾</t>
        </is>
      </c>
      <c r="Y2264" s="191" t="n">
        <v>0.6</v>
      </c>
    </row>
    <row r="2265">
      <c r="A2265" s="172" t="n">
        <v>125</v>
      </c>
      <c r="B2265" s="173" t="inlineStr">
        <is>
          <t>7月</t>
        </is>
      </c>
      <c r="C2265" s="173" t="inlineStr">
        <is>
          <t>消金</t>
        </is>
      </c>
      <c r="D2265" s="173" t="inlineStr">
        <is>
          <t>汽车融资租赁</t>
        </is>
      </c>
      <c r="E2265" s="173" t="inlineStr">
        <is>
          <t>尚乘1-3</t>
        </is>
      </c>
      <c r="F2265" s="173" t="inlineStr">
        <is>
          <t>上交所</t>
        </is>
      </c>
      <c r="G2265" s="173" t="inlineStr">
        <is>
          <t>华泰资管</t>
        </is>
      </c>
      <c r="H2265" s="173" t="inlineStr">
        <is>
          <t>国信证券/兴业证券</t>
        </is>
      </c>
      <c r="I2265" s="173" t="inlineStr">
        <is>
          <t>青岛银行</t>
        </is>
      </c>
      <c r="J2265" s="172" t="n">
        <v>8</v>
      </c>
      <c r="K2265" s="173" t="inlineStr">
        <is>
          <t>0+47</t>
        </is>
      </c>
      <c r="L2265" s="202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8" t="n">
        <v>0.4625</v>
      </c>
      <c r="R2265" s="179" t="n">
        <v>3.7</v>
      </c>
      <c r="S2265" s="177" t="inlineStr">
        <is>
          <t>AAA</t>
        </is>
      </c>
      <c r="T2265" s="178" t="n">
        <v>0.0198</v>
      </c>
      <c r="U2265" s="177" t="inlineStr">
        <is>
          <t>中金财富自营</t>
        </is>
      </c>
      <c r="V2265" s="192" t="n">
        <v>0.2</v>
      </c>
      <c r="W2265" s="175" t="n">
        <v>0.0194</v>
      </c>
      <c r="X2265" s="172" t="inlineStr">
        <is>
          <t>中金财富</t>
        </is>
      </c>
      <c r="Y2265" s="191" t="n">
        <v>0.2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2" t="inlineStr">
        <is>
          <t>优先A2</t>
        </is>
      </c>
      <c r="Q2266" s="178" t="n">
        <v>0.4625</v>
      </c>
      <c r="R2266" s="179" t="n">
        <v>3.7</v>
      </c>
      <c r="S2266" s="177" t="inlineStr">
        <is>
          <t>AAA</t>
        </is>
      </c>
      <c r="T2266" s="178" t="n">
        <v>0.0198</v>
      </c>
      <c r="U2266" s="177" t="inlineStr">
        <is>
          <t>中金投顾</t>
        </is>
      </c>
      <c r="V2266" s="192" t="n">
        <v>0.5</v>
      </c>
      <c r="W2266" s="175" t="n">
        <v>0.0195</v>
      </c>
      <c r="X2266" s="172" t="inlineStr">
        <is>
          <t>中金投顾</t>
        </is>
      </c>
      <c r="Y2266" s="191" t="n">
        <v>0.5</v>
      </c>
    </row>
    <row r="2267">
      <c r="A2267" s="172" t="n">
        <v>125</v>
      </c>
      <c r="B2267" s="172" t="inlineStr">
        <is>
          <t>7月</t>
        </is>
      </c>
      <c r="C2267" s="172" t="inlineStr">
        <is>
          <t>消金</t>
        </is>
      </c>
      <c r="D2267" s="172" t="inlineStr">
        <is>
          <t>汽车融资租赁</t>
        </is>
      </c>
      <c r="E2267" s="172" t="inlineStr">
        <is>
          <t>尚乘1-3</t>
        </is>
      </c>
      <c r="F2267" s="172" t="inlineStr">
        <is>
          <t>上交所</t>
        </is>
      </c>
      <c r="G2267" s="172" t="inlineStr">
        <is>
          <t>华泰资管</t>
        </is>
      </c>
      <c r="H2267" s="172" t="inlineStr">
        <is>
          <t>国信证券/兴业证券</t>
        </is>
      </c>
      <c r="I2267" s="172" t="inlineStr">
        <is>
          <t>青岛银行</t>
        </is>
      </c>
      <c r="J2267" s="172" t="n">
        <v>8</v>
      </c>
      <c r="K2267" s="172" t="inlineStr">
        <is>
          <t>0+47</t>
        </is>
      </c>
      <c r="L2267" s="208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优先A2</t>
        </is>
      </c>
      <c r="Q2267" s="175" t="n">
        <v>0.4625</v>
      </c>
      <c r="R2267" s="192" t="n">
        <v>3.7</v>
      </c>
      <c r="S2267" s="172" t="inlineStr">
        <is>
          <t>AAA</t>
        </is>
      </c>
      <c r="T2267" s="175" t="n">
        <v>0.0198</v>
      </c>
      <c r="U2267" s="172" t="n"/>
      <c r="V2267" s="172" t="n"/>
      <c r="W2267" s="175" t="n">
        <v>0.02</v>
      </c>
      <c r="X2267" s="172" t="inlineStr">
        <is>
          <t>财通资管</t>
        </is>
      </c>
      <c r="Y2267" s="191" t="n">
        <v>0.91</v>
      </c>
    </row>
    <row r="2268">
      <c r="A2268" s="172" t="n">
        <v>125</v>
      </c>
      <c r="B2268" s="172" t="inlineStr">
        <is>
          <t>7月</t>
        </is>
      </c>
      <c r="C2268" s="172" t="inlineStr">
        <is>
          <t>消金</t>
        </is>
      </c>
      <c r="D2268" s="172" t="inlineStr">
        <is>
          <t>汽车融资租赁</t>
        </is>
      </c>
      <c r="E2268" s="172" t="inlineStr">
        <is>
          <t>尚乘1-3</t>
        </is>
      </c>
      <c r="F2268" s="172" t="inlineStr">
        <is>
          <t>上交所</t>
        </is>
      </c>
      <c r="G2268" s="172" t="inlineStr">
        <is>
          <t>华泰资管</t>
        </is>
      </c>
      <c r="H2268" s="172" t="inlineStr">
        <is>
          <t>国信证券/兴业证券</t>
        </is>
      </c>
      <c r="I2268" s="172" t="inlineStr">
        <is>
          <t>青岛银行</t>
        </is>
      </c>
      <c r="J2268" s="172" t="n">
        <v>8</v>
      </c>
      <c r="K2268" s="172" t="inlineStr">
        <is>
          <t>0+47</t>
        </is>
      </c>
      <c r="L2268" s="208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优先A2</t>
        </is>
      </c>
      <c r="Q2268" s="175" t="n">
        <v>0.4625</v>
      </c>
      <c r="R2268" s="192" t="n">
        <v>3.7</v>
      </c>
      <c r="S2268" s="172" t="inlineStr">
        <is>
          <t>AAA</t>
        </is>
      </c>
      <c r="T2268" s="175" t="n">
        <v>0.0198</v>
      </c>
      <c r="U2268" s="172" t="n"/>
      <c r="V2268" s="172" t="n"/>
      <c r="W2268" s="175" t="n">
        <v>0.02</v>
      </c>
      <c r="X2268" s="172" t="inlineStr">
        <is>
          <t>国信证券</t>
        </is>
      </c>
      <c r="Y2268" s="191" t="n">
        <v>0.5</v>
      </c>
    </row>
    <row r="2269">
      <c r="A2269" s="172" t="n">
        <v>125</v>
      </c>
      <c r="B2269" s="172" t="inlineStr">
        <is>
          <t>7月</t>
        </is>
      </c>
      <c r="C2269" s="172" t="inlineStr">
        <is>
          <t>消金</t>
        </is>
      </c>
      <c r="D2269" s="172" t="inlineStr">
        <is>
          <t>汽车融资租赁</t>
        </is>
      </c>
      <c r="E2269" s="172" t="inlineStr">
        <is>
          <t>尚乘1-3</t>
        </is>
      </c>
      <c r="F2269" s="172" t="inlineStr">
        <is>
          <t>上交所</t>
        </is>
      </c>
      <c r="G2269" s="172" t="inlineStr">
        <is>
          <t>华泰资管</t>
        </is>
      </c>
      <c r="H2269" s="172" t="inlineStr">
        <is>
          <t>国信证券/兴业证券</t>
        </is>
      </c>
      <c r="I2269" s="172" t="inlineStr">
        <is>
          <t>青岛银行</t>
        </is>
      </c>
      <c r="J2269" s="172" t="n">
        <v>8</v>
      </c>
      <c r="K2269" s="172" t="inlineStr">
        <is>
          <t>0+47</t>
        </is>
      </c>
      <c r="L2269" s="208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优先A2</t>
        </is>
      </c>
      <c r="Q2269" s="175" t="n">
        <v>0.4625</v>
      </c>
      <c r="R2269" s="192" t="n">
        <v>3.7</v>
      </c>
      <c r="S2269" s="172" t="inlineStr">
        <is>
          <t>AAA</t>
        </is>
      </c>
      <c r="T2269" s="175" t="n">
        <v>0.0198</v>
      </c>
      <c r="U2269" s="172" t="n"/>
      <c r="V2269" s="172" t="n"/>
      <c r="W2269" s="175" t="n">
        <v>0.02</v>
      </c>
      <c r="X2269" s="172" t="inlineStr">
        <is>
          <t>华福证券</t>
        </is>
      </c>
      <c r="Y2269" s="191" t="n">
        <v>0.5</v>
      </c>
    </row>
    <row r="2270">
      <c r="A2270" s="172" t="n">
        <v>125</v>
      </c>
      <c r="B2270" s="172" t="inlineStr">
        <is>
          <t>7月</t>
        </is>
      </c>
      <c r="C2270" s="172" t="inlineStr">
        <is>
          <t>消金</t>
        </is>
      </c>
      <c r="D2270" s="172" t="inlineStr">
        <is>
          <t>汽车融资租赁</t>
        </is>
      </c>
      <c r="E2270" s="172" t="inlineStr">
        <is>
          <t>尚乘1-3</t>
        </is>
      </c>
      <c r="F2270" s="172" t="inlineStr">
        <is>
          <t>上交所</t>
        </is>
      </c>
      <c r="G2270" s="172" t="inlineStr">
        <is>
          <t>华泰资管</t>
        </is>
      </c>
      <c r="H2270" s="172" t="inlineStr">
        <is>
          <t>国信证券/兴业证券</t>
        </is>
      </c>
      <c r="I2270" s="172" t="inlineStr">
        <is>
          <t>青岛银行</t>
        </is>
      </c>
      <c r="J2270" s="172" t="n">
        <v>8</v>
      </c>
      <c r="K2270" s="172" t="inlineStr">
        <is>
          <t>0+47</t>
        </is>
      </c>
      <c r="L2270" s="208" t="n">
        <v>46234</v>
      </c>
      <c r="M2270" s="175" t="n">
        <v>0.0148</v>
      </c>
      <c r="N2270" s="176" t="n">
        <v>0.02865</v>
      </c>
      <c r="O2270" s="172" t="n">
        <v>3.25</v>
      </c>
      <c r="P2270" s="172" t="inlineStr">
        <is>
          <t>优先A2</t>
        </is>
      </c>
      <c r="Q2270" s="175" t="n">
        <v>0.4625</v>
      </c>
      <c r="R2270" s="192" t="n">
        <v>3.7</v>
      </c>
      <c r="S2270" s="172" t="inlineStr">
        <is>
          <t>AAA</t>
        </is>
      </c>
      <c r="T2270" s="175" t="n">
        <v>0.0198</v>
      </c>
      <c r="U2270" s="172" t="n"/>
      <c r="V2270" s="172" t="n"/>
      <c r="W2270" s="175" t="n">
        <v>0.02</v>
      </c>
      <c r="X2270" s="172" t="inlineStr">
        <is>
          <t>兴业证券</t>
        </is>
      </c>
      <c r="Y2270" s="191" t="n">
        <v>0.8</v>
      </c>
    </row>
    <row r="2271">
      <c r="A2271" s="172" t="n">
        <v>125</v>
      </c>
      <c r="B2271" s="172" t="inlineStr">
        <is>
          <t>7月</t>
        </is>
      </c>
      <c r="C2271" s="172" t="inlineStr">
        <is>
          <t>消金</t>
        </is>
      </c>
      <c r="D2271" s="172" t="inlineStr">
        <is>
          <t>汽车融资租赁</t>
        </is>
      </c>
      <c r="E2271" s="172" t="inlineStr">
        <is>
          <t>尚乘1-3</t>
        </is>
      </c>
      <c r="F2271" s="172" t="inlineStr">
        <is>
          <t>上交所</t>
        </is>
      </c>
      <c r="G2271" s="172" t="inlineStr">
        <is>
          <t>华泰资管</t>
        </is>
      </c>
      <c r="H2271" s="172" t="inlineStr">
        <is>
          <t>国信证券/兴业证券</t>
        </is>
      </c>
      <c r="I2271" s="172" t="inlineStr">
        <is>
          <t>青岛银行</t>
        </is>
      </c>
      <c r="J2271" s="172" t="n">
        <v>8</v>
      </c>
      <c r="K2271" s="172" t="inlineStr">
        <is>
          <t>0+47</t>
        </is>
      </c>
      <c r="L2271" s="208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优先A2</t>
        </is>
      </c>
      <c r="Q2271" s="175" t="n">
        <v>0.4625</v>
      </c>
      <c r="R2271" s="192" t="n">
        <v>3.7</v>
      </c>
      <c r="S2271" s="172" t="inlineStr">
        <is>
          <t>AAA</t>
        </is>
      </c>
      <c r="T2271" s="175" t="n">
        <v>0.0198</v>
      </c>
      <c r="U2271" s="172" t="n"/>
      <c r="V2271" s="172" t="n"/>
      <c r="W2271" s="175" t="n">
        <v>0.02</v>
      </c>
      <c r="X2271" s="172" t="inlineStr">
        <is>
          <t>中金资管</t>
        </is>
      </c>
      <c r="Y2271" s="191" t="n">
        <v>0.76</v>
      </c>
    </row>
    <row r="2272">
      <c r="A2272" s="172" t="n">
        <v>125</v>
      </c>
      <c r="B2272" s="172" t="inlineStr">
        <is>
          <t>7月</t>
        </is>
      </c>
      <c r="C2272" s="172" t="inlineStr">
        <is>
          <t>消金</t>
        </is>
      </c>
      <c r="D2272" s="172" t="inlineStr">
        <is>
          <t>汽车融资租赁</t>
        </is>
      </c>
      <c r="E2272" s="172" t="inlineStr">
        <is>
          <t>尚乘1-3</t>
        </is>
      </c>
      <c r="F2272" s="172" t="inlineStr">
        <is>
          <t>上交所</t>
        </is>
      </c>
      <c r="G2272" s="172" t="inlineStr">
        <is>
          <t>华泰资管</t>
        </is>
      </c>
      <c r="H2272" s="172" t="inlineStr">
        <is>
          <t>国信证券/兴业证券</t>
        </is>
      </c>
      <c r="I2272" s="172" t="inlineStr">
        <is>
          <t>青岛银行</t>
        </is>
      </c>
      <c r="J2272" s="172" t="n">
        <v>8</v>
      </c>
      <c r="K2272" s="172" t="inlineStr">
        <is>
          <t>0+47</t>
        </is>
      </c>
      <c r="L2272" s="208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优先A2</t>
        </is>
      </c>
      <c r="Q2272" s="175" t="n">
        <v>0.4625</v>
      </c>
      <c r="R2272" s="192" t="n">
        <v>3.7</v>
      </c>
      <c r="S2272" s="172" t="inlineStr">
        <is>
          <t>AAA</t>
        </is>
      </c>
      <c r="T2272" s="175" t="n">
        <v>0.0198</v>
      </c>
      <c r="U2272" s="172" t="n"/>
      <c r="V2272" s="172" t="n"/>
      <c r="W2272" s="175" t="n">
        <v>0.021</v>
      </c>
      <c r="X2272" s="172" t="inlineStr">
        <is>
          <t>首创证券</t>
        </is>
      </c>
      <c r="Y2272" s="191" t="n">
        <v>0.3</v>
      </c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7" t="inlineStr">
        <is>
          <t>优先B</t>
        </is>
      </c>
      <c r="Q2273" s="178" t="n">
        <v>0.1188</v>
      </c>
      <c r="R2273" s="179" t="n">
        <v>0.95</v>
      </c>
      <c r="S2273" s="177" t="inlineStr">
        <is>
          <t>AA+</t>
        </is>
      </c>
      <c r="T2273" s="178" t="n">
        <v>0.031</v>
      </c>
      <c r="U2273" s="172" t="inlineStr">
        <is>
          <t>朗资韩亚</t>
        </is>
      </c>
      <c r="V2273" s="192" t="n">
        <v>0.5</v>
      </c>
      <c r="W2273" s="172" t="n"/>
      <c r="X2273" s="172" t="n"/>
      <c r="Y2273" s="172" t="n"/>
    </row>
    <row r="2274">
      <c r="A2274" s="172" t="n">
        <v>125</v>
      </c>
      <c r="B2274" s="173" t="inlineStr">
        <is>
          <t>7月</t>
        </is>
      </c>
      <c r="C2274" s="173" t="inlineStr">
        <is>
          <t>消金</t>
        </is>
      </c>
      <c r="D2274" s="173" t="inlineStr">
        <is>
          <t>汽车融资租赁</t>
        </is>
      </c>
      <c r="E2274" s="173" t="inlineStr">
        <is>
          <t>尚乘1-3</t>
        </is>
      </c>
      <c r="F2274" s="173" t="inlineStr">
        <is>
          <t>上交所</t>
        </is>
      </c>
      <c r="G2274" s="173" t="inlineStr">
        <is>
          <t>华泰资管</t>
        </is>
      </c>
      <c r="H2274" s="173" t="inlineStr">
        <is>
          <t>国信证券/兴业证券</t>
        </is>
      </c>
      <c r="I2274" s="173" t="inlineStr">
        <is>
          <t>青岛银行</t>
        </is>
      </c>
      <c r="J2274" s="172" t="n">
        <v>8</v>
      </c>
      <c r="K2274" s="173" t="inlineStr">
        <is>
          <t>0+47</t>
        </is>
      </c>
      <c r="L2274" s="202" t="n">
        <v>46234</v>
      </c>
      <c r="M2274" s="175" t="n">
        <v>0.0148</v>
      </c>
      <c r="N2274" s="176" t="n">
        <v>0.02865</v>
      </c>
      <c r="O2274" s="172" t="n">
        <v>3.25</v>
      </c>
      <c r="P2274" s="172" t="inlineStr">
        <is>
          <t>优先B</t>
        </is>
      </c>
      <c r="Q2274" s="178" t="n">
        <v>0.1188</v>
      </c>
      <c r="R2274" s="179" t="n">
        <v>0.95</v>
      </c>
      <c r="S2274" s="177" t="inlineStr">
        <is>
          <t>AA+</t>
        </is>
      </c>
      <c r="T2274" s="178" t="n">
        <v>0.031</v>
      </c>
      <c r="U2274" s="172" t="inlineStr">
        <is>
          <t>中金投顾</t>
        </is>
      </c>
      <c r="V2274" s="192" t="n">
        <v>0.3</v>
      </c>
      <c r="W2274" s="172" t="n"/>
      <c r="X2274" s="172" t="n"/>
      <c r="Y2274" s="172" t="n"/>
    </row>
    <row r="2275">
      <c r="A2275" s="172" t="n">
        <v>125</v>
      </c>
      <c r="B2275" s="173" t="inlineStr">
        <is>
          <t>7月</t>
        </is>
      </c>
      <c r="C2275" s="173" t="inlineStr">
        <is>
          <t>消金</t>
        </is>
      </c>
      <c r="D2275" s="173" t="inlineStr">
        <is>
          <t>汽车融资租赁</t>
        </is>
      </c>
      <c r="E2275" s="173" t="inlineStr">
        <is>
          <t>尚乘1-3</t>
        </is>
      </c>
      <c r="F2275" s="173" t="inlineStr">
        <is>
          <t>上交所</t>
        </is>
      </c>
      <c r="G2275" s="173" t="inlineStr">
        <is>
          <t>华泰资管</t>
        </is>
      </c>
      <c r="H2275" s="173" t="inlineStr">
        <is>
          <t>国信证券/兴业证券</t>
        </is>
      </c>
      <c r="I2275" s="173" t="inlineStr">
        <is>
          <t>青岛银行</t>
        </is>
      </c>
      <c r="J2275" s="172" t="n">
        <v>8</v>
      </c>
      <c r="K2275" s="173" t="inlineStr">
        <is>
          <t>0+47</t>
        </is>
      </c>
      <c r="L2275" s="202" t="n">
        <v>46234</v>
      </c>
      <c r="M2275" s="175" t="n">
        <v>0.0148</v>
      </c>
      <c r="N2275" s="176" t="n">
        <v>0.02865</v>
      </c>
      <c r="O2275" s="172" t="n">
        <v>3.25</v>
      </c>
      <c r="P2275" s="172" t="inlineStr">
        <is>
          <t>优先B</t>
        </is>
      </c>
      <c r="Q2275" s="178" t="n">
        <v>0.1188</v>
      </c>
      <c r="R2275" s="179" t="n">
        <v>0.95</v>
      </c>
      <c r="S2275" s="177" t="inlineStr">
        <is>
          <t>AA+</t>
        </is>
      </c>
      <c r="T2275" s="178" t="n">
        <v>0.031</v>
      </c>
      <c r="U2275" s="172" t="inlineStr">
        <is>
          <t>广发资管</t>
        </is>
      </c>
      <c r="V2275" s="192" t="n">
        <v>0.1</v>
      </c>
      <c r="W2275" s="172" t="n"/>
      <c r="X2275" s="172" t="n"/>
      <c r="Y2275" s="172" t="n"/>
    </row>
    <row r="2276">
      <c r="A2276" s="172" t="n">
        <v>125</v>
      </c>
      <c r="B2276" s="173" t="inlineStr">
        <is>
          <t>7月</t>
        </is>
      </c>
      <c r="C2276" s="173" t="inlineStr">
        <is>
          <t>消金</t>
        </is>
      </c>
      <c r="D2276" s="173" t="inlineStr">
        <is>
          <t>汽车融资租赁</t>
        </is>
      </c>
      <c r="E2276" s="173" t="inlineStr">
        <is>
          <t>尚乘1-3</t>
        </is>
      </c>
      <c r="F2276" s="173" t="inlineStr">
        <is>
          <t>上交所</t>
        </is>
      </c>
      <c r="G2276" s="173" t="inlineStr">
        <is>
          <t>华泰资管</t>
        </is>
      </c>
      <c r="H2276" s="173" t="inlineStr">
        <is>
          <t>国信证券/兴业证券</t>
        </is>
      </c>
      <c r="I2276" s="173" t="inlineStr">
        <is>
          <t>青岛银行</t>
        </is>
      </c>
      <c r="J2276" s="172" t="n">
        <v>8</v>
      </c>
      <c r="K2276" s="173" t="inlineStr">
        <is>
          <t>0+47</t>
        </is>
      </c>
      <c r="L2276" s="202" t="n">
        <v>46234</v>
      </c>
      <c r="M2276" s="175" t="n">
        <v>0.0148</v>
      </c>
      <c r="N2276" s="176" t="n">
        <v>0.02865</v>
      </c>
      <c r="O2276" s="172" t="n">
        <v>3.25</v>
      </c>
      <c r="P2276" s="172" t="inlineStr">
        <is>
          <t>优先B</t>
        </is>
      </c>
      <c r="Q2276" s="178" t="n">
        <v>0.1188</v>
      </c>
      <c r="R2276" s="179" t="n">
        <v>0.95</v>
      </c>
      <c r="S2276" s="177" t="inlineStr">
        <is>
          <t>AA+</t>
        </is>
      </c>
      <c r="T2276" s="178" t="n">
        <v>0.031</v>
      </c>
      <c r="U2276" s="177" t="inlineStr">
        <is>
          <t>厦门汇正</t>
        </is>
      </c>
      <c r="V2276" s="192" t="n">
        <v>0.05</v>
      </c>
      <c r="W2276" s="172" t="n"/>
      <c r="X2276" s="172" t="n"/>
      <c r="Y2276" s="172" t="n"/>
    </row>
    <row r="2277">
      <c r="A2277" s="172" t="n">
        <v>125</v>
      </c>
      <c r="B2277" s="173" t="inlineStr">
        <is>
          <t>7月</t>
        </is>
      </c>
      <c r="C2277" s="173" t="inlineStr">
        <is>
          <t>消金</t>
        </is>
      </c>
      <c r="D2277" s="173" t="inlineStr">
        <is>
          <t>汽车融资租赁</t>
        </is>
      </c>
      <c r="E2277" s="173" t="inlineStr">
        <is>
          <t>尚乘1-3</t>
        </is>
      </c>
      <c r="F2277" s="173" t="inlineStr">
        <is>
          <t>上交所</t>
        </is>
      </c>
      <c r="G2277" s="173" t="inlineStr">
        <is>
          <t>华泰资管</t>
        </is>
      </c>
      <c r="H2277" s="173" t="inlineStr">
        <is>
          <t>国信证券/兴业证券</t>
        </is>
      </c>
      <c r="I2277" s="173" t="inlineStr">
        <is>
          <t>青岛银行</t>
        </is>
      </c>
      <c r="J2277" s="172" t="n">
        <v>8</v>
      </c>
      <c r="K2277" s="173" t="inlineStr">
        <is>
          <t>0+47</t>
        </is>
      </c>
      <c r="L2277" s="202" t="n">
        <v>46234</v>
      </c>
      <c r="M2277" s="175" t="n">
        <v>0.0148</v>
      </c>
      <c r="N2277" s="176" t="n">
        <v>0.02865</v>
      </c>
      <c r="O2277" s="172" t="n">
        <v>3.25</v>
      </c>
      <c r="P2277" s="177" t="inlineStr">
        <is>
          <t>次级</t>
        </is>
      </c>
      <c r="Q2277" s="178" t="n">
        <v>0.1375</v>
      </c>
      <c r="R2277" s="179" t="n">
        <v>1.1</v>
      </c>
      <c r="S2277" s="177" t="inlineStr">
        <is>
          <t>无</t>
        </is>
      </c>
      <c r="T2277" s="178" t="n">
        <v>0.052</v>
      </c>
      <c r="U2277" s="172" t="inlineStr">
        <is>
          <t>东家铂睿</t>
        </is>
      </c>
      <c r="V2277" s="192" t="n">
        <v>0.27</v>
      </c>
      <c r="W2277" s="172" t="n"/>
      <c r="X2277" s="172" t="n"/>
      <c r="Y2277" s="172" t="n"/>
    </row>
    <row r="2278">
      <c r="A2278" s="172" t="n">
        <v>125</v>
      </c>
      <c r="B2278" s="173" t="inlineStr">
        <is>
          <t>7月</t>
        </is>
      </c>
      <c r="C2278" s="173" t="inlineStr">
        <is>
          <t>消金</t>
        </is>
      </c>
      <c r="D2278" s="173" t="inlineStr">
        <is>
          <t>汽车融资租赁</t>
        </is>
      </c>
      <c r="E2278" s="173" t="inlineStr">
        <is>
          <t>尚乘1-3</t>
        </is>
      </c>
      <c r="F2278" s="173" t="inlineStr">
        <is>
          <t>上交所</t>
        </is>
      </c>
      <c r="G2278" s="173" t="inlineStr">
        <is>
          <t>华泰资管</t>
        </is>
      </c>
      <c r="H2278" s="173" t="inlineStr">
        <is>
          <t>国信证券/兴业证券</t>
        </is>
      </c>
      <c r="I2278" s="173" t="inlineStr">
        <is>
          <t>青岛银行</t>
        </is>
      </c>
      <c r="J2278" s="172" t="n">
        <v>8</v>
      </c>
      <c r="K2278" s="173" t="inlineStr">
        <is>
          <t>0+47</t>
        </is>
      </c>
      <c r="L2278" s="202" t="n">
        <v>46234</v>
      </c>
      <c r="M2278" s="175" t="n">
        <v>0.0148</v>
      </c>
      <c r="N2278" s="176" t="n">
        <v>0.02865</v>
      </c>
      <c r="O2278" s="172" t="n">
        <v>3.25</v>
      </c>
      <c r="P2278" s="172" t="inlineStr">
        <is>
          <t>次级</t>
        </is>
      </c>
      <c r="Q2278" s="178" t="n">
        <v>0.1375</v>
      </c>
      <c r="R2278" s="179" t="n">
        <v>1.1</v>
      </c>
      <c r="S2278" s="177" t="inlineStr">
        <is>
          <t>无</t>
        </is>
      </c>
      <c r="T2278" s="178" t="n">
        <v>0.052</v>
      </c>
      <c r="U2278" s="172" t="inlineStr">
        <is>
          <t>朗资韩亚</t>
        </is>
      </c>
      <c r="V2278" s="192" t="n">
        <v>0.57</v>
      </c>
      <c r="W2278" s="172" t="n"/>
      <c r="X2278" s="172" t="n"/>
      <c r="Y2278" s="172" t="n"/>
    </row>
    <row r="2279">
      <c r="A2279" s="172" t="n">
        <v>125</v>
      </c>
      <c r="B2279" s="173" t="inlineStr">
        <is>
          <t>7月</t>
        </is>
      </c>
      <c r="C2279" s="173" t="inlineStr">
        <is>
          <t>消金</t>
        </is>
      </c>
      <c r="D2279" s="173" t="inlineStr">
        <is>
          <t>汽车融资租赁</t>
        </is>
      </c>
      <c r="E2279" s="173" t="inlineStr">
        <is>
          <t>尚乘1-3</t>
        </is>
      </c>
      <c r="F2279" s="173" t="inlineStr">
        <is>
          <t>上交所</t>
        </is>
      </c>
      <c r="G2279" s="173" t="inlineStr">
        <is>
          <t>华泰资管</t>
        </is>
      </c>
      <c r="H2279" s="173" t="inlineStr">
        <is>
          <t>国信证券/兴业证券</t>
        </is>
      </c>
      <c r="I2279" s="173" t="inlineStr">
        <is>
          <t>青岛银行</t>
        </is>
      </c>
      <c r="J2279" s="172" t="n">
        <v>8</v>
      </c>
      <c r="K2279" s="173" t="inlineStr">
        <is>
          <t>0+47</t>
        </is>
      </c>
      <c r="L2279" s="202" t="n">
        <v>46234</v>
      </c>
      <c r="M2279" s="175" t="n">
        <v>0.0148</v>
      </c>
      <c r="N2279" s="176" t="n">
        <v>0.02865</v>
      </c>
      <c r="O2279" s="172" t="n">
        <v>3.25</v>
      </c>
      <c r="P2279" s="172" t="inlineStr">
        <is>
          <t>次级</t>
        </is>
      </c>
      <c r="Q2279" s="178" t="n">
        <v>0.1375</v>
      </c>
      <c r="R2279" s="179" t="n">
        <v>1.1</v>
      </c>
      <c r="S2279" s="177" t="inlineStr">
        <is>
          <t>无</t>
        </is>
      </c>
      <c r="T2279" s="178" t="n">
        <v>0.052</v>
      </c>
      <c r="U2279" s="172" t="inlineStr">
        <is>
          <t>思达星汇</t>
        </is>
      </c>
      <c r="V2279" s="192" t="n">
        <v>0.2</v>
      </c>
      <c r="W2279" s="172" t="n"/>
      <c r="X2279" s="172" t="n"/>
      <c r="Y2279" s="172" t="n"/>
    </row>
    <row r="2280">
      <c r="A2280" s="172" t="n">
        <v>125</v>
      </c>
      <c r="B2280" s="173" t="inlineStr">
        <is>
          <t>7月</t>
        </is>
      </c>
      <c r="C2280" s="173" t="inlineStr">
        <is>
          <t>消金</t>
        </is>
      </c>
      <c r="D2280" s="173" t="inlineStr">
        <is>
          <t>汽车融资租赁</t>
        </is>
      </c>
      <c r="E2280" s="173" t="inlineStr">
        <is>
          <t>尚乘1-3</t>
        </is>
      </c>
      <c r="F2280" s="173" t="inlineStr">
        <is>
          <t>上交所</t>
        </is>
      </c>
      <c r="G2280" s="173" t="inlineStr">
        <is>
          <t>华泰资管</t>
        </is>
      </c>
      <c r="H2280" s="173" t="inlineStr">
        <is>
          <t>国信证券/兴业证券</t>
        </is>
      </c>
      <c r="I2280" s="173" t="inlineStr">
        <is>
          <t>青岛银行</t>
        </is>
      </c>
      <c r="J2280" s="172" t="n">
        <v>8</v>
      </c>
      <c r="K2280" s="173" t="inlineStr">
        <is>
          <t>0+47</t>
        </is>
      </c>
      <c r="L2280" s="202" t="n">
        <v>46234</v>
      </c>
      <c r="M2280" s="175" t="n">
        <v>0.0148</v>
      </c>
      <c r="N2280" s="176" t="n">
        <v>0.02865</v>
      </c>
      <c r="O2280" s="172" t="n">
        <v>3.25</v>
      </c>
      <c r="P2280" s="172" t="inlineStr">
        <is>
          <t>次级</t>
        </is>
      </c>
      <c r="Q2280" s="178" t="n">
        <v>0.1375</v>
      </c>
      <c r="R2280" s="179" t="n">
        <v>1.1</v>
      </c>
      <c r="S2280" s="177" t="inlineStr">
        <is>
          <t>无</t>
        </is>
      </c>
      <c r="T2280" s="178" t="n">
        <v>0.052</v>
      </c>
      <c r="U2280" s="177" t="inlineStr">
        <is>
          <t>厦门汇正</t>
        </is>
      </c>
      <c r="V2280" s="192" t="n">
        <v>0.06</v>
      </c>
      <c r="W2280" s="172" t="n"/>
      <c r="X2280" s="172" t="n"/>
      <c r="Y2280" s="172" t="n"/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7" t="inlineStr">
        <is>
          <t>优先A</t>
        </is>
      </c>
      <c r="Q2281" s="178" t="n">
        <v>0.87</v>
      </c>
      <c r="R2281" s="179">
        <f>Q1498*J1498</f>
        <v/>
      </c>
      <c r="S2281" s="177" t="inlineStr">
        <is>
          <t>AAA</t>
        </is>
      </c>
      <c r="T2281" s="178" t="n">
        <v>0.018</v>
      </c>
      <c r="U2281" s="172" t="inlineStr">
        <is>
          <t>国信证券投行</t>
        </is>
      </c>
      <c r="V2281" s="192" t="n">
        <v>0.1</v>
      </c>
      <c r="W2281" s="175" t="n">
        <v>0.018</v>
      </c>
      <c r="X2281" s="172" t="inlineStr">
        <is>
          <t>国信证券（投行上报）</t>
        </is>
      </c>
      <c r="Y2281" s="191" t="n">
        <v>0.1</v>
      </c>
    </row>
    <row r="2282">
      <c r="A2282" s="172" t="n">
        <v>126</v>
      </c>
      <c r="B2282" s="173" t="inlineStr">
        <is>
          <t>8月</t>
        </is>
      </c>
      <c r="C2282" s="173" t="inlineStr">
        <is>
          <t>消金</t>
        </is>
      </c>
      <c r="D2282" s="173" t="inlineStr">
        <is>
          <t>金条&amp;白取混发</t>
        </is>
      </c>
      <c r="E2282" s="173" t="inlineStr">
        <is>
          <t>2026东樾4号2期（东樾4-4）</t>
        </is>
      </c>
      <c r="F2282" s="173" t="inlineStr">
        <is>
          <t>银行间</t>
        </is>
      </c>
      <c r="G2282" s="173" t="inlineStr">
        <is>
          <t>中信证券</t>
        </is>
      </c>
      <c r="H2282" s="173" t="inlineStr">
        <is>
          <t>国信证券/光大证券/国泰海通/招商证券</t>
        </is>
      </c>
      <c r="I2282" s="173" t="inlineStr">
        <is>
          <t>中邮北分</t>
        </is>
      </c>
      <c r="J2282" s="172" t="n">
        <v>5</v>
      </c>
      <c r="K2282" s="173" t="inlineStr">
        <is>
          <t>22+24</t>
        </is>
      </c>
      <c r="L2282" s="202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8" t="n">
        <v>0.87</v>
      </c>
      <c r="R2282" s="179">
        <f>Q1498*J1498</f>
        <v/>
      </c>
      <c r="S2282" s="177" t="inlineStr">
        <is>
          <t>AAA</t>
        </is>
      </c>
      <c r="T2282" s="178" t="n">
        <v>0.018</v>
      </c>
      <c r="U2282" s="172" t="inlineStr">
        <is>
          <t>招商证券投行</t>
        </is>
      </c>
      <c r="V2282" s="192" t="n">
        <v>0.1</v>
      </c>
      <c r="W2282" s="175" t="n">
        <v>0.018</v>
      </c>
      <c r="X2282" s="172" t="inlineStr">
        <is>
          <t>招商证券（投行上报）</t>
        </is>
      </c>
      <c r="Y2282" s="191" t="n">
        <v>0.1</v>
      </c>
    </row>
    <row r="2283">
      <c r="A2283" s="172" t="n">
        <v>126</v>
      </c>
      <c r="B2283" s="173" t="inlineStr">
        <is>
          <t>8月</t>
        </is>
      </c>
      <c r="C2283" s="173" t="inlineStr">
        <is>
          <t>消金</t>
        </is>
      </c>
      <c r="D2283" s="173" t="inlineStr">
        <is>
          <t>金条&amp;白取混发</t>
        </is>
      </c>
      <c r="E2283" s="173" t="inlineStr">
        <is>
          <t>2026东樾4号2期（东樾4-4）</t>
        </is>
      </c>
      <c r="F2283" s="173" t="inlineStr">
        <is>
          <t>银行间</t>
        </is>
      </c>
      <c r="G2283" s="173" t="inlineStr">
        <is>
          <t>中信证券</t>
        </is>
      </c>
      <c r="H2283" s="173" t="inlineStr">
        <is>
          <t>国信证券/光大证券/国泰海通/招商证券</t>
        </is>
      </c>
      <c r="I2283" s="173" t="inlineStr">
        <is>
          <t>中邮北分</t>
        </is>
      </c>
      <c r="J2283" s="172" t="n">
        <v>5</v>
      </c>
      <c r="K2283" s="173" t="inlineStr">
        <is>
          <t>22+24</t>
        </is>
      </c>
      <c r="L2283" s="202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8" t="n">
        <v>0.87</v>
      </c>
      <c r="R2283" s="179">
        <f>Q1498*J1498</f>
        <v/>
      </c>
      <c r="S2283" s="177" t="inlineStr">
        <is>
          <t>AAA</t>
        </is>
      </c>
      <c r="T2283" s="178" t="n">
        <v>0.018</v>
      </c>
      <c r="U2283" s="172" t="inlineStr">
        <is>
          <t>远行基金</t>
        </is>
      </c>
      <c r="V2283" s="192" t="n">
        <v>0.1</v>
      </c>
      <c r="W2283" s="172" t="n"/>
      <c r="X2283" s="172" t="n"/>
      <c r="Y2283" s="172" t="n"/>
    </row>
    <row r="2284">
      <c r="A2284" s="172" t="n">
        <v>126</v>
      </c>
      <c r="B2284" s="173" t="inlineStr">
        <is>
          <t>8月</t>
        </is>
      </c>
      <c r="C2284" s="173" t="inlineStr">
        <is>
          <t>消金</t>
        </is>
      </c>
      <c r="D2284" s="173" t="inlineStr">
        <is>
          <t>金条&amp;白取混发</t>
        </is>
      </c>
      <c r="E2284" s="173" t="inlineStr">
        <is>
          <t>2026东樾4号2期（东樾4-4）</t>
        </is>
      </c>
      <c r="F2284" s="173" t="inlineStr">
        <is>
          <t>银行间</t>
        </is>
      </c>
      <c r="G2284" s="173" t="inlineStr">
        <is>
          <t>中信证券</t>
        </is>
      </c>
      <c r="H2284" s="173" t="inlineStr">
        <is>
          <t>国信证券/光大证券/国泰海通/招商证券</t>
        </is>
      </c>
      <c r="I2284" s="173" t="inlineStr">
        <is>
          <t>中邮北分</t>
        </is>
      </c>
      <c r="J2284" s="172" t="n">
        <v>5</v>
      </c>
      <c r="K2284" s="173" t="inlineStr">
        <is>
          <t>22+24</t>
        </is>
      </c>
      <c r="L2284" s="202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8" t="n">
        <v>0.87</v>
      </c>
      <c r="R2284" s="179">
        <f>Q1498*J1498</f>
        <v/>
      </c>
      <c r="S2284" s="177" t="inlineStr">
        <is>
          <t>AAA</t>
        </is>
      </c>
      <c r="T2284" s="178" t="n">
        <v>0.018</v>
      </c>
      <c r="U2284" s="172" t="inlineStr">
        <is>
          <t>中金自营</t>
        </is>
      </c>
      <c r="V2284" s="192" t="n">
        <v>0.7</v>
      </c>
      <c r="W2284" s="172" t="n"/>
      <c r="X2284" s="172" t="n"/>
      <c r="Y2284" s="172" t="n"/>
    </row>
    <row r="2285">
      <c r="A2285" s="172" t="n">
        <v>126</v>
      </c>
      <c r="B2285" s="173" t="inlineStr">
        <is>
          <t>8月</t>
        </is>
      </c>
      <c r="C2285" s="173" t="inlineStr">
        <is>
          <t>消金</t>
        </is>
      </c>
      <c r="D2285" s="173" t="inlineStr">
        <is>
          <t>金条&amp;白取混发</t>
        </is>
      </c>
      <c r="E2285" s="173" t="inlineStr">
        <is>
          <t>2026东樾4号2期（东樾4-4）</t>
        </is>
      </c>
      <c r="F2285" s="173" t="inlineStr">
        <is>
          <t>银行间</t>
        </is>
      </c>
      <c r="G2285" s="173" t="inlineStr">
        <is>
          <t>中信证券</t>
        </is>
      </c>
      <c r="H2285" s="173" t="inlineStr">
        <is>
          <t>国信证券/光大证券/国泰海通/招商证券</t>
        </is>
      </c>
      <c r="I2285" s="173" t="inlineStr">
        <is>
          <t>中邮北分</t>
        </is>
      </c>
      <c r="J2285" s="172" t="n">
        <v>5</v>
      </c>
      <c r="K2285" s="173" t="inlineStr">
        <is>
          <t>22+24</t>
        </is>
      </c>
      <c r="L2285" s="202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8" t="n">
        <v>0.87</v>
      </c>
      <c r="R2285" s="179">
        <f>Q1498*J1498</f>
        <v/>
      </c>
      <c r="S2285" s="177" t="inlineStr">
        <is>
          <t>AAA</t>
        </is>
      </c>
      <c r="T2285" s="178" t="n">
        <v>0.018</v>
      </c>
      <c r="U2285" s="172" t="inlineStr">
        <is>
          <t>兴银理财</t>
        </is>
      </c>
      <c r="V2285" s="192" t="n">
        <v>0.65</v>
      </c>
      <c r="W2285" s="175" t="n">
        <v>0.0179</v>
      </c>
      <c r="X2285" s="172" t="inlineStr">
        <is>
          <t>兴银理财</t>
        </is>
      </c>
      <c r="Y2285" s="191" t="n">
        <v>0.65</v>
      </c>
    </row>
    <row r="2286">
      <c r="A2286" s="172" t="n">
        <v>126</v>
      </c>
      <c r="B2286" s="173" t="inlineStr">
        <is>
          <t>8月</t>
        </is>
      </c>
      <c r="C2286" s="173" t="inlineStr">
        <is>
          <t>消金</t>
        </is>
      </c>
      <c r="D2286" s="173" t="inlineStr">
        <is>
          <t>金条&amp;白取混发</t>
        </is>
      </c>
      <c r="E2286" s="173" t="inlineStr">
        <is>
          <t>2026东樾4号2期（东樾4-4）</t>
        </is>
      </c>
      <c r="F2286" s="173" t="inlineStr">
        <is>
          <t>银行间</t>
        </is>
      </c>
      <c r="G2286" s="173" t="inlineStr">
        <is>
          <t>中信证券</t>
        </is>
      </c>
      <c r="H2286" s="173" t="inlineStr">
        <is>
          <t>国信证券/光大证券/国泰海通/招商证券</t>
        </is>
      </c>
      <c r="I2286" s="173" t="inlineStr">
        <is>
          <t>中邮北分</t>
        </is>
      </c>
      <c r="J2286" s="172" t="n">
        <v>5</v>
      </c>
      <c r="K2286" s="173" t="inlineStr">
        <is>
          <t>22+24</t>
        </is>
      </c>
      <c r="L2286" s="202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8" t="n">
        <v>0.87</v>
      </c>
      <c r="R2286" s="179">
        <f>Q1498*J1498</f>
        <v/>
      </c>
      <c r="S2286" s="177" t="inlineStr">
        <is>
          <t>AAA</t>
        </is>
      </c>
      <c r="T2286" s="178" t="n">
        <v>0.018</v>
      </c>
      <c r="U2286" s="172" t="inlineStr">
        <is>
          <t>光大证券投行</t>
        </is>
      </c>
      <c r="V2286" s="192" t="n">
        <v>0.1</v>
      </c>
      <c r="W2286" s="175" t="n">
        <v>0.018</v>
      </c>
      <c r="X2286" s="172" t="inlineStr">
        <is>
          <t>光大证券（投行上报）</t>
        </is>
      </c>
      <c r="Y2286" s="191" t="n">
        <v>0.1</v>
      </c>
    </row>
    <row r="2287">
      <c r="A2287" s="172" t="n">
        <v>126</v>
      </c>
      <c r="B2287" s="173" t="inlineStr">
        <is>
          <t>8月</t>
        </is>
      </c>
      <c r="C2287" s="173" t="inlineStr">
        <is>
          <t>消金</t>
        </is>
      </c>
      <c r="D2287" s="173" t="inlineStr">
        <is>
          <t>金条&amp;白取混发</t>
        </is>
      </c>
      <c r="E2287" s="173" t="inlineStr">
        <is>
          <t>2026东樾4号2期（东樾4-4）</t>
        </is>
      </c>
      <c r="F2287" s="173" t="inlineStr">
        <is>
          <t>银行间</t>
        </is>
      </c>
      <c r="G2287" s="173" t="inlineStr">
        <is>
          <t>中信证券</t>
        </is>
      </c>
      <c r="H2287" s="173" t="inlineStr">
        <is>
          <t>国信证券/光大证券/国泰海通/招商证券</t>
        </is>
      </c>
      <c r="I2287" s="173" t="inlineStr">
        <is>
          <t>中邮北分</t>
        </is>
      </c>
      <c r="J2287" s="172" t="n">
        <v>5</v>
      </c>
      <c r="K2287" s="173" t="inlineStr">
        <is>
          <t>22+24</t>
        </is>
      </c>
      <c r="L2287" s="202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8" t="n">
        <v>0.87</v>
      </c>
      <c r="R2287" s="179">
        <f>Q1498*J1498</f>
        <v/>
      </c>
      <c r="S2287" s="177" t="inlineStr">
        <is>
          <t>AAA</t>
        </is>
      </c>
      <c r="T2287" s="178" t="n">
        <v>0.018</v>
      </c>
      <c r="U2287" s="172" t="inlineStr">
        <is>
          <t>中邮理财</t>
        </is>
      </c>
      <c r="V2287" s="192" t="n">
        <v>1.3</v>
      </c>
      <c r="W2287" s="175" t="n">
        <v>0.018</v>
      </c>
      <c r="X2287" s="172" t="inlineStr">
        <is>
          <t>中邮理财</t>
        </is>
      </c>
      <c r="Y2287" s="191" t="n">
        <v>1.3</v>
      </c>
    </row>
    <row r="2288">
      <c r="A2288" s="172" t="n">
        <v>126</v>
      </c>
      <c r="B2288" s="173" t="inlineStr">
        <is>
          <t>8月</t>
        </is>
      </c>
      <c r="C2288" s="173" t="inlineStr">
        <is>
          <t>消金</t>
        </is>
      </c>
      <c r="D2288" s="173" t="inlineStr">
        <is>
          <t>金条&amp;白取混发</t>
        </is>
      </c>
      <c r="E2288" s="173" t="inlineStr">
        <is>
          <t>2026东樾4号2期（东樾4-4）</t>
        </is>
      </c>
      <c r="F2288" s="173" t="inlineStr">
        <is>
          <t>银行间</t>
        </is>
      </c>
      <c r="G2288" s="173" t="inlineStr">
        <is>
          <t>中信证券</t>
        </is>
      </c>
      <c r="H2288" s="173" t="inlineStr">
        <is>
          <t>国信证券/光大证券/国泰海通/招商证券</t>
        </is>
      </c>
      <c r="I2288" s="173" t="inlineStr">
        <is>
          <t>中邮北分</t>
        </is>
      </c>
      <c r="J2288" s="172" t="n">
        <v>5</v>
      </c>
      <c r="K2288" s="173" t="inlineStr">
        <is>
          <t>22+24</t>
        </is>
      </c>
      <c r="L2288" s="202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8" t="n">
        <v>0.87</v>
      </c>
      <c r="R2288" s="179">
        <f>Q1498*J1498</f>
        <v/>
      </c>
      <c r="S2288" s="177" t="inlineStr">
        <is>
          <t>AAA</t>
        </is>
      </c>
      <c r="T2288" s="178" t="n">
        <v>0.018</v>
      </c>
      <c r="U2288" s="172" t="inlineStr">
        <is>
          <t>信银理财</t>
        </is>
      </c>
      <c r="V2288" s="192" t="n">
        <v>1.3</v>
      </c>
      <c r="W2288" s="175" t="n">
        <v>0.0177</v>
      </c>
      <c r="X2288" s="172" t="inlineStr">
        <is>
          <t>信银理财</t>
        </is>
      </c>
      <c r="Y2288" s="191" t="n">
        <v>1.3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Q1498*J1498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0.0175</v>
      </c>
      <c r="X2289" s="172" t="inlineStr">
        <is>
          <t>上海远行私募</t>
        </is>
      </c>
      <c r="Y2289" s="191" t="n">
        <v>0.1</v>
      </c>
    </row>
    <row r="2290">
      <c r="A2290" s="172" t="n">
        <v>126</v>
      </c>
      <c r="B2290" s="172" t="inlineStr">
        <is>
          <t>8月</t>
        </is>
      </c>
      <c r="C2290" s="172" t="inlineStr">
        <is>
          <t>消金</t>
        </is>
      </c>
      <c r="D2290" s="172" t="inlineStr">
        <is>
          <t>金条&amp;白取混发</t>
        </is>
      </c>
      <c r="E2290" s="172" t="inlineStr">
        <is>
          <t>2026东樾4号2期（东樾4-4）</t>
        </is>
      </c>
      <c r="F2290" s="172" t="inlineStr">
        <is>
          <t>银行间</t>
        </is>
      </c>
      <c r="G2290" s="172" t="inlineStr">
        <is>
          <t>中信证券</t>
        </is>
      </c>
      <c r="H2290" s="172" t="inlineStr">
        <is>
          <t>国信证券/光大证券/国泰海通/招商证券</t>
        </is>
      </c>
      <c r="I2290" s="172" t="inlineStr">
        <is>
          <t>中邮北分</t>
        </is>
      </c>
      <c r="J2290" s="172" t="n">
        <v>5</v>
      </c>
      <c r="K2290" s="172" t="inlineStr">
        <is>
          <t>22+24</t>
        </is>
      </c>
      <c r="L2290" s="208" t="n">
        <v>46241</v>
      </c>
      <c r="M2290" s="175" t="n">
        <v>0.0148</v>
      </c>
      <c r="N2290" s="176" t="n">
        <v>0.02286</v>
      </c>
      <c r="O2290" s="172" t="n">
        <v>2.1</v>
      </c>
      <c r="P2290" s="172" t="inlineStr">
        <is>
          <t>优先A</t>
        </is>
      </c>
      <c r="Q2290" s="175" t="n">
        <v>0.87</v>
      </c>
      <c r="R2290" s="172">
        <f>Q1498*J1498</f>
        <v/>
      </c>
      <c r="S2290" s="172" t="inlineStr">
        <is>
          <t>AAA</t>
        </is>
      </c>
      <c r="T2290" s="175" t="n">
        <v>0.018</v>
      </c>
      <c r="U2290" s="172" t="n"/>
      <c r="V2290" s="172" t="n"/>
      <c r="W2290" s="175" t="n">
        <v>0.018</v>
      </c>
      <c r="X2290" s="172" t="inlineStr">
        <is>
          <t>中金公司（固定收益部）</t>
        </is>
      </c>
      <c r="Y2290" s="191" t="n">
        <v>0.7</v>
      </c>
    </row>
    <row r="2291">
      <c r="A2291" s="172" t="n">
        <v>126</v>
      </c>
      <c r="B2291" s="172" t="inlineStr">
        <is>
          <t>8月</t>
        </is>
      </c>
      <c r="C2291" s="172" t="inlineStr">
        <is>
          <t>消金</t>
        </is>
      </c>
      <c r="D2291" s="172" t="inlineStr">
        <is>
          <t>金条&amp;白取混发</t>
        </is>
      </c>
      <c r="E2291" s="172" t="inlineStr">
        <is>
          <t>2026东樾4号2期（东樾4-4）</t>
        </is>
      </c>
      <c r="F2291" s="172" t="inlineStr">
        <is>
          <t>银行间</t>
        </is>
      </c>
      <c r="G2291" s="172" t="inlineStr">
        <is>
          <t>中信证券</t>
        </is>
      </c>
      <c r="H2291" s="172" t="inlineStr">
        <is>
          <t>国信证券/光大证券/国泰海通/招商证券</t>
        </is>
      </c>
      <c r="I2291" s="172" t="inlineStr">
        <is>
          <t>中邮北分</t>
        </is>
      </c>
      <c r="J2291" s="172" t="n">
        <v>5</v>
      </c>
      <c r="K2291" s="172" t="inlineStr">
        <is>
          <t>22+24</t>
        </is>
      </c>
      <c r="L2291" s="208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优先A</t>
        </is>
      </c>
      <c r="Q2291" s="175" t="n">
        <v>0.87</v>
      </c>
      <c r="R2291" s="172">
        <f>Q1498*J1498</f>
        <v/>
      </c>
      <c r="S2291" s="172" t="inlineStr">
        <is>
          <t>AAA</t>
        </is>
      </c>
      <c r="T2291" s="175" t="n">
        <v>0.018</v>
      </c>
      <c r="U2291" s="172" t="n"/>
      <c r="V2291" s="172" t="n"/>
      <c r="W2291" s="175" t="n">
        <v>0.0184</v>
      </c>
      <c r="X2291" s="172" t="inlineStr">
        <is>
          <t>宝武财务</t>
        </is>
      </c>
      <c r="Y2291" s="191" t="n">
        <v>0.35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优先A</t>
        </is>
      </c>
      <c r="Q2292" s="175" t="n">
        <v>0.87</v>
      </c>
      <c r="R2292" s="172">
        <f>Q1498*J1498</f>
        <v/>
      </c>
      <c r="S2292" s="172" t="inlineStr">
        <is>
          <t>AAA</t>
        </is>
      </c>
      <c r="T2292" s="175" t="n">
        <v>0.018</v>
      </c>
      <c r="U2292" s="172" t="n"/>
      <c r="V2292" s="172" t="n"/>
      <c r="W2292" s="175" t="n">
        <v>0.0185</v>
      </c>
      <c r="X2292" s="172" t="inlineStr">
        <is>
          <t>中信证券（投行上报）</t>
        </is>
      </c>
      <c r="Y2292" s="191" t="n">
        <v>0.6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优先A</t>
        </is>
      </c>
      <c r="Q2293" s="175" t="n">
        <v>0.87</v>
      </c>
      <c r="R2293" s="172">
        <f>Q1498*J1498</f>
        <v/>
      </c>
      <c r="S2293" s="172" t="inlineStr">
        <is>
          <t>AAA</t>
        </is>
      </c>
      <c r="T2293" s="175" t="n">
        <v>0.018</v>
      </c>
      <c r="U2293" s="172" t="n"/>
      <c r="V2293" s="172" t="n"/>
      <c r="W2293" s="175" t="n">
        <v>0.0185</v>
      </c>
      <c r="X2293" s="172" t="inlineStr">
        <is>
          <t>国泰海通（投行上报）</t>
        </is>
      </c>
      <c r="Y2293" s="191" t="n">
        <v>0.5</v>
      </c>
    </row>
    <row r="2294">
      <c r="A2294" s="172" t="n">
        <v>126</v>
      </c>
      <c r="B2294" s="172" t="inlineStr">
        <is>
          <t>8月</t>
        </is>
      </c>
      <c r="C2294" s="172" t="inlineStr">
        <is>
          <t>消金</t>
        </is>
      </c>
      <c r="D2294" s="172" t="inlineStr">
        <is>
          <t>金条&amp;白取混发</t>
        </is>
      </c>
      <c r="E2294" s="172" t="inlineStr">
        <is>
          <t>2026东樾4号2期（东樾4-4）</t>
        </is>
      </c>
      <c r="F2294" s="172" t="inlineStr">
        <is>
          <t>银行间</t>
        </is>
      </c>
      <c r="G2294" s="172" t="inlineStr">
        <is>
          <t>中信证券</t>
        </is>
      </c>
      <c r="H2294" s="172" t="inlineStr">
        <is>
          <t>国信证券/光大证券/国泰海通/招商证券</t>
        </is>
      </c>
      <c r="I2294" s="172" t="inlineStr">
        <is>
          <t>中邮北分</t>
        </is>
      </c>
      <c r="J2294" s="172" t="n">
        <v>5</v>
      </c>
      <c r="K2294" s="172" t="inlineStr">
        <is>
          <t>22+24</t>
        </is>
      </c>
      <c r="L2294" s="208" t="n">
        <v>46241</v>
      </c>
      <c r="M2294" s="175" t="n">
        <v>0.0148</v>
      </c>
      <c r="N2294" s="176" t="n">
        <v>0.02286</v>
      </c>
      <c r="O2294" s="172" t="n">
        <v>2.1</v>
      </c>
      <c r="P2294" s="172" t="inlineStr">
        <is>
          <t>优先A</t>
        </is>
      </c>
      <c r="Q2294" s="175" t="n">
        <v>0.87</v>
      </c>
      <c r="R2294" s="172">
        <f>Q1498*J1498</f>
        <v/>
      </c>
      <c r="S2294" s="172" t="inlineStr">
        <is>
          <t>AAA</t>
        </is>
      </c>
      <c r="T2294" s="175" t="n">
        <v>0.018</v>
      </c>
      <c r="U2294" s="172" t="n"/>
      <c r="V2294" s="172" t="n"/>
      <c r="W2294" s="175" t="n">
        <v>0.025</v>
      </c>
      <c r="X2294" s="172" t="inlineStr">
        <is>
          <t>国泰海通（投行上报）</t>
        </is>
      </c>
      <c r="Y2294" s="191" t="n">
        <v>0.19</v>
      </c>
    </row>
    <row r="2295">
      <c r="A2295" s="172" t="n">
        <v>126</v>
      </c>
      <c r="B2295" s="172" t="inlineStr">
        <is>
          <t>8月</t>
        </is>
      </c>
      <c r="C2295" s="172" t="inlineStr">
        <is>
          <t>消金</t>
        </is>
      </c>
      <c r="D2295" s="172" t="inlineStr">
        <is>
          <t>金条&amp;白取混发</t>
        </is>
      </c>
      <c r="E2295" s="172" t="inlineStr">
        <is>
          <t>2026东樾4号2期（东樾4-4）</t>
        </is>
      </c>
      <c r="F2295" s="172" t="inlineStr">
        <is>
          <t>银行间</t>
        </is>
      </c>
      <c r="G2295" s="172" t="inlineStr">
        <is>
          <t>中信证券</t>
        </is>
      </c>
      <c r="H2295" s="172" t="inlineStr">
        <is>
          <t>国信证券/光大证券/国泰海通/招商证券</t>
        </is>
      </c>
      <c r="I2295" s="172" t="inlineStr">
        <is>
          <t>中邮北分</t>
        </is>
      </c>
      <c r="J2295" s="172" t="n">
        <v>5</v>
      </c>
      <c r="K2295" s="172" t="inlineStr">
        <is>
          <t>22+24</t>
        </is>
      </c>
      <c r="L2295" s="208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优先A</t>
        </is>
      </c>
      <c r="Q2295" s="175" t="n">
        <v>0.87</v>
      </c>
      <c r="R2295" s="172">
        <f>Q1498*J1498</f>
        <v/>
      </c>
      <c r="S2295" s="172" t="inlineStr">
        <is>
          <t>AAA</t>
        </is>
      </c>
      <c r="T2295" s="175" t="n">
        <v>0.018</v>
      </c>
      <c r="U2295" s="172" t="n"/>
      <c r="V2295" s="172" t="n"/>
      <c r="W2295" s="175" t="n">
        <v>0.0185</v>
      </c>
      <c r="X2295" s="172" t="inlineStr">
        <is>
          <t>中金公司（投顾）</t>
        </is>
      </c>
      <c r="Y2295" s="191" t="n">
        <v>0.5</v>
      </c>
    </row>
    <row r="2296">
      <c r="A2296" s="172" t="n">
        <v>126</v>
      </c>
      <c r="B2296" s="172" t="inlineStr">
        <is>
          <t>8月</t>
        </is>
      </c>
      <c r="C2296" s="172" t="inlineStr">
        <is>
          <t>消金</t>
        </is>
      </c>
      <c r="D2296" s="172" t="inlineStr">
        <is>
          <t>金条&amp;白取混发</t>
        </is>
      </c>
      <c r="E2296" s="172" t="inlineStr">
        <is>
          <t>2026东樾4号2期（东樾4-4）</t>
        </is>
      </c>
      <c r="F2296" s="172" t="inlineStr">
        <is>
          <t>银行间</t>
        </is>
      </c>
      <c r="G2296" s="172" t="inlineStr">
        <is>
          <t>中信证券</t>
        </is>
      </c>
      <c r="H2296" s="172" t="inlineStr">
        <is>
          <t>国信证券/光大证券/国泰海通/招商证券</t>
        </is>
      </c>
      <c r="I2296" s="172" t="inlineStr">
        <is>
          <t>中邮北分</t>
        </is>
      </c>
      <c r="J2296" s="172" t="n">
        <v>5</v>
      </c>
      <c r="K2296" s="172" t="inlineStr">
        <is>
          <t>22+24</t>
        </is>
      </c>
      <c r="L2296" s="208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优先A</t>
        </is>
      </c>
      <c r="Q2296" s="175" t="n">
        <v>0.87</v>
      </c>
      <c r="R2296" s="172">
        <f>Q1498*J1498</f>
        <v/>
      </c>
      <c r="S2296" s="172" t="inlineStr">
        <is>
          <t>AAA</t>
        </is>
      </c>
      <c r="T2296" s="175" t="n">
        <v>0.018</v>
      </c>
      <c r="U2296" s="172" t="n"/>
      <c r="V2296" s="172" t="n"/>
      <c r="W2296" s="175" t="n">
        <v>0.025</v>
      </c>
      <c r="X2296" s="172" t="inlineStr">
        <is>
          <t>上海利曦私募</t>
        </is>
      </c>
      <c r="Y2296" s="191" t="n">
        <v>1</v>
      </c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优先B</t>
        </is>
      </c>
      <c r="Q2297" s="178" t="n">
        <v>0.04</v>
      </c>
      <c r="R2297" s="179">
        <f>Q1506*J1498</f>
        <v/>
      </c>
      <c r="S2297" s="177" t="inlineStr">
        <is>
          <t>AA+</t>
        </is>
      </c>
      <c r="T2297" s="178" t="n">
        <v>0.0185</v>
      </c>
      <c r="U2297" s="172" t="inlineStr">
        <is>
          <t>中金自营</t>
        </is>
      </c>
      <c r="V2297" s="192" t="n">
        <v>0.1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优先B</t>
        </is>
      </c>
      <c r="Q2298" s="178" t="n">
        <v>0.04</v>
      </c>
      <c r="R2298" s="179">
        <f>Q1506*J1498</f>
        <v/>
      </c>
      <c r="S2298" s="177" t="inlineStr">
        <is>
          <t>AA+</t>
        </is>
      </c>
      <c r="T2298" s="178" t="n">
        <v>0.0185</v>
      </c>
      <c r="U2298" s="172" t="inlineStr">
        <is>
          <t>中信证券投行</t>
        </is>
      </c>
      <c r="V2298" s="192" t="n">
        <v>0.1</v>
      </c>
      <c r="W2298" s="175" t="n">
        <v>0.0185</v>
      </c>
      <c r="X2298" s="172" t="inlineStr">
        <is>
          <t>中信证券（投行上报）</t>
        </is>
      </c>
      <c r="Y2298" s="191" t="n">
        <v>0.1</v>
      </c>
    </row>
    <row r="2299">
      <c r="A2299" s="172" t="n">
        <v>126</v>
      </c>
      <c r="B2299" s="172" t="inlineStr">
        <is>
          <t>8月</t>
        </is>
      </c>
      <c r="C2299" s="172" t="inlineStr">
        <is>
          <t>消金</t>
        </is>
      </c>
      <c r="D2299" s="172" t="inlineStr">
        <is>
          <t>金条&amp;白取混发</t>
        </is>
      </c>
      <c r="E2299" s="172" t="inlineStr">
        <is>
          <t>2026东樾4号2期（东樾4-4）</t>
        </is>
      </c>
      <c r="F2299" s="172" t="inlineStr">
        <is>
          <t>银行间</t>
        </is>
      </c>
      <c r="G2299" s="172" t="inlineStr">
        <is>
          <t>中信证券</t>
        </is>
      </c>
      <c r="H2299" s="172" t="inlineStr">
        <is>
          <t>国信证券/光大证券/国泰海通/招商证券</t>
        </is>
      </c>
      <c r="I2299" s="172" t="inlineStr">
        <is>
          <t>中邮北分</t>
        </is>
      </c>
      <c r="J2299" s="172" t="n">
        <v>5</v>
      </c>
      <c r="K2299" s="172" t="inlineStr">
        <is>
          <t>22+24</t>
        </is>
      </c>
      <c r="L2299" s="208" t="n">
        <v>46241</v>
      </c>
      <c r="M2299" s="175" t="n">
        <v>0.0148</v>
      </c>
      <c r="N2299" s="176" t="n">
        <v>0.02286</v>
      </c>
      <c r="O2299" s="172" t="n">
        <v>2.1</v>
      </c>
      <c r="P2299" s="172" t="inlineStr">
        <is>
          <t>优先B</t>
        </is>
      </c>
      <c r="Q2299" s="175" t="n">
        <v>0.04</v>
      </c>
      <c r="R2299" s="172">
        <f>Q1506*J1498</f>
        <v/>
      </c>
      <c r="S2299" s="172" t="inlineStr">
        <is>
          <t>AA+</t>
        </is>
      </c>
      <c r="T2299" s="175" t="n">
        <v>0.0185</v>
      </c>
      <c r="U2299" s="172" t="n"/>
      <c r="V2299" s="172" t="n"/>
      <c r="W2299" s="175" t="n">
        <v>0.0185</v>
      </c>
      <c r="X2299" s="172" t="inlineStr">
        <is>
          <t>中金公司（固定收益部）</t>
        </is>
      </c>
      <c r="Y2299" s="191" t="n">
        <v>0.1</v>
      </c>
    </row>
    <row r="2300">
      <c r="A2300" s="172" t="n">
        <v>126</v>
      </c>
      <c r="B2300" s="172" t="inlineStr">
        <is>
          <t>8月</t>
        </is>
      </c>
      <c r="C2300" s="172" t="inlineStr">
        <is>
          <t>消金</t>
        </is>
      </c>
      <c r="D2300" s="172" t="inlineStr">
        <is>
          <t>金条&amp;白取混发</t>
        </is>
      </c>
      <c r="E2300" s="172" t="inlineStr">
        <is>
          <t>2026东樾4号2期（东樾4-4）</t>
        </is>
      </c>
      <c r="F2300" s="172" t="inlineStr">
        <is>
          <t>银行间</t>
        </is>
      </c>
      <c r="G2300" s="172" t="inlineStr">
        <is>
          <t>中信证券</t>
        </is>
      </c>
      <c r="H2300" s="172" t="inlineStr">
        <is>
          <t>国信证券/光大证券/国泰海通/招商证券</t>
        </is>
      </c>
      <c r="I2300" s="172" t="inlineStr">
        <is>
          <t>中邮北分</t>
        </is>
      </c>
      <c r="J2300" s="172" t="n">
        <v>5</v>
      </c>
      <c r="K2300" s="172" t="inlineStr">
        <is>
          <t>22+24</t>
        </is>
      </c>
      <c r="L2300" s="208" t="n">
        <v>46241</v>
      </c>
      <c r="M2300" s="175" t="n">
        <v>0.0148</v>
      </c>
      <c r="N2300" s="176" t="n">
        <v>0.02286</v>
      </c>
      <c r="O2300" s="172" t="n">
        <v>2.1</v>
      </c>
      <c r="P2300" s="172" t="inlineStr">
        <is>
          <t>优先B</t>
        </is>
      </c>
      <c r="Q2300" s="175" t="n">
        <v>0.04</v>
      </c>
      <c r="R2300" s="172">
        <f>Q1506*J1498</f>
        <v/>
      </c>
      <c r="S2300" s="172" t="inlineStr">
        <is>
          <t>AA+</t>
        </is>
      </c>
      <c r="T2300" s="175" t="n">
        <v>0.0185</v>
      </c>
      <c r="U2300" s="172" t="n"/>
      <c r="V2300" s="172" t="n"/>
      <c r="W2300" s="175" t="n">
        <v>0.027</v>
      </c>
      <c r="X2300" s="172" t="inlineStr">
        <is>
          <t>国信证券（投行上报）</t>
        </is>
      </c>
      <c r="Y2300" s="191" t="n">
        <v>0.03</v>
      </c>
    </row>
    <row r="2301">
      <c r="A2301" s="172" t="n">
        <v>126</v>
      </c>
      <c r="B2301" s="173" t="inlineStr">
        <is>
          <t>8月</t>
        </is>
      </c>
      <c r="C2301" s="173" t="inlineStr">
        <is>
          <t>消金</t>
        </is>
      </c>
      <c r="D2301" s="173" t="inlineStr">
        <is>
          <t>金条&amp;白取混发</t>
        </is>
      </c>
      <c r="E2301" s="173" t="inlineStr">
        <is>
          <t>2026东樾4号2期（东樾4-4）</t>
        </is>
      </c>
      <c r="F2301" s="173" t="inlineStr">
        <is>
          <t>银行间</t>
        </is>
      </c>
      <c r="G2301" s="173" t="inlineStr">
        <is>
          <t>中信证券</t>
        </is>
      </c>
      <c r="H2301" s="173" t="inlineStr">
        <is>
          <t>国信证券/光大证券/国泰海通/招商证券</t>
        </is>
      </c>
      <c r="I2301" s="173" t="inlineStr">
        <is>
          <t>中邮北分</t>
        </is>
      </c>
      <c r="J2301" s="172" t="n">
        <v>5</v>
      </c>
      <c r="K2301" s="173" t="inlineStr">
        <is>
          <t>22+24</t>
        </is>
      </c>
      <c r="L2301" s="202" t="n">
        <v>46241</v>
      </c>
      <c r="M2301" s="175" t="n">
        <v>0.0148</v>
      </c>
      <c r="N2301" s="176" t="n">
        <v>0.02286</v>
      </c>
      <c r="O2301" s="172" t="n">
        <v>2.1</v>
      </c>
      <c r="P2301" s="177" t="inlineStr">
        <is>
          <t>中间级</t>
        </is>
      </c>
      <c r="Q2301" s="178" t="n">
        <v>0.04</v>
      </c>
      <c r="R2301" s="179">
        <f>Q1508*J1498</f>
        <v/>
      </c>
      <c r="S2301" s="177" t="inlineStr">
        <is>
          <t>A+</t>
        </is>
      </c>
      <c r="T2301" s="178" t="n">
        <v>0.032</v>
      </c>
      <c r="U2301" s="172" t="inlineStr">
        <is>
          <t>国信证券自营</t>
        </is>
      </c>
      <c r="V2301" s="192" t="n">
        <v>0.05</v>
      </c>
      <c r="W2301" s="172" t="n"/>
      <c r="X2301" s="172" t="n"/>
      <c r="Y2301" s="172" t="n"/>
    </row>
    <row r="2302">
      <c r="A2302" s="172" t="n">
        <v>126</v>
      </c>
      <c r="B2302" s="173" t="inlineStr">
        <is>
          <t>8月</t>
        </is>
      </c>
      <c r="C2302" s="173" t="inlineStr">
        <is>
          <t>消金</t>
        </is>
      </c>
      <c r="D2302" s="173" t="inlineStr">
        <is>
          <t>金条&amp;白取混发</t>
        </is>
      </c>
      <c r="E2302" s="173" t="inlineStr">
        <is>
          <t>2026东樾4号2期（东樾4-4）</t>
        </is>
      </c>
      <c r="F2302" s="173" t="inlineStr">
        <is>
          <t>银行间</t>
        </is>
      </c>
      <c r="G2302" s="173" t="inlineStr">
        <is>
          <t>中信证券</t>
        </is>
      </c>
      <c r="H2302" s="173" t="inlineStr">
        <is>
          <t>国信证券/光大证券/国泰海通/招商证券</t>
        </is>
      </c>
      <c r="I2302" s="173" t="inlineStr">
        <is>
          <t>中邮北分</t>
        </is>
      </c>
      <c r="J2302" s="172" t="n">
        <v>5</v>
      </c>
      <c r="K2302" s="173" t="inlineStr">
        <is>
          <t>22+24</t>
        </is>
      </c>
      <c r="L2302" s="202" t="n">
        <v>46241</v>
      </c>
      <c r="M2302" s="175" t="n">
        <v>0.0148</v>
      </c>
      <c r="N2302" s="176" t="n">
        <v>0.02286</v>
      </c>
      <c r="O2302" s="172" t="n">
        <v>2.1</v>
      </c>
      <c r="P2302" s="172" t="inlineStr">
        <is>
          <t>中间级</t>
        </is>
      </c>
      <c r="Q2302" s="178" t="n">
        <v>0.04</v>
      </c>
      <c r="R2302" s="179">
        <f>Q1508*J1498</f>
        <v/>
      </c>
      <c r="S2302" s="177" t="inlineStr">
        <is>
          <t>A+</t>
        </is>
      </c>
      <c r="T2302" s="178" t="n">
        <v>0.032</v>
      </c>
      <c r="U2302" s="172" t="inlineStr">
        <is>
          <t>上汽财务</t>
        </is>
      </c>
      <c r="V2302" s="192" t="n">
        <v>0.05</v>
      </c>
      <c r="W2302" s="172" t="n"/>
      <c r="X2302" s="172" t="n"/>
      <c r="Y2302" s="172" t="n"/>
    </row>
    <row r="2303">
      <c r="A2303" s="172" t="n">
        <v>126</v>
      </c>
      <c r="B2303" s="173" t="inlineStr">
        <is>
          <t>8月</t>
        </is>
      </c>
      <c r="C2303" s="173" t="inlineStr">
        <is>
          <t>消金</t>
        </is>
      </c>
      <c r="D2303" s="173" t="inlineStr">
        <is>
          <t>金条&amp;白取混发</t>
        </is>
      </c>
      <c r="E2303" s="173" t="inlineStr">
        <is>
          <t>2026东樾4号2期（东樾4-4）</t>
        </is>
      </c>
      <c r="F2303" s="173" t="inlineStr">
        <is>
          <t>银行间</t>
        </is>
      </c>
      <c r="G2303" s="173" t="inlineStr">
        <is>
          <t>中信证券</t>
        </is>
      </c>
      <c r="H2303" s="173" t="inlineStr">
        <is>
          <t>国信证券/光大证券/国泰海通/招商证券</t>
        </is>
      </c>
      <c r="I2303" s="173" t="inlineStr">
        <is>
          <t>中邮北分</t>
        </is>
      </c>
      <c r="J2303" s="172" t="n">
        <v>5</v>
      </c>
      <c r="K2303" s="173" t="inlineStr">
        <is>
          <t>22+24</t>
        </is>
      </c>
      <c r="L2303" s="202" t="n">
        <v>46241</v>
      </c>
      <c r="M2303" s="175" t="n">
        <v>0.0148</v>
      </c>
      <c r="N2303" s="176" t="n">
        <v>0.02286</v>
      </c>
      <c r="O2303" s="172" t="n">
        <v>2.1</v>
      </c>
      <c r="P2303" s="172" t="inlineStr">
        <is>
          <t>中间级</t>
        </is>
      </c>
      <c r="Q2303" s="178" t="n">
        <v>0.04</v>
      </c>
      <c r="R2303" s="179">
        <f>Q1508*J1498</f>
        <v/>
      </c>
      <c r="S2303" s="177" t="inlineStr">
        <is>
          <t>A+</t>
        </is>
      </c>
      <c r="T2303" s="178" t="n">
        <v>0.032</v>
      </c>
      <c r="U2303" s="172" t="inlineStr">
        <is>
          <t>利曦基金</t>
        </is>
      </c>
      <c r="V2303" s="192" t="n">
        <v>0.1</v>
      </c>
      <c r="W2303" s="172" t="n"/>
      <c r="X2303" s="172" t="n"/>
      <c r="Y2303" s="172" t="n"/>
    </row>
    <row r="2304">
      <c r="A2304" s="172" t="n">
        <v>126</v>
      </c>
      <c r="B2304" s="173" t="inlineStr">
        <is>
          <t>8月</t>
        </is>
      </c>
      <c r="C2304" s="173" t="inlineStr">
        <is>
          <t>消金</t>
        </is>
      </c>
      <c r="D2304" s="173" t="inlineStr">
        <is>
          <t>金条&amp;白取混发</t>
        </is>
      </c>
      <c r="E2304" s="173" t="inlineStr">
        <is>
          <t>2026东樾4号2期（东樾4-4）</t>
        </is>
      </c>
      <c r="F2304" s="173" t="inlineStr">
        <is>
          <t>银行间</t>
        </is>
      </c>
      <c r="G2304" s="173" t="inlineStr">
        <is>
          <t>中信证券</t>
        </is>
      </c>
      <c r="H2304" s="173" t="inlineStr">
        <is>
          <t>国信证券/光大证券/国泰海通/招商证券</t>
        </is>
      </c>
      <c r="I2304" s="173" t="inlineStr">
        <is>
          <t>中邮北分</t>
        </is>
      </c>
      <c r="J2304" s="172" t="n">
        <v>5</v>
      </c>
      <c r="K2304" s="173" t="inlineStr">
        <is>
          <t>22+24</t>
        </is>
      </c>
      <c r="L2304" s="202" t="n">
        <v>46241</v>
      </c>
      <c r="M2304" s="175" t="n">
        <v>0.0148</v>
      </c>
      <c r="N2304" s="176" t="n">
        <v>0.02286</v>
      </c>
      <c r="O2304" s="172" t="n">
        <v>2.1</v>
      </c>
      <c r="P2304" s="177" t="inlineStr">
        <is>
          <t>受益权</t>
        </is>
      </c>
      <c r="Q2304" s="178" t="n">
        <v>0.05</v>
      </c>
      <c r="R2304" s="179">
        <f>Q1511*J1498</f>
        <v/>
      </c>
      <c r="S2304" s="177" t="inlineStr">
        <is>
          <t>无</t>
        </is>
      </c>
      <c r="T2304" s="178" t="n">
        <v>0.0495</v>
      </c>
      <c r="U2304" s="172" t="inlineStr">
        <is>
          <t>国信证券自营</t>
        </is>
      </c>
      <c r="V2304" s="195" t="n">
        <v>0.135</v>
      </c>
      <c r="W2304" s="172" t="n"/>
      <c r="X2304" s="172" t="n"/>
      <c r="Y2304" s="172" t="n"/>
    </row>
    <row r="2305">
      <c r="A2305" s="172" t="n">
        <v>126</v>
      </c>
      <c r="B2305" s="173" t="inlineStr">
        <is>
          <t>8月</t>
        </is>
      </c>
      <c r="C2305" s="173" t="inlineStr">
        <is>
          <t>消金</t>
        </is>
      </c>
      <c r="D2305" s="173" t="inlineStr">
        <is>
          <t>金条&amp;白取混发</t>
        </is>
      </c>
      <c r="E2305" s="173" t="inlineStr">
        <is>
          <t>2026东樾4号2期（东樾4-4）</t>
        </is>
      </c>
      <c r="F2305" s="173" t="inlineStr">
        <is>
          <t>银行间</t>
        </is>
      </c>
      <c r="G2305" s="173" t="inlineStr">
        <is>
          <t>中信证券</t>
        </is>
      </c>
      <c r="H2305" s="173" t="inlineStr">
        <is>
          <t>国信证券/光大证券/国泰海通/招商证券</t>
        </is>
      </c>
      <c r="I2305" s="173" t="inlineStr">
        <is>
          <t>中邮北分</t>
        </is>
      </c>
      <c r="J2305" s="172" t="n">
        <v>5</v>
      </c>
      <c r="K2305" s="173" t="inlineStr">
        <is>
          <t>22+24</t>
        </is>
      </c>
      <c r="L2305" s="202" t="n">
        <v>46241</v>
      </c>
      <c r="M2305" s="175" t="n">
        <v>0.0148</v>
      </c>
      <c r="N2305" s="176" t="n">
        <v>0.02286</v>
      </c>
      <c r="O2305" s="172" t="n">
        <v>2.1</v>
      </c>
      <c r="P2305" s="172" t="inlineStr">
        <is>
          <t>受益权</t>
        </is>
      </c>
      <c r="Q2305" s="178" t="n">
        <v>0.05</v>
      </c>
      <c r="R2305" s="179">
        <f>Q1511*J1498</f>
        <v/>
      </c>
      <c r="S2305" s="177" t="inlineStr">
        <is>
          <t>无</t>
        </is>
      </c>
      <c r="T2305" s="178" t="n">
        <v>0.0495</v>
      </c>
      <c r="U2305" s="172" t="inlineStr">
        <is>
          <t>中信建投衍生品</t>
        </is>
      </c>
      <c r="V2305" s="195" t="n">
        <v>0.115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0.0161</v>
      </c>
      <c r="O2306" s="191" t="n">
        <v>3.47</v>
      </c>
      <c r="P2306" s="172" t="inlineStr">
        <is>
          <t>优先级</t>
        </is>
      </c>
      <c r="Q2306" s="175" t="n">
        <v>0.99</v>
      </c>
      <c r="R2306" s="192" t="n">
        <v>9.9</v>
      </c>
      <c r="S2306" s="172" t="inlineStr">
        <is>
          <t>AAA</t>
        </is>
      </c>
      <c r="T2306" s="175" t="n">
        <v>0.0154</v>
      </c>
      <c r="U2306" s="172" t="inlineStr">
        <is>
          <t>民生理财</t>
        </is>
      </c>
      <c r="V2306" s="191" t="n">
        <v>2.97</v>
      </c>
      <c r="W2306" s="175" t="n">
        <v>0.015</v>
      </c>
      <c r="X2306" s="172" t="inlineStr">
        <is>
          <t>民生理财</t>
        </is>
      </c>
      <c r="Y2306" s="191" t="n">
        <v>2.97</v>
      </c>
    </row>
    <row r="2307">
      <c r="A2307" s="172" t="n">
        <v>127</v>
      </c>
      <c r="B2307" s="172" t="inlineStr">
        <is>
          <t>8月</t>
        </is>
      </c>
      <c r="C2307" s="172" t="inlineStr">
        <is>
          <t>企金</t>
        </is>
      </c>
      <c r="D2307" s="172" t="inlineStr">
        <is>
          <t>保理</t>
        </is>
      </c>
      <c r="E2307" s="172" t="inlineStr">
        <is>
          <t>京诚15-11</t>
        </is>
      </c>
      <c r="F2307" s="172" t="inlineStr">
        <is>
          <t>上交所</t>
        </is>
      </c>
      <c r="G2307" s="172" t="inlineStr">
        <is>
          <t>首创证券</t>
        </is>
      </c>
      <c r="H2307" s="172" t="inlineStr">
        <is>
          <t>兴业证券</t>
        </is>
      </c>
      <c r="I2307" s="172" t="inlineStr">
        <is>
          <t>江苏北分</t>
        </is>
      </c>
      <c r="J2307" s="172" t="n">
        <v>10</v>
      </c>
      <c r="K2307" s="172" t="inlineStr">
        <is>
          <t>3+3</t>
        </is>
      </c>
      <c r="L2307" s="202" t="n">
        <v>46241</v>
      </c>
      <c r="M2307" s="175" t="n">
        <v>0.0148</v>
      </c>
      <c r="N2307" s="176" t="n">
        <v>0.0161</v>
      </c>
      <c r="O2307" s="191" t="n">
        <v>3.47</v>
      </c>
      <c r="P2307" s="172" t="inlineStr">
        <is>
          <t>优先级</t>
        </is>
      </c>
      <c r="Q2307" s="175" t="n">
        <v>0.99</v>
      </c>
      <c r="R2307" s="192" t="n">
        <v>9.9</v>
      </c>
      <c r="S2307" s="172" t="inlineStr">
        <is>
          <t>AAA</t>
        </is>
      </c>
      <c r="T2307" s="175" t="n">
        <v>0.0154</v>
      </c>
      <c r="U2307" s="172" t="inlineStr">
        <is>
          <t>平安理财</t>
        </is>
      </c>
      <c r="V2307" s="191" t="n">
        <v>2.47</v>
      </c>
      <c r="W2307" s="175" t="n">
        <v>0.0153</v>
      </c>
      <c r="X2307" s="172" t="inlineStr">
        <is>
          <t>平安理财</t>
        </is>
      </c>
      <c r="Y2307" s="191" t="n">
        <v>2.47</v>
      </c>
    </row>
    <row r="2308">
      <c r="A2308" s="172" t="n">
        <v>127</v>
      </c>
      <c r="B2308" s="172" t="inlineStr">
        <is>
          <t>8月</t>
        </is>
      </c>
      <c r="C2308" s="172" t="inlineStr">
        <is>
          <t>企金</t>
        </is>
      </c>
      <c r="D2308" s="172" t="inlineStr">
        <is>
          <t>保理</t>
        </is>
      </c>
      <c r="E2308" s="172" t="inlineStr">
        <is>
          <t>京诚15-11</t>
        </is>
      </c>
      <c r="F2308" s="172" t="inlineStr">
        <is>
          <t>上交所</t>
        </is>
      </c>
      <c r="G2308" s="172" t="inlineStr">
        <is>
          <t>首创证券</t>
        </is>
      </c>
      <c r="H2308" s="172" t="inlineStr">
        <is>
          <t>兴业证券</t>
        </is>
      </c>
      <c r="I2308" s="172" t="inlineStr">
        <is>
          <t>江苏北分</t>
        </is>
      </c>
      <c r="J2308" s="172" t="n">
        <v>10</v>
      </c>
      <c r="K2308" s="172" t="inlineStr">
        <is>
          <t>3+3</t>
        </is>
      </c>
      <c r="L2308" s="202" t="n">
        <v>46241</v>
      </c>
      <c r="M2308" s="175" t="n">
        <v>0.0148</v>
      </c>
      <c r="N2308" s="176" t="n">
        <v>0.0161</v>
      </c>
      <c r="O2308" s="191" t="n">
        <v>3.47</v>
      </c>
      <c r="P2308" s="172" t="inlineStr">
        <is>
          <t>优先级</t>
        </is>
      </c>
      <c r="Q2308" s="175" t="n">
        <v>0.99</v>
      </c>
      <c r="R2308" s="192" t="n">
        <v>9.9</v>
      </c>
      <c r="S2308" s="172" t="inlineStr">
        <is>
          <t>AAA</t>
        </is>
      </c>
      <c r="T2308" s="175" t="n">
        <v>0.0154</v>
      </c>
      <c r="U2308" s="172" t="inlineStr">
        <is>
          <t>中银理财</t>
        </is>
      </c>
      <c r="V2308" s="191" t="n">
        <v>1.01</v>
      </c>
      <c r="W2308" s="175" t="n">
        <v>0.0153</v>
      </c>
      <c r="X2308" s="172" t="inlineStr">
        <is>
          <t>中银理财</t>
        </is>
      </c>
      <c r="Y2308" s="191" t="n">
        <v>0.5</v>
      </c>
    </row>
    <row r="2309">
      <c r="A2309" s="172" t="n">
        <v>127</v>
      </c>
      <c r="B2309" s="172" t="inlineStr">
        <is>
          <t>8月</t>
        </is>
      </c>
      <c r="C2309" s="172" t="inlineStr">
        <is>
          <t>企金</t>
        </is>
      </c>
      <c r="D2309" s="172" t="inlineStr">
        <is>
          <t>保理</t>
        </is>
      </c>
      <c r="E2309" s="172" t="inlineStr">
        <is>
          <t>京诚15-11</t>
        </is>
      </c>
      <c r="F2309" s="172" t="inlineStr">
        <is>
          <t>上交所</t>
        </is>
      </c>
      <c r="G2309" s="172" t="inlineStr">
        <is>
          <t>首创证券</t>
        </is>
      </c>
      <c r="H2309" s="172" t="inlineStr">
        <is>
          <t>兴业证券</t>
        </is>
      </c>
      <c r="I2309" s="172" t="inlineStr">
        <is>
          <t>江苏北分</t>
        </is>
      </c>
      <c r="J2309" s="172" t="n">
        <v>10</v>
      </c>
      <c r="K2309" s="172" t="inlineStr">
        <is>
          <t>3+3</t>
        </is>
      </c>
      <c r="L2309" s="208" t="n">
        <v>46241</v>
      </c>
      <c r="M2309" s="175" t="n">
        <v>0.0148</v>
      </c>
      <c r="N2309" s="176" t="n">
        <v>0.0161</v>
      </c>
      <c r="O2309" s="172" t="n">
        <v>3.47</v>
      </c>
      <c r="P2309" s="172" t="inlineStr">
        <is>
          <t>优先级</t>
        </is>
      </c>
      <c r="Q2309" s="175" t="n">
        <v>0.99</v>
      </c>
      <c r="R2309" s="192" t="n">
        <v>9.9</v>
      </c>
      <c r="S2309" s="172" t="inlineStr">
        <is>
          <t>AAA</t>
        </is>
      </c>
      <c r="T2309" s="175" t="n">
        <v>0.0154</v>
      </c>
      <c r="U2309" s="172" t="n"/>
      <c r="V2309" s="172" t="n"/>
      <c r="W2309" s="175" t="n">
        <v>0.0154</v>
      </c>
      <c r="X2309" s="172" t="inlineStr">
        <is>
          <t>中银理财</t>
        </is>
      </c>
      <c r="Y2309" s="191" t="n">
        <v>2.4</v>
      </c>
    </row>
    <row r="2310">
      <c r="A2310" s="172" t="n">
        <v>127</v>
      </c>
      <c r="B2310" s="172" t="inlineStr">
        <is>
          <t>8月</t>
        </is>
      </c>
      <c r="C2310" s="172" t="inlineStr">
        <is>
          <t>企金</t>
        </is>
      </c>
      <c r="D2310" s="172" t="inlineStr">
        <is>
          <t>保理</t>
        </is>
      </c>
      <c r="E2310" s="172" t="inlineStr">
        <is>
          <t>京诚15-11</t>
        </is>
      </c>
      <c r="F2310" s="172" t="inlineStr">
        <is>
          <t>上交所</t>
        </is>
      </c>
      <c r="G2310" s="172" t="inlineStr">
        <is>
          <t>首创证券</t>
        </is>
      </c>
      <c r="H2310" s="172" t="inlineStr">
        <is>
          <t>兴业证券</t>
        </is>
      </c>
      <c r="I2310" s="172" t="inlineStr">
        <is>
          <t>江苏北分</t>
        </is>
      </c>
      <c r="J2310" s="172" t="n">
        <v>10</v>
      </c>
      <c r="K2310" s="172" t="inlineStr">
        <is>
          <t>3+3</t>
        </is>
      </c>
      <c r="L2310" s="202" t="n">
        <v>46241</v>
      </c>
      <c r="M2310" s="175" t="n">
        <v>0.0148</v>
      </c>
      <c r="N2310" s="176" t="n">
        <v>0.0161</v>
      </c>
      <c r="O2310" s="191" t="n">
        <v>3.47</v>
      </c>
      <c r="P2310" s="172" t="inlineStr">
        <is>
          <t>优先级</t>
        </is>
      </c>
      <c r="Q2310" s="175" t="n">
        <v>0.99</v>
      </c>
      <c r="R2310" s="192" t="n">
        <v>9.9</v>
      </c>
      <c r="S2310" s="172" t="inlineStr">
        <is>
          <t>AAA</t>
        </is>
      </c>
      <c r="T2310" s="175" t="n">
        <v>0.0154</v>
      </c>
      <c r="U2310" s="172" t="inlineStr">
        <is>
          <t>杭银理财</t>
        </is>
      </c>
      <c r="V2310" s="191" t="n">
        <v>0.12</v>
      </c>
      <c r="W2310" s="175" t="n">
        <v>0.0154</v>
      </c>
      <c r="X2310" s="172" t="inlineStr">
        <is>
          <t>杭银理财</t>
        </is>
      </c>
      <c r="Y2310" s="191" t="n">
        <v>0.5600000000000001</v>
      </c>
    </row>
    <row r="2311">
      <c r="A2311" s="172" t="n">
        <v>127</v>
      </c>
      <c r="B2311" s="172" t="inlineStr">
        <is>
          <t>8月</t>
        </is>
      </c>
      <c r="C2311" s="172" t="inlineStr">
        <is>
          <t>企金</t>
        </is>
      </c>
      <c r="D2311" s="172" t="inlineStr">
        <is>
          <t>保理</t>
        </is>
      </c>
      <c r="E2311" s="172" t="inlineStr">
        <is>
          <t>京诚15-11</t>
        </is>
      </c>
      <c r="F2311" s="172" t="inlineStr">
        <is>
          <t>上交所</t>
        </is>
      </c>
      <c r="G2311" s="172" t="inlineStr">
        <is>
          <t>首创证券</t>
        </is>
      </c>
      <c r="H2311" s="172" t="inlineStr">
        <is>
          <t>兴业证券</t>
        </is>
      </c>
      <c r="I2311" s="172" t="inlineStr">
        <is>
          <t>江苏北分</t>
        </is>
      </c>
      <c r="J2311" s="172" t="n">
        <v>10</v>
      </c>
      <c r="K2311" s="172" t="inlineStr">
        <is>
          <t>3+3</t>
        </is>
      </c>
      <c r="L2311" s="202" t="n">
        <v>46241</v>
      </c>
      <c r="M2311" s="175" t="n">
        <v>0.0148</v>
      </c>
      <c r="N2311" s="176" t="n">
        <v>0.0161</v>
      </c>
      <c r="O2311" s="191" t="n">
        <v>3.47</v>
      </c>
      <c r="P2311" s="172" t="inlineStr">
        <is>
          <t>优先级</t>
        </is>
      </c>
      <c r="Q2311" s="175" t="n">
        <v>0.99</v>
      </c>
      <c r="R2311" s="192" t="n">
        <v>9.9</v>
      </c>
      <c r="S2311" s="172" t="inlineStr">
        <is>
          <t>AAA</t>
        </is>
      </c>
      <c r="T2311" s="175" t="n">
        <v>0.0154</v>
      </c>
      <c r="U2311" s="172" t="inlineStr">
        <is>
          <t>兴银理财</t>
        </is>
      </c>
      <c r="V2311" s="191" t="n">
        <v>0.52</v>
      </c>
      <c r="W2311" s="175" t="n">
        <v>0.0154</v>
      </c>
      <c r="X2311" s="172" t="inlineStr">
        <is>
          <t>兴银理财</t>
        </is>
      </c>
      <c r="Y2311" s="191" t="n">
        <v>2.47</v>
      </c>
    </row>
    <row r="2312">
      <c r="A2312" s="172" t="n">
        <v>127</v>
      </c>
      <c r="B2312" s="172" t="inlineStr">
        <is>
          <t>8月</t>
        </is>
      </c>
      <c r="C2312" s="172" t="inlineStr">
        <is>
          <t>企金</t>
        </is>
      </c>
      <c r="D2312" s="172" t="inlineStr">
        <is>
          <t>保理</t>
        </is>
      </c>
      <c r="E2312" s="172" t="inlineStr">
        <is>
          <t>京诚15-11</t>
        </is>
      </c>
      <c r="F2312" s="172" t="inlineStr">
        <is>
          <t>上交所</t>
        </is>
      </c>
      <c r="G2312" s="172" t="inlineStr">
        <is>
          <t>首创证券</t>
        </is>
      </c>
      <c r="H2312" s="172" t="inlineStr">
        <is>
          <t>兴业证券</t>
        </is>
      </c>
      <c r="I2312" s="172" t="inlineStr">
        <is>
          <t>江苏北分</t>
        </is>
      </c>
      <c r="J2312" s="172" t="n">
        <v>10</v>
      </c>
      <c r="K2312" s="172" t="inlineStr">
        <is>
          <t>3+3</t>
        </is>
      </c>
      <c r="L2312" s="202" t="n">
        <v>46241</v>
      </c>
      <c r="M2312" s="175" t="n">
        <v>0.0148</v>
      </c>
      <c r="N2312" s="176" t="n">
        <v>0.0161</v>
      </c>
      <c r="O2312" s="191" t="n">
        <v>3.47</v>
      </c>
      <c r="P2312" s="172" t="inlineStr">
        <is>
          <t>优先级</t>
        </is>
      </c>
      <c r="Q2312" s="175" t="n">
        <v>0.99</v>
      </c>
      <c r="R2312" s="192" t="n">
        <v>9.9</v>
      </c>
      <c r="S2312" s="172" t="inlineStr">
        <is>
          <t>AAA</t>
        </is>
      </c>
      <c r="T2312" s="175" t="n">
        <v>0.0154</v>
      </c>
      <c r="U2312" s="172" t="inlineStr">
        <is>
          <t>平安资产</t>
        </is>
      </c>
      <c r="V2312" s="191" t="n">
        <v>2.23</v>
      </c>
      <c r="W2312" s="175" t="n">
        <v>0.0153</v>
      </c>
      <c r="X2312" s="172" t="inlineStr">
        <is>
          <t>平安资产</t>
        </is>
      </c>
      <c r="Y2312" s="191" t="n">
        <v>1.5</v>
      </c>
    </row>
    <row r="2313">
      <c r="A2313" s="172" t="n">
        <v>127</v>
      </c>
      <c r="B2313" s="172" t="inlineStr">
        <is>
          <t>8月</t>
        </is>
      </c>
      <c r="C2313" s="172" t="inlineStr">
        <is>
          <t>企金</t>
        </is>
      </c>
      <c r="D2313" s="172" t="inlineStr">
        <is>
          <t>保理</t>
        </is>
      </c>
      <c r="E2313" s="172" t="inlineStr">
        <is>
          <t>京诚15-11</t>
        </is>
      </c>
      <c r="F2313" s="172" t="inlineStr">
        <is>
          <t>上交所</t>
        </is>
      </c>
      <c r="G2313" s="172" t="inlineStr">
        <is>
          <t>首创证券</t>
        </is>
      </c>
      <c r="H2313" s="172" t="inlineStr">
        <is>
          <t>兴业证券</t>
        </is>
      </c>
      <c r="I2313" s="172" t="inlineStr">
        <is>
          <t>江苏北分</t>
        </is>
      </c>
      <c r="J2313" s="172" t="n">
        <v>10</v>
      </c>
      <c r="K2313" s="172" t="inlineStr">
        <is>
          <t>3+3</t>
        </is>
      </c>
      <c r="L2313" s="208" t="n">
        <v>46241</v>
      </c>
      <c r="M2313" s="175" t="n">
        <v>0.0148</v>
      </c>
      <c r="N2313" s="176" t="n">
        <v>0.0161</v>
      </c>
      <c r="O2313" s="172" t="n">
        <v>3.47</v>
      </c>
      <c r="P2313" s="172" t="inlineStr">
        <is>
          <t>优先级</t>
        </is>
      </c>
      <c r="Q2313" s="175" t="n">
        <v>0.99</v>
      </c>
      <c r="R2313" s="192" t="n">
        <v>9.9</v>
      </c>
      <c r="S2313" s="172" t="inlineStr">
        <is>
          <t>AAA</t>
        </is>
      </c>
      <c r="T2313" s="175" t="n">
        <v>0.0154</v>
      </c>
      <c r="U2313" s="172" t="n"/>
      <c r="V2313" s="172" t="n"/>
      <c r="W2313" s="175" t="n">
        <v>0.0154</v>
      </c>
      <c r="X2313" s="172" t="inlineStr">
        <is>
          <t>平安资产</t>
        </is>
      </c>
      <c r="Y2313" s="191" t="n">
        <v>3.45</v>
      </c>
    </row>
    <row r="2314">
      <c r="A2314" s="172" t="n">
        <v>127</v>
      </c>
      <c r="B2314" s="172" t="inlineStr">
        <is>
          <t>8月</t>
        </is>
      </c>
      <c r="C2314" s="172" t="inlineStr">
        <is>
          <t>企金</t>
        </is>
      </c>
      <c r="D2314" s="172" t="inlineStr">
        <is>
          <t>保理</t>
        </is>
      </c>
      <c r="E2314" s="172" t="inlineStr">
        <is>
          <t>京诚15-11</t>
        </is>
      </c>
      <c r="F2314" s="172" t="inlineStr">
        <is>
          <t>上交所</t>
        </is>
      </c>
      <c r="G2314" s="172" t="inlineStr">
        <is>
          <t>首创证券</t>
        </is>
      </c>
      <c r="H2314" s="172" t="inlineStr">
        <is>
          <t>兴业证券</t>
        </is>
      </c>
      <c r="I2314" s="172" t="inlineStr">
        <is>
          <t>江苏北分</t>
        </is>
      </c>
      <c r="J2314" s="172" t="n">
        <v>10</v>
      </c>
      <c r="K2314" s="172" t="inlineStr">
        <is>
          <t>3+3</t>
        </is>
      </c>
      <c r="L2314" s="202" t="n">
        <v>46241</v>
      </c>
      <c r="M2314" s="175" t="n">
        <v>0.0148</v>
      </c>
      <c r="N2314" s="176" t="n">
        <v>0.0161</v>
      </c>
      <c r="O2314" s="191" t="n">
        <v>3.47</v>
      </c>
      <c r="P2314" s="172" t="inlineStr">
        <is>
          <t>优先级</t>
        </is>
      </c>
      <c r="Q2314" s="175" t="n">
        <v>0.99</v>
      </c>
      <c r="R2314" s="192" t="n">
        <v>9.9</v>
      </c>
      <c r="S2314" s="172" t="inlineStr">
        <is>
          <t>AAA</t>
        </is>
      </c>
      <c r="T2314" s="175" t="n">
        <v>0.0154</v>
      </c>
      <c r="U2314" s="172" t="inlineStr">
        <is>
          <t>浦银理财</t>
        </is>
      </c>
      <c r="V2314" s="191" t="n">
        <v>0.58</v>
      </c>
      <c r="W2314" s="175" t="n">
        <v>0.0154</v>
      </c>
      <c r="X2314" s="172" t="inlineStr">
        <is>
          <t>浦银理财</t>
        </is>
      </c>
      <c r="Y2314" s="191" t="n">
        <v>2.76</v>
      </c>
    </row>
    <row r="2315">
      <c r="A2315" s="172" t="n">
        <v>127</v>
      </c>
      <c r="B2315" s="172" t="inlineStr">
        <is>
          <t>8月</t>
        </is>
      </c>
      <c r="C2315" s="172" t="inlineStr">
        <is>
          <t>企金</t>
        </is>
      </c>
      <c r="D2315" s="172" t="inlineStr">
        <is>
          <t>保理</t>
        </is>
      </c>
      <c r="E2315" s="172" t="inlineStr">
        <is>
          <t>京诚15-11</t>
        </is>
      </c>
      <c r="F2315" s="172" t="inlineStr">
        <is>
          <t>上交所</t>
        </is>
      </c>
      <c r="G2315" s="172" t="inlineStr">
        <is>
          <t>首创证券</t>
        </is>
      </c>
      <c r="H2315" s="172" t="inlineStr">
        <is>
          <t>兴业证券</t>
        </is>
      </c>
      <c r="I2315" s="172" t="inlineStr">
        <is>
          <t>江苏北分</t>
        </is>
      </c>
      <c r="J2315" s="172" t="n">
        <v>10</v>
      </c>
      <c r="K2315" s="172" t="inlineStr">
        <is>
          <t>3+3</t>
        </is>
      </c>
      <c r="L2315" s="208" t="n">
        <v>46241</v>
      </c>
      <c r="M2315" s="175" t="n">
        <v>0.0148</v>
      </c>
      <c r="N2315" s="176" t="n">
        <v>0.0161</v>
      </c>
      <c r="O2315" s="172" t="n">
        <v>3.47</v>
      </c>
      <c r="P2315" s="172" t="inlineStr">
        <is>
          <t>优先级</t>
        </is>
      </c>
      <c r="Q2315" s="175" t="n">
        <v>0.99</v>
      </c>
      <c r="R2315" s="192" t="n">
        <v>9.9</v>
      </c>
      <c r="S2315" s="172" t="inlineStr">
        <is>
          <t>AAA</t>
        </is>
      </c>
      <c r="T2315" s="175" t="n">
        <v>0.0154</v>
      </c>
      <c r="U2315" s="172" t="n"/>
      <c r="V2315" s="172" t="n"/>
      <c r="W2315" s="175" t="n">
        <v>0.0155</v>
      </c>
      <c r="X2315" s="172" t="inlineStr">
        <is>
          <t>工银理财</t>
        </is>
      </c>
      <c r="Y2315" s="191" t="n">
        <v>2.5</v>
      </c>
    </row>
    <row r="2316">
      <c r="A2316" s="172" t="n">
        <v>127</v>
      </c>
      <c r="B2316" s="172" t="inlineStr">
        <is>
          <t>8月</t>
        </is>
      </c>
      <c r="C2316" s="172" t="inlineStr">
        <is>
          <t>企金</t>
        </is>
      </c>
      <c r="D2316" s="172" t="inlineStr">
        <is>
          <t>保理</t>
        </is>
      </c>
      <c r="E2316" s="172" t="inlineStr">
        <is>
          <t>京诚15-11</t>
        </is>
      </c>
      <c r="F2316" s="172" t="inlineStr">
        <is>
          <t>上交所</t>
        </is>
      </c>
      <c r="G2316" s="172" t="inlineStr">
        <is>
          <t>首创证券</t>
        </is>
      </c>
      <c r="H2316" s="172" t="inlineStr">
        <is>
          <t>兴业证券</t>
        </is>
      </c>
      <c r="I2316" s="172" t="inlineStr">
        <is>
          <t>江苏北分</t>
        </is>
      </c>
      <c r="J2316" s="172" t="n">
        <v>10</v>
      </c>
      <c r="K2316" s="172" t="inlineStr">
        <is>
          <t>3+3</t>
        </is>
      </c>
      <c r="L2316" s="208" t="n">
        <v>46241</v>
      </c>
      <c r="M2316" s="175" t="n">
        <v>0.0148</v>
      </c>
      <c r="N2316" s="176" t="n">
        <v>0.0161</v>
      </c>
      <c r="O2316" s="172" t="n">
        <v>3.47</v>
      </c>
      <c r="P2316" s="172" t="inlineStr">
        <is>
          <t>优先级</t>
        </is>
      </c>
      <c r="Q2316" s="175" t="n">
        <v>0.99</v>
      </c>
      <c r="R2316" s="192" t="n">
        <v>9.9</v>
      </c>
      <c r="S2316" s="172" t="inlineStr">
        <is>
          <t>AAA</t>
        </is>
      </c>
      <c r="T2316" s="175" t="n">
        <v>0.0154</v>
      </c>
      <c r="U2316" s="172" t="n"/>
      <c r="V2316" s="172" t="n"/>
      <c r="W2316" s="175" t="n">
        <v>0.0155</v>
      </c>
      <c r="X2316" s="172" t="inlineStr">
        <is>
          <t>光大理财</t>
        </is>
      </c>
      <c r="Y2316" s="191" t="n">
        <v>0.5</v>
      </c>
    </row>
    <row r="2317">
      <c r="A2317" s="172" t="n">
        <v>127</v>
      </c>
      <c r="B2317" s="172" t="inlineStr">
        <is>
          <t>8月</t>
        </is>
      </c>
      <c r="C2317" s="172" t="inlineStr">
        <is>
          <t>企金</t>
        </is>
      </c>
      <c r="D2317" s="172" t="inlineStr">
        <is>
          <t>保理</t>
        </is>
      </c>
      <c r="E2317" s="172" t="inlineStr">
        <is>
          <t>京诚15-11</t>
        </is>
      </c>
      <c r="F2317" s="172" t="inlineStr">
        <is>
          <t>上交所</t>
        </is>
      </c>
      <c r="G2317" s="172" t="inlineStr">
        <is>
          <t>首创证券</t>
        </is>
      </c>
      <c r="H2317" s="172" t="inlineStr">
        <is>
          <t>兴业证券</t>
        </is>
      </c>
      <c r="I2317" s="172" t="inlineStr">
        <is>
          <t>江苏北分</t>
        </is>
      </c>
      <c r="J2317" s="172" t="n">
        <v>10</v>
      </c>
      <c r="K2317" s="172" t="inlineStr">
        <is>
          <t>3+3</t>
        </is>
      </c>
      <c r="L2317" s="208" t="n">
        <v>46241</v>
      </c>
      <c r="M2317" s="175" t="n">
        <v>0.0148</v>
      </c>
      <c r="N2317" s="176" t="n">
        <v>0.0161</v>
      </c>
      <c r="O2317" s="172" t="n">
        <v>3.47</v>
      </c>
      <c r="P2317" s="172" t="inlineStr">
        <is>
          <t>优先级</t>
        </is>
      </c>
      <c r="Q2317" s="175" t="n">
        <v>0.99</v>
      </c>
      <c r="R2317" s="192" t="n">
        <v>9.9</v>
      </c>
      <c r="S2317" s="172" t="inlineStr">
        <is>
          <t>AAA</t>
        </is>
      </c>
      <c r="T2317" s="175" t="n">
        <v>0.0154</v>
      </c>
      <c r="U2317" s="172" t="n"/>
      <c r="V2317" s="172" t="n"/>
      <c r="W2317" s="175" t="n">
        <v>0.0159</v>
      </c>
      <c r="X2317" s="172" t="inlineStr">
        <is>
          <t>建信理财</t>
        </is>
      </c>
      <c r="Y2317" s="191" t="n">
        <v>0.9</v>
      </c>
    </row>
    <row r="2318">
      <c r="A2318" s="172" t="n">
        <v>127</v>
      </c>
      <c r="B2318" s="172" t="inlineStr">
        <is>
          <t>8月</t>
        </is>
      </c>
      <c r="C2318" s="172" t="inlineStr">
        <is>
          <t>企金</t>
        </is>
      </c>
      <c r="D2318" s="172" t="inlineStr">
        <is>
          <t>保理</t>
        </is>
      </c>
      <c r="E2318" s="172" t="inlineStr">
        <is>
          <t>京诚15-11</t>
        </is>
      </c>
      <c r="F2318" s="172" t="inlineStr">
        <is>
          <t>上交所</t>
        </is>
      </c>
      <c r="G2318" s="172" t="inlineStr">
        <is>
          <t>首创证券</t>
        </is>
      </c>
      <c r="H2318" s="172" t="inlineStr">
        <is>
          <t>兴业证券</t>
        </is>
      </c>
      <c r="I2318" s="172" t="inlineStr">
        <is>
          <t>江苏北分</t>
        </is>
      </c>
      <c r="J2318" s="172" t="n">
        <v>10</v>
      </c>
      <c r="K2318" s="172" t="inlineStr">
        <is>
          <t>3+3</t>
        </is>
      </c>
      <c r="L2318" s="208" t="n">
        <v>46241</v>
      </c>
      <c r="M2318" s="175" t="n">
        <v>0.0148</v>
      </c>
      <c r="N2318" s="176" t="n">
        <v>0.0161</v>
      </c>
      <c r="O2318" s="172" t="n">
        <v>3.47</v>
      </c>
      <c r="P2318" s="172" t="inlineStr">
        <is>
          <t>优先级</t>
        </is>
      </c>
      <c r="Q2318" s="175" t="n">
        <v>0.99</v>
      </c>
      <c r="R2318" s="192" t="n">
        <v>9.9</v>
      </c>
      <c r="S2318" s="172" t="inlineStr">
        <is>
          <t>AAA</t>
        </is>
      </c>
      <c r="T2318" s="175" t="n">
        <v>0.0154</v>
      </c>
      <c r="U2318" s="172" t="n"/>
      <c r="V2318" s="172" t="n"/>
      <c r="W2318" s="175" t="n">
        <v>0.016</v>
      </c>
      <c r="X2318" s="172" t="inlineStr">
        <is>
          <t>中邮理财</t>
        </is>
      </c>
      <c r="Y2318" s="191" t="n">
        <v>2.97</v>
      </c>
    </row>
    <row r="2319">
      <c r="A2319" s="172" t="n">
        <v>127</v>
      </c>
      <c r="B2319" s="172" t="inlineStr">
        <is>
          <t>8月</t>
        </is>
      </c>
      <c r="C2319" s="172" t="inlineStr">
        <is>
          <t>企金</t>
        </is>
      </c>
      <c r="D2319" s="172" t="inlineStr">
        <is>
          <t>保理</t>
        </is>
      </c>
      <c r="E2319" s="172" t="inlineStr">
        <is>
          <t>京诚15-11</t>
        </is>
      </c>
      <c r="F2319" s="172" t="inlineStr">
        <is>
          <t>上交所</t>
        </is>
      </c>
      <c r="G2319" s="172" t="inlineStr">
        <is>
          <t>首创证券</t>
        </is>
      </c>
      <c r="H2319" s="172" t="inlineStr">
        <is>
          <t>兴业证券</t>
        </is>
      </c>
      <c r="I2319" s="172" t="inlineStr">
        <is>
          <t>江苏北分</t>
        </is>
      </c>
      <c r="J2319" s="172" t="n">
        <v>10</v>
      </c>
      <c r="K2319" s="172" t="inlineStr">
        <is>
          <t>3+3</t>
        </is>
      </c>
      <c r="L2319" s="208" t="n">
        <v>46241</v>
      </c>
      <c r="M2319" s="175" t="n">
        <v>0.0148</v>
      </c>
      <c r="N2319" s="176" t="n">
        <v>0.0161</v>
      </c>
      <c r="O2319" s="172" t="n">
        <v>3.47</v>
      </c>
      <c r="P2319" s="172" t="inlineStr">
        <is>
          <t>优先级</t>
        </is>
      </c>
      <c r="Q2319" s="175" t="n">
        <v>0.99</v>
      </c>
      <c r="R2319" s="192" t="n">
        <v>9.9</v>
      </c>
      <c r="S2319" s="172" t="inlineStr">
        <is>
          <t>AAA</t>
        </is>
      </c>
      <c r="T2319" s="175" t="n">
        <v>0.0154</v>
      </c>
      <c r="U2319" s="172" t="n"/>
      <c r="V2319" s="172" t="n"/>
      <c r="W2319" s="175" t="n">
        <v>0.019</v>
      </c>
      <c r="X2319" s="172" t="inlineStr">
        <is>
          <t>国联证券</t>
        </is>
      </c>
      <c r="Y2319" s="191" t="n">
        <v>1</v>
      </c>
    </row>
    <row r="2320">
      <c r="A2320" s="172" t="n">
        <v>127</v>
      </c>
      <c r="B2320" s="172" t="inlineStr">
        <is>
          <t>8月</t>
        </is>
      </c>
      <c r="C2320" s="172" t="inlineStr">
        <is>
          <t>企金</t>
        </is>
      </c>
      <c r="D2320" s="172" t="inlineStr">
        <is>
          <t>保理</t>
        </is>
      </c>
      <c r="E2320" s="172" t="inlineStr">
        <is>
          <t>京诚15-11</t>
        </is>
      </c>
      <c r="F2320" s="172" t="inlineStr">
        <is>
          <t>上交所</t>
        </is>
      </c>
      <c r="G2320" s="172" t="inlineStr">
        <is>
          <t>首创证券</t>
        </is>
      </c>
      <c r="H2320" s="172" t="inlineStr">
        <is>
          <t>兴业证券</t>
        </is>
      </c>
      <c r="I2320" s="172" t="inlineStr">
        <is>
          <t>江苏北分</t>
        </is>
      </c>
      <c r="J2320" s="172" t="n">
        <v>10</v>
      </c>
      <c r="K2320" s="172" t="inlineStr">
        <is>
          <t>3+3</t>
        </is>
      </c>
      <c r="L2320" s="208" t="n">
        <v>46241</v>
      </c>
      <c r="M2320" s="175" t="n">
        <v>0.0148</v>
      </c>
      <c r="N2320" s="176" t="n">
        <v>0.0161</v>
      </c>
      <c r="O2320" s="172" t="n">
        <v>3.47</v>
      </c>
      <c r="P2320" s="172" t="inlineStr">
        <is>
          <t>优先级</t>
        </is>
      </c>
      <c r="Q2320" s="175" t="n">
        <v>0.99</v>
      </c>
      <c r="R2320" s="192" t="n">
        <v>9.9</v>
      </c>
      <c r="S2320" s="172" t="inlineStr">
        <is>
          <t>AAA</t>
        </is>
      </c>
      <c r="T2320" s="175" t="n">
        <v>0.0154</v>
      </c>
      <c r="U2320" s="172" t="n"/>
      <c r="V2320" s="172" t="n"/>
      <c r="W2320" s="175" t="n">
        <v>0.024</v>
      </c>
      <c r="X2320" s="172" t="inlineStr">
        <is>
          <t>利曦基金</t>
        </is>
      </c>
      <c r="Y2320" s="191" t="n">
        <v>2</v>
      </c>
    </row>
    <row r="2321">
      <c r="A2321" s="172" t="n">
        <v>127</v>
      </c>
      <c r="B2321" s="172" t="inlineStr">
        <is>
          <t>8月</t>
        </is>
      </c>
      <c r="C2321" s="172" t="inlineStr">
        <is>
          <t>企金</t>
        </is>
      </c>
      <c r="D2321" s="172" t="inlineStr">
        <is>
          <t>保理</t>
        </is>
      </c>
      <c r="E2321" s="172" t="inlineStr">
        <is>
          <t>京诚15-11</t>
        </is>
      </c>
      <c r="F2321" s="172" t="inlineStr">
        <is>
          <t>上交所</t>
        </is>
      </c>
      <c r="G2321" s="172" t="inlineStr">
        <is>
          <t>首创证券</t>
        </is>
      </c>
      <c r="H2321" s="172" t="inlineStr">
        <is>
          <t>兴业证券</t>
        </is>
      </c>
      <c r="I2321" s="172" t="inlineStr">
        <is>
          <t>江苏北分</t>
        </is>
      </c>
      <c r="J2321" s="172" t="n">
        <v>10</v>
      </c>
      <c r="K2321" s="172" t="inlineStr">
        <is>
          <t>3+3</t>
        </is>
      </c>
      <c r="L2321" s="208" t="n">
        <v>46241</v>
      </c>
      <c r="M2321" s="175" t="n">
        <v>0.0148</v>
      </c>
      <c r="N2321" s="176" t="n">
        <v>0.0161</v>
      </c>
      <c r="O2321" s="172" t="n">
        <v>3.47</v>
      </c>
      <c r="P2321" s="172" t="inlineStr">
        <is>
          <t>优先级</t>
        </is>
      </c>
      <c r="Q2321" s="175" t="n">
        <v>0.99</v>
      </c>
      <c r="R2321" s="192" t="n">
        <v>9.9</v>
      </c>
      <c r="S2321" s="172" t="inlineStr">
        <is>
          <t>AAA</t>
        </is>
      </c>
      <c r="T2321" s="175" t="n">
        <v>0.0154</v>
      </c>
      <c r="U2321" s="172" t="n"/>
      <c r="V2321" s="172" t="n"/>
      <c r="W2321" s="175" t="n">
        <v>0.024</v>
      </c>
      <c r="X2321" s="172" t="inlineStr">
        <is>
          <t>首创自营</t>
        </is>
      </c>
      <c r="Y2321" s="191" t="n">
        <v>1.48</v>
      </c>
    </row>
    <row r="2322">
      <c r="A2322" s="172" t="n">
        <v>127</v>
      </c>
      <c r="B2322" s="172" t="inlineStr">
        <is>
          <t>8月</t>
        </is>
      </c>
      <c r="C2322" s="172" t="inlineStr">
        <is>
          <t>企金</t>
        </is>
      </c>
      <c r="D2322" s="172" t="inlineStr">
        <is>
          <t>保理</t>
        </is>
      </c>
      <c r="E2322" s="172" t="inlineStr">
        <is>
          <t>京诚15-11</t>
        </is>
      </c>
      <c r="F2322" s="172" t="inlineStr">
        <is>
          <t>上交所</t>
        </is>
      </c>
      <c r="G2322" s="172" t="inlineStr">
        <is>
          <t>首创证券</t>
        </is>
      </c>
      <c r="H2322" s="172" t="inlineStr">
        <is>
          <t>兴业证券</t>
        </is>
      </c>
      <c r="I2322" s="172" t="inlineStr">
        <is>
          <t>江苏北分</t>
        </is>
      </c>
      <c r="J2322" s="172" t="n">
        <v>10</v>
      </c>
      <c r="K2322" s="172" t="inlineStr">
        <is>
          <t>3+3</t>
        </is>
      </c>
      <c r="L2322" s="208" t="n">
        <v>46241</v>
      </c>
      <c r="M2322" s="175" t="n">
        <v>0.0148</v>
      </c>
      <c r="N2322" s="176" t="n">
        <v>0.0161</v>
      </c>
      <c r="O2322" s="172" t="n">
        <v>3.47</v>
      </c>
      <c r="P2322" s="172" t="inlineStr">
        <is>
          <t>优先级</t>
        </is>
      </c>
      <c r="Q2322" s="175" t="n">
        <v>0.99</v>
      </c>
      <c r="R2322" s="192" t="n">
        <v>9.9</v>
      </c>
      <c r="S2322" s="172" t="inlineStr">
        <is>
          <t>AAA</t>
        </is>
      </c>
      <c r="T2322" s="175" t="n">
        <v>0.0154</v>
      </c>
      <c r="U2322" s="172" t="n"/>
      <c r="V2322" s="172" t="n"/>
      <c r="W2322" s="175" t="n">
        <v>0.024</v>
      </c>
      <c r="X2322" s="172" t="inlineStr">
        <is>
          <t>平安银行</t>
        </is>
      </c>
      <c r="Y2322" s="191" t="n">
        <v>3.96</v>
      </c>
    </row>
    <row r="2323">
      <c r="A2323" s="172" t="n">
        <v>127</v>
      </c>
      <c r="B2323" s="172" t="inlineStr">
        <is>
          <t>8月</t>
        </is>
      </c>
      <c r="C2323" s="172" t="inlineStr">
        <is>
          <t>企金</t>
        </is>
      </c>
      <c r="D2323" s="172" t="inlineStr">
        <is>
          <t>保理</t>
        </is>
      </c>
      <c r="E2323" s="172" t="inlineStr">
        <is>
          <t>京诚15-11</t>
        </is>
      </c>
      <c r="F2323" s="172" t="inlineStr">
        <is>
          <t>上交所</t>
        </is>
      </c>
      <c r="G2323" s="172" t="inlineStr">
        <is>
          <t>首创证券</t>
        </is>
      </c>
      <c r="H2323" s="172" t="inlineStr">
        <is>
          <t>兴业证券</t>
        </is>
      </c>
      <c r="I2323" s="172" t="inlineStr">
        <is>
          <t>江苏北分</t>
        </is>
      </c>
      <c r="J2323" s="172" t="n">
        <v>10</v>
      </c>
      <c r="K2323" s="172" t="inlineStr">
        <is>
          <t>3+3</t>
        </is>
      </c>
      <c r="L2323" s="202" t="n">
        <v>46241</v>
      </c>
      <c r="M2323" s="175" t="n">
        <v>0.0148</v>
      </c>
      <c r="N2323" s="176" t="n">
        <v>0.0161</v>
      </c>
      <c r="O2323" s="191" t="n">
        <v>3.47</v>
      </c>
      <c r="P2323" s="172" t="inlineStr">
        <is>
          <t>次级</t>
        </is>
      </c>
      <c r="Q2323" s="175" t="n">
        <v>0.01</v>
      </c>
      <c r="R2323" s="192" t="n">
        <v>0.1</v>
      </c>
      <c r="S2323" s="175" t="inlineStr">
        <is>
          <t>无</t>
        </is>
      </c>
      <c r="T2323" s="175" t="n">
        <v>0.043</v>
      </c>
      <c r="U2323" s="172" t="inlineStr">
        <is>
          <t>利曦基金</t>
        </is>
      </c>
      <c r="V2323" s="191" t="n">
        <v>0.1</v>
      </c>
      <c r="W2323" s="172" t="n"/>
      <c r="X2323" s="172" t="n"/>
      <c r="Y2323" s="172" t="n"/>
    </row>
    <row r="2324">
      <c r="A2324" s="172" t="n">
        <v>128</v>
      </c>
      <c r="B2324" s="173" t="inlineStr">
        <is>
          <t>8月</t>
        </is>
      </c>
      <c r="C2324" s="173" t="inlineStr">
        <is>
          <t>消金</t>
        </is>
      </c>
      <c r="D2324" s="173" t="inlineStr">
        <is>
          <t>赊销白条</t>
        </is>
      </c>
      <c r="E2324" s="173" t="inlineStr">
        <is>
          <t>东裕11号季裕（可续发）</t>
        </is>
      </c>
      <c r="F2324" s="173" t="inlineStr">
        <is>
          <t>银行间</t>
        </is>
      </c>
      <c r="G2324" s="173" t="inlineStr">
        <is>
          <t>光大证券</t>
        </is>
      </c>
      <c r="H2324" s="173" t="inlineStr">
        <is>
          <t>江苏银行/杭州银行/厦门国际银行/中信证券</t>
        </is>
      </c>
      <c r="I2324" s="173" t="inlineStr">
        <is>
          <t>工银天分</t>
        </is>
      </c>
      <c r="J2324" s="172" t="n">
        <v>10</v>
      </c>
      <c r="K2324" s="173" t="inlineStr">
        <is>
          <t>10+10+9+3</t>
        </is>
      </c>
      <c r="L2324" s="202" t="n">
        <v>46244</v>
      </c>
      <c r="M2324" s="175" t="n">
        <v>0.0148</v>
      </c>
      <c r="N2324" s="176" t="n">
        <v>0.018</v>
      </c>
      <c r="O2324" s="191" t="n">
        <v>2.12</v>
      </c>
      <c r="P2324" s="177" t="inlineStr">
        <is>
          <t>优先A</t>
        </is>
      </c>
      <c r="Q2324" s="178" t="n">
        <v>0.9</v>
      </c>
      <c r="R2324" s="179" t="n">
        <v>9</v>
      </c>
      <c r="S2324" s="177" t="inlineStr">
        <is>
          <t>AAA</t>
        </is>
      </c>
      <c r="T2324" s="178" t="n">
        <v>0.0158</v>
      </c>
      <c r="U2324" s="177" t="inlineStr">
        <is>
          <t>杭州银行</t>
        </is>
      </c>
      <c r="V2324" s="192" t="n">
        <v>1.8</v>
      </c>
      <c r="W2324" s="175" t="n">
        <v>0.0156</v>
      </c>
      <c r="X2324" s="172" t="inlineStr">
        <is>
          <t>杭州银行自营</t>
        </is>
      </c>
      <c r="Y2324" s="191" t="n">
        <v>0.5</v>
      </c>
    </row>
    <row r="2325">
      <c r="A2325" s="172" t="n">
        <v>128</v>
      </c>
      <c r="B2325" s="172" t="inlineStr">
        <is>
          <t>8月</t>
        </is>
      </c>
      <c r="C2325" s="172" t="inlineStr">
        <is>
          <t>消金</t>
        </is>
      </c>
      <c r="D2325" s="172" t="inlineStr">
        <is>
          <t>赊销白条</t>
        </is>
      </c>
      <c r="E2325" s="172" t="inlineStr">
        <is>
          <t>东裕11号季裕（可续发）</t>
        </is>
      </c>
      <c r="F2325" s="172" t="inlineStr">
        <is>
          <t>银行间</t>
        </is>
      </c>
      <c r="G2325" s="172" t="inlineStr">
        <is>
          <t>光大证券</t>
        </is>
      </c>
      <c r="H2325" s="172" t="inlineStr">
        <is>
          <t>江苏银行/杭州银行/厦门国际银行/中信证券</t>
        </is>
      </c>
      <c r="I2325" s="172" t="inlineStr">
        <is>
          <t>工银天分</t>
        </is>
      </c>
      <c r="J2325" s="172" t="n">
        <v>10</v>
      </c>
      <c r="K2325" s="172" t="inlineStr">
        <is>
          <t>10+10+9+3</t>
        </is>
      </c>
      <c r="L2325" s="208" t="n">
        <v>46244</v>
      </c>
      <c r="M2325" s="175" t="n">
        <v>0.0148</v>
      </c>
      <c r="N2325" s="176" t="n">
        <v>0.018</v>
      </c>
      <c r="O2325" s="172" t="n">
        <v>2.12</v>
      </c>
      <c r="P2325" s="172" t="inlineStr">
        <is>
          <t>优先A</t>
        </is>
      </c>
      <c r="Q2325" s="175" t="n">
        <v>0.9</v>
      </c>
      <c r="R2325" s="192" t="n">
        <v>9</v>
      </c>
      <c r="S2325" s="172" t="inlineStr">
        <is>
          <t>AAA</t>
        </is>
      </c>
      <c r="T2325" s="175" t="n">
        <v>0.0158</v>
      </c>
      <c r="U2325" s="172" t="n"/>
      <c r="V2325" s="172" t="n"/>
      <c r="W2325" s="175" t="n">
        <v>0.0157</v>
      </c>
      <c r="X2325" s="172" t="inlineStr">
        <is>
          <t>杭州银行自营</t>
        </is>
      </c>
      <c r="Y2325" s="191" t="n">
        <v>1.3</v>
      </c>
    </row>
    <row r="2326">
      <c r="A2326" s="172" t="n">
        <v>128</v>
      </c>
      <c r="B2326" s="173" t="inlineStr">
        <is>
          <t>8月</t>
        </is>
      </c>
      <c r="C2326" s="173" t="inlineStr">
        <is>
          <t>消金</t>
        </is>
      </c>
      <c r="D2326" s="173" t="inlineStr">
        <is>
          <t>赊销白条</t>
        </is>
      </c>
      <c r="E2326" s="173" t="inlineStr">
        <is>
          <t>东裕11号季裕（可续发）</t>
        </is>
      </c>
      <c r="F2326" s="173" t="inlineStr">
        <is>
          <t>银行间</t>
        </is>
      </c>
      <c r="G2326" s="173" t="inlineStr">
        <is>
          <t>光大证券</t>
        </is>
      </c>
      <c r="H2326" s="173" t="inlineStr">
        <is>
          <t>江苏银行/杭州银行/厦门国际银行/中信证券</t>
        </is>
      </c>
      <c r="I2326" s="173" t="inlineStr">
        <is>
          <t>工银天分</t>
        </is>
      </c>
      <c r="J2326" s="172" t="n">
        <v>10</v>
      </c>
      <c r="K2326" s="173" t="inlineStr">
        <is>
          <t>10+10+9+3</t>
        </is>
      </c>
      <c r="L2326" s="202" t="n">
        <v>46244</v>
      </c>
      <c r="M2326" s="175" t="n">
        <v>0.0148</v>
      </c>
      <c r="N2326" s="176" t="n">
        <v>0.018</v>
      </c>
      <c r="O2326" s="191" t="n">
        <v>2.12</v>
      </c>
      <c r="P2326" s="172" t="inlineStr">
        <is>
          <t>优先A</t>
        </is>
      </c>
      <c r="Q2326" s="178" t="n">
        <v>0.9</v>
      </c>
      <c r="R2326" s="179" t="n">
        <v>9</v>
      </c>
      <c r="S2326" s="177" t="inlineStr">
        <is>
          <t>AAA</t>
        </is>
      </c>
      <c r="T2326" s="178" t="n">
        <v>0.0158</v>
      </c>
      <c r="U2326" s="177" t="inlineStr">
        <is>
          <t>中银理财</t>
        </is>
      </c>
      <c r="V2326" s="192" t="n">
        <v>1.2</v>
      </c>
      <c r="W2326" s="175" t="n">
        <v>0.0158</v>
      </c>
      <c r="X2326" s="172" t="inlineStr">
        <is>
          <t>中银理财</t>
        </is>
      </c>
      <c r="Y2326" s="191" t="n">
        <v>2.7</v>
      </c>
    </row>
    <row r="2327">
      <c r="A2327" s="172" t="n">
        <v>128</v>
      </c>
      <c r="B2327" s="173" t="inlineStr">
        <is>
          <t>8月</t>
        </is>
      </c>
      <c r="C2327" s="173" t="inlineStr">
        <is>
          <t>消金</t>
        </is>
      </c>
      <c r="D2327" s="173" t="inlineStr">
        <is>
          <t>赊销白条</t>
        </is>
      </c>
      <c r="E2327" s="173" t="inlineStr">
        <is>
          <t>东裕11号季裕（可续发）</t>
        </is>
      </c>
      <c r="F2327" s="173" t="inlineStr">
        <is>
          <t>银行间</t>
        </is>
      </c>
      <c r="G2327" s="173" t="inlineStr">
        <is>
          <t>光大证券</t>
        </is>
      </c>
      <c r="H2327" s="173" t="inlineStr">
        <is>
          <t>江苏银行/杭州银行/厦门国际银行/中信证券</t>
        </is>
      </c>
      <c r="I2327" s="173" t="inlineStr">
        <is>
          <t>工银天分</t>
        </is>
      </c>
      <c r="J2327" s="172" t="n">
        <v>10</v>
      </c>
      <c r="K2327" s="173" t="inlineStr">
        <is>
          <t>10+10+9+3</t>
        </is>
      </c>
      <c r="L2327" s="202" t="n">
        <v>46244</v>
      </c>
      <c r="M2327" s="175" t="n">
        <v>0.0148</v>
      </c>
      <c r="N2327" s="176" t="n">
        <v>0.018</v>
      </c>
      <c r="O2327" s="191" t="n">
        <v>2.12</v>
      </c>
      <c r="P2327" s="172" t="inlineStr">
        <is>
          <t>优先A</t>
        </is>
      </c>
      <c r="Q2327" s="178" t="n">
        <v>0.9</v>
      </c>
      <c r="R2327" s="179" t="n">
        <v>9</v>
      </c>
      <c r="S2327" s="177" t="inlineStr">
        <is>
          <t>AAA</t>
        </is>
      </c>
      <c r="T2327" s="178" t="n">
        <v>0.0158</v>
      </c>
      <c r="U2327" s="177" t="inlineStr">
        <is>
          <t>江苏银行</t>
        </is>
      </c>
      <c r="V2327" s="192" t="n">
        <v>0.1</v>
      </c>
      <c r="W2327" s="175" t="n">
        <v>0.0157</v>
      </c>
      <c r="X2327" s="172" t="inlineStr">
        <is>
          <t>江苏银行自营</t>
        </is>
      </c>
      <c r="Y2327" s="191" t="n">
        <v>0.1</v>
      </c>
    </row>
    <row r="2328">
      <c r="A2328" s="172" t="n">
        <v>128</v>
      </c>
      <c r="B2328" s="172" t="inlineStr">
        <is>
          <t>8月</t>
        </is>
      </c>
      <c r="C2328" s="172" t="inlineStr">
        <is>
          <t>消金</t>
        </is>
      </c>
      <c r="D2328" s="172" t="inlineStr">
        <is>
          <t>赊销白条</t>
        </is>
      </c>
      <c r="E2328" s="172" t="inlineStr">
        <is>
          <t>东裕11号季裕（可续发）</t>
        </is>
      </c>
      <c r="F2328" s="172" t="inlineStr">
        <is>
          <t>银行间</t>
        </is>
      </c>
      <c r="G2328" s="172" t="inlineStr">
        <is>
          <t>光大证券</t>
        </is>
      </c>
      <c r="H2328" s="172" t="inlineStr">
        <is>
          <t>江苏银行/杭州银行/厦门国际银行/中信证券</t>
        </is>
      </c>
      <c r="I2328" s="172" t="inlineStr">
        <is>
          <t>工银天分</t>
        </is>
      </c>
      <c r="J2328" s="172" t="n">
        <v>10</v>
      </c>
      <c r="K2328" s="172" t="inlineStr">
        <is>
          <t>10+10+9+3</t>
        </is>
      </c>
      <c r="L2328" s="208" t="n">
        <v>46244</v>
      </c>
      <c r="M2328" s="175" t="n">
        <v>0.0148</v>
      </c>
      <c r="N2328" s="176" t="n">
        <v>0.018</v>
      </c>
      <c r="O2328" s="172" t="n">
        <v>2.12</v>
      </c>
      <c r="P2328" s="172" t="inlineStr">
        <is>
          <t>优先A</t>
        </is>
      </c>
      <c r="Q2328" s="175" t="n">
        <v>0.9</v>
      </c>
      <c r="R2328" s="192" t="n">
        <v>9</v>
      </c>
      <c r="S2328" s="172" t="inlineStr">
        <is>
          <t>AAA</t>
        </is>
      </c>
      <c r="T2328" s="175" t="n">
        <v>0.0158</v>
      </c>
      <c r="U2328" s="172" t="n"/>
      <c r="V2328" s="172" t="n"/>
      <c r="W2328" s="175" t="n">
        <v>0.0159</v>
      </c>
      <c r="X2328" s="172" t="inlineStr">
        <is>
          <t>江苏银行自营</t>
        </is>
      </c>
      <c r="Y2328" s="191" t="n">
        <v>1.7</v>
      </c>
    </row>
    <row r="2329">
      <c r="A2329" s="172" t="n">
        <v>128</v>
      </c>
      <c r="B2329" s="173" t="inlineStr">
        <is>
          <t>8月</t>
        </is>
      </c>
      <c r="C2329" s="173" t="inlineStr">
        <is>
          <t>消金</t>
        </is>
      </c>
      <c r="D2329" s="173" t="inlineStr">
        <is>
          <t>赊销白条</t>
        </is>
      </c>
      <c r="E2329" s="173" t="inlineStr">
        <is>
          <t>东裕11号季裕（可续发）</t>
        </is>
      </c>
      <c r="F2329" s="173" t="inlineStr">
        <is>
          <t>银行间</t>
        </is>
      </c>
      <c r="G2329" s="173" t="inlineStr">
        <is>
          <t>光大证券</t>
        </is>
      </c>
      <c r="H2329" s="173" t="inlineStr">
        <is>
          <t>江苏银行/杭州银行/厦门国际银行/中信证券</t>
        </is>
      </c>
      <c r="I2329" s="173" t="inlineStr">
        <is>
          <t>工银天分</t>
        </is>
      </c>
      <c r="J2329" s="172" t="n">
        <v>10</v>
      </c>
      <c r="K2329" s="173" t="inlineStr">
        <is>
          <t>10+10+9+3</t>
        </is>
      </c>
      <c r="L2329" s="202" t="n">
        <v>46244</v>
      </c>
      <c r="M2329" s="175" t="n">
        <v>0.0148</v>
      </c>
      <c r="N2329" s="176" t="n">
        <v>0.018</v>
      </c>
      <c r="O2329" s="191" t="n">
        <v>2.12</v>
      </c>
      <c r="P2329" s="172" t="inlineStr">
        <is>
          <t>优先A</t>
        </is>
      </c>
      <c r="Q2329" s="178" t="n">
        <v>0.9</v>
      </c>
      <c r="R2329" s="179" t="n">
        <v>9</v>
      </c>
      <c r="S2329" s="177" t="inlineStr">
        <is>
          <t>AAA</t>
        </is>
      </c>
      <c r="T2329" s="178" t="n">
        <v>0.0158</v>
      </c>
      <c r="U2329" s="177" t="inlineStr">
        <is>
          <t>招银理财</t>
        </is>
      </c>
      <c r="V2329" s="192" t="n">
        <v>2.7</v>
      </c>
      <c r="W2329" s="175" t="n">
        <v>0.0156</v>
      </c>
      <c r="X2329" s="172" t="inlineStr">
        <is>
          <t>招银理财</t>
        </is>
      </c>
      <c r="Y2329" s="191" t="n">
        <v>2.7</v>
      </c>
    </row>
    <row r="2330">
      <c r="A2330" s="172" t="n">
        <v>128</v>
      </c>
      <c r="B2330" s="173" t="inlineStr">
        <is>
          <t>8月</t>
        </is>
      </c>
      <c r="C2330" s="173" t="inlineStr">
        <is>
          <t>消金</t>
        </is>
      </c>
      <c r="D2330" s="173" t="inlineStr">
        <is>
          <t>赊销白条</t>
        </is>
      </c>
      <c r="E2330" s="173" t="inlineStr">
        <is>
          <t>东裕11号季裕（可续发）</t>
        </is>
      </c>
      <c r="F2330" s="173" t="inlineStr">
        <is>
          <t>银行间</t>
        </is>
      </c>
      <c r="G2330" s="173" t="inlineStr">
        <is>
          <t>光大证券</t>
        </is>
      </c>
      <c r="H2330" s="173" t="inlineStr">
        <is>
          <t>江苏银行/杭州银行/厦门国际银行/中信证券</t>
        </is>
      </c>
      <c r="I2330" s="173" t="inlineStr">
        <is>
          <t>工银天分</t>
        </is>
      </c>
      <c r="J2330" s="172" t="n">
        <v>10</v>
      </c>
      <c r="K2330" s="173" t="inlineStr">
        <is>
          <t>10+10+9+3</t>
        </is>
      </c>
      <c r="L2330" s="202" t="n">
        <v>46244</v>
      </c>
      <c r="M2330" s="175" t="n">
        <v>0.0148</v>
      </c>
      <c r="N2330" s="176" t="n">
        <v>0.018</v>
      </c>
      <c r="O2330" s="191" t="n">
        <v>2.12</v>
      </c>
      <c r="P2330" s="172" t="inlineStr">
        <is>
          <t>优先A</t>
        </is>
      </c>
      <c r="Q2330" s="178" t="n">
        <v>0.9</v>
      </c>
      <c r="R2330" s="179" t="n">
        <v>9</v>
      </c>
      <c r="S2330" s="177" t="inlineStr">
        <is>
          <t>AAA</t>
        </is>
      </c>
      <c r="T2330" s="178" t="n">
        <v>0.0158</v>
      </c>
      <c r="U2330" s="177" t="inlineStr">
        <is>
          <t>建信理财</t>
        </is>
      </c>
      <c r="V2330" s="192" t="n">
        <v>0.5</v>
      </c>
      <c r="W2330" s="175" t="n">
        <v>0.0158</v>
      </c>
      <c r="X2330" s="172" t="inlineStr">
        <is>
          <t>建信理财</t>
        </is>
      </c>
      <c r="Y2330" s="191" t="n">
        <v>1</v>
      </c>
    </row>
    <row r="2331">
      <c r="A2331" s="172" t="n">
        <v>128</v>
      </c>
      <c r="B2331" s="173" t="inlineStr">
        <is>
          <t>8月</t>
        </is>
      </c>
      <c r="C2331" s="173" t="inlineStr">
        <is>
          <t>消金</t>
        </is>
      </c>
      <c r="D2331" s="173" t="inlineStr">
        <is>
          <t>赊销白条</t>
        </is>
      </c>
      <c r="E2331" s="173" t="inlineStr">
        <is>
          <t>东裕11号季裕（可续发）</t>
        </is>
      </c>
      <c r="F2331" s="173" t="inlineStr">
        <is>
          <t>银行间</t>
        </is>
      </c>
      <c r="G2331" s="173" t="inlineStr">
        <is>
          <t>光大证券</t>
        </is>
      </c>
      <c r="H2331" s="173" t="inlineStr">
        <is>
          <t>江苏银行/杭州银行/厦门国际银行/中信证券</t>
        </is>
      </c>
      <c r="I2331" s="173" t="inlineStr">
        <is>
          <t>工银天分</t>
        </is>
      </c>
      <c r="J2331" s="172" t="n">
        <v>10</v>
      </c>
      <c r="K2331" s="173" t="inlineStr">
        <is>
          <t>10+10+9+3</t>
        </is>
      </c>
      <c r="L2331" s="202" t="n">
        <v>46244</v>
      </c>
      <c r="M2331" s="175" t="n">
        <v>0.0148</v>
      </c>
      <c r="N2331" s="176" t="n">
        <v>0.018</v>
      </c>
      <c r="O2331" s="191" t="n">
        <v>2.12</v>
      </c>
      <c r="P2331" s="172" t="inlineStr">
        <is>
          <t>优先A</t>
        </is>
      </c>
      <c r="Q2331" s="178" t="n">
        <v>0.9</v>
      </c>
      <c r="R2331" s="179" t="n">
        <v>9</v>
      </c>
      <c r="S2331" s="177" t="inlineStr">
        <is>
          <t>AAA</t>
        </is>
      </c>
      <c r="T2331" s="178" t="n">
        <v>0.0158</v>
      </c>
      <c r="U2331" s="177" t="inlineStr">
        <is>
          <t>信银理财</t>
        </is>
      </c>
      <c r="V2331" s="192" t="n">
        <v>2.7</v>
      </c>
      <c r="W2331" s="175" t="n">
        <v>0.0156</v>
      </c>
      <c r="X2331" s="172" t="inlineStr">
        <is>
          <t>信银理财</t>
        </is>
      </c>
      <c r="Y2331" s="191" t="n">
        <v>2.7</v>
      </c>
    </row>
    <row r="2332">
      <c r="A2332" s="172" t="n">
        <v>128</v>
      </c>
      <c r="B2332" s="172" t="inlineStr">
        <is>
          <t>8月</t>
        </is>
      </c>
      <c r="C2332" s="172" t="inlineStr">
        <is>
          <t>消金</t>
        </is>
      </c>
      <c r="D2332" s="172" t="inlineStr">
        <is>
          <t>赊销白条</t>
        </is>
      </c>
      <c r="E2332" s="172" t="inlineStr">
        <is>
          <t>东裕11号季裕（可续发）</t>
        </is>
      </c>
      <c r="F2332" s="172" t="inlineStr">
        <is>
          <t>银行间</t>
        </is>
      </c>
      <c r="G2332" s="172" t="inlineStr">
        <is>
          <t>光大证券</t>
        </is>
      </c>
      <c r="H2332" s="172" t="inlineStr">
        <is>
          <t>江苏银行/杭州银行/厦门国际银行/中信证券</t>
        </is>
      </c>
      <c r="I2332" s="172" t="inlineStr">
        <is>
          <t>工银天分</t>
        </is>
      </c>
      <c r="J2332" s="172" t="n">
        <v>10</v>
      </c>
      <c r="K2332" s="172" t="inlineStr">
        <is>
          <t>10+10+9+3</t>
        </is>
      </c>
      <c r="L2332" s="208" t="n">
        <v>46244</v>
      </c>
      <c r="M2332" s="175" t="n">
        <v>0.0148</v>
      </c>
      <c r="N2332" s="176" t="n">
        <v>0.018</v>
      </c>
      <c r="O2332" s="172" t="n">
        <v>2.12</v>
      </c>
      <c r="P2332" s="172" t="inlineStr">
        <is>
          <t>优先A</t>
        </is>
      </c>
      <c r="Q2332" s="175" t="n">
        <v>0.9</v>
      </c>
      <c r="R2332" s="192" t="n">
        <v>9</v>
      </c>
      <c r="S2332" s="172" t="inlineStr">
        <is>
          <t>AAA</t>
        </is>
      </c>
      <c r="T2332" s="175" t="n">
        <v>0.0158</v>
      </c>
      <c r="U2332" s="172" t="n"/>
      <c r="V2332" s="172" t="n"/>
      <c r="W2332" s="175" t="n">
        <v>0.016</v>
      </c>
      <c r="X2332" s="172" t="inlineStr">
        <is>
          <t>平安养老保险</t>
        </is>
      </c>
      <c r="Y2332" s="191" t="n">
        <v>0.9</v>
      </c>
    </row>
    <row r="2333">
      <c r="A2333" s="172" t="n">
        <v>128</v>
      </c>
      <c r="B2333" s="172" t="inlineStr">
        <is>
          <t>8月</t>
        </is>
      </c>
      <c r="C2333" s="172" t="inlineStr">
        <is>
          <t>消金</t>
        </is>
      </c>
      <c r="D2333" s="172" t="inlineStr">
        <is>
          <t>赊销白条</t>
        </is>
      </c>
      <c r="E2333" s="172" t="inlineStr">
        <is>
          <t>东裕11号季裕（可续发）</t>
        </is>
      </c>
      <c r="F2333" s="172" t="inlineStr">
        <is>
          <t>银行间</t>
        </is>
      </c>
      <c r="G2333" s="172" t="inlineStr">
        <is>
          <t>光大证券</t>
        </is>
      </c>
      <c r="H2333" s="172" t="inlineStr">
        <is>
          <t>江苏银行/杭州银行/厦门国际银行/中信证券</t>
        </is>
      </c>
      <c r="I2333" s="172" t="inlineStr">
        <is>
          <t>工银天分</t>
        </is>
      </c>
      <c r="J2333" s="172" t="n">
        <v>10</v>
      </c>
      <c r="K2333" s="172" t="inlineStr">
        <is>
          <t>10+10+9+3</t>
        </is>
      </c>
      <c r="L2333" s="208" t="n">
        <v>46244</v>
      </c>
      <c r="M2333" s="175" t="n">
        <v>0.0148</v>
      </c>
      <c r="N2333" s="176" t="n">
        <v>0.018</v>
      </c>
      <c r="O2333" s="172" t="n">
        <v>2.12</v>
      </c>
      <c r="P2333" s="172" t="inlineStr">
        <is>
          <t>优先A</t>
        </is>
      </c>
      <c r="Q2333" s="175" t="n">
        <v>0.9</v>
      </c>
      <c r="R2333" s="192" t="n">
        <v>9</v>
      </c>
      <c r="S2333" s="172" t="inlineStr">
        <is>
          <t>AAA</t>
        </is>
      </c>
      <c r="T2333" s="175" t="n">
        <v>0.0158</v>
      </c>
      <c r="U2333" s="172" t="n"/>
      <c r="V2333" s="172" t="n"/>
      <c r="W2333" s="175" t="n">
        <v>0.016</v>
      </c>
      <c r="X2333" s="172" t="inlineStr">
        <is>
          <t>中邮理财</t>
        </is>
      </c>
      <c r="Y2333" s="191" t="n">
        <v>2.7</v>
      </c>
    </row>
    <row r="2334">
      <c r="A2334" s="172" t="n">
        <v>128</v>
      </c>
      <c r="B2334" s="172" t="inlineStr">
        <is>
          <t>8月</t>
        </is>
      </c>
      <c r="C2334" s="172" t="inlineStr">
        <is>
          <t>消金</t>
        </is>
      </c>
      <c r="D2334" s="172" t="inlineStr">
        <is>
          <t>赊销白条</t>
        </is>
      </c>
      <c r="E2334" s="172" t="inlineStr">
        <is>
          <t>东裕11号季裕（可续发）</t>
        </is>
      </c>
      <c r="F2334" s="172" t="inlineStr">
        <is>
          <t>银行间</t>
        </is>
      </c>
      <c r="G2334" s="172" t="inlineStr">
        <is>
          <t>光大证券</t>
        </is>
      </c>
      <c r="H2334" s="172" t="inlineStr">
        <is>
          <t>江苏银行/杭州银行/厦门国际银行/中信证券</t>
        </is>
      </c>
      <c r="I2334" s="172" t="inlineStr">
        <is>
          <t>工银天分</t>
        </is>
      </c>
      <c r="J2334" s="172" t="n">
        <v>10</v>
      </c>
      <c r="K2334" s="172" t="inlineStr">
        <is>
          <t>10+10+9+3</t>
        </is>
      </c>
      <c r="L2334" s="208" t="n">
        <v>46244</v>
      </c>
      <c r="M2334" s="175" t="n">
        <v>0.0148</v>
      </c>
      <c r="N2334" s="176" t="n">
        <v>0.018</v>
      </c>
      <c r="O2334" s="172" t="n">
        <v>2.12</v>
      </c>
      <c r="P2334" s="172" t="inlineStr">
        <is>
          <t>优先A</t>
        </is>
      </c>
      <c r="Q2334" s="175" t="n">
        <v>0.9</v>
      </c>
      <c r="R2334" s="192" t="n">
        <v>9</v>
      </c>
      <c r="S2334" s="172" t="inlineStr">
        <is>
          <t>AAA</t>
        </is>
      </c>
      <c r="T2334" s="175" t="n">
        <v>0.0158</v>
      </c>
      <c r="U2334" s="172" t="n"/>
      <c r="V2334" s="172" t="n"/>
      <c r="W2334" s="175" t="n">
        <v>0.0162</v>
      </c>
      <c r="X2334" s="172" t="inlineStr">
        <is>
          <t>建信信托</t>
        </is>
      </c>
      <c r="Y2334" s="191" t="n">
        <v>0.9</v>
      </c>
    </row>
    <row r="2335">
      <c r="A2335" s="172" t="n">
        <v>128</v>
      </c>
      <c r="B2335" s="172" t="inlineStr">
        <is>
          <t>8月</t>
        </is>
      </c>
      <c r="C2335" s="172" t="inlineStr">
        <is>
          <t>消金</t>
        </is>
      </c>
      <c r="D2335" s="172" t="inlineStr">
        <is>
          <t>赊销白条</t>
        </is>
      </c>
      <c r="E2335" s="172" t="inlineStr">
        <is>
          <t>东裕11号季裕（可续发）</t>
        </is>
      </c>
      <c r="F2335" s="172" t="inlineStr">
        <is>
          <t>银行间</t>
        </is>
      </c>
      <c r="G2335" s="172" t="inlineStr">
        <is>
          <t>光大证券</t>
        </is>
      </c>
      <c r="H2335" s="172" t="inlineStr">
        <is>
          <t>江苏银行/杭州银行/厦门国际银行/中信证券</t>
        </is>
      </c>
      <c r="I2335" s="172" t="inlineStr">
        <is>
          <t>工银天分</t>
        </is>
      </c>
      <c r="J2335" s="172" t="n">
        <v>10</v>
      </c>
      <c r="K2335" s="172" t="inlineStr">
        <is>
          <t>10+10+9+3</t>
        </is>
      </c>
      <c r="L2335" s="208" t="n">
        <v>46244</v>
      </c>
      <c r="M2335" s="175" t="n">
        <v>0.0148</v>
      </c>
      <c r="N2335" s="176" t="n">
        <v>0.018</v>
      </c>
      <c r="O2335" s="172" t="n">
        <v>2.12</v>
      </c>
      <c r="P2335" s="172" t="inlineStr">
        <is>
          <t>优先A</t>
        </is>
      </c>
      <c r="Q2335" s="175" t="n">
        <v>0.9</v>
      </c>
      <c r="R2335" s="192" t="n">
        <v>9</v>
      </c>
      <c r="S2335" s="172" t="inlineStr">
        <is>
          <t>AAA</t>
        </is>
      </c>
      <c r="T2335" s="175" t="n">
        <v>0.0158</v>
      </c>
      <c r="U2335" s="172" t="n"/>
      <c r="V2335" s="172" t="n"/>
      <c r="W2335" s="175" t="n">
        <v>0.017</v>
      </c>
      <c r="X2335" s="172" t="inlineStr">
        <is>
          <t>中金公司自营</t>
        </is>
      </c>
      <c r="Y2335" s="191" t="n">
        <v>0.5</v>
      </c>
    </row>
    <row r="2336">
      <c r="A2336" s="172" t="n">
        <v>128</v>
      </c>
      <c r="B2336" s="172" t="inlineStr">
        <is>
          <t>8月</t>
        </is>
      </c>
      <c r="C2336" s="172" t="inlineStr">
        <is>
          <t>消金</t>
        </is>
      </c>
      <c r="D2336" s="172" t="inlineStr">
        <is>
          <t>赊销白条</t>
        </is>
      </c>
      <c r="E2336" s="172" t="inlineStr">
        <is>
          <t>东裕11号季裕（可续发）</t>
        </is>
      </c>
      <c r="F2336" s="172" t="inlineStr">
        <is>
          <t>银行间</t>
        </is>
      </c>
      <c r="G2336" s="172" t="inlineStr">
        <is>
          <t>光大证券</t>
        </is>
      </c>
      <c r="H2336" s="172" t="inlineStr">
        <is>
          <t>江苏银行/杭州银行/厦门国际银行/中信证券</t>
        </is>
      </c>
      <c r="I2336" s="172" t="inlineStr">
        <is>
          <t>工银天分</t>
        </is>
      </c>
      <c r="J2336" s="172" t="n">
        <v>10</v>
      </c>
      <c r="K2336" s="172" t="inlineStr">
        <is>
          <t>10+10+9+3</t>
        </is>
      </c>
      <c r="L2336" s="208" t="n">
        <v>46244</v>
      </c>
      <c r="M2336" s="175" t="n">
        <v>0.0148</v>
      </c>
      <c r="N2336" s="176" t="n">
        <v>0.018</v>
      </c>
      <c r="O2336" s="172" t="n">
        <v>2.12</v>
      </c>
      <c r="P2336" s="172" t="inlineStr">
        <is>
          <t>优先A</t>
        </is>
      </c>
      <c r="Q2336" s="175" t="n">
        <v>0.9</v>
      </c>
      <c r="R2336" s="192" t="n">
        <v>9</v>
      </c>
      <c r="S2336" s="172" t="inlineStr">
        <is>
          <t>AAA</t>
        </is>
      </c>
      <c r="T2336" s="175" t="n">
        <v>0.0158</v>
      </c>
      <c r="U2336" s="172" t="n"/>
      <c r="V2336" s="172" t="n"/>
      <c r="W2336" s="175" t="n">
        <v>0.017</v>
      </c>
      <c r="X2336" s="172" t="inlineStr">
        <is>
          <t>光大证券自营</t>
        </is>
      </c>
      <c r="Y2336" s="191" t="n">
        <v>1.4</v>
      </c>
    </row>
    <row r="2337">
      <c r="A2337" s="172" t="n">
        <v>128</v>
      </c>
      <c r="B2337" s="173" t="inlineStr">
        <is>
          <t>8月</t>
        </is>
      </c>
      <c r="C2337" s="173" t="inlineStr">
        <is>
          <t>消金</t>
        </is>
      </c>
      <c r="D2337" s="173" t="inlineStr">
        <is>
          <t>赊销白条</t>
        </is>
      </c>
      <c r="E2337" s="173" t="inlineStr">
        <is>
          <t>东裕11号季裕（可续发）</t>
        </is>
      </c>
      <c r="F2337" s="173" t="inlineStr">
        <is>
          <t>银行间</t>
        </is>
      </c>
      <c r="G2337" s="173" t="inlineStr">
        <is>
          <t>光大证券</t>
        </is>
      </c>
      <c r="H2337" s="173" t="inlineStr">
        <is>
          <t>江苏银行/杭州银行/厦门国际银行/中信证券</t>
        </is>
      </c>
      <c r="I2337" s="173" t="inlineStr">
        <is>
          <t>工银天分</t>
        </is>
      </c>
      <c r="J2337" s="172" t="n">
        <v>10</v>
      </c>
      <c r="K2337" s="173" t="inlineStr">
        <is>
          <t>10+10+9+3</t>
        </is>
      </c>
      <c r="L2337" s="202" t="n">
        <v>46244</v>
      </c>
      <c r="M2337" s="175" t="n">
        <v>0.0148</v>
      </c>
      <c r="N2337" s="176" t="n">
        <v>0.018</v>
      </c>
      <c r="O2337" s="191" t="n">
        <v>2.12</v>
      </c>
      <c r="P2337" s="177" t="inlineStr">
        <is>
          <t>优先B</t>
        </is>
      </c>
      <c r="Q2337" s="178" t="n">
        <v>0.03</v>
      </c>
      <c r="R2337" s="179" t="n">
        <v>0.3</v>
      </c>
      <c r="S2337" s="177" t="inlineStr">
        <is>
          <t>AA+</t>
        </is>
      </c>
      <c r="T2337" s="178" t="n">
        <v>0.018</v>
      </c>
      <c r="U2337" s="177" t="inlineStr">
        <is>
          <t>杭州联合银行</t>
        </is>
      </c>
      <c r="V2337" s="192" t="n">
        <v>0.09</v>
      </c>
      <c r="W2337" s="172" t="n"/>
      <c r="X2337" s="172" t="n"/>
      <c r="Y2337" s="172" t="n"/>
    </row>
    <row r="2338">
      <c r="A2338" s="172" t="n">
        <v>128</v>
      </c>
      <c r="B2338" s="173" t="inlineStr">
        <is>
          <t>8月</t>
        </is>
      </c>
      <c r="C2338" s="173" t="inlineStr">
        <is>
          <t>消金</t>
        </is>
      </c>
      <c r="D2338" s="173" t="inlineStr">
        <is>
          <t>赊销白条</t>
        </is>
      </c>
      <c r="E2338" s="173" t="inlineStr">
        <is>
          <t>东裕11号季裕（可续发）</t>
        </is>
      </c>
      <c r="F2338" s="173" t="inlineStr">
        <is>
          <t>银行间</t>
        </is>
      </c>
      <c r="G2338" s="173" t="inlineStr">
        <is>
          <t>光大证券</t>
        </is>
      </c>
      <c r="H2338" s="173" t="inlineStr">
        <is>
          <t>江苏银行/杭州银行/厦门国际银行/中信证券</t>
        </is>
      </c>
      <c r="I2338" s="173" t="inlineStr">
        <is>
          <t>工银天分</t>
        </is>
      </c>
      <c r="J2338" s="172" t="n">
        <v>10</v>
      </c>
      <c r="K2338" s="173" t="inlineStr">
        <is>
          <t>10+10+9+3</t>
        </is>
      </c>
      <c r="L2338" s="202" t="n">
        <v>46244</v>
      </c>
      <c r="M2338" s="175" t="n">
        <v>0.0148</v>
      </c>
      <c r="N2338" s="176" t="n">
        <v>0.018</v>
      </c>
      <c r="O2338" s="191" t="n">
        <v>2.12</v>
      </c>
      <c r="P2338" s="172" t="inlineStr">
        <is>
          <t>优先B</t>
        </is>
      </c>
      <c r="Q2338" s="178" t="n">
        <v>0.03</v>
      </c>
      <c r="R2338" s="179" t="n">
        <v>0.3</v>
      </c>
      <c r="S2338" s="177" t="inlineStr">
        <is>
          <t>AA+</t>
        </is>
      </c>
      <c r="T2338" s="178" t="n">
        <v>0.018</v>
      </c>
      <c r="U2338" s="177" t="inlineStr">
        <is>
          <t>招银理财</t>
        </is>
      </c>
      <c r="V2338" s="192" t="n">
        <v>0.09</v>
      </c>
      <c r="W2338" s="175" t="n">
        <v>0.017</v>
      </c>
      <c r="X2338" s="172" t="inlineStr">
        <is>
          <t>招银理财</t>
        </is>
      </c>
      <c r="Y2338" s="191" t="n">
        <v>0.09</v>
      </c>
    </row>
    <row r="2339">
      <c r="A2339" s="172" t="n">
        <v>128</v>
      </c>
      <c r="B2339" s="173" t="inlineStr">
        <is>
          <t>8月</t>
        </is>
      </c>
      <c r="C2339" s="173" t="inlineStr">
        <is>
          <t>消金</t>
        </is>
      </c>
      <c r="D2339" s="173" t="inlineStr">
        <is>
          <t>赊销白条</t>
        </is>
      </c>
      <c r="E2339" s="173" t="inlineStr">
        <is>
          <t>东裕11号季裕（可续发）</t>
        </is>
      </c>
      <c r="F2339" s="173" t="inlineStr">
        <is>
          <t>银行间</t>
        </is>
      </c>
      <c r="G2339" s="173" t="inlineStr">
        <is>
          <t>光大证券</t>
        </is>
      </c>
      <c r="H2339" s="173" t="inlineStr">
        <is>
          <t>江苏银行/杭州银行/厦门国际银行/中信证券</t>
        </is>
      </c>
      <c r="I2339" s="173" t="inlineStr">
        <is>
          <t>工银天分</t>
        </is>
      </c>
      <c r="J2339" s="172" t="n">
        <v>10</v>
      </c>
      <c r="K2339" s="173" t="inlineStr">
        <is>
          <t>10+10+9+3</t>
        </is>
      </c>
      <c r="L2339" s="202" t="n">
        <v>46244</v>
      </c>
      <c r="M2339" s="175" t="n">
        <v>0.0148</v>
      </c>
      <c r="N2339" s="176" t="n">
        <v>0.018</v>
      </c>
      <c r="O2339" s="191" t="n">
        <v>2.12</v>
      </c>
      <c r="P2339" s="172" t="inlineStr">
        <is>
          <t>优先B</t>
        </is>
      </c>
      <c r="Q2339" s="178" t="n">
        <v>0.03</v>
      </c>
      <c r="R2339" s="179" t="n">
        <v>0.3</v>
      </c>
      <c r="S2339" s="177" t="inlineStr">
        <is>
          <t>AA+</t>
        </is>
      </c>
      <c r="T2339" s="178" t="n">
        <v>0.018</v>
      </c>
      <c r="U2339" s="177" t="inlineStr">
        <is>
          <t>中邮理财</t>
        </is>
      </c>
      <c r="V2339" s="192" t="n">
        <v>0.09</v>
      </c>
      <c r="W2339" s="175" t="n">
        <v>0.018</v>
      </c>
      <c r="X2339" s="172" t="inlineStr">
        <is>
          <t>中邮理财</t>
        </is>
      </c>
      <c r="Y2339" s="191" t="n">
        <v>0.09</v>
      </c>
    </row>
    <row r="2340">
      <c r="A2340" s="172" t="n">
        <v>128</v>
      </c>
      <c r="B2340" s="173" t="inlineStr">
        <is>
          <t>8月</t>
        </is>
      </c>
      <c r="C2340" s="173" t="inlineStr">
        <is>
          <t>消金</t>
        </is>
      </c>
      <c r="D2340" s="173" t="inlineStr">
        <is>
          <t>赊销白条</t>
        </is>
      </c>
      <c r="E2340" s="173" t="inlineStr">
        <is>
          <t>东裕11号季裕（可续发）</t>
        </is>
      </c>
      <c r="F2340" s="173" t="inlineStr">
        <is>
          <t>银行间</t>
        </is>
      </c>
      <c r="G2340" s="173" t="inlineStr">
        <is>
          <t>光大证券</t>
        </is>
      </c>
      <c r="H2340" s="173" t="inlineStr">
        <is>
          <t>江苏银行/杭州银行/厦门国际银行/中信证券</t>
        </is>
      </c>
      <c r="I2340" s="173" t="inlineStr">
        <is>
          <t>工银天分</t>
        </is>
      </c>
      <c r="J2340" s="172" t="n">
        <v>10</v>
      </c>
      <c r="K2340" s="173" t="inlineStr">
        <is>
          <t>10+10+9+3</t>
        </is>
      </c>
      <c r="L2340" s="202" t="n">
        <v>46244</v>
      </c>
      <c r="M2340" s="175" t="n">
        <v>0.0148</v>
      </c>
      <c r="N2340" s="176" t="n">
        <v>0.018</v>
      </c>
      <c r="O2340" s="191" t="n">
        <v>2.12</v>
      </c>
      <c r="P2340" s="172" t="inlineStr">
        <is>
          <t>优先B</t>
        </is>
      </c>
      <c r="Q2340" s="178" t="n">
        <v>0.03</v>
      </c>
      <c r="R2340" s="179" t="n">
        <v>0.3</v>
      </c>
      <c r="S2340" s="177" t="inlineStr">
        <is>
          <t>AA+</t>
        </is>
      </c>
      <c r="T2340" s="178" t="n">
        <v>0.018</v>
      </c>
      <c r="U2340" s="177" t="inlineStr">
        <is>
          <t>中信建投衍生品</t>
        </is>
      </c>
      <c r="V2340" s="192" t="n">
        <v>0.03</v>
      </c>
      <c r="W2340" s="175" t="n">
        <v>0.0175</v>
      </c>
      <c r="X2340" s="172" t="inlineStr">
        <is>
          <t>中信建投衍生品</t>
        </is>
      </c>
      <c r="Y2340" s="191" t="n">
        <v>0.03</v>
      </c>
    </row>
    <row r="2341">
      <c r="A2341" s="172" t="n">
        <v>128</v>
      </c>
      <c r="B2341" s="172" t="inlineStr">
        <is>
          <t>8月</t>
        </is>
      </c>
      <c r="C2341" s="172" t="inlineStr">
        <is>
          <t>消金</t>
        </is>
      </c>
      <c r="D2341" s="172" t="inlineStr">
        <is>
          <t>赊销白条</t>
        </is>
      </c>
      <c r="E2341" s="172" t="inlineStr">
        <is>
          <t>东裕11号季裕（可续发）</t>
        </is>
      </c>
      <c r="F2341" s="172" t="inlineStr">
        <is>
          <t>银行间</t>
        </is>
      </c>
      <c r="G2341" s="172" t="inlineStr">
        <is>
          <t>光大证券</t>
        </is>
      </c>
      <c r="H2341" s="172" t="inlineStr">
        <is>
          <t>江苏银行/杭州银行/厦门国际银行/中信证券</t>
        </is>
      </c>
      <c r="I2341" s="172" t="inlineStr">
        <is>
          <t>工银天分</t>
        </is>
      </c>
      <c r="J2341" s="172" t="n">
        <v>10</v>
      </c>
      <c r="K2341" s="172" t="inlineStr">
        <is>
          <t>10+10+9+3</t>
        </is>
      </c>
      <c r="L2341" s="208" t="n">
        <v>46244</v>
      </c>
      <c r="M2341" s="175" t="n">
        <v>0.0148</v>
      </c>
      <c r="N2341" s="176" t="n">
        <v>0.018</v>
      </c>
      <c r="O2341" s="172" t="n">
        <v>2.12</v>
      </c>
      <c r="P2341" s="172" t="inlineStr">
        <is>
          <t>优先B</t>
        </is>
      </c>
      <c r="Q2341" s="175" t="n">
        <v>0.03</v>
      </c>
      <c r="R2341" s="192" t="n">
        <v>0.3</v>
      </c>
      <c r="S2341" s="172" t="inlineStr">
        <is>
          <t>AA+</t>
        </is>
      </c>
      <c r="T2341" s="175" t="n">
        <v>0.018</v>
      </c>
      <c r="U2341" s="172" t="n"/>
      <c r="V2341" s="172" t="n"/>
      <c r="W2341" s="175" t="n">
        <v>0.0175</v>
      </c>
      <c r="X2341" s="172" t="inlineStr">
        <is>
          <t>杭州联合农商</t>
        </is>
      </c>
      <c r="Y2341" s="191" t="n">
        <v>0.09</v>
      </c>
    </row>
    <row r="2342">
      <c r="A2342" s="172" t="n">
        <v>128</v>
      </c>
      <c r="B2342" s="172" t="inlineStr">
        <is>
          <t>8月</t>
        </is>
      </c>
      <c r="C2342" s="172" t="inlineStr">
        <is>
          <t>消金</t>
        </is>
      </c>
      <c r="D2342" s="172" t="inlineStr">
        <is>
          <t>赊销白条</t>
        </is>
      </c>
      <c r="E2342" s="172" t="inlineStr">
        <is>
          <t>东裕11号季裕（可续发）</t>
        </is>
      </c>
      <c r="F2342" s="172" t="inlineStr">
        <is>
          <t>银行间</t>
        </is>
      </c>
      <c r="G2342" s="172" t="inlineStr">
        <is>
          <t>光大证券</t>
        </is>
      </c>
      <c r="H2342" s="172" t="inlineStr">
        <is>
          <t>江苏银行/杭州银行/厦门国际银行/中信证券</t>
        </is>
      </c>
      <c r="I2342" s="172" t="inlineStr">
        <is>
          <t>工银天分</t>
        </is>
      </c>
      <c r="J2342" s="172" t="n">
        <v>10</v>
      </c>
      <c r="K2342" s="172" t="inlineStr">
        <is>
          <t>10+10+9+3</t>
        </is>
      </c>
      <c r="L2342" s="208" t="n">
        <v>46244</v>
      </c>
      <c r="M2342" s="175" t="n">
        <v>0.0148</v>
      </c>
      <c r="N2342" s="176" t="n">
        <v>0.018</v>
      </c>
      <c r="O2342" s="172" t="n">
        <v>2.12</v>
      </c>
      <c r="P2342" s="172" t="inlineStr">
        <is>
          <t>优先B</t>
        </is>
      </c>
      <c r="Q2342" s="175" t="n">
        <v>0.03</v>
      </c>
      <c r="R2342" s="192" t="n">
        <v>0.3</v>
      </c>
      <c r="S2342" s="172" t="inlineStr">
        <is>
          <t>AA+</t>
        </is>
      </c>
      <c r="T2342" s="175" t="n">
        <v>0.018</v>
      </c>
      <c r="U2342" s="172" t="n"/>
      <c r="V2342" s="172" t="n"/>
      <c r="W2342" s="175" t="n">
        <v>0.019</v>
      </c>
      <c r="X2342" s="172" t="inlineStr">
        <is>
          <t>中金公司自营</t>
        </is>
      </c>
      <c r="Y2342" s="191" t="n">
        <v>0.2</v>
      </c>
    </row>
    <row r="2343">
      <c r="A2343" s="172" t="n">
        <v>128</v>
      </c>
      <c r="B2343" s="172" t="inlineStr">
        <is>
          <t>8月</t>
        </is>
      </c>
      <c r="C2343" s="172" t="inlineStr">
        <is>
          <t>消金</t>
        </is>
      </c>
      <c r="D2343" s="172" t="inlineStr">
        <is>
          <t>赊销白条</t>
        </is>
      </c>
      <c r="E2343" s="172" t="inlineStr">
        <is>
          <t>东裕11号季裕（可续发）</t>
        </is>
      </c>
      <c r="F2343" s="172" t="inlineStr">
        <is>
          <t>银行间</t>
        </is>
      </c>
      <c r="G2343" s="172" t="inlineStr">
        <is>
          <t>光大证券</t>
        </is>
      </c>
      <c r="H2343" s="172" t="inlineStr">
        <is>
          <t>江苏银行/杭州银行/厦门国际银行/中信证券</t>
        </is>
      </c>
      <c r="I2343" s="172" t="inlineStr">
        <is>
          <t>工银天分</t>
        </is>
      </c>
      <c r="J2343" s="172" t="n">
        <v>10</v>
      </c>
      <c r="K2343" s="172" t="inlineStr">
        <is>
          <t>10+10+9+3</t>
        </is>
      </c>
      <c r="L2343" s="208" t="n">
        <v>46244</v>
      </c>
      <c r="M2343" s="175" t="n">
        <v>0.0148</v>
      </c>
      <c r="N2343" s="176" t="n">
        <v>0.018</v>
      </c>
      <c r="O2343" s="172" t="n">
        <v>2.12</v>
      </c>
      <c r="P2343" s="172" t="inlineStr">
        <is>
          <t>优先B</t>
        </is>
      </c>
      <c r="Q2343" s="175" t="n">
        <v>0.03</v>
      </c>
      <c r="R2343" s="192" t="n">
        <v>0.3</v>
      </c>
      <c r="S2343" s="172" t="inlineStr">
        <is>
          <t>AA+</t>
        </is>
      </c>
      <c r="T2343" s="175" t="n">
        <v>0.018</v>
      </c>
      <c r="U2343" s="172" t="n"/>
      <c r="V2343" s="172" t="n"/>
      <c r="W2343" s="175" t="n">
        <v>0.022</v>
      </c>
      <c r="X2343" s="172" t="inlineStr">
        <is>
          <t>中信证券自营</t>
        </is>
      </c>
      <c r="Y2343" s="191" t="n">
        <v>0.04</v>
      </c>
    </row>
    <row r="2344">
      <c r="A2344" s="172" t="n">
        <v>128</v>
      </c>
      <c r="B2344" s="173" t="inlineStr">
        <is>
          <t>8月</t>
        </is>
      </c>
      <c r="C2344" s="173" t="inlineStr">
        <is>
          <t>消金</t>
        </is>
      </c>
      <c r="D2344" s="173" t="inlineStr">
        <is>
          <t>赊销白条</t>
        </is>
      </c>
      <c r="E2344" s="173" t="inlineStr">
        <is>
          <t>东裕11号季裕（可续发）</t>
        </is>
      </c>
      <c r="F2344" s="173" t="inlineStr">
        <is>
          <t>银行间</t>
        </is>
      </c>
      <c r="G2344" s="173" t="inlineStr">
        <is>
          <t>光大证券</t>
        </is>
      </c>
      <c r="H2344" s="173" t="inlineStr">
        <is>
          <t>江苏银行/杭州银行/厦门国际银行/中信证券</t>
        </is>
      </c>
      <c r="I2344" s="173" t="inlineStr">
        <is>
          <t>工银天分</t>
        </is>
      </c>
      <c r="J2344" s="172" t="n">
        <v>10</v>
      </c>
      <c r="K2344" s="173" t="inlineStr">
        <is>
          <t>10+10+9+3</t>
        </is>
      </c>
      <c r="L2344" s="202" t="n">
        <v>46244</v>
      </c>
      <c r="M2344" s="175" t="n">
        <v>0.0148</v>
      </c>
      <c r="N2344" s="176" t="n">
        <v>0.018</v>
      </c>
      <c r="O2344" s="191" t="n">
        <v>2.12</v>
      </c>
      <c r="P2344" s="177" t="inlineStr">
        <is>
          <t>中间级</t>
        </is>
      </c>
      <c r="Q2344" s="178" t="n">
        <v>0.02</v>
      </c>
      <c r="R2344" s="179" t="n">
        <v>0.2</v>
      </c>
      <c r="S2344" s="177" t="inlineStr">
        <is>
          <t>A+</t>
        </is>
      </c>
      <c r="T2344" s="178" t="n">
        <v>0.031</v>
      </c>
      <c r="U2344" s="177" t="inlineStr">
        <is>
          <t>杭州联合银行</t>
        </is>
      </c>
      <c r="V2344" s="192" t="n">
        <v>0.06</v>
      </c>
      <c r="W2344" s="172" t="n"/>
      <c r="X2344" s="172" t="n"/>
      <c r="Y2344" s="172" t="n"/>
    </row>
    <row r="2345">
      <c r="A2345" s="172" t="n">
        <v>128</v>
      </c>
      <c r="B2345" s="173" t="inlineStr">
        <is>
          <t>8月</t>
        </is>
      </c>
      <c r="C2345" s="173" t="inlineStr">
        <is>
          <t>消金</t>
        </is>
      </c>
      <c r="D2345" s="173" t="inlineStr">
        <is>
          <t>赊销白条</t>
        </is>
      </c>
      <c r="E2345" s="173" t="inlineStr">
        <is>
          <t>东裕11号季裕（可续发）</t>
        </is>
      </c>
      <c r="F2345" s="173" t="inlineStr">
        <is>
          <t>银行间</t>
        </is>
      </c>
      <c r="G2345" s="173" t="inlineStr">
        <is>
          <t>光大证券</t>
        </is>
      </c>
      <c r="H2345" s="173" t="inlineStr">
        <is>
          <t>江苏银行/杭州银行/厦门国际银行/中信证券</t>
        </is>
      </c>
      <c r="I2345" s="173" t="inlineStr">
        <is>
          <t>工银天分</t>
        </is>
      </c>
      <c r="J2345" s="172" t="n">
        <v>10</v>
      </c>
      <c r="K2345" s="173" t="inlineStr">
        <is>
          <t>10+10+9+3</t>
        </is>
      </c>
      <c r="L2345" s="202" t="n">
        <v>46244</v>
      </c>
      <c r="M2345" s="175" t="n">
        <v>0.0148</v>
      </c>
      <c r="N2345" s="176" t="n">
        <v>0.018</v>
      </c>
      <c r="O2345" s="191" t="n">
        <v>2.12</v>
      </c>
      <c r="P2345" s="172" t="inlineStr">
        <is>
          <t>中间级</t>
        </is>
      </c>
      <c r="Q2345" s="178" t="n">
        <v>0.02</v>
      </c>
      <c r="R2345" s="179" t="n">
        <v>0.2</v>
      </c>
      <c r="S2345" s="177" t="inlineStr">
        <is>
          <t>A+</t>
        </is>
      </c>
      <c r="T2345" s="178" t="n">
        <v>0.031</v>
      </c>
      <c r="U2345" s="177" t="inlineStr">
        <is>
          <t>平安理财</t>
        </is>
      </c>
      <c r="V2345" s="192" t="n">
        <v>0.06</v>
      </c>
      <c r="W2345" s="172" t="n"/>
      <c r="X2345" s="172" t="n"/>
      <c r="Y2345" s="172" t="n"/>
    </row>
    <row r="2346">
      <c r="A2346" s="172" t="n">
        <v>128</v>
      </c>
      <c r="B2346" s="173" t="inlineStr">
        <is>
          <t>8月</t>
        </is>
      </c>
      <c r="C2346" s="173" t="inlineStr">
        <is>
          <t>消金</t>
        </is>
      </c>
      <c r="D2346" s="173" t="inlineStr">
        <is>
          <t>赊销白条</t>
        </is>
      </c>
      <c r="E2346" s="173" t="inlineStr">
        <is>
          <t>东裕11号季裕（可续发）</t>
        </is>
      </c>
      <c r="F2346" s="173" t="inlineStr">
        <is>
          <t>银行间</t>
        </is>
      </c>
      <c r="G2346" s="173" t="inlineStr">
        <is>
          <t>光大证券</t>
        </is>
      </c>
      <c r="H2346" s="173" t="inlineStr">
        <is>
          <t>江苏银行/杭州银行/厦门国际银行/中信证券</t>
        </is>
      </c>
      <c r="I2346" s="173" t="inlineStr">
        <is>
          <t>工银天分</t>
        </is>
      </c>
      <c r="J2346" s="172" t="n">
        <v>10</v>
      </c>
      <c r="K2346" s="173" t="inlineStr">
        <is>
          <t>10+10+9+3</t>
        </is>
      </c>
      <c r="L2346" s="202" t="n">
        <v>46244</v>
      </c>
      <c r="M2346" s="175" t="n">
        <v>0.0148</v>
      </c>
      <c r="N2346" s="176" t="n">
        <v>0.018</v>
      </c>
      <c r="O2346" s="191" t="n">
        <v>2.12</v>
      </c>
      <c r="P2346" s="172" t="inlineStr">
        <is>
          <t>中间级</t>
        </is>
      </c>
      <c r="Q2346" s="178" t="n">
        <v>0.02</v>
      </c>
      <c r="R2346" s="179" t="n">
        <v>0.2</v>
      </c>
      <c r="S2346" s="177" t="inlineStr">
        <is>
          <t>A+</t>
        </is>
      </c>
      <c r="T2346" s="178" t="n">
        <v>0.031</v>
      </c>
      <c r="U2346" s="177" t="inlineStr">
        <is>
          <t>招银理财</t>
        </is>
      </c>
      <c r="V2346" s="192" t="n">
        <v>0.06</v>
      </c>
      <c r="W2346" s="172" t="n"/>
      <c r="X2346" s="172" t="n"/>
      <c r="Y2346" s="172" t="n"/>
    </row>
    <row r="2347">
      <c r="A2347" s="172" t="n">
        <v>128</v>
      </c>
      <c r="B2347" s="173" t="inlineStr">
        <is>
          <t>8月</t>
        </is>
      </c>
      <c r="C2347" s="173" t="inlineStr">
        <is>
          <t>消金</t>
        </is>
      </c>
      <c r="D2347" s="173" t="inlineStr">
        <is>
          <t>赊销白条</t>
        </is>
      </c>
      <c r="E2347" s="173" t="inlineStr">
        <is>
          <t>东裕11号季裕（可续发）</t>
        </is>
      </c>
      <c r="F2347" s="173" t="inlineStr">
        <is>
          <t>银行间</t>
        </is>
      </c>
      <c r="G2347" s="173" t="inlineStr">
        <is>
          <t>光大证券</t>
        </is>
      </c>
      <c r="H2347" s="173" t="inlineStr">
        <is>
          <t>江苏银行/杭州银行/厦门国际银行/中信证券</t>
        </is>
      </c>
      <c r="I2347" s="173" t="inlineStr">
        <is>
          <t>工银天分</t>
        </is>
      </c>
      <c r="J2347" s="172" t="n">
        <v>10</v>
      </c>
      <c r="K2347" s="173" t="inlineStr">
        <is>
          <t>10+10+9+3</t>
        </is>
      </c>
      <c r="L2347" s="202" t="n">
        <v>46244</v>
      </c>
      <c r="M2347" s="175" t="n">
        <v>0.0148</v>
      </c>
      <c r="N2347" s="176" t="n">
        <v>0.018</v>
      </c>
      <c r="O2347" s="191" t="n">
        <v>2.12</v>
      </c>
      <c r="P2347" s="172" t="inlineStr">
        <is>
          <t>中间级</t>
        </is>
      </c>
      <c r="Q2347" s="178" t="n">
        <v>0.02</v>
      </c>
      <c r="R2347" s="179" t="n">
        <v>0.2</v>
      </c>
      <c r="S2347" s="177" t="inlineStr">
        <is>
          <t>A+</t>
        </is>
      </c>
      <c r="T2347" s="178" t="n">
        <v>0.031</v>
      </c>
      <c r="U2347" s="177" t="inlineStr">
        <is>
          <t>中信建投衍生品</t>
        </is>
      </c>
      <c r="V2347" s="192" t="n">
        <v>0.02</v>
      </c>
      <c r="W2347" s="172" t="n"/>
      <c r="X2347" s="172" t="n"/>
      <c r="Y2347" s="172" t="n"/>
    </row>
    <row r="2348">
      <c r="A2348" s="172" t="n">
        <v>128</v>
      </c>
      <c r="B2348" s="173" t="inlineStr">
        <is>
          <t>8月</t>
        </is>
      </c>
      <c r="C2348" s="173" t="inlineStr">
        <is>
          <t>消金</t>
        </is>
      </c>
      <c r="D2348" s="173" t="inlineStr">
        <is>
          <t>赊销白条</t>
        </is>
      </c>
      <c r="E2348" s="173" t="inlineStr">
        <is>
          <t>东裕11号季裕（可续发）</t>
        </is>
      </c>
      <c r="F2348" s="173" t="inlineStr">
        <is>
          <t>银行间</t>
        </is>
      </c>
      <c r="G2348" s="173" t="inlineStr">
        <is>
          <t>光大证券</t>
        </is>
      </c>
      <c r="H2348" s="173" t="inlineStr">
        <is>
          <t>江苏银行/杭州银行/厦门国际银行/中信证券</t>
        </is>
      </c>
      <c r="I2348" s="173" t="inlineStr">
        <is>
          <t>工银天分</t>
        </is>
      </c>
      <c r="J2348" s="172" t="n">
        <v>10</v>
      </c>
      <c r="K2348" s="173" t="inlineStr">
        <is>
          <t>10+10+9+3</t>
        </is>
      </c>
      <c r="L2348" s="202" t="n">
        <v>46244</v>
      </c>
      <c r="M2348" s="175" t="n">
        <v>0.0148</v>
      </c>
      <c r="N2348" s="176" t="n">
        <v>0.018</v>
      </c>
      <c r="O2348" s="191" t="n">
        <v>2.12</v>
      </c>
      <c r="P2348" s="177" t="inlineStr">
        <is>
          <t>次级</t>
        </is>
      </c>
      <c r="Q2348" s="178" t="n">
        <v>0.05</v>
      </c>
      <c r="R2348" s="179" t="n">
        <v>0.5</v>
      </c>
      <c r="S2348" s="177" t="inlineStr">
        <is>
          <t>无</t>
        </is>
      </c>
      <c r="T2348" s="178" t="n">
        <v>0.045</v>
      </c>
      <c r="U2348" s="177" t="inlineStr">
        <is>
          <t>中金投顾</t>
        </is>
      </c>
      <c r="V2348" s="192" t="n">
        <v>0.2</v>
      </c>
      <c r="W2348" s="172" t="n"/>
      <c r="X2348" s="172" t="n"/>
      <c r="Y2348" s="172" t="n"/>
    </row>
    <row r="2349">
      <c r="A2349" s="172" t="n">
        <v>128</v>
      </c>
      <c r="B2349" s="173" t="inlineStr">
        <is>
          <t>8月</t>
        </is>
      </c>
      <c r="C2349" s="173" t="inlineStr">
        <is>
          <t>消金</t>
        </is>
      </c>
      <c r="D2349" s="173" t="inlineStr">
        <is>
          <t>赊销白条</t>
        </is>
      </c>
      <c r="E2349" s="173" t="inlineStr">
        <is>
          <t>东裕11号季裕（可续发）</t>
        </is>
      </c>
      <c r="F2349" s="173" t="inlineStr">
        <is>
          <t>银行间</t>
        </is>
      </c>
      <c r="G2349" s="173" t="inlineStr">
        <is>
          <t>光大证券</t>
        </is>
      </c>
      <c r="H2349" s="173" t="inlineStr">
        <is>
          <t>江苏银行/杭州银行/厦门国际银行/中信证券</t>
        </is>
      </c>
      <c r="I2349" s="173" t="inlineStr">
        <is>
          <t>工银天分</t>
        </is>
      </c>
      <c r="J2349" s="172" t="n">
        <v>10</v>
      </c>
      <c r="K2349" s="173" t="inlineStr">
        <is>
          <t>10+10+9+3</t>
        </is>
      </c>
      <c r="L2349" s="202" t="n">
        <v>46244</v>
      </c>
      <c r="M2349" s="175" t="n">
        <v>0.0148</v>
      </c>
      <c r="N2349" s="176" t="n">
        <v>0.018</v>
      </c>
      <c r="O2349" s="191" t="n">
        <v>2.12</v>
      </c>
      <c r="P2349" s="172" t="inlineStr">
        <is>
          <t>次级</t>
        </is>
      </c>
      <c r="Q2349" s="178" t="n">
        <v>0.05</v>
      </c>
      <c r="R2349" s="179" t="n">
        <v>0.5</v>
      </c>
      <c r="S2349" s="177" t="inlineStr">
        <is>
          <t>无</t>
        </is>
      </c>
      <c r="T2349" s="178" t="n">
        <v>0.045</v>
      </c>
      <c r="U2349" s="177" t="inlineStr">
        <is>
          <t>中信证券自营</t>
        </is>
      </c>
      <c r="V2349" s="192" t="n">
        <v>0.3</v>
      </c>
      <c r="W2349" s="172" t="n"/>
      <c r="X2349" s="172" t="n"/>
      <c r="Y2349" s="172" t="n"/>
    </row>
    <row r="2350">
      <c r="A2350" s="172" t="n">
        <v>129</v>
      </c>
      <c r="B2350" s="172" t="inlineStr">
        <is>
          <t>8月</t>
        </is>
      </c>
      <c r="C2350" s="172" t="inlineStr">
        <is>
          <t>企金</t>
        </is>
      </c>
      <c r="D2350" s="172" t="inlineStr">
        <is>
          <t>保理</t>
        </is>
      </c>
      <c r="E2350" s="172" t="inlineStr">
        <is>
          <t>京诚16-1</t>
        </is>
      </c>
      <c r="F2350" s="172" t="inlineStr">
        <is>
          <t>上交所</t>
        </is>
      </c>
      <c r="G2350" s="172" t="inlineStr">
        <is>
          <t>财通资管</t>
        </is>
      </c>
      <c r="H2350" s="172" t="inlineStr">
        <is>
          <t>华福证券</t>
        </is>
      </c>
      <c r="I2350" s="172" t="inlineStr">
        <is>
          <t>招行北分</t>
        </is>
      </c>
      <c r="J2350" s="172" t="n">
        <v>10</v>
      </c>
      <c r="K2350" s="172" t="inlineStr">
        <is>
          <t>3+3</t>
        </is>
      </c>
      <c r="L2350" s="202" t="n">
        <v>46244</v>
      </c>
      <c r="M2350" s="175" t="n">
        <v>0.0148</v>
      </c>
      <c r="N2350" s="176" t="n">
        <v>0.0161</v>
      </c>
      <c r="O2350" s="191" t="n">
        <v>3</v>
      </c>
      <c r="P2350" s="172" t="inlineStr">
        <is>
          <t>优先级</t>
        </is>
      </c>
      <c r="Q2350" s="175" t="n">
        <v>0.99</v>
      </c>
      <c r="R2350" s="192" t="n">
        <v>9.9</v>
      </c>
      <c r="S2350" s="172" t="inlineStr">
        <is>
          <t>AAA</t>
        </is>
      </c>
      <c r="T2350" s="175" t="n">
        <v>0.0154</v>
      </c>
      <c r="U2350" s="172" t="inlineStr">
        <is>
          <t>平安理财</t>
        </is>
      </c>
      <c r="V2350" s="191" t="n">
        <v>1.56</v>
      </c>
      <c r="W2350" s="175" t="n">
        <v>0.0151</v>
      </c>
      <c r="X2350" s="172" t="inlineStr">
        <is>
          <t>平安理财</t>
        </is>
      </c>
      <c r="Y2350" s="191" t="n">
        <v>1.56</v>
      </c>
    </row>
    <row r="2351">
      <c r="A2351" s="172" t="n">
        <v>129</v>
      </c>
      <c r="B2351" s="172" t="inlineStr">
        <is>
          <t>8月</t>
        </is>
      </c>
      <c r="C2351" s="172" t="inlineStr">
        <is>
          <t>企金</t>
        </is>
      </c>
      <c r="D2351" s="172" t="inlineStr">
        <is>
          <t>保理</t>
        </is>
      </c>
      <c r="E2351" s="172" t="inlineStr">
        <is>
          <t>京诚16-1</t>
        </is>
      </c>
      <c r="F2351" s="172" t="inlineStr">
        <is>
          <t>上交所</t>
        </is>
      </c>
      <c r="G2351" s="172" t="inlineStr">
        <is>
          <t>财通资管</t>
        </is>
      </c>
      <c r="H2351" s="172" t="inlineStr">
        <is>
          <t>华福证券</t>
        </is>
      </c>
      <c r="I2351" s="172" t="inlineStr">
        <is>
          <t>招行北分</t>
        </is>
      </c>
      <c r="J2351" s="172" t="n">
        <v>10</v>
      </c>
      <c r="K2351" s="172" t="inlineStr">
        <is>
          <t>3+3</t>
        </is>
      </c>
      <c r="L2351" s="202" t="n">
        <v>46244</v>
      </c>
      <c r="M2351" s="175" t="n">
        <v>0.0148</v>
      </c>
      <c r="N2351" s="176" t="n">
        <v>0.0161</v>
      </c>
      <c r="O2351" s="191" t="n">
        <v>3</v>
      </c>
      <c r="P2351" s="172" t="inlineStr">
        <is>
          <t>优先级</t>
        </is>
      </c>
      <c r="Q2351" s="175" t="n">
        <v>0.99</v>
      </c>
      <c r="R2351" s="192" t="n">
        <v>9.9</v>
      </c>
      <c r="S2351" s="172" t="inlineStr">
        <is>
          <t>AAA</t>
        </is>
      </c>
      <c r="T2351" s="175" t="n">
        <v>0.0154</v>
      </c>
      <c r="U2351" s="172" t="inlineStr">
        <is>
          <t>平安资产</t>
        </is>
      </c>
      <c r="V2351" s="191" t="n">
        <v>3.8</v>
      </c>
      <c r="W2351" s="175" t="n">
        <v>0.0153</v>
      </c>
      <c r="X2351" s="172" t="inlineStr">
        <is>
          <t>平安资产</t>
        </is>
      </c>
      <c r="Y2351" s="191" t="n">
        <v>1.5</v>
      </c>
    </row>
    <row r="2352">
      <c r="A2352" s="172" t="n">
        <v>129</v>
      </c>
      <c r="B2352" s="172" t="inlineStr">
        <is>
          <t>8月</t>
        </is>
      </c>
      <c r="C2352" s="172" t="inlineStr">
        <is>
          <t>企金</t>
        </is>
      </c>
      <c r="D2352" s="172" t="inlineStr">
        <is>
          <t>保理</t>
        </is>
      </c>
      <c r="E2352" s="172" t="inlineStr">
        <is>
          <t>京诚16-1</t>
        </is>
      </c>
      <c r="F2352" s="172" t="inlineStr">
        <is>
          <t>上交所</t>
        </is>
      </c>
      <c r="G2352" s="172" t="inlineStr">
        <is>
          <t>财通资管</t>
        </is>
      </c>
      <c r="H2352" s="172" t="inlineStr">
        <is>
          <t>华福证券</t>
        </is>
      </c>
      <c r="I2352" s="172" t="inlineStr">
        <is>
          <t>招行北分</t>
        </is>
      </c>
      <c r="J2352" s="172" t="n">
        <v>10</v>
      </c>
      <c r="K2352" s="172" t="inlineStr">
        <is>
          <t>3+3</t>
        </is>
      </c>
      <c r="L2352" s="208" t="n">
        <v>46244</v>
      </c>
      <c r="M2352" s="175" t="n">
        <v>0.0148</v>
      </c>
      <c r="N2352" s="176" t="n">
        <v>0.0161</v>
      </c>
      <c r="O2352" s="172" t="n">
        <v>3</v>
      </c>
      <c r="P2352" s="172" t="inlineStr">
        <is>
          <t>优先级</t>
        </is>
      </c>
      <c r="Q2352" s="175" t="n">
        <v>0.99</v>
      </c>
      <c r="R2352" s="192" t="n">
        <v>9.9</v>
      </c>
      <c r="S2352" s="172" t="inlineStr">
        <is>
          <t>AAA</t>
        </is>
      </c>
      <c r="T2352" s="175" t="n">
        <v>0.0154</v>
      </c>
      <c r="U2352" s="172" t="n"/>
      <c r="V2352" s="172" t="n"/>
      <c r="W2352" s="175" t="n">
        <v>0.0154</v>
      </c>
      <c r="X2352" s="172" t="inlineStr">
        <is>
          <t>平安资产</t>
        </is>
      </c>
      <c r="Y2352" s="191" t="n">
        <v>3.45</v>
      </c>
    </row>
    <row r="2353">
      <c r="A2353" s="172" t="n">
        <v>129</v>
      </c>
      <c r="B2353" s="172" t="inlineStr">
        <is>
          <t>8月</t>
        </is>
      </c>
      <c r="C2353" s="172" t="inlineStr">
        <is>
          <t>企金</t>
        </is>
      </c>
      <c r="D2353" s="172" t="inlineStr">
        <is>
          <t>保理</t>
        </is>
      </c>
      <c r="E2353" s="172" t="inlineStr">
        <is>
          <t>京诚16-1</t>
        </is>
      </c>
      <c r="F2353" s="172" t="inlineStr">
        <is>
          <t>上交所</t>
        </is>
      </c>
      <c r="G2353" s="172" t="inlineStr">
        <is>
          <t>财通资管</t>
        </is>
      </c>
      <c r="H2353" s="172" t="inlineStr">
        <is>
          <t>华福证券</t>
        </is>
      </c>
      <c r="I2353" s="172" t="inlineStr">
        <is>
          <t>招行北分</t>
        </is>
      </c>
      <c r="J2353" s="172" t="n">
        <v>10</v>
      </c>
      <c r="K2353" s="172" t="inlineStr">
        <is>
          <t>3+3</t>
        </is>
      </c>
      <c r="L2353" s="202" t="n">
        <v>46244</v>
      </c>
      <c r="M2353" s="175" t="n">
        <v>0.0148</v>
      </c>
      <c r="N2353" s="176" t="n">
        <v>0.0161</v>
      </c>
      <c r="O2353" s="191" t="n">
        <v>3</v>
      </c>
      <c r="P2353" s="172" t="inlineStr">
        <is>
          <t>优先级</t>
        </is>
      </c>
      <c r="Q2353" s="175" t="n">
        <v>0.99</v>
      </c>
      <c r="R2353" s="192" t="n">
        <v>9.9</v>
      </c>
      <c r="S2353" s="172" t="inlineStr">
        <is>
          <t>AAA</t>
        </is>
      </c>
      <c r="T2353" s="175" t="n">
        <v>0.0154</v>
      </c>
      <c r="U2353" s="172" t="inlineStr">
        <is>
          <t>光大理财</t>
        </is>
      </c>
      <c r="V2353" s="191" t="n">
        <v>0.33</v>
      </c>
      <c r="W2353" s="175" t="n">
        <v>0.0154</v>
      </c>
      <c r="X2353" s="172" t="inlineStr">
        <is>
          <t>光大理财</t>
        </is>
      </c>
      <c r="Y2353" s="191" t="n">
        <v>0.5</v>
      </c>
    </row>
    <row r="2354">
      <c r="A2354" s="172" t="n">
        <v>129</v>
      </c>
      <c r="B2354" s="172" t="inlineStr">
        <is>
          <t>8月</t>
        </is>
      </c>
      <c r="C2354" s="172" t="inlineStr">
        <is>
          <t>企金</t>
        </is>
      </c>
      <c r="D2354" s="172" t="inlineStr">
        <is>
          <t>保理</t>
        </is>
      </c>
      <c r="E2354" s="172" t="inlineStr">
        <is>
          <t>京诚16-1</t>
        </is>
      </c>
      <c r="F2354" s="172" t="inlineStr">
        <is>
          <t>上交所</t>
        </is>
      </c>
      <c r="G2354" s="172" t="inlineStr">
        <is>
          <t>财通资管</t>
        </is>
      </c>
      <c r="H2354" s="172" t="inlineStr">
        <is>
          <t>华福证券</t>
        </is>
      </c>
      <c r="I2354" s="172" t="inlineStr">
        <is>
          <t>招行北分</t>
        </is>
      </c>
      <c r="J2354" s="172" t="n">
        <v>10</v>
      </c>
      <c r="K2354" s="172" t="inlineStr">
        <is>
          <t>3+3</t>
        </is>
      </c>
      <c r="L2354" s="208" t="n">
        <v>46244</v>
      </c>
      <c r="M2354" s="175" t="n">
        <v>0.0148</v>
      </c>
      <c r="N2354" s="176" t="n">
        <v>0.0161</v>
      </c>
      <c r="O2354" s="172" t="n">
        <v>3</v>
      </c>
      <c r="P2354" s="172" t="inlineStr">
        <is>
          <t>优先级</t>
        </is>
      </c>
      <c r="Q2354" s="175" t="n">
        <v>0.99</v>
      </c>
      <c r="R2354" s="192" t="n">
        <v>9.9</v>
      </c>
      <c r="S2354" s="172" t="inlineStr">
        <is>
          <t>AAA</t>
        </is>
      </c>
      <c r="T2354" s="175" t="n">
        <v>0.0154</v>
      </c>
      <c r="U2354" s="172" t="n"/>
      <c r="V2354" s="172" t="n"/>
      <c r="W2354" s="175" t="n">
        <v>0.0155</v>
      </c>
      <c r="X2354" s="172" t="inlineStr">
        <is>
          <t>光大理财</t>
        </is>
      </c>
      <c r="Y2354" s="191" t="n">
        <v>0.7</v>
      </c>
    </row>
    <row r="2355">
      <c r="A2355" s="172" t="n">
        <v>129</v>
      </c>
      <c r="B2355" s="172" t="inlineStr">
        <is>
          <t>8月</t>
        </is>
      </c>
      <c r="C2355" s="172" t="inlineStr">
        <is>
          <t>企金</t>
        </is>
      </c>
      <c r="D2355" s="172" t="inlineStr">
        <is>
          <t>保理</t>
        </is>
      </c>
      <c r="E2355" s="172" t="inlineStr">
        <is>
          <t>京诚16-1</t>
        </is>
      </c>
      <c r="F2355" s="172" t="inlineStr">
        <is>
          <t>上交所</t>
        </is>
      </c>
      <c r="G2355" s="172" t="inlineStr">
        <is>
          <t>财通资管</t>
        </is>
      </c>
      <c r="H2355" s="172" t="inlineStr">
        <is>
          <t>华福证券</t>
        </is>
      </c>
      <c r="I2355" s="172" t="inlineStr">
        <is>
          <t>招行北分</t>
        </is>
      </c>
      <c r="J2355" s="172" t="n">
        <v>10</v>
      </c>
      <c r="K2355" s="172" t="inlineStr">
        <is>
          <t>3+3</t>
        </is>
      </c>
      <c r="L2355" s="202" t="n">
        <v>46244</v>
      </c>
      <c r="M2355" s="175" t="n">
        <v>0.0148</v>
      </c>
      <c r="N2355" s="176" t="n">
        <v>0.0161</v>
      </c>
      <c r="O2355" s="191" t="n">
        <v>3</v>
      </c>
      <c r="P2355" s="172" t="inlineStr">
        <is>
          <t>优先级</t>
        </is>
      </c>
      <c r="Q2355" s="175" t="n">
        <v>0.99</v>
      </c>
      <c r="R2355" s="192" t="n">
        <v>9.9</v>
      </c>
      <c r="S2355" s="172" t="inlineStr">
        <is>
          <t>AAA</t>
        </is>
      </c>
      <c r="T2355" s="175" t="n">
        <v>0.0154</v>
      </c>
      <c r="U2355" s="172" t="inlineStr">
        <is>
          <t>浦银理财</t>
        </is>
      </c>
      <c r="V2355" s="191" t="n">
        <v>0.5600000000000001</v>
      </c>
      <c r="W2355" s="175" t="n">
        <v>0.0154</v>
      </c>
      <c r="X2355" s="172" t="inlineStr">
        <is>
          <t>浦银理财</t>
        </is>
      </c>
      <c r="Y2355" s="191" t="n">
        <v>0.84</v>
      </c>
    </row>
    <row r="2356">
      <c r="A2356" s="172" t="n">
        <v>129</v>
      </c>
      <c r="B2356" s="172" t="inlineStr">
        <is>
          <t>8月</t>
        </is>
      </c>
      <c r="C2356" s="172" t="inlineStr">
        <is>
          <t>企金</t>
        </is>
      </c>
      <c r="D2356" s="172" t="inlineStr">
        <is>
          <t>保理</t>
        </is>
      </c>
      <c r="E2356" s="172" t="inlineStr">
        <is>
          <t>京诚16-1</t>
        </is>
      </c>
      <c r="F2356" s="172" t="inlineStr">
        <is>
          <t>上交所</t>
        </is>
      </c>
      <c r="G2356" s="172" t="inlineStr">
        <is>
          <t>财通资管</t>
        </is>
      </c>
      <c r="H2356" s="172" t="inlineStr">
        <is>
          <t>华福证券</t>
        </is>
      </c>
      <c r="I2356" s="172" t="inlineStr">
        <is>
          <t>招行北分</t>
        </is>
      </c>
      <c r="J2356" s="172" t="n">
        <v>10</v>
      </c>
      <c r="K2356" s="172" t="inlineStr">
        <is>
          <t>3+3</t>
        </is>
      </c>
      <c r="L2356" s="208" t="n">
        <v>46244</v>
      </c>
      <c r="M2356" s="175" t="n">
        <v>0.0148</v>
      </c>
      <c r="N2356" s="176" t="n">
        <v>0.0161</v>
      </c>
      <c r="O2356" s="172" t="n">
        <v>3</v>
      </c>
      <c r="P2356" s="172" t="inlineStr">
        <is>
          <t>优先级</t>
        </is>
      </c>
      <c r="Q2356" s="175" t="n">
        <v>0.99</v>
      </c>
      <c r="R2356" s="192" t="n">
        <v>9.9</v>
      </c>
      <c r="S2356" s="172" t="inlineStr">
        <is>
          <t>AAA</t>
        </is>
      </c>
      <c r="T2356" s="175" t="n">
        <v>0.0154</v>
      </c>
      <c r="U2356" s="172" t="n"/>
      <c r="V2356" s="172" t="n"/>
      <c r="W2356" s="175" t="n">
        <v>0.0158</v>
      </c>
      <c r="X2356" s="172" t="inlineStr">
        <is>
          <t>浦银理财</t>
        </is>
      </c>
      <c r="Y2356" s="191" t="n">
        <v>1.92</v>
      </c>
    </row>
    <row r="2357">
      <c r="A2357" s="172" t="n">
        <v>129</v>
      </c>
      <c r="B2357" s="172" t="inlineStr">
        <is>
          <t>8月</t>
        </is>
      </c>
      <c r="C2357" s="172" t="inlineStr">
        <is>
          <t>企金</t>
        </is>
      </c>
      <c r="D2357" s="172" t="inlineStr">
        <is>
          <t>保理</t>
        </is>
      </c>
      <c r="E2357" s="172" t="inlineStr">
        <is>
          <t>京诚16-1</t>
        </is>
      </c>
      <c r="F2357" s="172" t="inlineStr">
        <is>
          <t>上交所</t>
        </is>
      </c>
      <c r="G2357" s="172" t="inlineStr">
        <is>
          <t>财通资管</t>
        </is>
      </c>
      <c r="H2357" s="172" t="inlineStr">
        <is>
          <t>华福证券</t>
        </is>
      </c>
      <c r="I2357" s="172" t="inlineStr">
        <is>
          <t>招行北分</t>
        </is>
      </c>
      <c r="J2357" s="172" t="n">
        <v>10</v>
      </c>
      <c r="K2357" s="172" t="inlineStr">
        <is>
          <t>3+3</t>
        </is>
      </c>
      <c r="L2357" s="202" t="n">
        <v>46244</v>
      </c>
      <c r="M2357" s="175" t="n">
        <v>0.0148</v>
      </c>
      <c r="N2357" s="176" t="n">
        <v>0.0161</v>
      </c>
      <c r="O2357" s="191" t="n">
        <v>3</v>
      </c>
      <c r="P2357" s="172" t="inlineStr">
        <is>
          <t>优先级</t>
        </is>
      </c>
      <c r="Q2357" s="175" t="n">
        <v>0.99</v>
      </c>
      <c r="R2357" s="192" t="n">
        <v>9.9</v>
      </c>
      <c r="S2357" s="172" t="inlineStr">
        <is>
          <t>AAA</t>
        </is>
      </c>
      <c r="T2357" s="175" t="n">
        <v>0.0154</v>
      </c>
      <c r="U2357" s="172" t="inlineStr">
        <is>
          <t>兴银理财</t>
        </is>
      </c>
      <c r="V2357" s="191" t="n">
        <v>1.65</v>
      </c>
      <c r="W2357" s="175" t="n">
        <v>0.0154</v>
      </c>
      <c r="X2357" s="172" t="inlineStr">
        <is>
          <t>兴银理财</t>
        </is>
      </c>
      <c r="Y2357" s="191" t="n">
        <v>2.47</v>
      </c>
    </row>
    <row r="2358">
      <c r="A2358" s="172" t="n">
        <v>129</v>
      </c>
      <c r="B2358" s="172" t="inlineStr">
        <is>
          <t>8月</t>
        </is>
      </c>
      <c r="C2358" s="172" t="inlineStr">
        <is>
          <t>企金</t>
        </is>
      </c>
      <c r="D2358" s="172" t="inlineStr">
        <is>
          <t>保理</t>
        </is>
      </c>
      <c r="E2358" s="172" t="inlineStr">
        <is>
          <t>京诚16-1</t>
        </is>
      </c>
      <c r="F2358" s="172" t="inlineStr">
        <is>
          <t>上交所</t>
        </is>
      </c>
      <c r="G2358" s="172" t="inlineStr">
        <is>
          <t>财通资管</t>
        </is>
      </c>
      <c r="H2358" s="172" t="inlineStr">
        <is>
          <t>华福证券</t>
        </is>
      </c>
      <c r="I2358" s="172" t="inlineStr">
        <is>
          <t>招行北分</t>
        </is>
      </c>
      <c r="J2358" s="172" t="n">
        <v>10</v>
      </c>
      <c r="K2358" s="172" t="inlineStr">
        <is>
          <t>3+3</t>
        </is>
      </c>
      <c r="L2358" s="202" t="n">
        <v>46244</v>
      </c>
      <c r="M2358" s="175" t="n">
        <v>0.0148</v>
      </c>
      <c r="N2358" s="176" t="n">
        <v>0.0161</v>
      </c>
      <c r="O2358" s="191" t="n">
        <v>3</v>
      </c>
      <c r="P2358" s="172" t="inlineStr">
        <is>
          <t>优先级</t>
        </is>
      </c>
      <c r="Q2358" s="175" t="n">
        <v>0.99</v>
      </c>
      <c r="R2358" s="192" t="n">
        <v>9.9</v>
      </c>
      <c r="S2358" s="172" t="inlineStr">
        <is>
          <t>AAA</t>
        </is>
      </c>
      <c r="T2358" s="175" t="n">
        <v>0.0154</v>
      </c>
      <c r="U2358" s="172" t="inlineStr">
        <is>
          <t>中银理财</t>
        </is>
      </c>
      <c r="V2358" s="191" t="n">
        <v>1.33</v>
      </c>
      <c r="W2358" s="175" t="n">
        <v>0.0154</v>
      </c>
      <c r="X2358" s="172" t="inlineStr">
        <is>
          <t>中银理财</t>
        </is>
      </c>
      <c r="Y2358" s="191" t="n">
        <v>2</v>
      </c>
    </row>
    <row r="2359">
      <c r="A2359" s="172" t="n">
        <v>129</v>
      </c>
      <c r="B2359" s="172" t="inlineStr">
        <is>
          <t>8月</t>
        </is>
      </c>
      <c r="C2359" s="172" t="inlineStr">
        <is>
          <t>企金</t>
        </is>
      </c>
      <c r="D2359" s="172" t="inlineStr">
        <is>
          <t>保理</t>
        </is>
      </c>
      <c r="E2359" s="172" t="inlineStr">
        <is>
          <t>京诚16-1</t>
        </is>
      </c>
      <c r="F2359" s="172" t="inlineStr">
        <is>
          <t>上交所</t>
        </is>
      </c>
      <c r="G2359" s="172" t="inlineStr">
        <is>
          <t>财通资管</t>
        </is>
      </c>
      <c r="H2359" s="172" t="inlineStr">
        <is>
          <t>华福证券</t>
        </is>
      </c>
      <c r="I2359" s="172" t="inlineStr">
        <is>
          <t>招行北分</t>
        </is>
      </c>
      <c r="J2359" s="172" t="n">
        <v>10</v>
      </c>
      <c r="K2359" s="172" t="inlineStr">
        <is>
          <t>3+3</t>
        </is>
      </c>
      <c r="L2359" s="208" t="n">
        <v>46244</v>
      </c>
      <c r="M2359" s="175" t="n">
        <v>0.0148</v>
      </c>
      <c r="N2359" s="176" t="n">
        <v>0.0161</v>
      </c>
      <c r="O2359" s="172" t="n">
        <v>3</v>
      </c>
      <c r="P2359" s="172" t="inlineStr">
        <is>
          <t>优先级</t>
        </is>
      </c>
      <c r="Q2359" s="175" t="n">
        <v>0.99</v>
      </c>
      <c r="R2359" s="192" t="n">
        <v>9.9</v>
      </c>
      <c r="S2359" s="172" t="inlineStr">
        <is>
          <t>AAA</t>
        </is>
      </c>
      <c r="T2359" s="175" t="n">
        <v>0.0154</v>
      </c>
      <c r="U2359" s="172" t="n"/>
      <c r="V2359" s="172" t="n"/>
      <c r="W2359" s="175" t="n">
        <v>0.0157</v>
      </c>
      <c r="X2359" s="172" t="inlineStr">
        <is>
          <t>中银理财</t>
        </is>
      </c>
      <c r="Y2359" s="191" t="n">
        <v>0.4</v>
      </c>
    </row>
    <row r="2360">
      <c r="A2360" s="172" t="n">
        <v>129</v>
      </c>
      <c r="B2360" s="172" t="inlineStr">
        <is>
          <t>8月</t>
        </is>
      </c>
      <c r="C2360" s="172" t="inlineStr">
        <is>
          <t>企金</t>
        </is>
      </c>
      <c r="D2360" s="172" t="inlineStr">
        <is>
          <t>保理</t>
        </is>
      </c>
      <c r="E2360" s="172" t="inlineStr">
        <is>
          <t>京诚16-1</t>
        </is>
      </c>
      <c r="F2360" s="172" t="inlineStr">
        <is>
          <t>上交所</t>
        </is>
      </c>
      <c r="G2360" s="172" t="inlineStr">
        <is>
          <t>财通资管</t>
        </is>
      </c>
      <c r="H2360" s="172" t="inlineStr">
        <is>
          <t>华福证券</t>
        </is>
      </c>
      <c r="I2360" s="172" t="inlineStr">
        <is>
          <t>招行北分</t>
        </is>
      </c>
      <c r="J2360" s="172" t="n">
        <v>10</v>
      </c>
      <c r="K2360" s="172" t="inlineStr">
        <is>
          <t>3+3</t>
        </is>
      </c>
      <c r="L2360" s="202" t="n">
        <v>46244</v>
      </c>
      <c r="M2360" s="175" t="n">
        <v>0.0148</v>
      </c>
      <c r="N2360" s="176" t="n">
        <v>0.0161</v>
      </c>
      <c r="O2360" s="191" t="n">
        <v>3</v>
      </c>
      <c r="P2360" s="172" t="inlineStr">
        <is>
          <t>优先级</t>
        </is>
      </c>
      <c r="Q2360" s="175" t="n">
        <v>0.99</v>
      </c>
      <c r="R2360" s="192" t="n">
        <v>9.9</v>
      </c>
      <c r="S2360" s="172" t="inlineStr">
        <is>
          <t>AAA</t>
        </is>
      </c>
      <c r="T2360" s="175" t="n">
        <v>0.0154</v>
      </c>
      <c r="U2360" s="172" t="inlineStr">
        <is>
          <t>民生理财</t>
        </is>
      </c>
      <c r="V2360" s="191" t="n">
        <v>0.67</v>
      </c>
      <c r="W2360" s="175" t="n">
        <v>0.0154</v>
      </c>
      <c r="X2360" s="172" t="inlineStr">
        <is>
          <t>民生理财</t>
        </is>
      </c>
      <c r="Y2360" s="191" t="n">
        <v>1</v>
      </c>
    </row>
    <row r="2361">
      <c r="A2361" s="172" t="n">
        <v>129</v>
      </c>
      <c r="B2361" s="172" t="inlineStr">
        <is>
          <t>8月</t>
        </is>
      </c>
      <c r="C2361" s="172" t="inlineStr">
        <is>
          <t>企金</t>
        </is>
      </c>
      <c r="D2361" s="172" t="inlineStr">
        <is>
          <t>保理</t>
        </is>
      </c>
      <c r="E2361" s="172" t="inlineStr">
        <is>
          <t>京诚16-1</t>
        </is>
      </c>
      <c r="F2361" s="172" t="inlineStr">
        <is>
          <t>上交所</t>
        </is>
      </c>
      <c r="G2361" s="172" t="inlineStr">
        <is>
          <t>财通资管</t>
        </is>
      </c>
      <c r="H2361" s="172" t="inlineStr">
        <is>
          <t>华福证券</t>
        </is>
      </c>
      <c r="I2361" s="172" t="inlineStr">
        <is>
          <t>招行北分</t>
        </is>
      </c>
      <c r="J2361" s="172" t="n">
        <v>10</v>
      </c>
      <c r="K2361" s="172" t="inlineStr">
        <is>
          <t>3+3</t>
        </is>
      </c>
      <c r="L2361" s="208" t="n">
        <v>46244</v>
      </c>
      <c r="M2361" s="175" t="n">
        <v>0.0148</v>
      </c>
      <c r="N2361" s="176" t="n">
        <v>0.0161</v>
      </c>
      <c r="O2361" s="172" t="n">
        <v>3</v>
      </c>
      <c r="P2361" s="172" t="inlineStr">
        <is>
          <t>优先级</t>
        </is>
      </c>
      <c r="Q2361" s="175" t="n">
        <v>0.99</v>
      </c>
      <c r="R2361" s="192" t="n">
        <v>9.9</v>
      </c>
      <c r="S2361" s="172" t="inlineStr">
        <is>
          <t>AAA</t>
        </is>
      </c>
      <c r="T2361" s="175" t="n">
        <v>0.0154</v>
      </c>
      <c r="U2361" s="172" t="n"/>
      <c r="V2361" s="172" t="n"/>
      <c r="W2361" s="175" t="n">
        <v>0.016</v>
      </c>
      <c r="X2361" s="172" t="inlineStr">
        <is>
          <t>民生理财</t>
        </is>
      </c>
      <c r="Y2361" s="191" t="n">
        <v>1.97</v>
      </c>
    </row>
    <row r="2362">
      <c r="A2362" s="172" t="n">
        <v>129</v>
      </c>
      <c r="B2362" s="172" t="inlineStr">
        <is>
          <t>8月</t>
        </is>
      </c>
      <c r="C2362" s="172" t="inlineStr">
        <is>
          <t>企金</t>
        </is>
      </c>
      <c r="D2362" s="172" t="inlineStr">
        <is>
          <t>保理</t>
        </is>
      </c>
      <c r="E2362" s="172" t="inlineStr">
        <is>
          <t>京诚16-1</t>
        </is>
      </c>
      <c r="F2362" s="172" t="inlineStr">
        <is>
          <t>上交所</t>
        </is>
      </c>
      <c r="G2362" s="172" t="inlineStr">
        <is>
          <t>财通资管</t>
        </is>
      </c>
      <c r="H2362" s="172" t="inlineStr">
        <is>
          <t>华福证券</t>
        </is>
      </c>
      <c r="I2362" s="172" t="inlineStr">
        <is>
          <t>招行北分</t>
        </is>
      </c>
      <c r="J2362" s="172" t="n">
        <v>10</v>
      </c>
      <c r="K2362" s="172" t="inlineStr">
        <is>
          <t>3+3</t>
        </is>
      </c>
      <c r="L2362" s="208" t="n">
        <v>46244</v>
      </c>
      <c r="M2362" s="175" t="n">
        <v>0.0148</v>
      </c>
      <c r="N2362" s="176" t="n">
        <v>0.0161</v>
      </c>
      <c r="O2362" s="172" t="n">
        <v>3</v>
      </c>
      <c r="P2362" s="172" t="inlineStr">
        <is>
          <t>优先级</t>
        </is>
      </c>
      <c r="Q2362" s="175" t="n">
        <v>0.99</v>
      </c>
      <c r="R2362" s="192" t="n">
        <v>9.9</v>
      </c>
      <c r="S2362" s="172" t="inlineStr">
        <is>
          <t>AAA</t>
        </is>
      </c>
      <c r="T2362" s="175" t="n">
        <v>0.0154</v>
      </c>
      <c r="U2362" s="172" t="n"/>
      <c r="V2362" s="172" t="n"/>
      <c r="W2362" s="175" t="n">
        <v>0.0155</v>
      </c>
      <c r="X2362" s="172" t="inlineStr">
        <is>
          <t>工银理财</t>
        </is>
      </c>
      <c r="Y2362" s="191" t="n">
        <v>2.5</v>
      </c>
    </row>
    <row r="2363">
      <c r="A2363" s="172" t="n">
        <v>129</v>
      </c>
      <c r="B2363" s="172" t="inlineStr">
        <is>
          <t>8月</t>
        </is>
      </c>
      <c r="C2363" s="172" t="inlineStr">
        <is>
          <t>企金</t>
        </is>
      </c>
      <c r="D2363" s="172" t="inlineStr">
        <is>
          <t>保理</t>
        </is>
      </c>
      <c r="E2363" s="172" t="inlineStr">
        <is>
          <t>京诚16-1</t>
        </is>
      </c>
      <c r="F2363" s="172" t="inlineStr">
        <is>
          <t>上交所</t>
        </is>
      </c>
      <c r="G2363" s="172" t="inlineStr">
        <is>
          <t>财通资管</t>
        </is>
      </c>
      <c r="H2363" s="172" t="inlineStr">
        <is>
          <t>华福证券</t>
        </is>
      </c>
      <c r="I2363" s="172" t="inlineStr">
        <is>
          <t>招行北分</t>
        </is>
      </c>
      <c r="J2363" s="172" t="n">
        <v>10</v>
      </c>
      <c r="K2363" s="172" t="inlineStr">
        <is>
          <t>3+3</t>
        </is>
      </c>
      <c r="L2363" s="208" t="n">
        <v>46244</v>
      </c>
      <c r="M2363" s="175" t="n">
        <v>0.0148</v>
      </c>
      <c r="N2363" s="176" t="n">
        <v>0.0161</v>
      </c>
      <c r="O2363" s="172" t="n">
        <v>3</v>
      </c>
      <c r="P2363" s="172" t="inlineStr">
        <is>
          <t>优先级</t>
        </is>
      </c>
      <c r="Q2363" s="175" t="n">
        <v>0.99</v>
      </c>
      <c r="R2363" s="192" t="n">
        <v>9.9</v>
      </c>
      <c r="S2363" s="172" t="inlineStr">
        <is>
          <t>AAA</t>
        </is>
      </c>
      <c r="T2363" s="175" t="n">
        <v>0.0154</v>
      </c>
      <c r="U2363" s="172" t="n"/>
      <c r="V2363" s="172" t="n"/>
      <c r="W2363" s="175" t="n">
        <v>0.0159</v>
      </c>
      <c r="X2363" s="172" t="inlineStr">
        <is>
          <t>建信理财</t>
        </is>
      </c>
      <c r="Y2363" s="191" t="n">
        <v>0.9</v>
      </c>
    </row>
    <row r="2364">
      <c r="A2364" s="172" t="n">
        <v>129</v>
      </c>
      <c r="B2364" s="172" t="inlineStr">
        <is>
          <t>8月</t>
        </is>
      </c>
      <c r="C2364" s="172" t="inlineStr">
        <is>
          <t>企金</t>
        </is>
      </c>
      <c r="D2364" s="172" t="inlineStr">
        <is>
          <t>保理</t>
        </is>
      </c>
      <c r="E2364" s="172" t="inlineStr">
        <is>
          <t>京诚16-1</t>
        </is>
      </c>
      <c r="F2364" s="172" t="inlineStr">
        <is>
          <t>上交所</t>
        </is>
      </c>
      <c r="G2364" s="172" t="inlineStr">
        <is>
          <t>财通资管</t>
        </is>
      </c>
      <c r="H2364" s="172" t="inlineStr">
        <is>
          <t>华福证券</t>
        </is>
      </c>
      <c r="I2364" s="172" t="inlineStr">
        <is>
          <t>招行北分</t>
        </is>
      </c>
      <c r="J2364" s="172" t="n">
        <v>10</v>
      </c>
      <c r="K2364" s="172" t="inlineStr">
        <is>
          <t>3+3</t>
        </is>
      </c>
      <c r="L2364" s="208" t="n">
        <v>46244</v>
      </c>
      <c r="M2364" s="175" t="n">
        <v>0.0148</v>
      </c>
      <c r="N2364" s="176" t="n">
        <v>0.0161</v>
      </c>
      <c r="O2364" s="172" t="n">
        <v>3</v>
      </c>
      <c r="P2364" s="172" t="inlineStr">
        <is>
          <t>优先级</t>
        </is>
      </c>
      <c r="Q2364" s="175" t="n">
        <v>0.99</v>
      </c>
      <c r="R2364" s="192" t="n">
        <v>9.9</v>
      </c>
      <c r="S2364" s="172" t="inlineStr">
        <is>
          <t>AAA</t>
        </is>
      </c>
      <c r="T2364" s="175" t="n">
        <v>0.0154</v>
      </c>
      <c r="U2364" s="172" t="n"/>
      <c r="V2364" s="172" t="n"/>
      <c r="W2364" s="175" t="n">
        <v>0.016</v>
      </c>
      <c r="X2364" s="172" t="inlineStr">
        <is>
          <t>中邮理财</t>
        </is>
      </c>
      <c r="Y2364" s="191" t="n">
        <v>2.97</v>
      </c>
    </row>
    <row r="2365">
      <c r="A2365" s="172" t="n">
        <v>129</v>
      </c>
      <c r="B2365" s="172" t="inlineStr">
        <is>
          <t>8月</t>
        </is>
      </c>
      <c r="C2365" s="172" t="inlineStr">
        <is>
          <t>企金</t>
        </is>
      </c>
      <c r="D2365" s="172" t="inlineStr">
        <is>
          <t>保理</t>
        </is>
      </c>
      <c r="E2365" s="172" t="inlineStr">
        <is>
          <t>京诚16-1</t>
        </is>
      </c>
      <c r="F2365" s="172" t="inlineStr">
        <is>
          <t>上交所</t>
        </is>
      </c>
      <c r="G2365" s="172" t="inlineStr">
        <is>
          <t>财通资管</t>
        </is>
      </c>
      <c r="H2365" s="172" t="inlineStr">
        <is>
          <t>华福证券</t>
        </is>
      </c>
      <c r="I2365" s="172" t="inlineStr">
        <is>
          <t>招行北分</t>
        </is>
      </c>
      <c r="J2365" s="172" t="n">
        <v>10</v>
      </c>
      <c r="K2365" s="172" t="inlineStr">
        <is>
          <t>3+3</t>
        </is>
      </c>
      <c r="L2365" s="208" t="n">
        <v>46244</v>
      </c>
      <c r="M2365" s="175" t="n">
        <v>0.0148</v>
      </c>
      <c r="N2365" s="176" t="n">
        <v>0.0161</v>
      </c>
      <c r="O2365" s="172" t="n">
        <v>3</v>
      </c>
      <c r="P2365" s="172" t="inlineStr">
        <is>
          <t>优先级</t>
        </is>
      </c>
      <c r="Q2365" s="175" t="n">
        <v>0.99</v>
      </c>
      <c r="R2365" s="192" t="n">
        <v>9.9</v>
      </c>
      <c r="S2365" s="172" t="inlineStr">
        <is>
          <t>AAA</t>
        </is>
      </c>
      <c r="T2365" s="175" t="n">
        <v>0.0154</v>
      </c>
      <c r="U2365" s="172" t="n"/>
      <c r="V2365" s="172" t="n"/>
      <c r="W2365" s="175" t="n">
        <v>0.017</v>
      </c>
      <c r="X2365" s="172" t="inlineStr">
        <is>
          <t>财通资管</t>
        </is>
      </c>
      <c r="Y2365" s="191" t="n">
        <v>1.58</v>
      </c>
    </row>
    <row r="2366">
      <c r="A2366" s="172" t="n">
        <v>129</v>
      </c>
      <c r="B2366" s="172" t="inlineStr">
        <is>
          <t>8月</t>
        </is>
      </c>
      <c r="C2366" s="172" t="inlineStr">
        <is>
          <t>企金</t>
        </is>
      </c>
      <c r="D2366" s="172" t="inlineStr">
        <is>
          <t>保理</t>
        </is>
      </c>
      <c r="E2366" s="172" t="inlineStr">
        <is>
          <t>京诚16-1</t>
        </is>
      </c>
      <c r="F2366" s="172" t="inlineStr">
        <is>
          <t>上交所</t>
        </is>
      </c>
      <c r="G2366" s="172" t="inlineStr">
        <is>
          <t>财通资管</t>
        </is>
      </c>
      <c r="H2366" s="172" t="inlineStr">
        <is>
          <t>华福证券</t>
        </is>
      </c>
      <c r="I2366" s="172" t="inlineStr">
        <is>
          <t>招行北分</t>
        </is>
      </c>
      <c r="J2366" s="172" t="n">
        <v>10</v>
      </c>
      <c r="K2366" s="172" t="inlineStr">
        <is>
          <t>3+3</t>
        </is>
      </c>
      <c r="L2366" s="208" t="n">
        <v>46244</v>
      </c>
      <c r="M2366" s="175" t="n">
        <v>0.0148</v>
      </c>
      <c r="N2366" s="176" t="n">
        <v>0.0161</v>
      </c>
      <c r="O2366" s="172" t="n">
        <v>3</v>
      </c>
      <c r="P2366" s="172" t="inlineStr">
        <is>
          <t>优先级</t>
        </is>
      </c>
      <c r="Q2366" s="175" t="n">
        <v>0.99</v>
      </c>
      <c r="R2366" s="192" t="n">
        <v>9.9</v>
      </c>
      <c r="S2366" s="172" t="inlineStr">
        <is>
          <t>AAA</t>
        </is>
      </c>
      <c r="T2366" s="175" t="n">
        <v>0.0154</v>
      </c>
      <c r="U2366" s="172" t="n"/>
      <c r="V2366" s="172" t="n"/>
      <c r="W2366" s="175" t="n">
        <v>0.024</v>
      </c>
      <c r="X2366" s="172" t="inlineStr">
        <is>
          <t>华福证券</t>
        </is>
      </c>
      <c r="Y2366" s="191" t="n">
        <v>1.48</v>
      </c>
    </row>
    <row r="2367">
      <c r="A2367" s="172" t="n">
        <v>129</v>
      </c>
      <c r="B2367" s="172" t="inlineStr">
        <is>
          <t>8月</t>
        </is>
      </c>
      <c r="C2367" s="172" t="inlineStr">
        <is>
          <t>企金</t>
        </is>
      </c>
      <c r="D2367" s="172" t="inlineStr">
        <is>
          <t>保理</t>
        </is>
      </c>
      <c r="E2367" s="172" t="inlineStr">
        <is>
          <t>京诚16-1</t>
        </is>
      </c>
      <c r="F2367" s="172" t="inlineStr">
        <is>
          <t>上交所</t>
        </is>
      </c>
      <c r="G2367" s="172" t="inlineStr">
        <is>
          <t>财通资管</t>
        </is>
      </c>
      <c r="H2367" s="172" t="inlineStr">
        <is>
          <t>华福证券</t>
        </is>
      </c>
      <c r="I2367" s="172" t="inlineStr">
        <is>
          <t>招行北分</t>
        </is>
      </c>
      <c r="J2367" s="172" t="n">
        <v>10</v>
      </c>
      <c r="K2367" s="172" t="inlineStr">
        <is>
          <t>3+3</t>
        </is>
      </c>
      <c r="L2367" s="208" t="n">
        <v>46244</v>
      </c>
      <c r="M2367" s="175" t="n">
        <v>0.0148</v>
      </c>
      <c r="N2367" s="176" t="n">
        <v>0.0161</v>
      </c>
      <c r="O2367" s="172" t="n">
        <v>3</v>
      </c>
      <c r="P2367" s="172" t="inlineStr">
        <is>
          <t>优先级</t>
        </is>
      </c>
      <c r="Q2367" s="175" t="n">
        <v>0.99</v>
      </c>
      <c r="R2367" s="192" t="n">
        <v>9.9</v>
      </c>
      <c r="S2367" s="172" t="inlineStr">
        <is>
          <t>AAA</t>
        </is>
      </c>
      <c r="T2367" s="175" t="n">
        <v>0.0154</v>
      </c>
      <c r="U2367" s="172" t="n"/>
      <c r="V2367" s="172" t="n"/>
      <c r="W2367" s="175" t="n">
        <v>0.024</v>
      </c>
      <c r="X2367" s="172" t="inlineStr">
        <is>
          <t>利曦基金</t>
        </is>
      </c>
      <c r="Y2367" s="191" t="n">
        <v>2</v>
      </c>
    </row>
    <row r="2368">
      <c r="A2368" s="172" t="n">
        <v>129</v>
      </c>
      <c r="B2368" s="172" t="inlineStr">
        <is>
          <t>8月</t>
        </is>
      </c>
      <c r="C2368" s="172" t="inlineStr">
        <is>
          <t>企金</t>
        </is>
      </c>
      <c r="D2368" s="172" t="inlineStr">
        <is>
          <t>保理</t>
        </is>
      </c>
      <c r="E2368" s="172" t="inlineStr">
        <is>
          <t>京诚16-1</t>
        </is>
      </c>
      <c r="F2368" s="172" t="inlineStr">
        <is>
          <t>上交所</t>
        </is>
      </c>
      <c r="G2368" s="172" t="inlineStr">
        <is>
          <t>财通资管</t>
        </is>
      </c>
      <c r="H2368" s="172" t="inlineStr">
        <is>
          <t>华福证券</t>
        </is>
      </c>
      <c r="I2368" s="172" t="inlineStr">
        <is>
          <t>招行北分</t>
        </is>
      </c>
      <c r="J2368" s="172" t="n">
        <v>10</v>
      </c>
      <c r="K2368" s="172" t="inlineStr">
        <is>
          <t>3+3</t>
        </is>
      </c>
      <c r="L2368" s="202" t="n">
        <v>46244</v>
      </c>
      <c r="M2368" s="175" t="n">
        <v>0.0148</v>
      </c>
      <c r="N2368" s="176" t="n">
        <v>0.0161</v>
      </c>
      <c r="O2368" s="191" t="n">
        <v>3</v>
      </c>
      <c r="P2368" s="172" t="inlineStr">
        <is>
          <t>次级</t>
        </is>
      </c>
      <c r="Q2368" s="175" t="n">
        <v>0.01</v>
      </c>
      <c r="R2368" s="192" t="n">
        <v>0.1</v>
      </c>
      <c r="S2368" s="175" t="inlineStr">
        <is>
          <t>无</t>
        </is>
      </c>
      <c r="T2368" s="175" t="n">
        <v>0.043</v>
      </c>
      <c r="U2368" s="172" t="inlineStr">
        <is>
          <t>浙商证券自营</t>
        </is>
      </c>
      <c r="V2368" s="191" t="n">
        <v>0.1</v>
      </c>
      <c r="W2368" s="172" t="n"/>
      <c r="X2368" s="172" t="n"/>
      <c r="Y2368" s="172" t="n"/>
    </row>
    <row r="2369">
      <c r="A2369" s="172" t="n">
        <v>130</v>
      </c>
      <c r="B2369" s="172" t="inlineStr">
        <is>
          <t>8月</t>
        </is>
      </c>
      <c r="C2369" s="172" t="inlineStr">
        <is>
          <t>企金</t>
        </is>
      </c>
      <c r="D2369" s="172" t="inlineStr">
        <is>
          <t>保理</t>
        </is>
      </c>
      <c r="E2369" s="172" t="inlineStr">
        <is>
          <t>京诚16-2</t>
        </is>
      </c>
      <c r="F2369" s="172" t="inlineStr">
        <is>
          <t>上交所</t>
        </is>
      </c>
      <c r="G2369" s="172" t="inlineStr">
        <is>
          <t>申万宏源资管</t>
        </is>
      </c>
      <c r="H2369" s="172" t="inlineStr">
        <is>
          <t>信达证券</t>
        </is>
      </c>
      <c r="I2369" s="172" t="inlineStr">
        <is>
          <t>建行北分</t>
        </is>
      </c>
      <c r="J2369" s="172" t="n">
        <v>10</v>
      </c>
      <c r="K2369" s="172" t="inlineStr">
        <is>
          <t>8+4</t>
        </is>
      </c>
      <c r="L2369" s="202" t="n">
        <v>46247</v>
      </c>
      <c r="M2369" s="175" t="n">
        <v>0.0147</v>
      </c>
      <c r="N2369" s="176" t="n">
        <v>0.0164</v>
      </c>
      <c r="O2369" s="191" t="n">
        <v>3.46</v>
      </c>
      <c r="P2369" s="172" t="inlineStr">
        <is>
          <t>优先级</t>
        </is>
      </c>
      <c r="Q2369" s="175" t="n">
        <v>0.99</v>
      </c>
      <c r="R2369" s="192" t="n">
        <v>9.9</v>
      </c>
      <c r="S2369" s="172" t="inlineStr">
        <is>
          <t>AAA</t>
        </is>
      </c>
      <c r="T2369" s="175" t="n">
        <v>0.0157</v>
      </c>
      <c r="U2369" s="172" t="inlineStr">
        <is>
          <t>兴银理财</t>
        </is>
      </c>
      <c r="V2369" s="191" t="n">
        <v>1.54</v>
      </c>
      <c r="W2369" s="175" t="n">
        <v>0.0157</v>
      </c>
      <c r="X2369" s="172" t="inlineStr">
        <is>
          <t>兴银理财</t>
        </is>
      </c>
      <c r="Y2369" s="191" t="n">
        <v>1.98</v>
      </c>
    </row>
    <row r="2370">
      <c r="A2370" s="172" t="n">
        <v>130</v>
      </c>
      <c r="B2370" s="172" t="inlineStr">
        <is>
          <t>8月</t>
        </is>
      </c>
      <c r="C2370" s="172" t="inlineStr">
        <is>
          <t>企金</t>
        </is>
      </c>
      <c r="D2370" s="172" t="inlineStr">
        <is>
          <t>保理</t>
        </is>
      </c>
      <c r="E2370" s="172" t="inlineStr">
        <is>
          <t>京诚16-2</t>
        </is>
      </c>
      <c r="F2370" s="172" t="inlineStr">
        <is>
          <t>上交所</t>
        </is>
      </c>
      <c r="G2370" s="172" t="inlineStr">
        <is>
          <t>申万宏源资管</t>
        </is>
      </c>
      <c r="H2370" s="172" t="inlineStr">
        <is>
          <t>信达证券</t>
        </is>
      </c>
      <c r="I2370" s="172" t="inlineStr">
        <is>
          <t>建行北分</t>
        </is>
      </c>
      <c r="J2370" s="172" t="n">
        <v>10</v>
      </c>
      <c r="K2370" s="172" t="inlineStr">
        <is>
          <t>8+4</t>
        </is>
      </c>
      <c r="L2370" s="202" t="n">
        <v>46247</v>
      </c>
      <c r="M2370" s="175" t="n">
        <v>0.0147</v>
      </c>
      <c r="N2370" s="176" t="n">
        <v>0.0164</v>
      </c>
      <c r="O2370" s="191" t="n">
        <v>3.46</v>
      </c>
      <c r="P2370" s="172" t="inlineStr">
        <is>
          <t>优先级</t>
        </is>
      </c>
      <c r="Q2370" s="175" t="n">
        <v>0.99</v>
      </c>
      <c r="R2370" s="192" t="n">
        <v>9.9</v>
      </c>
      <c r="S2370" s="172" t="inlineStr">
        <is>
          <t>AAA</t>
        </is>
      </c>
      <c r="T2370" s="175" t="n">
        <v>0.0157</v>
      </c>
      <c r="U2370" s="172" t="inlineStr">
        <is>
          <t>平安理财</t>
        </is>
      </c>
      <c r="V2370" s="191" t="n">
        <v>2.47</v>
      </c>
      <c r="W2370" s="175" t="n">
        <v>0.0152</v>
      </c>
      <c r="X2370" s="172" t="inlineStr">
        <is>
          <t>平安理财</t>
        </is>
      </c>
      <c r="Y2370" s="191" t="n">
        <v>2.47</v>
      </c>
    </row>
    <row r="2371">
      <c r="A2371" s="172" t="n">
        <v>130</v>
      </c>
      <c r="B2371" s="172" t="inlineStr">
        <is>
          <t>8月</t>
        </is>
      </c>
      <c r="C2371" s="172" t="inlineStr">
        <is>
          <t>企金</t>
        </is>
      </c>
      <c r="D2371" s="172" t="inlineStr">
        <is>
          <t>保理</t>
        </is>
      </c>
      <c r="E2371" s="172" t="inlineStr">
        <is>
          <t>京诚16-2</t>
        </is>
      </c>
      <c r="F2371" s="172" t="inlineStr">
        <is>
          <t>上交所</t>
        </is>
      </c>
      <c r="G2371" s="172" t="inlineStr">
        <is>
          <t>申万宏源资管</t>
        </is>
      </c>
      <c r="H2371" s="172" t="inlineStr">
        <is>
          <t>信达证券</t>
        </is>
      </c>
      <c r="I2371" s="172" t="inlineStr">
        <is>
          <t>建行北分</t>
        </is>
      </c>
      <c r="J2371" s="172" t="n">
        <v>10</v>
      </c>
      <c r="K2371" s="172" t="inlineStr">
        <is>
          <t>8+4</t>
        </is>
      </c>
      <c r="L2371" s="202" t="n">
        <v>46247</v>
      </c>
      <c r="M2371" s="175" t="n">
        <v>0.0147</v>
      </c>
      <c r="N2371" s="176" t="n">
        <v>0.0164</v>
      </c>
      <c r="O2371" s="191" t="n">
        <v>3.46</v>
      </c>
      <c r="P2371" s="172" t="inlineStr">
        <is>
          <t>优先级</t>
        </is>
      </c>
      <c r="Q2371" s="175" t="n">
        <v>0.99</v>
      </c>
      <c r="R2371" s="192" t="n">
        <v>9.9</v>
      </c>
      <c r="S2371" s="172" t="inlineStr">
        <is>
          <t>AAA</t>
        </is>
      </c>
      <c r="T2371" s="175" t="n">
        <v>0.0157</v>
      </c>
      <c r="U2371" s="172" t="inlineStr">
        <is>
          <t>浦银理财</t>
        </is>
      </c>
      <c r="V2371" s="191" t="n">
        <v>2.14</v>
      </c>
      <c r="W2371" s="175" t="n">
        <v>0.0157</v>
      </c>
      <c r="X2371" s="172" t="inlineStr">
        <is>
          <t>浦银理财</t>
        </is>
      </c>
      <c r="Y2371" s="191" t="n">
        <v>2.76</v>
      </c>
    </row>
    <row r="2372">
      <c r="A2372" s="172" t="n">
        <v>130</v>
      </c>
      <c r="B2372" s="172" t="inlineStr">
        <is>
          <t>8月</t>
        </is>
      </c>
      <c r="C2372" s="172" t="inlineStr">
        <is>
          <t>企金</t>
        </is>
      </c>
      <c r="D2372" s="172" t="inlineStr">
        <is>
          <t>保理</t>
        </is>
      </c>
      <c r="E2372" s="172" t="inlineStr">
        <is>
          <t>京诚16-2</t>
        </is>
      </c>
      <c r="F2372" s="172" t="inlineStr">
        <is>
          <t>上交所</t>
        </is>
      </c>
      <c r="G2372" s="172" t="inlineStr">
        <is>
          <t>申万宏源资管</t>
        </is>
      </c>
      <c r="H2372" s="172" t="inlineStr">
        <is>
          <t>信达证券</t>
        </is>
      </c>
      <c r="I2372" s="172" t="inlineStr">
        <is>
          <t>建行北分</t>
        </is>
      </c>
      <c r="J2372" s="172" t="n">
        <v>10</v>
      </c>
      <c r="K2372" s="172" t="inlineStr">
        <is>
          <t>8+4</t>
        </is>
      </c>
      <c r="L2372" s="202" t="n">
        <v>46247</v>
      </c>
      <c r="M2372" s="175" t="n">
        <v>0.0147</v>
      </c>
      <c r="N2372" s="176" t="n">
        <v>0.0164</v>
      </c>
      <c r="O2372" s="191" t="n">
        <v>3.46</v>
      </c>
      <c r="P2372" s="172" t="inlineStr">
        <is>
          <t>优先级</t>
        </is>
      </c>
      <c r="Q2372" s="175" t="n">
        <v>0.99</v>
      </c>
      <c r="R2372" s="192" t="n">
        <v>9.9</v>
      </c>
      <c r="S2372" s="172" t="inlineStr">
        <is>
          <t>AAA</t>
        </is>
      </c>
      <c r="T2372" s="175" t="n">
        <v>0.0157</v>
      </c>
      <c r="U2372" s="172" t="inlineStr">
        <is>
          <t>工银理财</t>
        </is>
      </c>
      <c r="V2372" s="191" t="n">
        <v>0.78</v>
      </c>
      <c r="W2372" s="175" t="n">
        <v>0.0157</v>
      </c>
      <c r="X2372" s="172" t="inlineStr">
        <is>
          <t>工银理财</t>
        </is>
      </c>
      <c r="Y2372" s="191" t="n">
        <v>1</v>
      </c>
    </row>
    <row r="2373">
      <c r="A2373" s="172" t="n">
        <v>130</v>
      </c>
      <c r="B2373" s="172" t="inlineStr">
        <is>
          <t>8月</t>
        </is>
      </c>
      <c r="C2373" s="172" t="inlineStr">
        <is>
          <t>企金</t>
        </is>
      </c>
      <c r="D2373" s="172" t="inlineStr">
        <is>
          <t>保理</t>
        </is>
      </c>
      <c r="E2373" s="172" t="inlineStr">
        <is>
          <t>京诚16-2</t>
        </is>
      </c>
      <c r="F2373" s="172" t="inlineStr">
        <is>
          <t>上交所</t>
        </is>
      </c>
      <c r="G2373" s="172" t="inlineStr">
        <is>
          <t>申万宏源资管</t>
        </is>
      </c>
      <c r="H2373" s="172" t="inlineStr">
        <is>
          <t>信达证券</t>
        </is>
      </c>
      <c r="I2373" s="172" t="inlineStr">
        <is>
          <t>建行北分</t>
        </is>
      </c>
      <c r="J2373" s="172" t="n">
        <v>10</v>
      </c>
      <c r="K2373" s="172" t="inlineStr">
        <is>
          <t>8+4</t>
        </is>
      </c>
      <c r="L2373" s="208" t="n">
        <v>46247</v>
      </c>
      <c r="M2373" s="175" t="n">
        <v>0.0147</v>
      </c>
      <c r="N2373" s="176" t="n">
        <v>0.0164</v>
      </c>
      <c r="O2373" s="172" t="n">
        <v>3.46</v>
      </c>
      <c r="P2373" s="172" t="inlineStr">
        <is>
          <t>优先级</t>
        </is>
      </c>
      <c r="Q2373" s="175" t="n">
        <v>0.99</v>
      </c>
      <c r="R2373" s="192" t="n">
        <v>9.9</v>
      </c>
      <c r="S2373" s="172" t="inlineStr">
        <is>
          <t>AAA</t>
        </is>
      </c>
      <c r="T2373" s="175" t="n">
        <v>0.0157</v>
      </c>
      <c r="U2373" s="172" t="n"/>
      <c r="V2373" s="172" t="n"/>
      <c r="W2373" s="175" t="n">
        <v>0.0158</v>
      </c>
      <c r="X2373" s="172" t="inlineStr">
        <is>
          <t>工银理财</t>
        </is>
      </c>
      <c r="Y2373" s="191" t="n">
        <v>1.5</v>
      </c>
    </row>
    <row r="2374">
      <c r="A2374" s="172" t="n">
        <v>130</v>
      </c>
      <c r="B2374" s="172" t="inlineStr">
        <is>
          <t>8月</t>
        </is>
      </c>
      <c r="C2374" s="172" t="inlineStr">
        <is>
          <t>企金</t>
        </is>
      </c>
      <c r="D2374" s="172" t="inlineStr">
        <is>
          <t>保理</t>
        </is>
      </c>
      <c r="E2374" s="172" t="inlineStr">
        <is>
          <t>京诚16-2</t>
        </is>
      </c>
      <c r="F2374" s="172" t="inlineStr">
        <is>
          <t>上交所</t>
        </is>
      </c>
      <c r="G2374" s="172" t="inlineStr">
        <is>
          <t>申万宏源资管</t>
        </is>
      </c>
      <c r="H2374" s="172" t="inlineStr">
        <is>
          <t>信达证券</t>
        </is>
      </c>
      <c r="I2374" s="172" t="inlineStr">
        <is>
          <t>建行北分</t>
        </is>
      </c>
      <c r="J2374" s="172" t="n">
        <v>10</v>
      </c>
      <c r="K2374" s="172" t="inlineStr">
        <is>
          <t>8+4</t>
        </is>
      </c>
      <c r="L2374" s="202" t="n">
        <v>46247</v>
      </c>
      <c r="M2374" s="175" t="n">
        <v>0.0147</v>
      </c>
      <c r="N2374" s="176" t="n">
        <v>0.0164</v>
      </c>
      <c r="O2374" s="191" t="n">
        <v>3.46</v>
      </c>
      <c r="P2374" s="172" t="inlineStr">
        <is>
          <t>优先级</t>
        </is>
      </c>
      <c r="Q2374" s="175" t="n">
        <v>0.99</v>
      </c>
      <c r="R2374" s="192" t="n">
        <v>9.9</v>
      </c>
      <c r="S2374" s="172" t="inlineStr">
        <is>
          <t>AAA</t>
        </is>
      </c>
      <c r="T2374" s="175" t="n">
        <v>0.0157</v>
      </c>
      <c r="U2374" s="172" t="inlineStr">
        <is>
          <t>招银理财</t>
        </is>
      </c>
      <c r="V2374" s="191" t="n">
        <v>2.97</v>
      </c>
      <c r="W2374" s="175" t="n">
        <v>0.0156</v>
      </c>
      <c r="X2374" s="172" t="inlineStr">
        <is>
          <t>招银理财</t>
        </is>
      </c>
      <c r="Y2374" s="191" t="n">
        <v>2.97</v>
      </c>
    </row>
    <row r="2375">
      <c r="A2375" s="172" t="n">
        <v>130</v>
      </c>
      <c r="B2375" s="172" t="inlineStr">
        <is>
          <t>8月</t>
        </is>
      </c>
      <c r="C2375" s="172" t="inlineStr">
        <is>
          <t>企金</t>
        </is>
      </c>
      <c r="D2375" s="172" t="inlineStr">
        <is>
          <t>保理</t>
        </is>
      </c>
      <c r="E2375" s="172" t="inlineStr">
        <is>
          <t>京诚16-2</t>
        </is>
      </c>
      <c r="F2375" s="172" t="inlineStr">
        <is>
          <t>上交所</t>
        </is>
      </c>
      <c r="G2375" s="172" t="inlineStr">
        <is>
          <t>申万宏源资管</t>
        </is>
      </c>
      <c r="H2375" s="172" t="inlineStr">
        <is>
          <t>信达证券</t>
        </is>
      </c>
      <c r="I2375" s="172" t="inlineStr">
        <is>
          <t>建行北分</t>
        </is>
      </c>
      <c r="J2375" s="172" t="n">
        <v>10</v>
      </c>
      <c r="K2375" s="172" t="inlineStr">
        <is>
          <t>8+4</t>
        </is>
      </c>
      <c r="L2375" s="208" t="n">
        <v>46247</v>
      </c>
      <c r="M2375" s="175" t="n">
        <v>0.0147</v>
      </c>
      <c r="N2375" s="176" t="n">
        <v>0.0164</v>
      </c>
      <c r="O2375" s="172" t="n">
        <v>3.46</v>
      </c>
      <c r="P2375" s="172" t="inlineStr">
        <is>
          <t>优先级</t>
        </is>
      </c>
      <c r="Q2375" s="175" t="n">
        <v>0.99</v>
      </c>
      <c r="R2375" s="192" t="n">
        <v>9.9</v>
      </c>
      <c r="S2375" s="172" t="inlineStr">
        <is>
          <t>AAA</t>
        </is>
      </c>
      <c r="T2375" s="175" t="n">
        <v>0.0157</v>
      </c>
      <c r="U2375" s="172" t="n"/>
      <c r="V2375" s="172" t="n"/>
      <c r="W2375" s="175" t="n">
        <v>0.0157</v>
      </c>
      <c r="X2375" s="172" t="inlineStr">
        <is>
          <t>信达证券</t>
        </is>
      </c>
      <c r="Y2375" s="191" t="n">
        <v>1</v>
      </c>
    </row>
    <row r="2376">
      <c r="A2376" s="172" t="n">
        <v>130</v>
      </c>
      <c r="B2376" s="172" t="inlineStr">
        <is>
          <t>8月</t>
        </is>
      </c>
      <c r="C2376" s="172" t="inlineStr">
        <is>
          <t>企金</t>
        </is>
      </c>
      <c r="D2376" s="172" t="inlineStr">
        <is>
          <t>保理</t>
        </is>
      </c>
      <c r="E2376" s="172" t="inlineStr">
        <is>
          <t>京诚16-2</t>
        </is>
      </c>
      <c r="F2376" s="172" t="inlineStr">
        <is>
          <t>上交所</t>
        </is>
      </c>
      <c r="G2376" s="172" t="inlineStr">
        <is>
          <t>申万宏源资管</t>
        </is>
      </c>
      <c r="H2376" s="172" t="inlineStr">
        <is>
          <t>信达证券</t>
        </is>
      </c>
      <c r="I2376" s="172" t="inlineStr">
        <is>
          <t>建行北分</t>
        </is>
      </c>
      <c r="J2376" s="172" t="n">
        <v>10</v>
      </c>
      <c r="K2376" s="172" t="inlineStr">
        <is>
          <t>8+4</t>
        </is>
      </c>
      <c r="L2376" s="208" t="n">
        <v>46247</v>
      </c>
      <c r="M2376" s="175" t="n">
        <v>0.0147</v>
      </c>
      <c r="N2376" s="176" t="n">
        <v>0.0164</v>
      </c>
      <c r="O2376" s="172" t="n">
        <v>3.46</v>
      </c>
      <c r="P2376" s="172" t="inlineStr">
        <is>
          <t>优先级</t>
        </is>
      </c>
      <c r="Q2376" s="175" t="n">
        <v>0.99</v>
      </c>
      <c r="R2376" s="192" t="n">
        <v>9.9</v>
      </c>
      <c r="S2376" s="172" t="inlineStr">
        <is>
          <t>AAA</t>
        </is>
      </c>
      <c r="T2376" s="175" t="n">
        <v>0.0157</v>
      </c>
      <c r="U2376" s="172" t="n"/>
      <c r="V2376" s="172" t="n"/>
      <c r="W2376" s="175" t="n">
        <v>0.0157</v>
      </c>
      <c r="X2376" s="172" t="inlineStr">
        <is>
          <t>中信建投证券</t>
        </is>
      </c>
      <c r="Y2376" s="191" t="n">
        <v>1.5</v>
      </c>
    </row>
    <row r="2377">
      <c r="A2377" s="172" t="n">
        <v>130</v>
      </c>
      <c r="B2377" s="172" t="inlineStr">
        <is>
          <t>8月</t>
        </is>
      </c>
      <c r="C2377" s="172" t="inlineStr">
        <is>
          <t>企金</t>
        </is>
      </c>
      <c r="D2377" s="172" t="inlineStr">
        <is>
          <t>保理</t>
        </is>
      </c>
      <c r="E2377" s="172" t="inlineStr">
        <is>
          <t>京诚16-2</t>
        </is>
      </c>
      <c r="F2377" s="172" t="inlineStr">
        <is>
          <t>上交所</t>
        </is>
      </c>
      <c r="G2377" s="172" t="inlineStr">
        <is>
          <t>申万宏源资管</t>
        </is>
      </c>
      <c r="H2377" s="172" t="inlineStr">
        <is>
          <t>信达证券</t>
        </is>
      </c>
      <c r="I2377" s="172" t="inlineStr">
        <is>
          <t>建行北分</t>
        </is>
      </c>
      <c r="J2377" s="172" t="n">
        <v>10</v>
      </c>
      <c r="K2377" s="172" t="inlineStr">
        <is>
          <t>8+4</t>
        </is>
      </c>
      <c r="L2377" s="208" t="n">
        <v>46247</v>
      </c>
      <c r="M2377" s="175" t="n">
        <v>0.0147</v>
      </c>
      <c r="N2377" s="176" t="n">
        <v>0.0164</v>
      </c>
      <c r="O2377" s="172" t="n">
        <v>3.46</v>
      </c>
      <c r="P2377" s="172" t="inlineStr">
        <is>
          <t>优先级</t>
        </is>
      </c>
      <c r="Q2377" s="175" t="n">
        <v>0.99</v>
      </c>
      <c r="R2377" s="192" t="n">
        <v>9.9</v>
      </c>
      <c r="S2377" s="172" t="inlineStr">
        <is>
          <t>AAA</t>
        </is>
      </c>
      <c r="T2377" s="175" t="n">
        <v>0.0157</v>
      </c>
      <c r="U2377" s="172" t="n"/>
      <c r="V2377" s="172" t="n"/>
      <c r="W2377" s="175" t="n">
        <v>0.0157</v>
      </c>
      <c r="X2377" s="172" t="inlineStr">
        <is>
          <t>中金投顾</t>
        </is>
      </c>
      <c r="Y2377" s="191" t="n">
        <v>0.5</v>
      </c>
    </row>
    <row r="2378">
      <c r="A2378" s="172" t="n">
        <v>130</v>
      </c>
      <c r="B2378" s="172" t="inlineStr">
        <is>
          <t>8月</t>
        </is>
      </c>
      <c r="C2378" s="172" t="inlineStr">
        <is>
          <t>企金</t>
        </is>
      </c>
      <c r="D2378" s="172" t="inlineStr">
        <is>
          <t>保理</t>
        </is>
      </c>
      <c r="E2378" s="172" t="inlineStr">
        <is>
          <t>京诚16-2</t>
        </is>
      </c>
      <c r="F2378" s="172" t="inlineStr">
        <is>
          <t>上交所</t>
        </is>
      </c>
      <c r="G2378" s="172" t="inlineStr">
        <is>
          <t>申万宏源资管</t>
        </is>
      </c>
      <c r="H2378" s="172" t="inlineStr">
        <is>
          <t>信达证券</t>
        </is>
      </c>
      <c r="I2378" s="172" t="inlineStr">
        <is>
          <t>建行北分</t>
        </is>
      </c>
      <c r="J2378" s="172" t="n">
        <v>10</v>
      </c>
      <c r="K2378" s="172" t="inlineStr">
        <is>
          <t>8+4</t>
        </is>
      </c>
      <c r="L2378" s="208" t="n">
        <v>46247</v>
      </c>
      <c r="M2378" s="175" t="n">
        <v>0.0147</v>
      </c>
      <c r="N2378" s="176" t="n">
        <v>0.0164</v>
      </c>
      <c r="O2378" s="172" t="n">
        <v>3.46</v>
      </c>
      <c r="P2378" s="172" t="inlineStr">
        <is>
          <t>优先级</t>
        </is>
      </c>
      <c r="Q2378" s="175" t="n">
        <v>0.99</v>
      </c>
      <c r="R2378" s="192" t="n">
        <v>9.9</v>
      </c>
      <c r="S2378" s="172" t="inlineStr">
        <is>
          <t>AAA</t>
        </is>
      </c>
      <c r="T2378" s="175" t="n">
        <v>0.0157</v>
      </c>
      <c r="U2378" s="172" t="n"/>
      <c r="V2378" s="172" t="n"/>
      <c r="W2378" s="175" t="n">
        <v>0.0157</v>
      </c>
      <c r="X2378" s="172" t="inlineStr">
        <is>
          <t>上海利曦私募基金管理合伙企业</t>
        </is>
      </c>
      <c r="Y2378" s="191" t="n">
        <v>2</v>
      </c>
    </row>
    <row r="2379">
      <c r="A2379" s="172" t="n">
        <v>130</v>
      </c>
      <c r="B2379" s="172" t="inlineStr">
        <is>
          <t>8月</t>
        </is>
      </c>
      <c r="C2379" s="172" t="inlineStr">
        <is>
          <t>企金</t>
        </is>
      </c>
      <c r="D2379" s="172" t="inlineStr">
        <is>
          <t>保理</t>
        </is>
      </c>
      <c r="E2379" s="172" t="inlineStr">
        <is>
          <t>京诚16-2</t>
        </is>
      </c>
      <c r="F2379" s="172" t="inlineStr">
        <is>
          <t>上交所</t>
        </is>
      </c>
      <c r="G2379" s="172" t="inlineStr">
        <is>
          <t>申万宏源资管</t>
        </is>
      </c>
      <c r="H2379" s="172" t="inlineStr">
        <is>
          <t>信达证券</t>
        </is>
      </c>
      <c r="I2379" s="172" t="inlineStr">
        <is>
          <t>建行北分</t>
        </is>
      </c>
      <c r="J2379" s="172" t="n">
        <v>10</v>
      </c>
      <c r="K2379" s="172" t="inlineStr">
        <is>
          <t>8+4</t>
        </is>
      </c>
      <c r="L2379" s="208" t="n">
        <v>46247</v>
      </c>
      <c r="M2379" s="175" t="n">
        <v>0.0147</v>
      </c>
      <c r="N2379" s="176" t="n">
        <v>0.0164</v>
      </c>
      <c r="O2379" s="172" t="n">
        <v>3.46</v>
      </c>
      <c r="P2379" s="172" t="inlineStr">
        <is>
          <t>优先级</t>
        </is>
      </c>
      <c r="Q2379" s="175" t="n">
        <v>0.99</v>
      </c>
      <c r="R2379" s="192" t="n">
        <v>9.9</v>
      </c>
      <c r="S2379" s="172" t="inlineStr">
        <is>
          <t>AAA</t>
        </is>
      </c>
      <c r="T2379" s="175" t="n">
        <v>0.0157</v>
      </c>
      <c r="U2379" s="172" t="n"/>
      <c r="V2379" s="172" t="n"/>
      <c r="W2379" s="175" t="n">
        <v>0.0157</v>
      </c>
      <c r="X2379" s="172" t="inlineStr">
        <is>
          <t>申万宏源资管</t>
        </is>
      </c>
      <c r="Y2379" s="191" t="n">
        <v>1</v>
      </c>
    </row>
    <row r="2380">
      <c r="A2380" s="172" t="n">
        <v>130</v>
      </c>
      <c r="B2380" s="172" t="inlineStr">
        <is>
          <t>8月</t>
        </is>
      </c>
      <c r="C2380" s="172" t="inlineStr">
        <is>
          <t>企金</t>
        </is>
      </c>
      <c r="D2380" s="172" t="inlineStr">
        <is>
          <t>保理</t>
        </is>
      </c>
      <c r="E2380" s="172" t="inlineStr">
        <is>
          <t>京诚16-2</t>
        </is>
      </c>
      <c r="F2380" s="172" t="inlineStr">
        <is>
          <t>上交所</t>
        </is>
      </c>
      <c r="G2380" s="172" t="inlineStr">
        <is>
          <t>申万宏源资管</t>
        </is>
      </c>
      <c r="H2380" s="172" t="inlineStr">
        <is>
          <t>信达证券</t>
        </is>
      </c>
      <c r="I2380" s="172" t="inlineStr">
        <is>
          <t>建行北分</t>
        </is>
      </c>
      <c r="J2380" s="172" t="n">
        <v>10</v>
      </c>
      <c r="K2380" s="172" t="inlineStr">
        <is>
          <t>8+4</t>
        </is>
      </c>
      <c r="L2380" s="208" t="n">
        <v>46247</v>
      </c>
      <c r="M2380" s="175" t="n">
        <v>0.0147</v>
      </c>
      <c r="N2380" s="176" t="n">
        <v>0.0164</v>
      </c>
      <c r="O2380" s="172" t="n">
        <v>3.46</v>
      </c>
      <c r="P2380" s="172" t="inlineStr">
        <is>
          <t>优先级</t>
        </is>
      </c>
      <c r="Q2380" s="175" t="n">
        <v>0.99</v>
      </c>
      <c r="R2380" s="192" t="n">
        <v>9.9</v>
      </c>
      <c r="S2380" s="172" t="inlineStr">
        <is>
          <t>AAA</t>
        </is>
      </c>
      <c r="T2380" s="175" t="n">
        <v>0.0157</v>
      </c>
      <c r="U2380" s="172" t="n"/>
      <c r="V2380" s="172" t="n"/>
      <c r="W2380" s="175" t="n">
        <v>0.0157</v>
      </c>
      <c r="X2380" s="172" t="inlineStr">
        <is>
          <t>国信证券</t>
        </is>
      </c>
      <c r="Y2380" s="191" t="n">
        <v>1.5</v>
      </c>
    </row>
    <row r="2381">
      <c r="A2381" s="172" t="n">
        <v>130</v>
      </c>
      <c r="B2381" s="172" t="inlineStr">
        <is>
          <t>8月</t>
        </is>
      </c>
      <c r="C2381" s="172" t="inlineStr">
        <is>
          <t>企金</t>
        </is>
      </c>
      <c r="D2381" s="172" t="inlineStr">
        <is>
          <t>保理</t>
        </is>
      </c>
      <c r="E2381" s="172" t="inlineStr">
        <is>
          <t>京诚16-2</t>
        </is>
      </c>
      <c r="F2381" s="172" t="inlineStr">
        <is>
          <t>上交所</t>
        </is>
      </c>
      <c r="G2381" s="172" t="inlineStr">
        <is>
          <t>申万宏源资管</t>
        </is>
      </c>
      <c r="H2381" s="172" t="inlineStr">
        <is>
          <t>信达证券</t>
        </is>
      </c>
      <c r="I2381" s="172" t="inlineStr">
        <is>
          <t>建行北分</t>
        </is>
      </c>
      <c r="J2381" s="172" t="n">
        <v>10</v>
      </c>
      <c r="K2381" s="172" t="inlineStr">
        <is>
          <t>8+4</t>
        </is>
      </c>
      <c r="L2381" s="208" t="n">
        <v>46247</v>
      </c>
      <c r="M2381" s="175" t="n">
        <v>0.0147</v>
      </c>
      <c r="N2381" s="176" t="n">
        <v>0.0164</v>
      </c>
      <c r="O2381" s="172" t="n">
        <v>3.46</v>
      </c>
      <c r="P2381" s="172" t="inlineStr">
        <is>
          <t>优先级</t>
        </is>
      </c>
      <c r="Q2381" s="175" t="n">
        <v>0.99</v>
      </c>
      <c r="R2381" s="192" t="n">
        <v>9.9</v>
      </c>
      <c r="S2381" s="172" t="inlineStr">
        <is>
          <t>AAA</t>
        </is>
      </c>
      <c r="T2381" s="175" t="n">
        <v>0.0157</v>
      </c>
      <c r="U2381" s="172" t="n"/>
      <c r="V2381" s="172" t="n"/>
      <c r="W2381" s="175" t="n">
        <v>0.0158</v>
      </c>
      <c r="X2381" s="172" t="inlineStr">
        <is>
          <t>平安资产管理</t>
        </is>
      </c>
      <c r="Y2381" s="191" t="n">
        <v>2</v>
      </c>
    </row>
    <row r="2382">
      <c r="A2382" s="172" t="n">
        <v>130</v>
      </c>
      <c r="B2382" s="172" t="inlineStr">
        <is>
          <t>8月</t>
        </is>
      </c>
      <c r="C2382" s="172" t="inlineStr">
        <is>
          <t>企金</t>
        </is>
      </c>
      <c r="D2382" s="172" t="inlineStr">
        <is>
          <t>保理</t>
        </is>
      </c>
      <c r="E2382" s="172" t="inlineStr">
        <is>
          <t>京诚16-2</t>
        </is>
      </c>
      <c r="F2382" s="172" t="inlineStr">
        <is>
          <t>上交所</t>
        </is>
      </c>
      <c r="G2382" s="172" t="inlineStr">
        <is>
          <t>申万宏源资管</t>
        </is>
      </c>
      <c r="H2382" s="172" t="inlineStr">
        <is>
          <t>信达证券</t>
        </is>
      </c>
      <c r="I2382" s="172" t="inlineStr">
        <is>
          <t>建行北分</t>
        </is>
      </c>
      <c r="J2382" s="172" t="n">
        <v>10</v>
      </c>
      <c r="K2382" s="172" t="inlineStr">
        <is>
          <t>8+4</t>
        </is>
      </c>
      <c r="L2382" s="208" t="n">
        <v>46247</v>
      </c>
      <c r="M2382" s="175" t="n">
        <v>0.0147</v>
      </c>
      <c r="N2382" s="176" t="n">
        <v>0.0164</v>
      </c>
      <c r="O2382" s="172" t="n">
        <v>3.46</v>
      </c>
      <c r="P2382" s="172" t="inlineStr">
        <is>
          <t>优先级</t>
        </is>
      </c>
      <c r="Q2382" s="175" t="n">
        <v>0.99</v>
      </c>
      <c r="R2382" s="192" t="n">
        <v>9.9</v>
      </c>
      <c r="S2382" s="172" t="inlineStr">
        <is>
          <t>AAA</t>
        </is>
      </c>
      <c r="T2382" s="175" t="n">
        <v>0.0157</v>
      </c>
      <c r="U2382" s="172" t="n"/>
      <c r="V2382" s="172" t="n"/>
      <c r="W2382" s="175" t="n">
        <v>0.0159</v>
      </c>
      <c r="X2382" s="172" t="inlineStr">
        <is>
          <t>平安资产管理</t>
        </is>
      </c>
      <c r="Y2382" s="191" t="n">
        <v>2.95</v>
      </c>
    </row>
    <row r="2383">
      <c r="A2383" s="172" t="n">
        <v>130</v>
      </c>
      <c r="B2383" s="172" t="inlineStr">
        <is>
          <t>8月</t>
        </is>
      </c>
      <c r="C2383" s="172" t="inlineStr">
        <is>
          <t>企金</t>
        </is>
      </c>
      <c r="D2383" s="172" t="inlineStr">
        <is>
          <t>保理</t>
        </is>
      </c>
      <c r="E2383" s="172" t="inlineStr">
        <is>
          <t>京诚16-2</t>
        </is>
      </c>
      <c r="F2383" s="172" t="inlineStr">
        <is>
          <t>上交所</t>
        </is>
      </c>
      <c r="G2383" s="172" t="inlineStr">
        <is>
          <t>申万宏源资管</t>
        </is>
      </c>
      <c r="H2383" s="172" t="inlineStr">
        <is>
          <t>信达证券</t>
        </is>
      </c>
      <c r="I2383" s="172" t="inlineStr">
        <is>
          <t>建行北分</t>
        </is>
      </c>
      <c r="J2383" s="172" t="n">
        <v>10</v>
      </c>
      <c r="K2383" s="172" t="inlineStr">
        <is>
          <t>8+4</t>
        </is>
      </c>
      <c r="L2383" s="208" t="n">
        <v>46247</v>
      </c>
      <c r="M2383" s="175" t="n">
        <v>0.0147</v>
      </c>
      <c r="N2383" s="176" t="n">
        <v>0.0164</v>
      </c>
      <c r="O2383" s="172" t="n">
        <v>3.46</v>
      </c>
      <c r="P2383" s="172" t="inlineStr">
        <is>
          <t>优先级</t>
        </is>
      </c>
      <c r="Q2383" s="175" t="n">
        <v>0.99</v>
      </c>
      <c r="R2383" s="192" t="n">
        <v>9.9</v>
      </c>
      <c r="S2383" s="172" t="inlineStr">
        <is>
          <t>AAA</t>
        </is>
      </c>
      <c r="T2383" s="175" t="n">
        <v>0.0157</v>
      </c>
      <c r="U2383" s="172" t="n"/>
      <c r="V2383" s="172" t="n"/>
      <c r="W2383" s="175" t="n">
        <v>0.0158</v>
      </c>
      <c r="X2383" s="172" t="inlineStr">
        <is>
          <t>民生理财</t>
        </is>
      </c>
      <c r="Y2383" s="191" t="n">
        <v>2.97</v>
      </c>
    </row>
    <row r="2384">
      <c r="A2384" s="172" t="n">
        <v>130</v>
      </c>
      <c r="B2384" s="172" t="inlineStr">
        <is>
          <t>8月</t>
        </is>
      </c>
      <c r="C2384" s="172" t="inlineStr">
        <is>
          <t>企金</t>
        </is>
      </c>
      <c r="D2384" s="172" t="inlineStr">
        <is>
          <t>保理</t>
        </is>
      </c>
      <c r="E2384" s="172" t="inlineStr">
        <is>
          <t>京诚16-2</t>
        </is>
      </c>
      <c r="F2384" s="172" t="inlineStr">
        <is>
          <t>上交所</t>
        </is>
      </c>
      <c r="G2384" s="172" t="inlineStr">
        <is>
          <t>申万宏源资管</t>
        </is>
      </c>
      <c r="H2384" s="172" t="inlineStr">
        <is>
          <t>信达证券</t>
        </is>
      </c>
      <c r="I2384" s="172" t="inlineStr">
        <is>
          <t>建行北分</t>
        </is>
      </c>
      <c r="J2384" s="172" t="n">
        <v>10</v>
      </c>
      <c r="K2384" s="172" t="inlineStr">
        <is>
          <t>8+4</t>
        </is>
      </c>
      <c r="L2384" s="208" t="n">
        <v>46247</v>
      </c>
      <c r="M2384" s="175" t="n">
        <v>0.0147</v>
      </c>
      <c r="N2384" s="176" t="n">
        <v>0.0164</v>
      </c>
      <c r="O2384" s="172" t="n">
        <v>3.46</v>
      </c>
      <c r="P2384" s="172" t="inlineStr">
        <is>
          <t>优先级</t>
        </is>
      </c>
      <c r="Q2384" s="175" t="n">
        <v>0.99</v>
      </c>
      <c r="R2384" s="192" t="n">
        <v>9.9</v>
      </c>
      <c r="S2384" s="172" t="inlineStr">
        <is>
          <t>AAA</t>
        </is>
      </c>
      <c r="T2384" s="175" t="n">
        <v>0.0157</v>
      </c>
      <c r="U2384" s="172" t="n"/>
      <c r="V2384" s="172" t="n"/>
      <c r="W2384" s="175" t="n">
        <v>0.0159</v>
      </c>
      <c r="X2384" s="172" t="inlineStr">
        <is>
          <t>中银理财</t>
        </is>
      </c>
      <c r="Y2384" s="191" t="n">
        <v>2.9</v>
      </c>
    </row>
    <row r="2385">
      <c r="A2385" s="172" t="n">
        <v>130</v>
      </c>
      <c r="B2385" s="172" t="inlineStr">
        <is>
          <t>8月</t>
        </is>
      </c>
      <c r="C2385" s="172" t="inlineStr">
        <is>
          <t>企金</t>
        </is>
      </c>
      <c r="D2385" s="172" t="inlineStr">
        <is>
          <t>保理</t>
        </is>
      </c>
      <c r="E2385" s="172" t="inlineStr">
        <is>
          <t>京诚16-2</t>
        </is>
      </c>
      <c r="F2385" s="172" t="inlineStr">
        <is>
          <t>上交所</t>
        </is>
      </c>
      <c r="G2385" s="172" t="inlineStr">
        <is>
          <t>申万宏源资管</t>
        </is>
      </c>
      <c r="H2385" s="172" t="inlineStr">
        <is>
          <t>信达证券</t>
        </is>
      </c>
      <c r="I2385" s="172" t="inlineStr">
        <is>
          <t>建行北分</t>
        </is>
      </c>
      <c r="J2385" s="172" t="n">
        <v>10</v>
      </c>
      <c r="K2385" s="172" t="inlineStr">
        <is>
          <t>8+4</t>
        </is>
      </c>
      <c r="L2385" s="208" t="n">
        <v>46247</v>
      </c>
      <c r="M2385" s="175" t="n">
        <v>0.0147</v>
      </c>
      <c r="N2385" s="176" t="n">
        <v>0.0164</v>
      </c>
      <c r="O2385" s="172" t="n">
        <v>3.46</v>
      </c>
      <c r="P2385" s="172" t="inlineStr">
        <is>
          <t>优先级</t>
        </is>
      </c>
      <c r="Q2385" s="175" t="n">
        <v>0.99</v>
      </c>
      <c r="R2385" s="192" t="n">
        <v>9.9</v>
      </c>
      <c r="S2385" s="172" t="inlineStr">
        <is>
          <t>AAA</t>
        </is>
      </c>
      <c r="T2385" s="175" t="n">
        <v>0.0157</v>
      </c>
      <c r="U2385" s="172" t="n"/>
      <c r="V2385" s="172" t="n"/>
      <c r="W2385" s="175" t="n">
        <v>0.0162</v>
      </c>
      <c r="X2385" s="172" t="inlineStr">
        <is>
          <t>中邮理财</t>
        </is>
      </c>
      <c r="Y2385" s="191" t="n">
        <v>0.9</v>
      </c>
    </row>
    <row r="2386">
      <c r="A2386" s="172" t="n">
        <v>130</v>
      </c>
      <c r="B2386" s="172" t="inlineStr">
        <is>
          <t>8月</t>
        </is>
      </c>
      <c r="C2386" s="172" t="inlineStr">
        <is>
          <t>企金</t>
        </is>
      </c>
      <c r="D2386" s="172" t="inlineStr">
        <is>
          <t>保理</t>
        </is>
      </c>
      <c r="E2386" s="172" t="inlineStr">
        <is>
          <t>京诚16-2</t>
        </is>
      </c>
      <c r="F2386" s="172" t="inlineStr">
        <is>
          <t>上交所</t>
        </is>
      </c>
      <c r="G2386" s="172" t="inlineStr">
        <is>
          <t>申万宏源资管</t>
        </is>
      </c>
      <c r="H2386" s="172" t="inlineStr">
        <is>
          <t>信达证券</t>
        </is>
      </c>
      <c r="I2386" s="172" t="inlineStr">
        <is>
          <t>建行北分</t>
        </is>
      </c>
      <c r="J2386" s="172" t="n">
        <v>10</v>
      </c>
      <c r="K2386" s="172" t="inlineStr">
        <is>
          <t>8+4</t>
        </is>
      </c>
      <c r="L2386" s="208" t="n">
        <v>46247</v>
      </c>
      <c r="M2386" s="175" t="n">
        <v>0.0147</v>
      </c>
      <c r="N2386" s="176" t="n">
        <v>0.0164</v>
      </c>
      <c r="O2386" s="172" t="n">
        <v>3.46</v>
      </c>
      <c r="P2386" s="172" t="inlineStr">
        <is>
          <t>优先级</t>
        </is>
      </c>
      <c r="Q2386" s="175" t="n">
        <v>0.99</v>
      </c>
      <c r="R2386" s="192" t="n">
        <v>9.9</v>
      </c>
      <c r="S2386" s="172" t="inlineStr">
        <is>
          <t>AAA</t>
        </is>
      </c>
      <c r="T2386" s="175" t="n">
        <v>0.0157</v>
      </c>
      <c r="U2386" s="172" t="n"/>
      <c r="V2386" s="172" t="n"/>
      <c r="W2386" s="175" t="n">
        <v>0.0164</v>
      </c>
      <c r="X2386" s="172" t="inlineStr">
        <is>
          <t>中邮理财</t>
        </is>
      </c>
      <c r="Y2386" s="191" t="n">
        <v>0.9</v>
      </c>
    </row>
    <row r="2387">
      <c r="A2387" s="172" t="n">
        <v>130</v>
      </c>
      <c r="B2387" s="172" t="inlineStr">
        <is>
          <t>8月</t>
        </is>
      </c>
      <c r="C2387" s="172" t="inlineStr">
        <is>
          <t>企金</t>
        </is>
      </c>
      <c r="D2387" s="172" t="inlineStr">
        <is>
          <t>保理</t>
        </is>
      </c>
      <c r="E2387" s="172" t="inlineStr">
        <is>
          <t>京诚16-2</t>
        </is>
      </c>
      <c r="F2387" s="172" t="inlineStr">
        <is>
          <t>上交所</t>
        </is>
      </c>
      <c r="G2387" s="172" t="inlineStr">
        <is>
          <t>申万宏源资管</t>
        </is>
      </c>
      <c r="H2387" s="172" t="inlineStr">
        <is>
          <t>信达证券</t>
        </is>
      </c>
      <c r="I2387" s="172" t="inlineStr">
        <is>
          <t>建行北分</t>
        </is>
      </c>
      <c r="J2387" s="172" t="n">
        <v>10</v>
      </c>
      <c r="K2387" s="172" t="inlineStr">
        <is>
          <t>8+4</t>
        </is>
      </c>
      <c r="L2387" s="208" t="n">
        <v>46247</v>
      </c>
      <c r="M2387" s="175" t="n">
        <v>0.0147</v>
      </c>
      <c r="N2387" s="176" t="n">
        <v>0.0164</v>
      </c>
      <c r="O2387" s="172" t="n">
        <v>3.46</v>
      </c>
      <c r="P2387" s="172" t="inlineStr">
        <is>
          <t>优先级</t>
        </is>
      </c>
      <c r="Q2387" s="175" t="n">
        <v>0.99</v>
      </c>
      <c r="R2387" s="192" t="n">
        <v>9.9</v>
      </c>
      <c r="S2387" s="172" t="inlineStr">
        <is>
          <t>AAA</t>
        </is>
      </c>
      <c r="T2387" s="175" t="n">
        <v>0.0157</v>
      </c>
      <c r="U2387" s="172" t="n"/>
      <c r="V2387" s="172" t="n"/>
      <c r="W2387" s="175" t="n">
        <v>0.0167</v>
      </c>
      <c r="X2387" s="172" t="inlineStr">
        <is>
          <t>中邮理财</t>
        </is>
      </c>
      <c r="Y2387" s="191" t="n">
        <v>0.9</v>
      </c>
    </row>
    <row r="2388">
      <c r="A2388" s="172" t="n">
        <v>130</v>
      </c>
      <c r="B2388" s="172" t="inlineStr">
        <is>
          <t>8月</t>
        </is>
      </c>
      <c r="C2388" s="172" t="inlineStr">
        <is>
          <t>企金</t>
        </is>
      </c>
      <c r="D2388" s="172" t="inlineStr">
        <is>
          <t>保理</t>
        </is>
      </c>
      <c r="E2388" s="172" t="inlineStr">
        <is>
          <t>京诚16-2</t>
        </is>
      </c>
      <c r="F2388" s="172" t="inlineStr">
        <is>
          <t>上交所</t>
        </is>
      </c>
      <c r="G2388" s="172" t="inlineStr">
        <is>
          <t>申万宏源资管</t>
        </is>
      </c>
      <c r="H2388" s="172" t="inlineStr">
        <is>
          <t>信达证券</t>
        </is>
      </c>
      <c r="I2388" s="172" t="inlineStr">
        <is>
          <t>建行北分</t>
        </is>
      </c>
      <c r="J2388" s="172" t="n">
        <v>10</v>
      </c>
      <c r="K2388" s="172" t="inlineStr">
        <is>
          <t>8+4</t>
        </is>
      </c>
      <c r="L2388" s="208" t="n">
        <v>46247</v>
      </c>
      <c r="M2388" s="175" t="n">
        <v>0.0147</v>
      </c>
      <c r="N2388" s="176" t="n">
        <v>0.0164</v>
      </c>
      <c r="O2388" s="172" t="n">
        <v>3.46</v>
      </c>
      <c r="P2388" s="172" t="inlineStr">
        <is>
          <t>优先级</t>
        </is>
      </c>
      <c r="Q2388" s="175" t="n">
        <v>0.99</v>
      </c>
      <c r="R2388" s="192" t="n">
        <v>9.9</v>
      </c>
      <c r="S2388" s="172" t="inlineStr">
        <is>
          <t>AAA</t>
        </is>
      </c>
      <c r="T2388" s="175" t="n">
        <v>0.0157</v>
      </c>
      <c r="U2388" s="172" t="n"/>
      <c r="V2388" s="172" t="n"/>
      <c r="W2388" s="175" t="n">
        <v>0.017</v>
      </c>
      <c r="X2388" s="172" t="inlineStr">
        <is>
          <t>中邮理财</t>
        </is>
      </c>
      <c r="Y2388" s="191" t="n">
        <v>0.27</v>
      </c>
    </row>
    <row r="2389">
      <c r="A2389" s="172" t="n">
        <v>130</v>
      </c>
      <c r="B2389" s="172" t="inlineStr">
        <is>
          <t>8月</t>
        </is>
      </c>
      <c r="C2389" s="172" t="inlineStr">
        <is>
          <t>企金</t>
        </is>
      </c>
      <c r="D2389" s="172" t="inlineStr">
        <is>
          <t>保理</t>
        </is>
      </c>
      <c r="E2389" s="172" t="inlineStr">
        <is>
          <t>京诚16-2</t>
        </is>
      </c>
      <c r="F2389" s="172" t="inlineStr">
        <is>
          <t>上交所</t>
        </is>
      </c>
      <c r="G2389" s="172" t="inlineStr">
        <is>
          <t>申万宏源资管</t>
        </is>
      </c>
      <c r="H2389" s="172" t="inlineStr">
        <is>
          <t>信达证券</t>
        </is>
      </c>
      <c r="I2389" s="172" t="inlineStr">
        <is>
          <t>建行北分</t>
        </is>
      </c>
      <c r="J2389" s="172" t="n">
        <v>10</v>
      </c>
      <c r="K2389" s="172" t="inlineStr">
        <is>
          <t>8+4</t>
        </is>
      </c>
      <c r="L2389" s="208" t="n">
        <v>46247</v>
      </c>
      <c r="M2389" s="175" t="n">
        <v>0.0147</v>
      </c>
      <c r="N2389" s="176" t="n">
        <v>0.0164</v>
      </c>
      <c r="O2389" s="172" t="n">
        <v>3.46</v>
      </c>
      <c r="P2389" s="172" t="inlineStr">
        <is>
          <t>优先级</t>
        </is>
      </c>
      <c r="Q2389" s="175" t="n">
        <v>0.99</v>
      </c>
      <c r="R2389" s="192" t="n">
        <v>9.9</v>
      </c>
      <c r="S2389" s="172" t="inlineStr">
        <is>
          <t>AAA</t>
        </is>
      </c>
      <c r="T2389" s="175" t="n">
        <v>0.0157</v>
      </c>
      <c r="U2389" s="172" t="n"/>
      <c r="V2389" s="172" t="n"/>
      <c r="W2389" s="175" t="n">
        <v>0.018</v>
      </c>
      <c r="X2389" s="172" t="inlineStr">
        <is>
          <t>建信基金</t>
        </is>
      </c>
      <c r="Y2389" s="191" t="n">
        <v>0.3</v>
      </c>
    </row>
    <row r="2390">
      <c r="A2390" s="172" t="n">
        <v>130</v>
      </c>
      <c r="B2390" s="172" t="inlineStr">
        <is>
          <t>8月</t>
        </is>
      </c>
      <c r="C2390" s="172" t="inlineStr">
        <is>
          <t>企金</t>
        </is>
      </c>
      <c r="D2390" s="172" t="inlineStr">
        <is>
          <t>保理</t>
        </is>
      </c>
      <c r="E2390" s="172" t="inlineStr">
        <is>
          <t>京诚16-2</t>
        </is>
      </c>
      <c r="F2390" s="172" t="inlineStr">
        <is>
          <t>上交所</t>
        </is>
      </c>
      <c r="G2390" s="172" t="inlineStr">
        <is>
          <t>申万宏源资管</t>
        </is>
      </c>
      <c r="H2390" s="172" t="inlineStr">
        <is>
          <t>信达证券</t>
        </is>
      </c>
      <c r="I2390" s="172" t="inlineStr">
        <is>
          <t>建行北分</t>
        </is>
      </c>
      <c r="J2390" s="172" t="n">
        <v>10</v>
      </c>
      <c r="K2390" s="172" t="inlineStr">
        <is>
          <t>8+4</t>
        </is>
      </c>
      <c r="L2390" s="202" t="n">
        <v>46247</v>
      </c>
      <c r="M2390" s="175" t="n">
        <v>0.0147</v>
      </c>
      <c r="N2390" s="176" t="n">
        <v>0.0164</v>
      </c>
      <c r="O2390" s="191" t="n">
        <v>3.46</v>
      </c>
      <c r="P2390" s="172" t="inlineStr">
        <is>
          <t>次级</t>
        </is>
      </c>
      <c r="Q2390" s="175" t="n">
        <v>0.01</v>
      </c>
      <c r="R2390" s="192" t="n">
        <v>0.1</v>
      </c>
      <c r="S2390" s="175" t="inlineStr">
        <is>
          <t>无</t>
        </is>
      </c>
      <c r="T2390" s="175" t="n">
        <v>0.043</v>
      </c>
      <c r="U2390" s="172" t="inlineStr">
        <is>
          <t>朗姿韩亚</t>
        </is>
      </c>
      <c r="V2390" s="191" t="n">
        <v>0.1</v>
      </c>
      <c r="W2390" s="172" t="n"/>
      <c r="X2390" s="172" t="n"/>
      <c r="Y2390" s="172" t="n"/>
    </row>
    <row r="2391">
      <c r="A2391" s="172" t="n">
        <v>131</v>
      </c>
      <c r="B2391" s="172" t="inlineStr">
        <is>
          <t>8月</t>
        </is>
      </c>
      <c r="C2391" s="172" t="inlineStr">
        <is>
          <t>企金</t>
        </is>
      </c>
      <c r="D2391" s="172" t="inlineStr">
        <is>
          <t>保理</t>
        </is>
      </c>
      <c r="E2391" s="172" t="inlineStr">
        <is>
          <t>京诚14-13</t>
        </is>
      </c>
      <c r="F2391" s="172" t="inlineStr">
        <is>
          <t>上交所</t>
        </is>
      </c>
      <c r="G2391" s="172" t="inlineStr">
        <is>
          <t>中信证券</t>
        </is>
      </c>
      <c r="H2391" s="172" t="inlineStr">
        <is>
          <t>中泰证券</t>
        </is>
      </c>
      <c r="I2391" s="172" t="inlineStr">
        <is>
          <t>邮储北分</t>
        </is>
      </c>
      <c r="J2391" s="172" t="n">
        <v>5</v>
      </c>
      <c r="K2391" s="172" t="inlineStr">
        <is>
          <t>3+3</t>
        </is>
      </c>
      <c r="L2391" s="202" t="n">
        <v>46251</v>
      </c>
      <c r="M2391" s="175" t="n">
        <v>0.0147</v>
      </c>
      <c r="N2391" s="176" t="n">
        <v>0.0171</v>
      </c>
      <c r="O2391" s="191" t="n">
        <v>2.64</v>
      </c>
      <c r="P2391" s="172" t="inlineStr">
        <is>
          <t>优先级</t>
        </is>
      </c>
      <c r="Q2391" s="175" t="n">
        <v>0.99</v>
      </c>
      <c r="R2391" s="192">
        <f>J1551*Q1551</f>
        <v/>
      </c>
      <c r="S2391" s="172" t="inlineStr">
        <is>
          <t>AAA</t>
        </is>
      </c>
      <c r="T2391" s="175" t="n">
        <v>0.0154</v>
      </c>
      <c r="U2391" s="172" t="inlineStr">
        <is>
          <t>兴银理财</t>
        </is>
      </c>
      <c r="V2391" s="191" t="n">
        <v>1.23</v>
      </c>
      <c r="W2391" s="175" t="n">
        <v>0.0153</v>
      </c>
      <c r="X2391" s="172" t="inlineStr">
        <is>
          <t>兴银理财</t>
        </is>
      </c>
      <c r="Y2391" s="191" t="n">
        <v>1.23</v>
      </c>
    </row>
    <row r="2392">
      <c r="A2392" s="172" t="n">
        <v>131</v>
      </c>
      <c r="B2392" s="172" t="inlineStr">
        <is>
          <t>8月</t>
        </is>
      </c>
      <c r="C2392" s="172" t="inlineStr">
        <is>
          <t>企金</t>
        </is>
      </c>
      <c r="D2392" s="172" t="inlineStr">
        <is>
          <t>保理</t>
        </is>
      </c>
      <c r="E2392" s="172" t="inlineStr">
        <is>
          <t>京诚14-13</t>
        </is>
      </c>
      <c r="F2392" s="172" t="inlineStr">
        <is>
          <t>上交所</t>
        </is>
      </c>
      <c r="G2392" s="172" t="inlineStr">
        <is>
          <t>中信证券</t>
        </is>
      </c>
      <c r="H2392" s="172" t="inlineStr">
        <is>
          <t>中泰证券</t>
        </is>
      </c>
      <c r="I2392" s="172" t="inlineStr">
        <is>
          <t>邮储北分</t>
        </is>
      </c>
      <c r="J2392" s="172" t="n">
        <v>5</v>
      </c>
      <c r="K2392" s="172" t="inlineStr">
        <is>
          <t>3+3</t>
        </is>
      </c>
      <c r="L2392" s="202" t="n">
        <v>46251</v>
      </c>
      <c r="M2392" s="175" t="n">
        <v>0.0147</v>
      </c>
      <c r="N2392" s="176" t="n">
        <v>0.0171</v>
      </c>
      <c r="O2392" s="191" t="n">
        <v>2.64</v>
      </c>
      <c r="P2392" s="172" t="inlineStr">
        <is>
          <t>优先级</t>
        </is>
      </c>
      <c r="Q2392" s="175" t="n">
        <v>0.99</v>
      </c>
      <c r="R2392" s="192">
        <f>J1551*Q1551</f>
        <v/>
      </c>
      <c r="S2392" s="172" t="inlineStr">
        <is>
          <t>AAA</t>
        </is>
      </c>
      <c r="T2392" s="175" t="n">
        <v>0.0154</v>
      </c>
      <c r="U2392" s="172" t="inlineStr">
        <is>
          <t>工银理财</t>
        </is>
      </c>
      <c r="V2392" s="191" t="n">
        <v>0.64</v>
      </c>
      <c r="W2392" s="175" t="n">
        <v>0.0154</v>
      </c>
      <c r="X2392" s="172" t="inlineStr">
        <is>
          <t>工银理财</t>
        </is>
      </c>
      <c r="Y2392" s="191" t="n">
        <v>1</v>
      </c>
    </row>
    <row r="2393">
      <c r="A2393" s="172" t="n">
        <v>131</v>
      </c>
      <c r="B2393" s="172" t="inlineStr">
        <is>
          <t>8月</t>
        </is>
      </c>
      <c r="C2393" s="172" t="inlineStr">
        <is>
          <t>企金</t>
        </is>
      </c>
      <c r="D2393" s="172" t="inlineStr">
        <is>
          <t>保理</t>
        </is>
      </c>
      <c r="E2393" s="172" t="inlineStr">
        <is>
          <t>京诚14-13</t>
        </is>
      </c>
      <c r="F2393" s="172" t="inlineStr">
        <is>
          <t>上交所</t>
        </is>
      </c>
      <c r="G2393" s="172" t="inlineStr">
        <is>
          <t>中信证券</t>
        </is>
      </c>
      <c r="H2393" s="172" t="inlineStr">
        <is>
          <t>中泰证券</t>
        </is>
      </c>
      <c r="I2393" s="172" t="inlineStr">
        <is>
          <t>邮储北分</t>
        </is>
      </c>
      <c r="J2393" s="172" t="n">
        <v>5</v>
      </c>
      <c r="K2393" s="172" t="inlineStr">
        <is>
          <t>3+3</t>
        </is>
      </c>
      <c r="L2393" s="208" t="n">
        <v>46251</v>
      </c>
      <c r="M2393" s="175" t="n">
        <v>0.0147</v>
      </c>
      <c r="N2393" s="176" t="n">
        <v>0.0171</v>
      </c>
      <c r="O2393" s="172" t="n">
        <v>2.64</v>
      </c>
      <c r="P2393" s="172" t="inlineStr">
        <is>
          <t>优先级</t>
        </is>
      </c>
      <c r="Q2393" s="175" t="n">
        <v>0.99</v>
      </c>
      <c r="R2393" s="172">
        <f>J1551*Q1551</f>
        <v/>
      </c>
      <c r="S2393" s="172" t="inlineStr">
        <is>
          <t>AAA</t>
        </is>
      </c>
      <c r="T2393" s="175" t="n">
        <v>0.0154</v>
      </c>
      <c r="U2393" s="172" t="n"/>
      <c r="V2393" s="172" t="n"/>
      <c r="W2393" s="175" t="n">
        <v>0.0155</v>
      </c>
      <c r="X2393" s="172" t="inlineStr">
        <is>
          <t>工银理财</t>
        </is>
      </c>
      <c r="Y2393" s="191" t="n">
        <v>0.48</v>
      </c>
    </row>
    <row r="2394">
      <c r="A2394" s="172" t="n">
        <v>131</v>
      </c>
      <c r="B2394" s="172" t="inlineStr">
        <is>
          <t>8月</t>
        </is>
      </c>
      <c r="C2394" s="172" t="inlineStr">
        <is>
          <t>企金</t>
        </is>
      </c>
      <c r="D2394" s="172" t="inlineStr">
        <is>
          <t>保理</t>
        </is>
      </c>
      <c r="E2394" s="172" t="inlineStr">
        <is>
          <t>京诚14-13</t>
        </is>
      </c>
      <c r="F2394" s="172" t="inlineStr">
        <is>
          <t>上交所</t>
        </is>
      </c>
      <c r="G2394" s="172" t="inlineStr">
        <is>
          <t>中信证券</t>
        </is>
      </c>
      <c r="H2394" s="172" t="inlineStr">
        <is>
          <t>中泰证券</t>
        </is>
      </c>
      <c r="I2394" s="172" t="inlineStr">
        <is>
          <t>邮储北分</t>
        </is>
      </c>
      <c r="J2394" s="172" t="n">
        <v>5</v>
      </c>
      <c r="K2394" s="172" t="inlineStr">
        <is>
          <t>3+3</t>
        </is>
      </c>
      <c r="L2394" s="202" t="n">
        <v>46251</v>
      </c>
      <c r="M2394" s="175" t="n">
        <v>0.0147</v>
      </c>
      <c r="N2394" s="176" t="n">
        <v>0.0171</v>
      </c>
      <c r="O2394" s="191" t="n">
        <v>2.64</v>
      </c>
      <c r="P2394" s="172" t="inlineStr">
        <is>
          <t>优先级</t>
        </is>
      </c>
      <c r="Q2394" s="175" t="n">
        <v>0.99</v>
      </c>
      <c r="R2394" s="192">
        <f>J1551*Q1551</f>
        <v/>
      </c>
      <c r="S2394" s="172" t="inlineStr">
        <is>
          <t>AAA</t>
        </is>
      </c>
      <c r="T2394" s="175" t="n">
        <v>0.0154</v>
      </c>
      <c r="U2394" s="172" t="inlineStr">
        <is>
          <t>浦银理财</t>
        </is>
      </c>
      <c r="V2394" s="191" t="n">
        <v>0.87</v>
      </c>
      <c r="W2394" s="175" t="n">
        <v>0.0154</v>
      </c>
      <c r="X2394" s="172" t="inlineStr">
        <is>
          <t>浦银理财</t>
        </is>
      </c>
      <c r="Y2394" s="191" t="n">
        <v>1.38</v>
      </c>
    </row>
    <row r="2395">
      <c r="A2395" s="172" t="n">
        <v>131</v>
      </c>
      <c r="B2395" s="172" t="inlineStr">
        <is>
          <t>8月</t>
        </is>
      </c>
      <c r="C2395" s="172" t="inlineStr">
        <is>
          <t>企金</t>
        </is>
      </c>
      <c r="D2395" s="172" t="inlineStr">
        <is>
          <t>保理</t>
        </is>
      </c>
      <c r="E2395" s="172" t="inlineStr">
        <is>
          <t>京诚14-13</t>
        </is>
      </c>
      <c r="F2395" s="172" t="inlineStr">
        <is>
          <t>上交所</t>
        </is>
      </c>
      <c r="G2395" s="172" t="inlineStr">
        <is>
          <t>中信证券</t>
        </is>
      </c>
      <c r="H2395" s="172" t="inlineStr">
        <is>
          <t>中泰证券</t>
        </is>
      </c>
      <c r="I2395" s="172" t="inlineStr">
        <is>
          <t>邮储北分</t>
        </is>
      </c>
      <c r="J2395" s="172" t="n">
        <v>5</v>
      </c>
      <c r="K2395" s="172" t="inlineStr">
        <is>
          <t>3+3</t>
        </is>
      </c>
      <c r="L2395" s="202" t="n">
        <v>46251</v>
      </c>
      <c r="M2395" s="175" t="n">
        <v>0.0147</v>
      </c>
      <c r="N2395" s="176" t="n">
        <v>0.0171</v>
      </c>
      <c r="O2395" s="191" t="n">
        <v>2.64</v>
      </c>
      <c r="P2395" s="172" t="inlineStr">
        <is>
          <t>优先级</t>
        </is>
      </c>
      <c r="Q2395" s="175" t="n">
        <v>0.99</v>
      </c>
      <c r="R2395" s="192">
        <f>J1551*Q1551</f>
        <v/>
      </c>
      <c r="S2395" s="172" t="inlineStr">
        <is>
          <t>AAA</t>
        </is>
      </c>
      <c r="T2395" s="175" t="n">
        <v>0.0154</v>
      </c>
      <c r="U2395" s="172" t="inlineStr">
        <is>
          <t>平安资管</t>
        </is>
      </c>
      <c r="V2395" s="191" t="n">
        <v>1.57</v>
      </c>
      <c r="W2395" s="175" t="n">
        <v>0.0154</v>
      </c>
      <c r="X2395" s="172" t="inlineStr">
        <is>
          <t>平安资管</t>
        </is>
      </c>
      <c r="Y2395" s="191" t="n">
        <v>2.47</v>
      </c>
    </row>
    <row r="2396">
      <c r="A2396" s="172" t="n">
        <v>131</v>
      </c>
      <c r="B2396" s="172" t="inlineStr">
        <is>
          <t>8月</t>
        </is>
      </c>
      <c r="C2396" s="172" t="inlineStr">
        <is>
          <t>企金</t>
        </is>
      </c>
      <c r="D2396" s="172" t="inlineStr">
        <is>
          <t>保理</t>
        </is>
      </c>
      <c r="E2396" s="172" t="inlineStr">
        <is>
          <t>京诚14-13</t>
        </is>
      </c>
      <c r="F2396" s="172" t="inlineStr">
        <is>
          <t>上交所</t>
        </is>
      </c>
      <c r="G2396" s="172" t="inlineStr">
        <is>
          <t>中信证券</t>
        </is>
      </c>
      <c r="H2396" s="172" t="inlineStr">
        <is>
          <t>中泰证券</t>
        </is>
      </c>
      <c r="I2396" s="172" t="inlineStr">
        <is>
          <t>邮储北分</t>
        </is>
      </c>
      <c r="J2396" s="172" t="n">
        <v>5</v>
      </c>
      <c r="K2396" s="172" t="inlineStr">
        <is>
          <t>3+3</t>
        </is>
      </c>
      <c r="L2396" s="202" t="n">
        <v>46251</v>
      </c>
      <c r="M2396" s="175" t="n">
        <v>0.0147</v>
      </c>
      <c r="N2396" s="176" t="n">
        <v>0.0171</v>
      </c>
      <c r="O2396" s="191" t="n">
        <v>2.64</v>
      </c>
      <c r="P2396" s="172" t="inlineStr">
        <is>
          <t>优先级</t>
        </is>
      </c>
      <c r="Q2396" s="175" t="n">
        <v>0.99</v>
      </c>
      <c r="R2396" s="192">
        <f>J1551*Q1551</f>
        <v/>
      </c>
      <c r="S2396" s="172" t="inlineStr">
        <is>
          <t>AAA</t>
        </is>
      </c>
      <c r="T2396" s="175" t="n">
        <v>0.0154</v>
      </c>
      <c r="U2396" s="172" t="inlineStr">
        <is>
          <t>光大理财</t>
        </is>
      </c>
      <c r="V2396" s="191" t="n">
        <v>0.64</v>
      </c>
      <c r="W2396" s="175" t="n">
        <v>0.0154</v>
      </c>
      <c r="X2396" s="172" t="inlineStr">
        <is>
          <t>光大理财</t>
        </is>
      </c>
      <c r="Y2396" s="191" t="n">
        <v>1</v>
      </c>
    </row>
    <row r="2397">
      <c r="A2397" s="172" t="n">
        <v>131</v>
      </c>
      <c r="B2397" s="172" t="inlineStr">
        <is>
          <t>8月</t>
        </is>
      </c>
      <c r="C2397" s="172" t="inlineStr">
        <is>
          <t>企金</t>
        </is>
      </c>
      <c r="D2397" s="172" t="inlineStr">
        <is>
          <t>保理</t>
        </is>
      </c>
      <c r="E2397" s="172" t="inlineStr">
        <is>
          <t>京诚14-13</t>
        </is>
      </c>
      <c r="F2397" s="172" t="inlineStr">
        <is>
          <t>上交所</t>
        </is>
      </c>
      <c r="G2397" s="172" t="inlineStr">
        <is>
          <t>中信证券</t>
        </is>
      </c>
      <c r="H2397" s="172" t="inlineStr">
        <is>
          <t>中泰证券</t>
        </is>
      </c>
      <c r="I2397" s="172" t="inlineStr">
        <is>
          <t>邮储北分</t>
        </is>
      </c>
      <c r="J2397" s="172" t="n">
        <v>5</v>
      </c>
      <c r="K2397" s="172" t="inlineStr">
        <is>
          <t>3+3</t>
        </is>
      </c>
      <c r="L2397" s="208" t="n">
        <v>46251</v>
      </c>
      <c r="M2397" s="175" t="n">
        <v>0.0147</v>
      </c>
      <c r="N2397" s="176" t="n">
        <v>0.0171</v>
      </c>
      <c r="O2397" s="172" t="n">
        <v>2.64</v>
      </c>
      <c r="P2397" s="172" t="inlineStr">
        <is>
          <t>优先级</t>
        </is>
      </c>
      <c r="Q2397" s="175" t="n">
        <v>0.99</v>
      </c>
      <c r="R2397" s="172">
        <f>J1551*Q1551</f>
        <v/>
      </c>
      <c r="S2397" s="172" t="inlineStr">
        <is>
          <t>AAA</t>
        </is>
      </c>
      <c r="T2397" s="175" t="n">
        <v>0.0154</v>
      </c>
      <c r="U2397" s="172" t="n"/>
      <c r="V2397" s="172" t="n"/>
      <c r="W2397" s="175" t="n">
        <v>0.0155</v>
      </c>
      <c r="X2397" s="172" t="inlineStr">
        <is>
          <t>光大理财</t>
        </is>
      </c>
      <c r="Y2397" s="191" t="n">
        <v>0.48</v>
      </c>
    </row>
    <row r="2398">
      <c r="A2398" s="172" t="n">
        <v>131</v>
      </c>
      <c r="B2398" s="172" t="inlineStr">
        <is>
          <t>8月</t>
        </is>
      </c>
      <c r="C2398" s="172" t="inlineStr">
        <is>
          <t>企金</t>
        </is>
      </c>
      <c r="D2398" s="172" t="inlineStr">
        <is>
          <t>保理</t>
        </is>
      </c>
      <c r="E2398" s="172" t="inlineStr">
        <is>
          <t>京诚14-13</t>
        </is>
      </c>
      <c r="F2398" s="172" t="inlineStr">
        <is>
          <t>上交所</t>
        </is>
      </c>
      <c r="G2398" s="172" t="inlineStr">
        <is>
          <t>中信证券</t>
        </is>
      </c>
      <c r="H2398" s="172" t="inlineStr">
        <is>
          <t>中泰证券</t>
        </is>
      </c>
      <c r="I2398" s="172" t="inlineStr">
        <is>
          <t>邮储北分</t>
        </is>
      </c>
      <c r="J2398" s="172" t="n">
        <v>5</v>
      </c>
      <c r="K2398" s="172" t="inlineStr">
        <is>
          <t>3+3</t>
        </is>
      </c>
      <c r="L2398" s="208" t="n">
        <v>46251</v>
      </c>
      <c r="M2398" s="175" t="n">
        <v>0.0147</v>
      </c>
      <c r="N2398" s="176" t="n">
        <v>0.0171</v>
      </c>
      <c r="O2398" s="172" t="n">
        <v>2.64</v>
      </c>
      <c r="P2398" s="172" t="inlineStr">
        <is>
          <t>优先级</t>
        </is>
      </c>
      <c r="Q2398" s="175" t="n">
        <v>0.99</v>
      </c>
      <c r="R2398" s="172">
        <f>J1551*Q1551</f>
        <v/>
      </c>
      <c r="S2398" s="172" t="inlineStr">
        <is>
          <t>AAA</t>
        </is>
      </c>
      <c r="T2398" s="175" t="n">
        <v>0.0154</v>
      </c>
      <c r="U2398" s="172" t="n"/>
      <c r="V2398" s="172" t="n"/>
      <c r="W2398" s="175" t="n">
        <v>0.0155</v>
      </c>
      <c r="X2398" s="172" t="inlineStr">
        <is>
          <t>民生理财</t>
        </is>
      </c>
      <c r="Y2398" s="191" t="n">
        <v>1.48</v>
      </c>
    </row>
    <row r="2399">
      <c r="A2399" s="172" t="n">
        <v>131</v>
      </c>
      <c r="B2399" s="172" t="inlineStr">
        <is>
          <t>8月</t>
        </is>
      </c>
      <c r="C2399" s="172" t="inlineStr">
        <is>
          <t>企金</t>
        </is>
      </c>
      <c r="D2399" s="172" t="inlineStr">
        <is>
          <t>保理</t>
        </is>
      </c>
      <c r="E2399" s="172" t="inlineStr">
        <is>
          <t>京诚14-13</t>
        </is>
      </c>
      <c r="F2399" s="172" t="inlineStr">
        <is>
          <t>上交所</t>
        </is>
      </c>
      <c r="G2399" s="172" t="inlineStr">
        <is>
          <t>中信证券</t>
        </is>
      </c>
      <c r="H2399" s="172" t="inlineStr">
        <is>
          <t>中泰证券</t>
        </is>
      </c>
      <c r="I2399" s="172" t="inlineStr">
        <is>
          <t>邮储北分</t>
        </is>
      </c>
      <c r="J2399" s="172" t="n">
        <v>5</v>
      </c>
      <c r="K2399" s="172" t="inlineStr">
        <is>
          <t>3+3</t>
        </is>
      </c>
      <c r="L2399" s="208" t="n">
        <v>46251</v>
      </c>
      <c r="M2399" s="175" t="n">
        <v>0.0147</v>
      </c>
      <c r="N2399" s="176" t="n">
        <v>0.0171</v>
      </c>
      <c r="O2399" s="172" t="n">
        <v>2.64</v>
      </c>
      <c r="P2399" s="172" t="inlineStr">
        <is>
          <t>优先级</t>
        </is>
      </c>
      <c r="Q2399" s="175" t="n">
        <v>0.99</v>
      </c>
      <c r="R2399" s="172">
        <f>J1551*Q1551</f>
        <v/>
      </c>
      <c r="S2399" s="172" t="inlineStr">
        <is>
          <t>AAA</t>
        </is>
      </c>
      <c r="T2399" s="175" t="n">
        <v>0.0154</v>
      </c>
      <c r="U2399" s="172" t="n"/>
      <c r="V2399" s="172" t="n"/>
      <c r="W2399" s="175" t="n">
        <v>0.0159</v>
      </c>
      <c r="X2399" s="172" t="inlineStr">
        <is>
          <t>建信理财</t>
        </is>
      </c>
      <c r="Y2399" s="191" t="n">
        <v>0.4</v>
      </c>
    </row>
    <row r="2400">
      <c r="A2400" s="172" t="n">
        <v>131</v>
      </c>
      <c r="B2400" s="172" t="inlineStr">
        <is>
          <t>8月</t>
        </is>
      </c>
      <c r="C2400" s="172" t="inlineStr">
        <is>
          <t>企金</t>
        </is>
      </c>
      <c r="D2400" s="172" t="inlineStr">
        <is>
          <t>保理</t>
        </is>
      </c>
      <c r="E2400" s="172" t="inlineStr">
        <is>
          <t>京诚14-13</t>
        </is>
      </c>
      <c r="F2400" s="172" t="inlineStr">
        <is>
          <t>上交所</t>
        </is>
      </c>
      <c r="G2400" s="172" t="inlineStr">
        <is>
          <t>中信证券</t>
        </is>
      </c>
      <c r="H2400" s="172" t="inlineStr">
        <is>
          <t>中泰证券</t>
        </is>
      </c>
      <c r="I2400" s="172" t="inlineStr">
        <is>
          <t>邮储北分</t>
        </is>
      </c>
      <c r="J2400" s="172" t="n">
        <v>5</v>
      </c>
      <c r="K2400" s="172" t="inlineStr">
        <is>
          <t>3+3</t>
        </is>
      </c>
      <c r="L2400" s="208" t="n">
        <v>46251</v>
      </c>
      <c r="M2400" s="175" t="n">
        <v>0.0147</v>
      </c>
      <c r="N2400" s="176" t="n">
        <v>0.0171</v>
      </c>
      <c r="O2400" s="172" t="n">
        <v>2.64</v>
      </c>
      <c r="P2400" s="172" t="inlineStr">
        <is>
          <t>优先级</t>
        </is>
      </c>
      <c r="Q2400" s="175" t="n">
        <v>0.99</v>
      </c>
      <c r="R2400" s="172">
        <f>J1551*Q1551</f>
        <v/>
      </c>
      <c r="S2400" s="172" t="inlineStr">
        <is>
          <t>AAA</t>
        </is>
      </c>
      <c r="T2400" s="175" t="n">
        <v>0.0154</v>
      </c>
      <c r="U2400" s="172" t="n"/>
      <c r="V2400" s="172" t="n"/>
      <c r="W2400" s="175" t="n">
        <v>0.016</v>
      </c>
      <c r="X2400" s="172" t="inlineStr">
        <is>
          <t>中信证券（投行上报）</t>
        </is>
      </c>
      <c r="Y2400" s="191" t="n">
        <v>0.7</v>
      </c>
    </row>
    <row r="2401">
      <c r="A2401" s="172" t="n">
        <v>131</v>
      </c>
      <c r="B2401" s="172" t="inlineStr">
        <is>
          <t>8月</t>
        </is>
      </c>
      <c r="C2401" s="172" t="inlineStr">
        <is>
          <t>企金</t>
        </is>
      </c>
      <c r="D2401" s="172" t="inlineStr">
        <is>
          <t>保理</t>
        </is>
      </c>
      <c r="E2401" s="172" t="inlineStr">
        <is>
          <t>京诚14-13</t>
        </is>
      </c>
      <c r="F2401" s="172" t="inlineStr">
        <is>
          <t>上交所</t>
        </is>
      </c>
      <c r="G2401" s="172" t="inlineStr">
        <is>
          <t>中信证券</t>
        </is>
      </c>
      <c r="H2401" s="172" t="inlineStr">
        <is>
          <t>中泰证券</t>
        </is>
      </c>
      <c r="I2401" s="172" t="inlineStr">
        <is>
          <t>邮储北分</t>
        </is>
      </c>
      <c r="J2401" s="172" t="n">
        <v>5</v>
      </c>
      <c r="K2401" s="172" t="inlineStr">
        <is>
          <t>3+3</t>
        </is>
      </c>
      <c r="L2401" s="208" t="n">
        <v>46251</v>
      </c>
      <c r="M2401" s="175" t="n">
        <v>0.0147</v>
      </c>
      <c r="N2401" s="176" t="n">
        <v>0.0171</v>
      </c>
      <c r="O2401" s="172" t="n">
        <v>2.64</v>
      </c>
      <c r="P2401" s="172" t="inlineStr">
        <is>
          <t>优先级</t>
        </is>
      </c>
      <c r="Q2401" s="175" t="n">
        <v>0.99</v>
      </c>
      <c r="R2401" s="172">
        <f>J1551*Q1551</f>
        <v/>
      </c>
      <c r="S2401" s="172" t="inlineStr">
        <is>
          <t>AAA</t>
        </is>
      </c>
      <c r="T2401" s="175" t="n">
        <v>0.0154</v>
      </c>
      <c r="U2401" s="172" t="n"/>
      <c r="V2401" s="172" t="n"/>
      <c r="W2401" s="175" t="n">
        <v>0.016</v>
      </c>
      <c r="X2401" s="172" t="inlineStr">
        <is>
          <t>中邮理财</t>
        </is>
      </c>
      <c r="Y2401" s="191" t="n">
        <v>1.47</v>
      </c>
    </row>
    <row r="2402">
      <c r="A2402" s="172" t="n">
        <v>131</v>
      </c>
      <c r="B2402" s="172" t="inlineStr">
        <is>
          <t>8月</t>
        </is>
      </c>
      <c r="C2402" s="172" t="inlineStr">
        <is>
          <t>企金</t>
        </is>
      </c>
      <c r="D2402" s="172" t="inlineStr">
        <is>
          <t>保理</t>
        </is>
      </c>
      <c r="E2402" s="172" t="inlineStr">
        <is>
          <t>京诚14-13</t>
        </is>
      </c>
      <c r="F2402" s="172" t="inlineStr">
        <is>
          <t>上交所</t>
        </is>
      </c>
      <c r="G2402" s="172" t="inlineStr">
        <is>
          <t>中信证券</t>
        </is>
      </c>
      <c r="H2402" s="172" t="inlineStr">
        <is>
          <t>中泰证券</t>
        </is>
      </c>
      <c r="I2402" s="172" t="inlineStr">
        <is>
          <t>邮储北分</t>
        </is>
      </c>
      <c r="J2402" s="172" t="n">
        <v>5</v>
      </c>
      <c r="K2402" s="172" t="inlineStr">
        <is>
          <t>3+3</t>
        </is>
      </c>
      <c r="L2402" s="208" t="n">
        <v>46251</v>
      </c>
      <c r="M2402" s="175" t="n">
        <v>0.0147</v>
      </c>
      <c r="N2402" s="176" t="n">
        <v>0.0171</v>
      </c>
      <c r="O2402" s="172" t="n">
        <v>2.64</v>
      </c>
      <c r="P2402" s="172" t="inlineStr">
        <is>
          <t>优先级</t>
        </is>
      </c>
      <c r="Q2402" s="175" t="n">
        <v>0.99</v>
      </c>
      <c r="R2402" s="172">
        <f>J1551*Q1551</f>
        <v/>
      </c>
      <c r="S2402" s="172" t="inlineStr">
        <is>
          <t>AAA</t>
        </is>
      </c>
      <c r="T2402" s="175" t="n">
        <v>0.0154</v>
      </c>
      <c r="U2402" s="172" t="n"/>
      <c r="V2402" s="172" t="n"/>
      <c r="W2402" s="175" t="n">
        <v>0.024</v>
      </c>
      <c r="X2402" s="172" t="inlineStr">
        <is>
          <t>利曦基金</t>
        </is>
      </c>
      <c r="Y2402" s="191" t="n">
        <v>1</v>
      </c>
    </row>
    <row r="2403">
      <c r="A2403" s="172" t="n">
        <v>131</v>
      </c>
      <c r="B2403" s="172" t="inlineStr">
        <is>
          <t>8月</t>
        </is>
      </c>
      <c r="C2403" s="172" t="inlineStr">
        <is>
          <t>企金</t>
        </is>
      </c>
      <c r="D2403" s="172" t="inlineStr">
        <is>
          <t>保理</t>
        </is>
      </c>
      <c r="E2403" s="172" t="inlineStr">
        <is>
          <t>京诚14-13</t>
        </is>
      </c>
      <c r="F2403" s="172" t="inlineStr">
        <is>
          <t>上交所</t>
        </is>
      </c>
      <c r="G2403" s="172" t="inlineStr">
        <is>
          <t>中信证券</t>
        </is>
      </c>
      <c r="H2403" s="172" t="inlineStr">
        <is>
          <t>中泰证券</t>
        </is>
      </c>
      <c r="I2403" s="172" t="inlineStr">
        <is>
          <t>邮储北分</t>
        </is>
      </c>
      <c r="J2403" s="172" t="n">
        <v>5</v>
      </c>
      <c r="K2403" s="172" t="inlineStr">
        <is>
          <t>3+3</t>
        </is>
      </c>
      <c r="L2403" s="202" t="n">
        <v>46251</v>
      </c>
      <c r="M2403" s="175" t="n">
        <v>0.0147</v>
      </c>
      <c r="N2403" s="176" t="n">
        <v>0.0171</v>
      </c>
      <c r="O2403" s="191" t="n">
        <v>2.64</v>
      </c>
      <c r="P2403" s="172" t="inlineStr">
        <is>
          <t>次级</t>
        </is>
      </c>
      <c r="Q2403" s="175" t="n">
        <v>0.01</v>
      </c>
      <c r="R2403" s="192">
        <f>J1551*Q1556</f>
        <v/>
      </c>
      <c r="S2403" s="175" t="inlineStr">
        <is>
          <t>无</t>
        </is>
      </c>
      <c r="T2403" s="175" t="n">
        <v>0.043</v>
      </c>
      <c r="U2403" s="172" t="inlineStr">
        <is>
          <t>利曦基金</t>
        </is>
      </c>
      <c r="V2403" s="191" t="n">
        <v>0.05</v>
      </c>
      <c r="W2403" s="172" t="n"/>
      <c r="X2403" s="172" t="n"/>
      <c r="Y2403" s="172" t="n"/>
    </row>
    <row r="2404">
      <c r="A2404" s="172" t="n">
        <v>132</v>
      </c>
      <c r="B2404" s="172" t="inlineStr">
        <is>
          <t>8月</t>
        </is>
      </c>
      <c r="C2404" s="172" t="inlineStr">
        <is>
          <t>企金</t>
        </is>
      </c>
      <c r="D2404" s="172" t="inlineStr">
        <is>
          <t>动产质押</t>
        </is>
      </c>
      <c r="E2404" s="172" t="inlineStr">
        <is>
          <t>尚亦2-4</t>
        </is>
      </c>
      <c r="F2404" s="172" t="inlineStr">
        <is>
          <t>上交所</t>
        </is>
      </c>
      <c r="G2404" s="172" t="inlineStr">
        <is>
          <t>财通资管</t>
        </is>
      </c>
      <c r="H2404" s="172" t="inlineStr">
        <is>
          <t>国金证券</t>
        </is>
      </c>
      <c r="I2404" s="172" t="inlineStr">
        <is>
          <t>杭州北分</t>
        </is>
      </c>
      <c r="J2404" s="172" t="n">
        <v>5</v>
      </c>
      <c r="K2404" s="172" t="inlineStr">
        <is>
          <t>6+12</t>
        </is>
      </c>
      <c r="L2404" s="202" t="n">
        <v>46251</v>
      </c>
      <c r="M2404" s="175" t="n">
        <v>0.0147</v>
      </c>
      <c r="N2404" s="176" t="n">
        <v>0.0196</v>
      </c>
      <c r="O2404" s="191" t="n">
        <v>2.1</v>
      </c>
      <c r="P2404" s="172" t="inlineStr">
        <is>
          <t>优先A</t>
        </is>
      </c>
      <c r="Q2404" s="175" t="n">
        <v>0.86</v>
      </c>
      <c r="R2404" s="192">
        <f>Q1557*J1557</f>
        <v/>
      </c>
      <c r="S2404" s="172" t="inlineStr">
        <is>
          <t>AAA</t>
        </is>
      </c>
      <c r="T2404" s="175" t="n">
        <v>0.0165</v>
      </c>
      <c r="U2404" s="172" t="inlineStr">
        <is>
          <t>招银理财</t>
        </is>
      </c>
      <c r="V2404" s="191" t="n">
        <v>1.29</v>
      </c>
      <c r="W2404" s="175" t="n">
        <v>0.0156</v>
      </c>
      <c r="X2404" s="172" t="inlineStr">
        <is>
          <t>招银理财</t>
        </is>
      </c>
      <c r="Y2404" s="191" t="n">
        <v>1.29</v>
      </c>
    </row>
    <row r="2405">
      <c r="A2405" s="172" t="n">
        <v>132</v>
      </c>
      <c r="B2405" s="172" t="inlineStr">
        <is>
          <t>8月</t>
        </is>
      </c>
      <c r="C2405" s="172" t="inlineStr">
        <is>
          <t>企金</t>
        </is>
      </c>
      <c r="D2405" s="172" t="inlineStr">
        <is>
          <t>动产质押</t>
        </is>
      </c>
      <c r="E2405" s="172" t="inlineStr">
        <is>
          <t>尚亦2-4</t>
        </is>
      </c>
      <c r="F2405" s="172" t="inlineStr">
        <is>
          <t>上交所</t>
        </is>
      </c>
      <c r="G2405" s="172" t="inlineStr">
        <is>
          <t>财通资管</t>
        </is>
      </c>
      <c r="H2405" s="172" t="inlineStr">
        <is>
          <t>国金证券</t>
        </is>
      </c>
      <c r="I2405" s="172" t="inlineStr">
        <is>
          <t>杭州北分</t>
        </is>
      </c>
      <c r="J2405" s="172" t="n">
        <v>5</v>
      </c>
      <c r="K2405" s="172" t="inlineStr">
        <is>
          <t>6+12</t>
        </is>
      </c>
      <c r="L2405" s="202" t="n">
        <v>46251</v>
      </c>
      <c r="M2405" s="175" t="n">
        <v>0.0147</v>
      </c>
      <c r="N2405" s="176" t="n">
        <v>0.0196</v>
      </c>
      <c r="O2405" s="191" t="n">
        <v>2.1</v>
      </c>
      <c r="P2405" s="172" t="inlineStr">
        <is>
          <t>优先A</t>
        </is>
      </c>
      <c r="Q2405" s="175" t="n">
        <v>0.86</v>
      </c>
      <c r="R2405" s="192">
        <f>Q1557*J1557</f>
        <v/>
      </c>
      <c r="S2405" s="172" t="inlineStr">
        <is>
          <t>AAA</t>
        </is>
      </c>
      <c r="T2405" s="175" t="n">
        <v>0.0165</v>
      </c>
      <c r="U2405" s="172" t="inlineStr">
        <is>
          <t>建信理财</t>
        </is>
      </c>
      <c r="V2405" s="191" t="n">
        <v>0.4</v>
      </c>
      <c r="W2405" s="175" t="n">
        <v>0.0162</v>
      </c>
      <c r="X2405" s="172" t="inlineStr">
        <is>
          <t>建信理财</t>
        </is>
      </c>
      <c r="Y2405" s="191" t="n">
        <v>0.4</v>
      </c>
    </row>
    <row r="2406">
      <c r="A2406" s="172" t="n">
        <v>132</v>
      </c>
      <c r="B2406" s="172" t="inlineStr">
        <is>
          <t>8月</t>
        </is>
      </c>
      <c r="C2406" s="172" t="inlineStr">
        <is>
          <t>企金</t>
        </is>
      </c>
      <c r="D2406" s="172" t="inlineStr">
        <is>
          <t>动产质押</t>
        </is>
      </c>
      <c r="E2406" s="172" t="inlineStr">
        <is>
          <t>尚亦2-4</t>
        </is>
      </c>
      <c r="F2406" s="172" t="inlineStr">
        <is>
          <t>上交所</t>
        </is>
      </c>
      <c r="G2406" s="172" t="inlineStr">
        <is>
          <t>财通资管</t>
        </is>
      </c>
      <c r="H2406" s="172" t="inlineStr">
        <is>
          <t>国金证券</t>
        </is>
      </c>
      <c r="I2406" s="172" t="inlineStr">
        <is>
          <t>杭州北分</t>
        </is>
      </c>
      <c r="J2406" s="172" t="n">
        <v>5</v>
      </c>
      <c r="K2406" s="172" t="inlineStr">
        <is>
          <t>6+12</t>
        </is>
      </c>
      <c r="L2406" s="202" t="n">
        <v>46251</v>
      </c>
      <c r="M2406" s="175" t="n">
        <v>0.0147</v>
      </c>
      <c r="N2406" s="176" t="n">
        <v>0.0196</v>
      </c>
      <c r="O2406" s="191" t="n">
        <v>2.1</v>
      </c>
      <c r="P2406" s="172" t="inlineStr">
        <is>
          <t>优先A</t>
        </is>
      </c>
      <c r="Q2406" s="175" t="n">
        <v>0.86</v>
      </c>
      <c r="R2406" s="192">
        <f>Q1557*J1557</f>
        <v/>
      </c>
      <c r="S2406" s="172" t="inlineStr">
        <is>
          <t>AAA</t>
        </is>
      </c>
      <c r="T2406" s="175" t="n">
        <v>0.0165</v>
      </c>
      <c r="U2406" s="172" t="inlineStr">
        <is>
          <t>利曦基金</t>
        </is>
      </c>
      <c r="V2406" s="191" t="n">
        <v>0.7</v>
      </c>
      <c r="W2406" s="175" t="n">
        <v>0.0162</v>
      </c>
      <c r="X2406" s="172" t="inlineStr">
        <is>
          <t>利曦基金</t>
        </is>
      </c>
      <c r="Y2406" s="191" t="n">
        <v>0.7</v>
      </c>
    </row>
    <row r="2407">
      <c r="A2407" s="172" t="n">
        <v>132</v>
      </c>
      <c r="B2407" s="172" t="inlineStr">
        <is>
          <t>8月</t>
        </is>
      </c>
      <c r="C2407" s="172" t="inlineStr">
        <is>
          <t>企金</t>
        </is>
      </c>
      <c r="D2407" s="172" t="inlineStr">
        <is>
          <t>动产质押</t>
        </is>
      </c>
      <c r="E2407" s="172" t="inlineStr">
        <is>
          <t>尚亦2-4</t>
        </is>
      </c>
      <c r="F2407" s="172" t="inlineStr">
        <is>
          <t>上交所</t>
        </is>
      </c>
      <c r="G2407" s="172" t="inlineStr">
        <is>
          <t>财通资管</t>
        </is>
      </c>
      <c r="H2407" s="172" t="inlineStr">
        <is>
          <t>国金证券</t>
        </is>
      </c>
      <c r="I2407" s="172" t="inlineStr">
        <is>
          <t>杭州北分</t>
        </is>
      </c>
      <c r="J2407" s="172" t="n">
        <v>5</v>
      </c>
      <c r="K2407" s="172" t="inlineStr">
        <is>
          <t>6+12</t>
        </is>
      </c>
      <c r="L2407" s="208" t="n">
        <v>46251</v>
      </c>
      <c r="M2407" s="175" t="n">
        <v>0.0147</v>
      </c>
      <c r="N2407" s="176" t="n">
        <v>0.0196</v>
      </c>
      <c r="O2407" s="172" t="n">
        <v>2.1</v>
      </c>
      <c r="P2407" s="172" t="inlineStr">
        <is>
          <t>优先A</t>
        </is>
      </c>
      <c r="Q2407" s="175" t="n">
        <v>0.86</v>
      </c>
      <c r="R2407" s="172">
        <f>Q1557*J1557</f>
        <v/>
      </c>
      <c r="S2407" s="172" t="inlineStr">
        <is>
          <t>AAA</t>
        </is>
      </c>
      <c r="T2407" s="175" t="n">
        <v>0.0165</v>
      </c>
      <c r="U2407" s="172" t="n"/>
      <c r="V2407" s="172" t="n"/>
      <c r="W2407" s="175" t="n">
        <v>0.017</v>
      </c>
      <c r="X2407" s="172" t="inlineStr">
        <is>
          <t>利曦基金</t>
        </is>
      </c>
      <c r="Y2407" s="191" t="n">
        <v>2</v>
      </c>
    </row>
    <row r="2408">
      <c r="A2408" s="172" t="n">
        <v>132</v>
      </c>
      <c r="B2408" s="172" t="inlineStr">
        <is>
          <t>8月</t>
        </is>
      </c>
      <c r="C2408" s="172" t="inlineStr">
        <is>
          <t>企金</t>
        </is>
      </c>
      <c r="D2408" s="172" t="inlineStr">
        <is>
          <t>动产质押</t>
        </is>
      </c>
      <c r="E2408" s="172" t="inlineStr">
        <is>
          <t>尚亦2-4</t>
        </is>
      </c>
      <c r="F2408" s="172" t="inlineStr">
        <is>
          <t>上交所</t>
        </is>
      </c>
      <c r="G2408" s="172" t="inlineStr">
        <is>
          <t>财通资管</t>
        </is>
      </c>
      <c r="H2408" s="172" t="inlineStr">
        <is>
          <t>国金证券</t>
        </is>
      </c>
      <c r="I2408" s="172" t="inlineStr">
        <is>
          <t>杭州北分</t>
        </is>
      </c>
      <c r="J2408" s="172" t="n">
        <v>5</v>
      </c>
      <c r="K2408" s="172" t="inlineStr">
        <is>
          <t>6+12</t>
        </is>
      </c>
      <c r="L2408" s="202" t="n">
        <v>46251</v>
      </c>
      <c r="M2408" s="175" t="n">
        <v>0.0147</v>
      </c>
      <c r="N2408" s="176" t="n">
        <v>0.0196</v>
      </c>
      <c r="O2408" s="191" t="n">
        <v>2.1</v>
      </c>
      <c r="P2408" s="172" t="inlineStr">
        <is>
          <t>优先A</t>
        </is>
      </c>
      <c r="Q2408" s="175" t="n">
        <v>0.86</v>
      </c>
      <c r="R2408" s="192">
        <f>Q1557*J1557</f>
        <v/>
      </c>
      <c r="S2408" s="172" t="inlineStr">
        <is>
          <t>AAA</t>
        </is>
      </c>
      <c r="T2408" s="175" t="n">
        <v>0.0165</v>
      </c>
      <c r="U2408" s="172" t="inlineStr">
        <is>
          <t>华兴银行</t>
        </is>
      </c>
      <c r="V2408" s="191" t="n">
        <v>1.02</v>
      </c>
      <c r="W2408" s="175" t="n">
        <v>0.0162</v>
      </c>
      <c r="X2408" s="172" t="inlineStr">
        <is>
          <t>华兴银行</t>
        </is>
      </c>
      <c r="Y2408" s="191" t="n">
        <v>1.02</v>
      </c>
    </row>
    <row r="2409">
      <c r="A2409" s="172" t="n">
        <v>132</v>
      </c>
      <c r="B2409" s="172" t="inlineStr">
        <is>
          <t>8月</t>
        </is>
      </c>
      <c r="C2409" s="172" t="inlineStr">
        <is>
          <t>企金</t>
        </is>
      </c>
      <c r="D2409" s="172" t="inlineStr">
        <is>
          <t>动产质押</t>
        </is>
      </c>
      <c r="E2409" s="172" t="inlineStr">
        <is>
          <t>尚亦2-4</t>
        </is>
      </c>
      <c r="F2409" s="172" t="inlineStr">
        <is>
          <t>上交所</t>
        </is>
      </c>
      <c r="G2409" s="172" t="inlineStr">
        <is>
          <t>财通资管</t>
        </is>
      </c>
      <c r="H2409" s="172" t="inlineStr">
        <is>
          <t>国金证券</t>
        </is>
      </c>
      <c r="I2409" s="172" t="inlineStr">
        <is>
          <t>杭州北分</t>
        </is>
      </c>
      <c r="J2409" s="172" t="n">
        <v>5</v>
      </c>
      <c r="K2409" s="172" t="inlineStr">
        <is>
          <t>6+12</t>
        </is>
      </c>
      <c r="L2409" s="202" t="n">
        <v>46251</v>
      </c>
      <c r="M2409" s="175" t="n">
        <v>0.0147</v>
      </c>
      <c r="N2409" s="176" t="n">
        <v>0.0196</v>
      </c>
      <c r="O2409" s="191" t="n">
        <v>2.1</v>
      </c>
      <c r="P2409" s="172" t="inlineStr">
        <is>
          <t>优先A</t>
        </is>
      </c>
      <c r="Q2409" s="175" t="n">
        <v>0.86</v>
      </c>
      <c r="R2409" s="192">
        <f>Q1557*J1557</f>
        <v/>
      </c>
      <c r="S2409" s="172" t="inlineStr">
        <is>
          <t>AAA</t>
        </is>
      </c>
      <c r="T2409" s="175" t="n">
        <v>0.0165</v>
      </c>
      <c r="U2409" s="172" t="inlineStr">
        <is>
          <t>财通资管</t>
        </is>
      </c>
      <c r="V2409" s="191" t="n">
        <v>0.45</v>
      </c>
      <c r="W2409" s="175" t="n">
        <v>0.0165</v>
      </c>
      <c r="X2409" s="172" t="inlineStr">
        <is>
          <t>财通资管</t>
        </is>
      </c>
      <c r="Y2409" s="191" t="n">
        <v>0.45</v>
      </c>
    </row>
    <row r="2410">
      <c r="A2410" s="172" t="n">
        <v>132</v>
      </c>
      <c r="B2410" s="172" t="inlineStr">
        <is>
          <t>8月</t>
        </is>
      </c>
      <c r="C2410" s="172" t="inlineStr">
        <is>
          <t>企金</t>
        </is>
      </c>
      <c r="D2410" s="172" t="inlineStr">
        <is>
          <t>动产质押</t>
        </is>
      </c>
      <c r="E2410" s="172" t="inlineStr">
        <is>
          <t>尚亦2-4</t>
        </is>
      </c>
      <c r="F2410" s="172" t="inlineStr">
        <is>
          <t>上交所</t>
        </is>
      </c>
      <c r="G2410" s="172" t="inlineStr">
        <is>
          <t>财通资管</t>
        </is>
      </c>
      <c r="H2410" s="172" t="inlineStr">
        <is>
          <t>国金证券</t>
        </is>
      </c>
      <c r="I2410" s="172" t="inlineStr">
        <is>
          <t>杭州北分</t>
        </is>
      </c>
      <c r="J2410" s="172" t="n">
        <v>5</v>
      </c>
      <c r="K2410" s="172" t="inlineStr">
        <is>
          <t>6+12</t>
        </is>
      </c>
      <c r="L2410" s="202" t="n">
        <v>46251</v>
      </c>
      <c r="M2410" s="175" t="n">
        <v>0.0147</v>
      </c>
      <c r="N2410" s="176" t="n">
        <v>0.0196</v>
      </c>
      <c r="O2410" s="191" t="n">
        <v>2.1</v>
      </c>
      <c r="P2410" s="172" t="inlineStr">
        <is>
          <t>优先A</t>
        </is>
      </c>
      <c r="Q2410" s="175" t="n">
        <v>0.86</v>
      </c>
      <c r="R2410" s="192">
        <f>Q1557*J1557</f>
        <v/>
      </c>
      <c r="S2410" s="172" t="inlineStr">
        <is>
          <t>AAA</t>
        </is>
      </c>
      <c r="T2410" s="175" t="n">
        <v>0.0165</v>
      </c>
      <c r="U2410" s="172" t="inlineStr">
        <is>
          <t>国金证券自营</t>
        </is>
      </c>
      <c r="V2410" s="191" t="n">
        <v>0.44</v>
      </c>
      <c r="W2410" s="172" t="n"/>
      <c r="X2410" s="172" t="n"/>
      <c r="Y2410" s="172" t="n"/>
    </row>
    <row r="2411">
      <c r="A2411" s="172" t="n">
        <v>132</v>
      </c>
      <c r="B2411" s="172" t="inlineStr">
        <is>
          <t>8月</t>
        </is>
      </c>
      <c r="C2411" s="172" t="inlineStr">
        <is>
          <t>企金</t>
        </is>
      </c>
      <c r="D2411" s="172" t="inlineStr">
        <is>
          <t>动产质押</t>
        </is>
      </c>
      <c r="E2411" s="172" t="inlineStr">
        <is>
          <t>尚亦2-4</t>
        </is>
      </c>
      <c r="F2411" s="172" t="inlineStr">
        <is>
          <t>上交所</t>
        </is>
      </c>
      <c r="G2411" s="172" t="inlineStr">
        <is>
          <t>财通资管</t>
        </is>
      </c>
      <c r="H2411" s="172" t="inlineStr">
        <is>
          <t>国金证券</t>
        </is>
      </c>
      <c r="I2411" s="172" t="inlineStr">
        <is>
          <t>杭州北分</t>
        </is>
      </c>
      <c r="J2411" s="172" t="n">
        <v>5</v>
      </c>
      <c r="K2411" s="172" t="inlineStr">
        <is>
          <t>6+12</t>
        </is>
      </c>
      <c r="L2411" s="208" t="n">
        <v>46251</v>
      </c>
      <c r="M2411" s="175" t="n">
        <v>0.0147</v>
      </c>
      <c r="N2411" s="176" t="n">
        <v>0.0196</v>
      </c>
      <c r="O2411" s="172" t="n">
        <v>2.1</v>
      </c>
      <c r="P2411" s="172" t="inlineStr">
        <is>
          <t>优先A</t>
        </is>
      </c>
      <c r="Q2411" s="175" t="n">
        <v>0.86</v>
      </c>
      <c r="R2411" s="172">
        <f>Q1557*J1557</f>
        <v/>
      </c>
      <c r="S2411" s="172" t="inlineStr">
        <is>
          <t>AAA</t>
        </is>
      </c>
      <c r="T2411" s="175" t="n">
        <v>0.0165</v>
      </c>
      <c r="U2411" s="172" t="n"/>
      <c r="V2411" s="172" t="n"/>
      <c r="W2411" s="175" t="n">
        <v>0.0165</v>
      </c>
      <c r="X2411" s="172" t="inlineStr">
        <is>
          <t>国金自营</t>
        </is>
      </c>
      <c r="Y2411" s="191" t="n">
        <v>0.44</v>
      </c>
    </row>
    <row r="2412">
      <c r="A2412" s="172" t="n">
        <v>132</v>
      </c>
      <c r="B2412" s="172" t="inlineStr">
        <is>
          <t>8月</t>
        </is>
      </c>
      <c r="C2412" s="172" t="inlineStr">
        <is>
          <t>企金</t>
        </is>
      </c>
      <c r="D2412" s="172" t="inlineStr">
        <is>
          <t>动产质押</t>
        </is>
      </c>
      <c r="E2412" s="172" t="inlineStr">
        <is>
          <t>尚亦2-4</t>
        </is>
      </c>
      <c r="F2412" s="172" t="inlineStr">
        <is>
          <t>上交所</t>
        </is>
      </c>
      <c r="G2412" s="172" t="inlineStr">
        <is>
          <t>财通资管</t>
        </is>
      </c>
      <c r="H2412" s="172" t="inlineStr">
        <is>
          <t>国金证券</t>
        </is>
      </c>
      <c r="I2412" s="172" t="inlineStr">
        <is>
          <t>杭州北分</t>
        </is>
      </c>
      <c r="J2412" s="172" t="n">
        <v>5</v>
      </c>
      <c r="K2412" s="172" t="inlineStr">
        <is>
          <t>6+12</t>
        </is>
      </c>
      <c r="L2412" s="208" t="n">
        <v>46251</v>
      </c>
      <c r="M2412" s="175" t="n">
        <v>0.0147</v>
      </c>
      <c r="N2412" s="176" t="n">
        <v>0.0196</v>
      </c>
      <c r="O2412" s="172" t="n">
        <v>2.1</v>
      </c>
      <c r="P2412" s="172" t="inlineStr">
        <is>
          <t>优先A</t>
        </is>
      </c>
      <c r="Q2412" s="175" t="n">
        <v>0.86</v>
      </c>
      <c r="R2412" s="172">
        <f>Q1557*J1557</f>
        <v/>
      </c>
      <c r="S2412" s="172" t="inlineStr">
        <is>
          <t>AAA</t>
        </is>
      </c>
      <c r="T2412" s="175" t="n">
        <v>0.0165</v>
      </c>
      <c r="U2412" s="172" t="n"/>
      <c r="V2412" s="172" t="n"/>
      <c r="W2412" s="175" t="n">
        <v>0.0175</v>
      </c>
      <c r="X2412" s="172" t="inlineStr">
        <is>
          <t>国金自营</t>
        </is>
      </c>
      <c r="Y2412" s="191" t="n">
        <v>0.48</v>
      </c>
    </row>
    <row r="2413">
      <c r="A2413" s="172" t="n">
        <v>132</v>
      </c>
      <c r="B2413" s="172" t="inlineStr">
        <is>
          <t>8月</t>
        </is>
      </c>
      <c r="C2413" s="172" t="inlineStr">
        <is>
          <t>企金</t>
        </is>
      </c>
      <c r="D2413" s="172" t="inlineStr">
        <is>
          <t>动产质押</t>
        </is>
      </c>
      <c r="E2413" s="172" t="inlineStr">
        <is>
          <t>尚亦2-4</t>
        </is>
      </c>
      <c r="F2413" s="172" t="inlineStr">
        <is>
          <t>上交所</t>
        </is>
      </c>
      <c r="G2413" s="172" t="inlineStr">
        <is>
          <t>财通资管</t>
        </is>
      </c>
      <c r="H2413" s="172" t="inlineStr">
        <is>
          <t>国金证券</t>
        </is>
      </c>
      <c r="I2413" s="172" t="inlineStr">
        <is>
          <t>杭州北分</t>
        </is>
      </c>
      <c r="J2413" s="172" t="n">
        <v>5</v>
      </c>
      <c r="K2413" s="172" t="inlineStr">
        <is>
          <t>6+12</t>
        </is>
      </c>
      <c r="L2413" s="208" t="n">
        <v>46251</v>
      </c>
      <c r="M2413" s="175" t="n">
        <v>0.0147</v>
      </c>
      <c r="N2413" s="176" t="n">
        <v>0.0196</v>
      </c>
      <c r="O2413" s="172" t="n">
        <v>2.1</v>
      </c>
      <c r="P2413" s="172" t="inlineStr">
        <is>
          <t>优先A</t>
        </is>
      </c>
      <c r="Q2413" s="175" t="n">
        <v>0.86</v>
      </c>
      <c r="R2413" s="172">
        <f>Q1557*J1557</f>
        <v/>
      </c>
      <c r="S2413" s="172" t="inlineStr">
        <is>
          <t>AAA</t>
        </is>
      </c>
      <c r="T2413" s="175" t="n">
        <v>0.0165</v>
      </c>
      <c r="U2413" s="172" t="n"/>
      <c r="V2413" s="172" t="n"/>
      <c r="W2413" s="175" t="n">
        <v>0.0168</v>
      </c>
      <c r="X2413" s="172" t="inlineStr">
        <is>
          <t>易方达</t>
        </is>
      </c>
      <c r="Y2413" s="191" t="n">
        <v>0.5</v>
      </c>
    </row>
    <row r="2414">
      <c r="A2414" s="172" t="n">
        <v>132</v>
      </c>
      <c r="B2414" s="172" t="inlineStr">
        <is>
          <t>8月</t>
        </is>
      </c>
      <c r="C2414" s="172" t="inlineStr">
        <is>
          <t>企金</t>
        </is>
      </c>
      <c r="D2414" s="172" t="inlineStr">
        <is>
          <t>动产质押</t>
        </is>
      </c>
      <c r="E2414" s="172" t="inlineStr">
        <is>
          <t>尚亦2-4</t>
        </is>
      </c>
      <c r="F2414" s="172" t="inlineStr">
        <is>
          <t>上交所</t>
        </is>
      </c>
      <c r="G2414" s="172" t="inlineStr">
        <is>
          <t>财通资管</t>
        </is>
      </c>
      <c r="H2414" s="172" t="inlineStr">
        <is>
          <t>国金证券</t>
        </is>
      </c>
      <c r="I2414" s="172" t="inlineStr">
        <is>
          <t>杭州北分</t>
        </is>
      </c>
      <c r="J2414" s="172" t="n">
        <v>5</v>
      </c>
      <c r="K2414" s="172" t="inlineStr">
        <is>
          <t>6+12</t>
        </is>
      </c>
      <c r="L2414" s="208" t="n">
        <v>46251</v>
      </c>
      <c r="M2414" s="175" t="n">
        <v>0.0147</v>
      </c>
      <c r="N2414" s="176" t="n">
        <v>0.0196</v>
      </c>
      <c r="O2414" s="172" t="n">
        <v>2.1</v>
      </c>
      <c r="P2414" s="172" t="inlineStr">
        <is>
          <t>优先A</t>
        </is>
      </c>
      <c r="Q2414" s="175" t="n">
        <v>0.86</v>
      </c>
      <c r="R2414" s="172">
        <f>Q1557*J1557</f>
        <v/>
      </c>
      <c r="S2414" s="172" t="inlineStr">
        <is>
          <t>AAA</t>
        </is>
      </c>
      <c r="T2414" s="175" t="n">
        <v>0.0165</v>
      </c>
      <c r="U2414" s="172" t="n"/>
      <c r="V2414" s="172" t="n"/>
      <c r="W2414" s="175" t="n">
        <v>0.0169</v>
      </c>
      <c r="X2414" s="172" t="inlineStr">
        <is>
          <t>广银理财</t>
        </is>
      </c>
      <c r="Y2414" s="191" t="n">
        <v>0.5</v>
      </c>
    </row>
    <row r="2415">
      <c r="A2415" s="172" t="n">
        <v>132</v>
      </c>
      <c r="B2415" s="172" t="inlineStr">
        <is>
          <t>8月</t>
        </is>
      </c>
      <c r="C2415" s="172" t="inlineStr">
        <is>
          <t>企金</t>
        </is>
      </c>
      <c r="D2415" s="172" t="inlineStr">
        <is>
          <t>动产质押</t>
        </is>
      </c>
      <c r="E2415" s="172" t="inlineStr">
        <is>
          <t>尚亦2-4</t>
        </is>
      </c>
      <c r="F2415" s="172" t="inlineStr">
        <is>
          <t>上交所</t>
        </is>
      </c>
      <c r="G2415" s="172" t="inlineStr">
        <is>
          <t>财通资管</t>
        </is>
      </c>
      <c r="H2415" s="172" t="inlineStr">
        <is>
          <t>国金证券</t>
        </is>
      </c>
      <c r="I2415" s="172" t="inlineStr">
        <is>
          <t>杭州北分</t>
        </is>
      </c>
      <c r="J2415" s="172" t="n">
        <v>5</v>
      </c>
      <c r="K2415" s="172" t="inlineStr">
        <is>
          <t>6+12</t>
        </is>
      </c>
      <c r="L2415" s="208" t="n">
        <v>46251</v>
      </c>
      <c r="M2415" s="175" t="n">
        <v>0.0147</v>
      </c>
      <c r="N2415" s="176" t="n">
        <v>0.0196</v>
      </c>
      <c r="O2415" s="172" t="n">
        <v>2.1</v>
      </c>
      <c r="P2415" s="172" t="inlineStr">
        <is>
          <t>优先A</t>
        </is>
      </c>
      <c r="Q2415" s="175" t="n">
        <v>0.86</v>
      </c>
      <c r="R2415" s="172">
        <f>Q1557*J1557</f>
        <v/>
      </c>
      <c r="S2415" s="172" t="inlineStr">
        <is>
          <t>AAA</t>
        </is>
      </c>
      <c r="T2415" s="175" t="n">
        <v>0.0165</v>
      </c>
      <c r="U2415" s="172" t="n"/>
      <c r="V2415" s="172" t="n"/>
      <c r="W2415" s="175" t="n">
        <v>0.0178</v>
      </c>
      <c r="X2415" s="172" t="inlineStr">
        <is>
          <t>国金资管</t>
        </is>
      </c>
      <c r="Y2415" s="191" t="n">
        <v>0.5</v>
      </c>
    </row>
    <row r="2416">
      <c r="A2416" s="172" t="n">
        <v>132</v>
      </c>
      <c r="B2416" s="172" t="inlineStr">
        <is>
          <t>8月</t>
        </is>
      </c>
      <c r="C2416" s="172" t="inlineStr">
        <is>
          <t>企金</t>
        </is>
      </c>
      <c r="D2416" s="172" t="inlineStr">
        <is>
          <t>动产质押</t>
        </is>
      </c>
      <c r="E2416" s="172" t="inlineStr">
        <is>
          <t>尚亦2-4</t>
        </is>
      </c>
      <c r="F2416" s="172" t="inlineStr">
        <is>
          <t>上交所</t>
        </is>
      </c>
      <c r="G2416" s="172" t="inlineStr">
        <is>
          <t>财通资管</t>
        </is>
      </c>
      <c r="H2416" s="172" t="inlineStr">
        <is>
          <t>国金证券</t>
        </is>
      </c>
      <c r="I2416" s="172" t="inlineStr">
        <is>
          <t>杭州北分</t>
        </is>
      </c>
      <c r="J2416" s="172" t="n">
        <v>5</v>
      </c>
      <c r="K2416" s="172" t="inlineStr">
        <is>
          <t>6+12</t>
        </is>
      </c>
      <c r="L2416" s="208" t="n">
        <v>46251</v>
      </c>
      <c r="M2416" s="175" t="n">
        <v>0.0147</v>
      </c>
      <c r="N2416" s="176" t="n">
        <v>0.0196</v>
      </c>
      <c r="O2416" s="172" t="n">
        <v>2.1</v>
      </c>
      <c r="P2416" s="172" t="inlineStr">
        <is>
          <t>优先A</t>
        </is>
      </c>
      <c r="Q2416" s="175" t="n">
        <v>0.86</v>
      </c>
      <c r="R2416" s="172">
        <f>Q1557*J1557</f>
        <v/>
      </c>
      <c r="S2416" s="172" t="inlineStr">
        <is>
          <t>AAA</t>
        </is>
      </c>
      <c r="T2416" s="175" t="n">
        <v>0.0165</v>
      </c>
      <c r="U2416" s="172" t="n"/>
      <c r="V2416" s="172" t="n"/>
      <c r="W2416" s="175" t="n">
        <v>0.024</v>
      </c>
      <c r="X2416" s="172" t="inlineStr">
        <is>
          <t>中金财富</t>
        </is>
      </c>
      <c r="Y2416" s="191" t="n">
        <v>0.5</v>
      </c>
    </row>
    <row r="2417">
      <c r="A2417" s="172" t="n">
        <v>132</v>
      </c>
      <c r="B2417" s="172" t="inlineStr">
        <is>
          <t>8月</t>
        </is>
      </c>
      <c r="C2417" s="172" t="inlineStr">
        <is>
          <t>企金</t>
        </is>
      </c>
      <c r="D2417" s="172" t="inlineStr">
        <is>
          <t>动产质押</t>
        </is>
      </c>
      <c r="E2417" s="172" t="inlineStr">
        <is>
          <t>尚亦2-4</t>
        </is>
      </c>
      <c r="F2417" s="172" t="inlineStr">
        <is>
          <t>上交所</t>
        </is>
      </c>
      <c r="G2417" s="172" t="inlineStr">
        <is>
          <t>财通资管</t>
        </is>
      </c>
      <c r="H2417" s="172" t="inlineStr">
        <is>
          <t>国金证券</t>
        </is>
      </c>
      <c r="I2417" s="172" t="inlineStr">
        <is>
          <t>杭州北分</t>
        </is>
      </c>
      <c r="J2417" s="172" t="n">
        <v>5</v>
      </c>
      <c r="K2417" s="172" t="inlineStr">
        <is>
          <t>6+12</t>
        </is>
      </c>
      <c r="L2417" s="202" t="n">
        <v>46251</v>
      </c>
      <c r="M2417" s="175" t="n">
        <v>0.0147</v>
      </c>
      <c r="N2417" s="176" t="n">
        <v>0.0196</v>
      </c>
      <c r="O2417" s="191" t="n">
        <v>2.1</v>
      </c>
      <c r="P2417" s="172" t="inlineStr">
        <is>
          <t>优先B</t>
        </is>
      </c>
      <c r="Q2417" s="175" t="n">
        <v>0.04</v>
      </c>
      <c r="R2417" s="192">
        <f>J1557*Q1563</f>
        <v/>
      </c>
      <c r="S2417" s="175" t="inlineStr">
        <is>
          <t>AA+</t>
        </is>
      </c>
      <c r="T2417" s="175" t="n">
        <v>0.017</v>
      </c>
      <c r="U2417" s="172" t="inlineStr">
        <is>
          <t>招银理财</t>
        </is>
      </c>
      <c r="V2417" s="191" t="n">
        <v>0.06</v>
      </c>
      <c r="W2417" s="175" t="n">
        <v>0.017</v>
      </c>
      <c r="X2417" s="172" t="inlineStr">
        <is>
          <t>招银理财</t>
        </is>
      </c>
      <c r="Y2417" s="191" t="n">
        <v>0.06</v>
      </c>
    </row>
    <row r="2418">
      <c r="A2418" s="172" t="n">
        <v>132</v>
      </c>
      <c r="B2418" s="172" t="inlineStr">
        <is>
          <t>8月</t>
        </is>
      </c>
      <c r="C2418" s="172" t="inlineStr">
        <is>
          <t>企金</t>
        </is>
      </c>
      <c r="D2418" s="172" t="inlineStr">
        <is>
          <t>动产质押</t>
        </is>
      </c>
      <c r="E2418" s="172" t="inlineStr">
        <is>
          <t>尚亦2-4</t>
        </is>
      </c>
      <c r="F2418" s="172" t="inlineStr">
        <is>
          <t>上交所</t>
        </is>
      </c>
      <c r="G2418" s="172" t="inlineStr">
        <is>
          <t>财通资管</t>
        </is>
      </c>
      <c r="H2418" s="172" t="inlineStr">
        <is>
          <t>国金证券</t>
        </is>
      </c>
      <c r="I2418" s="172" t="inlineStr">
        <is>
          <t>杭州北分</t>
        </is>
      </c>
      <c r="J2418" s="172" t="n">
        <v>5</v>
      </c>
      <c r="K2418" s="172" t="inlineStr">
        <is>
          <t>6+12</t>
        </is>
      </c>
      <c r="L2418" s="202" t="n">
        <v>46251</v>
      </c>
      <c r="M2418" s="175" t="n">
        <v>0.0147</v>
      </c>
      <c r="N2418" s="176" t="n">
        <v>0.0196</v>
      </c>
      <c r="O2418" s="191" t="n">
        <v>2.1</v>
      </c>
      <c r="P2418" s="172" t="inlineStr">
        <is>
          <t>优先B</t>
        </is>
      </c>
      <c r="Q2418" s="175" t="n">
        <v>0.04</v>
      </c>
      <c r="R2418" s="192">
        <f>J1557*Q1563</f>
        <v/>
      </c>
      <c r="S2418" s="175" t="inlineStr">
        <is>
          <t>AA+</t>
        </is>
      </c>
      <c r="T2418" s="175" t="n">
        <v>0.017</v>
      </c>
      <c r="U2418" s="172" t="inlineStr">
        <is>
          <t>建信理财</t>
        </is>
      </c>
      <c r="V2418" s="191" t="n">
        <v>0.06</v>
      </c>
      <c r="W2418" s="175" t="n">
        <v>0.0162</v>
      </c>
      <c r="X2418" s="172" t="inlineStr">
        <is>
          <t>建信信托（代建信理财）</t>
        </is>
      </c>
      <c r="Y2418" s="191" t="n">
        <v>0.06</v>
      </c>
    </row>
    <row r="2419">
      <c r="A2419" s="172" t="n">
        <v>132</v>
      </c>
      <c r="B2419" s="172" t="inlineStr">
        <is>
          <t>8月</t>
        </is>
      </c>
      <c r="C2419" s="172" t="inlineStr">
        <is>
          <t>企金</t>
        </is>
      </c>
      <c r="D2419" s="172" t="inlineStr">
        <is>
          <t>动产质押</t>
        </is>
      </c>
      <c r="E2419" s="172" t="inlineStr">
        <is>
          <t>尚亦2-4</t>
        </is>
      </c>
      <c r="F2419" s="172" t="inlineStr">
        <is>
          <t>上交所</t>
        </is>
      </c>
      <c r="G2419" s="172" t="inlineStr">
        <is>
          <t>财通资管</t>
        </is>
      </c>
      <c r="H2419" s="172" t="inlineStr">
        <is>
          <t>国金证券</t>
        </is>
      </c>
      <c r="I2419" s="172" t="inlineStr">
        <is>
          <t>杭州北分</t>
        </is>
      </c>
      <c r="J2419" s="172" t="n">
        <v>5</v>
      </c>
      <c r="K2419" s="172" t="inlineStr">
        <is>
          <t>6+12</t>
        </is>
      </c>
      <c r="L2419" s="202" t="n">
        <v>46251</v>
      </c>
      <c r="M2419" s="175" t="n">
        <v>0.0147</v>
      </c>
      <c r="N2419" s="176" t="n">
        <v>0.0196</v>
      </c>
      <c r="O2419" s="191" t="n">
        <v>2.1</v>
      </c>
      <c r="P2419" s="172" t="inlineStr">
        <is>
          <t>优先B</t>
        </is>
      </c>
      <c r="Q2419" s="175" t="n">
        <v>0.04</v>
      </c>
      <c r="R2419" s="192">
        <f>J1557*Q1563</f>
        <v/>
      </c>
      <c r="S2419" s="175" t="inlineStr">
        <is>
          <t>AA+</t>
        </is>
      </c>
      <c r="T2419" s="175" t="n">
        <v>0.017</v>
      </c>
      <c r="U2419" s="172" t="inlineStr">
        <is>
          <t>华兴银行</t>
        </is>
      </c>
      <c r="V2419" s="191" t="n">
        <v>0.08</v>
      </c>
      <c r="W2419" s="175" t="n">
        <v>0.017</v>
      </c>
      <c r="X2419" s="172" t="inlineStr">
        <is>
          <t>华兴银行</t>
        </is>
      </c>
      <c r="Y2419" s="191" t="n">
        <v>0.08</v>
      </c>
    </row>
    <row r="2420">
      <c r="A2420" s="172" t="n">
        <v>132</v>
      </c>
      <c r="B2420" s="172" t="inlineStr">
        <is>
          <t>8月</t>
        </is>
      </c>
      <c r="C2420" s="172" t="inlineStr">
        <is>
          <t>企金</t>
        </is>
      </c>
      <c r="D2420" s="172" t="inlineStr">
        <is>
          <t>动产质押</t>
        </is>
      </c>
      <c r="E2420" s="172" t="inlineStr">
        <is>
          <t>尚亦2-4</t>
        </is>
      </c>
      <c r="F2420" s="172" t="inlineStr">
        <is>
          <t>上交所</t>
        </is>
      </c>
      <c r="G2420" s="172" t="inlineStr">
        <is>
          <t>财通资管</t>
        </is>
      </c>
      <c r="H2420" s="172" t="inlineStr">
        <is>
          <t>国金证券</t>
        </is>
      </c>
      <c r="I2420" s="172" t="inlineStr">
        <is>
          <t>杭州北分</t>
        </is>
      </c>
      <c r="J2420" s="172" t="n">
        <v>5</v>
      </c>
      <c r="K2420" s="172" t="inlineStr">
        <is>
          <t>6+12</t>
        </is>
      </c>
      <c r="L2420" s="208" t="n">
        <v>46251</v>
      </c>
      <c r="M2420" s="175" t="n">
        <v>0.0147</v>
      </c>
      <c r="N2420" s="176" t="n">
        <v>0.0196</v>
      </c>
      <c r="O2420" s="172" t="n">
        <v>2.1</v>
      </c>
      <c r="P2420" s="172" t="inlineStr">
        <is>
          <t>优先B</t>
        </is>
      </c>
      <c r="Q2420" s="175" t="n">
        <v>0.04</v>
      </c>
      <c r="R2420" s="172">
        <f>J1557*Q1563</f>
        <v/>
      </c>
      <c r="S2420" s="172" t="inlineStr">
        <is>
          <t>AA+</t>
        </is>
      </c>
      <c r="T2420" s="175" t="n">
        <v>0.017</v>
      </c>
      <c r="U2420" s="172" t="n"/>
      <c r="V2420" s="172" t="n"/>
      <c r="W2420" s="175" t="n">
        <v>0.02</v>
      </c>
      <c r="X2420" s="172" t="inlineStr">
        <is>
          <t>财通资管</t>
        </is>
      </c>
      <c r="Y2420" s="191" t="n">
        <v>0.1</v>
      </c>
    </row>
    <row r="2421">
      <c r="A2421" s="172" t="n">
        <v>132</v>
      </c>
      <c r="B2421" s="172" t="inlineStr">
        <is>
          <t>8月</t>
        </is>
      </c>
      <c r="C2421" s="172" t="inlineStr">
        <is>
          <t>企金</t>
        </is>
      </c>
      <c r="D2421" s="172" t="inlineStr">
        <is>
          <t>动产质押</t>
        </is>
      </c>
      <c r="E2421" s="172" t="inlineStr">
        <is>
          <t>尚亦2-4</t>
        </is>
      </c>
      <c r="F2421" s="172" t="inlineStr">
        <is>
          <t>上交所</t>
        </is>
      </c>
      <c r="G2421" s="172" t="inlineStr">
        <is>
          <t>财通资管</t>
        </is>
      </c>
      <c r="H2421" s="172" t="inlineStr">
        <is>
          <t>国金证券</t>
        </is>
      </c>
      <c r="I2421" s="172" t="inlineStr">
        <is>
          <t>杭州北分</t>
        </is>
      </c>
      <c r="J2421" s="172" t="n">
        <v>5</v>
      </c>
      <c r="K2421" s="172" t="inlineStr">
        <is>
          <t>6+12</t>
        </is>
      </c>
      <c r="L2421" s="202" t="n">
        <v>46251</v>
      </c>
      <c r="M2421" s="175" t="n">
        <v>0.0147</v>
      </c>
      <c r="N2421" s="176" t="n">
        <v>0.0196</v>
      </c>
      <c r="O2421" s="191" t="n">
        <v>2.1</v>
      </c>
      <c r="P2421" s="172" t="inlineStr">
        <is>
          <t>中间级</t>
        </is>
      </c>
      <c r="Q2421" s="175" t="n">
        <v>0.05</v>
      </c>
      <c r="R2421" s="192">
        <f>J1557*Q1566</f>
        <v/>
      </c>
      <c r="S2421" s="175" t="inlineStr">
        <is>
          <t>A-</t>
        </is>
      </c>
      <c r="T2421" s="175" t="n">
        <v>0.031</v>
      </c>
      <c r="U2421" s="172" t="inlineStr">
        <is>
          <t>建信信托</t>
        </is>
      </c>
      <c r="V2421" s="191" t="n">
        <v>0.1</v>
      </c>
      <c r="W2421" s="172" t="n"/>
      <c r="X2421" s="172" t="n"/>
      <c r="Y2421" s="172" t="n"/>
    </row>
    <row r="2422">
      <c r="A2422" s="172" t="n">
        <v>132</v>
      </c>
      <c r="B2422" s="172" t="inlineStr">
        <is>
          <t>8月</t>
        </is>
      </c>
      <c r="C2422" s="172" t="inlineStr">
        <is>
          <t>企金</t>
        </is>
      </c>
      <c r="D2422" s="172" t="inlineStr">
        <is>
          <t>动产质押</t>
        </is>
      </c>
      <c r="E2422" s="172" t="inlineStr">
        <is>
          <t>尚亦2-4</t>
        </is>
      </c>
      <c r="F2422" s="172" t="inlineStr">
        <is>
          <t>上交所</t>
        </is>
      </c>
      <c r="G2422" s="172" t="inlineStr">
        <is>
          <t>财通资管</t>
        </is>
      </c>
      <c r="H2422" s="172" t="inlineStr">
        <is>
          <t>国金证券</t>
        </is>
      </c>
      <c r="I2422" s="172" t="inlineStr">
        <is>
          <t>杭州北分</t>
        </is>
      </c>
      <c r="J2422" s="172" t="n">
        <v>5</v>
      </c>
      <c r="K2422" s="172" t="inlineStr">
        <is>
          <t>6+12</t>
        </is>
      </c>
      <c r="L2422" s="202" t="n">
        <v>46251</v>
      </c>
      <c r="M2422" s="175" t="n">
        <v>0.0147</v>
      </c>
      <c r="N2422" s="176" t="n">
        <v>0.0196</v>
      </c>
      <c r="O2422" s="191" t="n">
        <v>2.1</v>
      </c>
      <c r="P2422" s="172" t="inlineStr">
        <is>
          <t>中间级</t>
        </is>
      </c>
      <c r="Q2422" s="175" t="n">
        <v>0.05</v>
      </c>
      <c r="R2422" s="192">
        <f>J1557*Q1566</f>
        <v/>
      </c>
      <c r="S2422" s="175" t="inlineStr">
        <is>
          <t>A-</t>
        </is>
      </c>
      <c r="T2422" s="175" t="n">
        <v>0.031</v>
      </c>
      <c r="U2422" s="172" t="inlineStr">
        <is>
          <t>德邦证券自营</t>
        </is>
      </c>
      <c r="V2422" s="191" t="n">
        <v>0.15</v>
      </c>
      <c r="W2422" s="172" t="n"/>
      <c r="X2422" s="172" t="n"/>
      <c r="Y2422" s="172" t="n"/>
    </row>
    <row r="2423">
      <c r="A2423" s="172" t="n">
        <v>132</v>
      </c>
      <c r="B2423" s="172" t="inlineStr">
        <is>
          <t>8月</t>
        </is>
      </c>
      <c r="C2423" s="172" t="inlineStr">
        <is>
          <t>企金</t>
        </is>
      </c>
      <c r="D2423" s="172" t="inlineStr">
        <is>
          <t>动产质押</t>
        </is>
      </c>
      <c r="E2423" s="172" t="inlineStr">
        <is>
          <t>尚亦2-4</t>
        </is>
      </c>
      <c r="F2423" s="172" t="inlineStr">
        <is>
          <t>上交所</t>
        </is>
      </c>
      <c r="G2423" s="172" t="inlineStr">
        <is>
          <t>财通资管</t>
        </is>
      </c>
      <c r="H2423" s="172" t="inlineStr">
        <is>
          <t>国金证券</t>
        </is>
      </c>
      <c r="I2423" s="172" t="inlineStr">
        <is>
          <t>杭州北分</t>
        </is>
      </c>
      <c r="J2423" s="172" t="n">
        <v>5</v>
      </c>
      <c r="K2423" s="172" t="inlineStr">
        <is>
          <t>6+12</t>
        </is>
      </c>
      <c r="L2423" s="202" t="n">
        <v>46251</v>
      </c>
      <c r="M2423" s="175" t="n">
        <v>0.0147</v>
      </c>
      <c r="N2423" s="176" t="n">
        <v>0.0196</v>
      </c>
      <c r="O2423" s="191" t="n">
        <v>2.1</v>
      </c>
      <c r="P2423" s="172" t="inlineStr">
        <is>
          <t>受益权</t>
        </is>
      </c>
      <c r="Q2423" s="175" t="n">
        <v>0.05</v>
      </c>
      <c r="R2423" s="192">
        <f>J1557*Q1568</f>
        <v/>
      </c>
      <c r="S2423" s="175" t="inlineStr">
        <is>
          <t>无</t>
        </is>
      </c>
      <c r="T2423" s="175" t="n">
        <v>0.0515</v>
      </c>
      <c r="U2423" s="172" t="inlineStr">
        <is>
          <t>朗姿韩雅</t>
        </is>
      </c>
      <c r="V2423" s="191" t="n">
        <v>0.25</v>
      </c>
      <c r="W2423" s="172" t="n"/>
      <c r="X2423" s="172" t="n"/>
      <c r="Y2423" s="172" t="n"/>
    </row>
    <row r="2424">
      <c r="A2424" s="172" t="n">
        <v>133</v>
      </c>
      <c r="B2424" s="173" t="inlineStr">
        <is>
          <t>8月</t>
        </is>
      </c>
      <c r="C2424" s="173" t="inlineStr">
        <is>
          <t>消金</t>
        </is>
      </c>
      <c r="D2424" s="173" t="inlineStr">
        <is>
          <t>赊销白条</t>
        </is>
      </c>
      <c r="E2424" s="173" t="inlineStr">
        <is>
          <t>26东裕9号一期</t>
        </is>
      </c>
      <c r="F2424" s="173" t="inlineStr">
        <is>
          <t>银行间</t>
        </is>
      </c>
      <c r="G2424" s="173" t="inlineStr">
        <is>
          <t>中信证券</t>
        </is>
      </c>
      <c r="H2424" s="173" t="inlineStr">
        <is>
          <t>南京银行/中信建投/兴业证券/国泰海通</t>
        </is>
      </c>
      <c r="I2424" s="173" t="inlineStr">
        <is>
          <t>兴业北分</t>
        </is>
      </c>
      <c r="J2424" s="172" t="n">
        <v>20</v>
      </c>
      <c r="K2424" s="173" t="inlineStr">
        <is>
          <t>22+2</t>
        </is>
      </c>
      <c r="L2424" s="202" t="n">
        <v>46255</v>
      </c>
      <c r="M2424" s="175" t="n">
        <v>0.014692</v>
      </c>
      <c r="N2424" s="176" t="n">
        <v>0.0201</v>
      </c>
      <c r="O2424" s="191" t="n">
        <v>1.73</v>
      </c>
      <c r="P2424" s="177" t="inlineStr">
        <is>
          <t>优先A</t>
        </is>
      </c>
      <c r="Q2424" s="178" t="n">
        <v>0.87</v>
      </c>
      <c r="R2424" s="179" t="n">
        <v>8.699999999999999</v>
      </c>
      <c r="S2424" s="177" t="inlineStr">
        <is>
          <t>AAA</t>
        </is>
      </c>
      <c r="T2424" s="178" t="n">
        <v>0.0178</v>
      </c>
      <c r="U2424" s="172" t="inlineStr">
        <is>
          <t>招银理财</t>
        </is>
      </c>
      <c r="V2424" s="192" t="n">
        <v>5.22</v>
      </c>
      <c r="W2424" s="175" t="n">
        <v>0.017</v>
      </c>
      <c r="X2424" s="172" t="inlineStr">
        <is>
          <t>招银理财</t>
        </is>
      </c>
      <c r="Y2424" s="191" t="n">
        <v>5.22</v>
      </c>
    </row>
    <row r="2425">
      <c r="A2425" s="172" t="n">
        <v>133</v>
      </c>
      <c r="B2425" s="173" t="inlineStr">
        <is>
          <t>8月</t>
        </is>
      </c>
      <c r="C2425" s="173" t="inlineStr">
        <is>
          <t>消金</t>
        </is>
      </c>
      <c r="D2425" s="173" t="inlineStr">
        <is>
          <t>赊销白条</t>
        </is>
      </c>
      <c r="E2425" s="173" t="inlineStr">
        <is>
          <t>26东裕9号一期</t>
        </is>
      </c>
      <c r="F2425" s="173" t="inlineStr">
        <is>
          <t>银行间</t>
        </is>
      </c>
      <c r="G2425" s="173" t="inlineStr">
        <is>
          <t>中信证券</t>
        </is>
      </c>
      <c r="H2425" s="173" t="inlineStr">
        <is>
          <t>南京银行/中信建投/兴业证券/国泰海通</t>
        </is>
      </c>
      <c r="I2425" s="173" t="inlineStr">
        <is>
          <t>兴业北分</t>
        </is>
      </c>
      <c r="J2425" s="172" t="n">
        <v>20</v>
      </c>
      <c r="K2425" s="173" t="inlineStr">
        <is>
          <t>22+2</t>
        </is>
      </c>
      <c r="L2425" s="202" t="n">
        <v>46255</v>
      </c>
      <c r="M2425" s="175" t="n">
        <v>0.014692</v>
      </c>
      <c r="N2425" s="176" t="n">
        <v>0.0201</v>
      </c>
      <c r="O2425" s="191" t="n">
        <v>1.73</v>
      </c>
      <c r="P2425" s="172" t="inlineStr">
        <is>
          <t>优先A</t>
        </is>
      </c>
      <c r="Q2425" s="178" t="n">
        <v>0.87</v>
      </c>
      <c r="R2425" s="179" t="n">
        <v>8.699999999999999</v>
      </c>
      <c r="S2425" s="177" t="inlineStr">
        <is>
          <t>AAA</t>
        </is>
      </c>
      <c r="T2425" s="178" t="n">
        <v>0.0178</v>
      </c>
      <c r="U2425" s="177" t="inlineStr">
        <is>
          <t>信银理财</t>
        </is>
      </c>
      <c r="V2425" s="192" t="n">
        <v>5.22</v>
      </c>
      <c r="W2425" s="175" t="n">
        <v>0.0176</v>
      </c>
      <c r="X2425" s="172" t="inlineStr">
        <is>
          <t>信银理财</t>
        </is>
      </c>
      <c r="Y2425" s="191" t="n">
        <v>2</v>
      </c>
    </row>
    <row r="2426">
      <c r="A2426" s="172" t="n">
        <v>133</v>
      </c>
      <c r="B2426" s="172" t="inlineStr">
        <is>
          <t>8月</t>
        </is>
      </c>
      <c r="C2426" s="172" t="inlineStr">
        <is>
          <t>消金</t>
        </is>
      </c>
      <c r="D2426" s="172" t="inlineStr">
        <is>
          <t>赊销白条</t>
        </is>
      </c>
      <c r="E2426" s="172" t="inlineStr">
        <is>
          <t>26东裕9号一期</t>
        </is>
      </c>
      <c r="F2426" s="172" t="inlineStr">
        <is>
          <t>银行间</t>
        </is>
      </c>
      <c r="G2426" s="172" t="inlineStr">
        <is>
          <t>中信证券</t>
        </is>
      </c>
      <c r="H2426" s="172" t="inlineStr">
        <is>
          <t>南京银行/中信建投/兴业证券/国泰海通</t>
        </is>
      </c>
      <c r="I2426" s="172" t="inlineStr">
        <is>
          <t>兴业北分</t>
        </is>
      </c>
      <c r="J2426" s="172" t="n">
        <v>20</v>
      </c>
      <c r="K2426" s="172" t="inlineStr">
        <is>
          <t>22+2</t>
        </is>
      </c>
      <c r="L2426" s="208" t="n">
        <v>46255</v>
      </c>
      <c r="M2426" s="175" t="n">
        <v>0.014692</v>
      </c>
      <c r="N2426" s="176" t="n">
        <v>0.0201</v>
      </c>
      <c r="O2426" s="172" t="n">
        <v>1.73</v>
      </c>
      <c r="P2426" s="172" t="inlineStr">
        <is>
          <t>优先A</t>
        </is>
      </c>
      <c r="Q2426" s="175" t="n">
        <v>0.87</v>
      </c>
      <c r="R2426" s="192" t="n">
        <v>8.699999999999999</v>
      </c>
      <c r="S2426" s="172" t="inlineStr">
        <is>
          <t>AAA</t>
        </is>
      </c>
      <c r="T2426" s="175" t="n">
        <v>0.0178</v>
      </c>
      <c r="U2426" s="172" t="n"/>
      <c r="V2426" s="172" t="n"/>
      <c r="W2426" s="175" t="n">
        <v>0.0177</v>
      </c>
      <c r="X2426" s="172" t="inlineStr">
        <is>
          <t>信银理财</t>
        </is>
      </c>
      <c r="Y2426" s="191" t="n">
        <v>2</v>
      </c>
    </row>
    <row r="2427">
      <c r="A2427" s="172" t="n">
        <v>133</v>
      </c>
      <c r="B2427" s="173" t="inlineStr">
        <is>
          <t>8月</t>
        </is>
      </c>
      <c r="C2427" s="173" t="inlineStr">
        <is>
          <t>消金</t>
        </is>
      </c>
      <c r="D2427" s="173" t="inlineStr">
        <is>
          <t>赊销白条</t>
        </is>
      </c>
      <c r="E2427" s="173" t="inlineStr">
        <is>
          <t>26东裕9号一期</t>
        </is>
      </c>
      <c r="F2427" s="173" t="inlineStr">
        <is>
          <t>银行间</t>
        </is>
      </c>
      <c r="G2427" s="173" t="inlineStr">
        <is>
          <t>中信证券</t>
        </is>
      </c>
      <c r="H2427" s="173" t="inlineStr">
        <is>
          <t>南京银行/中信建投/兴业证券/国泰海通</t>
        </is>
      </c>
      <c r="I2427" s="173" t="inlineStr">
        <is>
          <t>兴业北分</t>
        </is>
      </c>
      <c r="J2427" s="172" t="n">
        <v>20</v>
      </c>
      <c r="K2427" s="173" t="inlineStr">
        <is>
          <t>22+2</t>
        </is>
      </c>
      <c r="L2427" s="202" t="n">
        <v>46255</v>
      </c>
      <c r="M2427" s="175" t="n">
        <v>0.014692</v>
      </c>
      <c r="N2427" s="176" t="n">
        <v>0.0201</v>
      </c>
      <c r="O2427" s="191" t="n">
        <v>1.73</v>
      </c>
      <c r="P2427" s="172" t="inlineStr">
        <is>
          <t>优先A</t>
        </is>
      </c>
      <c r="Q2427" s="178" t="n">
        <v>0.87</v>
      </c>
      <c r="R2427" s="179" t="n">
        <v>8.699999999999999</v>
      </c>
      <c r="S2427" s="177" t="inlineStr">
        <is>
          <t>AAA</t>
        </is>
      </c>
      <c r="T2427" s="178" t="n">
        <v>0.0178</v>
      </c>
      <c r="U2427" s="177" t="inlineStr">
        <is>
          <t>南京银行</t>
        </is>
      </c>
      <c r="V2427" s="192" t="n">
        <v>2.2</v>
      </c>
      <c r="W2427" s="175" t="n">
        <v>0.016</v>
      </c>
      <c r="X2427" s="172" t="inlineStr">
        <is>
          <t>南京银行</t>
        </is>
      </c>
      <c r="Y2427" s="191" t="n">
        <v>2.2</v>
      </c>
    </row>
    <row r="2428">
      <c r="A2428" s="172" t="n">
        <v>133</v>
      </c>
      <c r="B2428" s="172" t="inlineStr">
        <is>
          <t>8月</t>
        </is>
      </c>
      <c r="C2428" s="172" t="inlineStr">
        <is>
          <t>消金</t>
        </is>
      </c>
      <c r="D2428" s="172" t="inlineStr">
        <is>
          <t>赊销白条</t>
        </is>
      </c>
      <c r="E2428" s="172" t="inlineStr">
        <is>
          <t>26东裕9号一期</t>
        </is>
      </c>
      <c r="F2428" s="172" t="inlineStr">
        <is>
          <t>银行间</t>
        </is>
      </c>
      <c r="G2428" s="172" t="inlineStr">
        <is>
          <t>中信证券</t>
        </is>
      </c>
      <c r="H2428" s="172" t="inlineStr">
        <is>
          <t>南京银行/中信建投/兴业证券/国泰海通</t>
        </is>
      </c>
      <c r="I2428" s="172" t="inlineStr">
        <is>
          <t>兴业北分</t>
        </is>
      </c>
      <c r="J2428" s="172" t="n">
        <v>20</v>
      </c>
      <c r="K2428" s="172" t="inlineStr">
        <is>
          <t>22+2</t>
        </is>
      </c>
      <c r="L2428" s="208" t="n">
        <v>46255</v>
      </c>
      <c r="M2428" s="175" t="n">
        <v>0.014692</v>
      </c>
      <c r="N2428" s="176" t="n">
        <v>0.0201</v>
      </c>
      <c r="O2428" s="172" t="n">
        <v>1.73</v>
      </c>
      <c r="P2428" s="172" t="inlineStr">
        <is>
          <t>优先A</t>
        </is>
      </c>
      <c r="Q2428" s="175" t="n">
        <v>0.87</v>
      </c>
      <c r="R2428" s="192" t="n">
        <v>8.699999999999999</v>
      </c>
      <c r="S2428" s="172" t="inlineStr">
        <is>
          <t>AAA</t>
        </is>
      </c>
      <c r="T2428" s="175" t="n">
        <v>0.0178</v>
      </c>
      <c r="U2428" s="172" t="n"/>
      <c r="V2428" s="172" t="n"/>
      <c r="W2428" s="175" t="n">
        <v>0.0178</v>
      </c>
      <c r="X2428" s="172" t="inlineStr">
        <is>
          <t>南京银行</t>
        </is>
      </c>
      <c r="Y2428" s="191" t="n">
        <v>1.22</v>
      </c>
    </row>
    <row r="2429">
      <c r="A2429" s="172" t="n">
        <v>133</v>
      </c>
      <c r="B2429" s="173" t="inlineStr">
        <is>
          <t>8月</t>
        </is>
      </c>
      <c r="C2429" s="173" t="inlineStr">
        <is>
          <t>消金</t>
        </is>
      </c>
      <c r="D2429" s="173" t="inlineStr">
        <is>
          <t>赊销白条</t>
        </is>
      </c>
      <c r="E2429" s="173" t="inlineStr">
        <is>
          <t>26东裕9号一期</t>
        </is>
      </c>
      <c r="F2429" s="173" t="inlineStr">
        <is>
          <t>银行间</t>
        </is>
      </c>
      <c r="G2429" s="173" t="inlineStr">
        <is>
          <t>中信证券</t>
        </is>
      </c>
      <c r="H2429" s="173" t="inlineStr">
        <is>
          <t>南京银行/中信建投/兴业证券/国泰海通</t>
        </is>
      </c>
      <c r="I2429" s="173" t="inlineStr">
        <is>
          <t>兴业北分</t>
        </is>
      </c>
      <c r="J2429" s="172" t="n">
        <v>20</v>
      </c>
      <c r="K2429" s="173" t="inlineStr">
        <is>
          <t>22+2</t>
        </is>
      </c>
      <c r="L2429" s="202" t="n">
        <v>46255</v>
      </c>
      <c r="M2429" s="175" t="n">
        <v>0.014692</v>
      </c>
      <c r="N2429" s="176" t="n">
        <v>0.0201</v>
      </c>
      <c r="O2429" s="191" t="n">
        <v>1.73</v>
      </c>
      <c r="P2429" s="172" t="inlineStr">
        <is>
          <t>优先A</t>
        </is>
      </c>
      <c r="Q2429" s="178" t="n">
        <v>0.87</v>
      </c>
      <c r="R2429" s="179" t="n">
        <v>8.699999999999999</v>
      </c>
      <c r="S2429" s="177" t="inlineStr">
        <is>
          <t>AAA</t>
        </is>
      </c>
      <c r="T2429" s="178" t="n">
        <v>0.0178</v>
      </c>
      <c r="U2429" s="177" t="inlineStr">
        <is>
          <t>中信建投固收投顾</t>
        </is>
      </c>
      <c r="V2429" s="192" t="n">
        <v>1.5</v>
      </c>
      <c r="W2429" s="175" t="n">
        <v>0.0178</v>
      </c>
      <c r="X2429" s="172" t="inlineStr">
        <is>
          <t>中信建投（投行上报）</t>
        </is>
      </c>
      <c r="Y2429" s="191" t="n">
        <v>0.33</v>
      </c>
    </row>
    <row r="2430">
      <c r="A2430" s="172" t="n">
        <v>133</v>
      </c>
      <c r="B2430" s="173" t="inlineStr">
        <is>
          <t>8月</t>
        </is>
      </c>
      <c r="C2430" s="173" t="inlineStr">
        <is>
          <t>消金</t>
        </is>
      </c>
      <c r="D2430" s="173" t="inlineStr">
        <is>
          <t>赊销白条</t>
        </is>
      </c>
      <c r="E2430" s="173" t="inlineStr">
        <is>
          <t>26东裕9号一期</t>
        </is>
      </c>
      <c r="F2430" s="173" t="inlineStr">
        <is>
          <t>银行间</t>
        </is>
      </c>
      <c r="G2430" s="173" t="inlineStr">
        <is>
          <t>中信证券</t>
        </is>
      </c>
      <c r="H2430" s="173" t="inlineStr">
        <is>
          <t>南京银行/中信建投/兴业证券/国泰海通</t>
        </is>
      </c>
      <c r="I2430" s="173" t="inlineStr">
        <is>
          <t>兴业北分</t>
        </is>
      </c>
      <c r="J2430" s="172" t="n">
        <v>20</v>
      </c>
      <c r="K2430" s="173" t="inlineStr">
        <is>
          <t>22+2</t>
        </is>
      </c>
      <c r="L2430" s="202" t="n">
        <v>46255</v>
      </c>
      <c r="M2430" s="175" t="n">
        <v>0.014692</v>
      </c>
      <c r="N2430" s="176" t="n">
        <v>0.0201</v>
      </c>
      <c r="O2430" s="191" t="n">
        <v>1.73</v>
      </c>
      <c r="P2430" s="172" t="inlineStr">
        <is>
          <t>优先A</t>
        </is>
      </c>
      <c r="Q2430" s="178" t="n">
        <v>0.87</v>
      </c>
      <c r="R2430" s="179" t="n">
        <v>8.699999999999999</v>
      </c>
      <c r="S2430" s="177" t="inlineStr">
        <is>
          <t>AAA</t>
        </is>
      </c>
      <c r="T2430" s="178" t="n">
        <v>0.0178</v>
      </c>
      <c r="U2430" s="177" t="inlineStr">
        <is>
          <t>中金自营</t>
        </is>
      </c>
      <c r="V2430" s="192" t="n">
        <v>1</v>
      </c>
      <c r="W2430" s="172" t="n"/>
      <c r="X2430" s="172" t="n"/>
      <c r="Y2430" s="172" t="n"/>
    </row>
    <row r="2431">
      <c r="A2431" s="172" t="n">
        <v>133</v>
      </c>
      <c r="B2431" s="173" t="inlineStr">
        <is>
          <t>8月</t>
        </is>
      </c>
      <c r="C2431" s="173" t="inlineStr">
        <is>
          <t>消金</t>
        </is>
      </c>
      <c r="D2431" s="173" t="inlineStr">
        <is>
          <t>赊销白条</t>
        </is>
      </c>
      <c r="E2431" s="173" t="inlineStr">
        <is>
          <t>26东裕9号一期</t>
        </is>
      </c>
      <c r="F2431" s="173" t="inlineStr">
        <is>
          <t>银行间</t>
        </is>
      </c>
      <c r="G2431" s="173" t="inlineStr">
        <is>
          <t>中信证券</t>
        </is>
      </c>
      <c r="H2431" s="173" t="inlineStr">
        <is>
          <t>南京银行/中信建投/兴业证券/国泰海通</t>
        </is>
      </c>
      <c r="I2431" s="173" t="inlineStr">
        <is>
          <t>兴业北分</t>
        </is>
      </c>
      <c r="J2431" s="172" t="n">
        <v>20</v>
      </c>
      <c r="K2431" s="173" t="inlineStr">
        <is>
          <t>22+2</t>
        </is>
      </c>
      <c r="L2431" s="202" t="n">
        <v>46255</v>
      </c>
      <c r="M2431" s="175" t="n">
        <v>0.014692</v>
      </c>
      <c r="N2431" s="176" t="n">
        <v>0.0201</v>
      </c>
      <c r="O2431" s="191" t="n">
        <v>1.73</v>
      </c>
      <c r="P2431" s="172" t="inlineStr">
        <is>
          <t>优先A</t>
        </is>
      </c>
      <c r="Q2431" s="178" t="n">
        <v>0.87</v>
      </c>
      <c r="R2431" s="179" t="n">
        <v>8.699999999999999</v>
      </c>
      <c r="S2431" s="177" t="inlineStr">
        <is>
          <t>AAA</t>
        </is>
      </c>
      <c r="T2431" s="178" t="n">
        <v>0.0178</v>
      </c>
      <c r="U2431" s="177" t="inlineStr">
        <is>
          <t>建信信托</t>
        </is>
      </c>
      <c r="V2431" s="192" t="n">
        <v>0.8</v>
      </c>
      <c r="W2431" s="175" t="n">
        <v>0.0178</v>
      </c>
      <c r="X2431" s="172" t="inlineStr">
        <is>
          <t>建信信托</t>
        </is>
      </c>
      <c r="Y2431" s="191" t="n">
        <v>0.8</v>
      </c>
    </row>
    <row r="2432">
      <c r="A2432" s="172" t="n">
        <v>133</v>
      </c>
      <c r="B2432" s="173" t="inlineStr">
        <is>
          <t>8月</t>
        </is>
      </c>
      <c r="C2432" s="173" t="inlineStr">
        <is>
          <t>消金</t>
        </is>
      </c>
      <c r="D2432" s="173" t="inlineStr">
        <is>
          <t>赊销白条</t>
        </is>
      </c>
      <c r="E2432" s="173" t="inlineStr">
        <is>
          <t>26东裕9号一期</t>
        </is>
      </c>
      <c r="F2432" s="173" t="inlineStr">
        <is>
          <t>银行间</t>
        </is>
      </c>
      <c r="G2432" s="173" t="inlineStr">
        <is>
          <t>中信证券</t>
        </is>
      </c>
      <c r="H2432" s="173" t="inlineStr">
        <is>
          <t>南京银行/中信建投/兴业证券/国泰海通</t>
        </is>
      </c>
      <c r="I2432" s="173" t="inlineStr">
        <is>
          <t>兴业北分</t>
        </is>
      </c>
      <c r="J2432" s="172" t="n">
        <v>20</v>
      </c>
      <c r="K2432" s="173" t="inlineStr">
        <is>
          <t>22+2</t>
        </is>
      </c>
      <c r="L2432" s="202" t="n">
        <v>46255</v>
      </c>
      <c r="M2432" s="175" t="n">
        <v>0.014692</v>
      </c>
      <c r="N2432" s="176" t="n">
        <v>0.0201</v>
      </c>
      <c r="O2432" s="191" t="n">
        <v>1.73</v>
      </c>
      <c r="P2432" s="172" t="inlineStr">
        <is>
          <t>优先A</t>
        </is>
      </c>
      <c r="Q2432" s="178" t="n">
        <v>0.87</v>
      </c>
      <c r="R2432" s="179" t="n">
        <v>8.699999999999999</v>
      </c>
      <c r="S2432" s="177" t="inlineStr">
        <is>
          <t>AAA</t>
        </is>
      </c>
      <c r="T2432" s="178" t="n">
        <v>0.0178</v>
      </c>
      <c r="U2432" s="177" t="inlineStr">
        <is>
          <t>中信证券投行</t>
        </is>
      </c>
      <c r="V2432" s="192" t="n">
        <v>0.4</v>
      </c>
      <c r="W2432" s="175" t="n">
        <v>0.0178</v>
      </c>
      <c r="X2432" s="172" t="inlineStr">
        <is>
          <t>中信证券（投行上报）</t>
        </is>
      </c>
      <c r="Y2432" s="191" t="n">
        <v>0.4</v>
      </c>
    </row>
    <row r="2433">
      <c r="A2433" s="172" t="n">
        <v>133</v>
      </c>
      <c r="B2433" s="172" t="inlineStr">
        <is>
          <t>8月</t>
        </is>
      </c>
      <c r="C2433" s="172" t="inlineStr">
        <is>
          <t>消金</t>
        </is>
      </c>
      <c r="D2433" s="172" t="inlineStr">
        <is>
          <t>赊销白条</t>
        </is>
      </c>
      <c r="E2433" s="172" t="inlineStr">
        <is>
          <t>26东裕9号一期</t>
        </is>
      </c>
      <c r="F2433" s="172" t="inlineStr">
        <is>
          <t>银行间</t>
        </is>
      </c>
      <c r="G2433" s="172" t="inlineStr">
        <is>
          <t>中信证券</t>
        </is>
      </c>
      <c r="H2433" s="172" t="inlineStr">
        <is>
          <t>南京银行/中信建投/兴业证券/国泰海通</t>
        </is>
      </c>
      <c r="I2433" s="172" t="inlineStr">
        <is>
          <t>兴业北分</t>
        </is>
      </c>
      <c r="J2433" s="172" t="n">
        <v>20</v>
      </c>
      <c r="K2433" s="172" t="inlineStr">
        <is>
          <t>22+2</t>
        </is>
      </c>
      <c r="L2433" s="208" t="n">
        <v>46255</v>
      </c>
      <c r="M2433" s="175" t="n">
        <v>0.014692</v>
      </c>
      <c r="N2433" s="176" t="n">
        <v>0.0201</v>
      </c>
      <c r="O2433" s="172" t="n">
        <v>1.73</v>
      </c>
      <c r="P2433" s="172" t="inlineStr">
        <is>
          <t>优先A</t>
        </is>
      </c>
      <c r="Q2433" s="175" t="n">
        <v>0.87</v>
      </c>
      <c r="R2433" s="192" t="n">
        <v>8.699999999999999</v>
      </c>
      <c r="S2433" s="172" t="inlineStr">
        <is>
          <t>AAA</t>
        </is>
      </c>
      <c r="T2433" s="175" t="n">
        <v>0.0178</v>
      </c>
      <c r="U2433" s="172" t="n"/>
      <c r="V2433" s="172" t="n"/>
      <c r="W2433" s="175" t="n">
        <v>0.019</v>
      </c>
      <c r="X2433" s="172" t="inlineStr">
        <is>
          <t>中信证券（投行上报）</t>
        </is>
      </c>
      <c r="Y2433" s="191" t="n">
        <v>2.5</v>
      </c>
    </row>
    <row r="2434">
      <c r="A2434" s="172" t="n">
        <v>133</v>
      </c>
      <c r="B2434" s="173" t="inlineStr">
        <is>
          <t>8月</t>
        </is>
      </c>
      <c r="C2434" s="173" t="inlineStr">
        <is>
          <t>消金</t>
        </is>
      </c>
      <c r="D2434" s="173" t="inlineStr">
        <is>
          <t>赊销白条</t>
        </is>
      </c>
      <c r="E2434" s="173" t="inlineStr">
        <is>
          <t>26东裕9号一期</t>
        </is>
      </c>
      <c r="F2434" s="173" t="inlineStr">
        <is>
          <t>银行间</t>
        </is>
      </c>
      <c r="G2434" s="173" t="inlineStr">
        <is>
          <t>中信证券</t>
        </is>
      </c>
      <c r="H2434" s="173" t="inlineStr">
        <is>
          <t>南京银行/中信建投/兴业证券/国泰海通</t>
        </is>
      </c>
      <c r="I2434" s="173" t="inlineStr">
        <is>
          <t>兴业北分</t>
        </is>
      </c>
      <c r="J2434" s="172" t="n">
        <v>20</v>
      </c>
      <c r="K2434" s="173" t="inlineStr">
        <is>
          <t>22+2</t>
        </is>
      </c>
      <c r="L2434" s="202" t="n">
        <v>46255</v>
      </c>
      <c r="M2434" s="175" t="n">
        <v>0.014692</v>
      </c>
      <c r="N2434" s="176" t="n">
        <v>0.0201</v>
      </c>
      <c r="O2434" s="191" t="n">
        <v>1.73</v>
      </c>
      <c r="P2434" s="172" t="inlineStr">
        <is>
          <t>优先A</t>
        </is>
      </c>
      <c r="Q2434" s="178" t="n">
        <v>0.87</v>
      </c>
      <c r="R2434" s="179" t="n">
        <v>8.699999999999999</v>
      </c>
      <c r="S2434" s="177" t="inlineStr">
        <is>
          <t>AAA</t>
        </is>
      </c>
      <c r="T2434" s="178" t="n">
        <v>0.0178</v>
      </c>
      <c r="U2434" s="177" t="inlineStr">
        <is>
          <t>中信建投投行</t>
        </is>
      </c>
      <c r="V2434" s="192" t="n">
        <v>0.33</v>
      </c>
      <c r="W2434" s="172" t="n"/>
      <c r="X2434" s="172" t="n"/>
      <c r="Y2434" s="172" t="n"/>
    </row>
    <row r="2435">
      <c r="A2435" s="172" t="n">
        <v>133</v>
      </c>
      <c r="B2435" s="173" t="inlineStr">
        <is>
          <t>8月</t>
        </is>
      </c>
      <c r="C2435" s="173" t="inlineStr">
        <is>
          <t>消金</t>
        </is>
      </c>
      <c r="D2435" s="173" t="inlineStr">
        <is>
          <t>赊销白条</t>
        </is>
      </c>
      <c r="E2435" s="173" t="inlineStr">
        <is>
          <t>26东裕9号一期</t>
        </is>
      </c>
      <c r="F2435" s="173" t="inlineStr">
        <is>
          <t>银行间</t>
        </is>
      </c>
      <c r="G2435" s="173" t="inlineStr">
        <is>
          <t>中信证券</t>
        </is>
      </c>
      <c r="H2435" s="173" t="inlineStr">
        <is>
          <t>南京银行/中信建投/兴业证券/国泰海通</t>
        </is>
      </c>
      <c r="I2435" s="173" t="inlineStr">
        <is>
          <t>兴业北分</t>
        </is>
      </c>
      <c r="J2435" s="172" t="n">
        <v>20</v>
      </c>
      <c r="K2435" s="173" t="inlineStr">
        <is>
          <t>22+2</t>
        </is>
      </c>
      <c r="L2435" s="202" t="n">
        <v>46255</v>
      </c>
      <c r="M2435" s="175" t="n">
        <v>0.014692</v>
      </c>
      <c r="N2435" s="176" t="n">
        <v>0.0201</v>
      </c>
      <c r="O2435" s="191" t="n">
        <v>1.73</v>
      </c>
      <c r="P2435" s="172" t="inlineStr">
        <is>
          <t>优先A</t>
        </is>
      </c>
      <c r="Q2435" s="178" t="n">
        <v>0.87</v>
      </c>
      <c r="R2435" s="179" t="n">
        <v>8.699999999999999</v>
      </c>
      <c r="S2435" s="177" t="inlineStr">
        <is>
          <t>AAA</t>
        </is>
      </c>
      <c r="T2435" s="178" t="n">
        <v>0.0178</v>
      </c>
      <c r="U2435" s="177" t="inlineStr">
        <is>
          <t>国泰海通投行</t>
        </is>
      </c>
      <c r="V2435" s="192" t="n">
        <v>0.33</v>
      </c>
      <c r="W2435" s="175" t="n">
        <v>0.0177</v>
      </c>
      <c r="X2435" s="172" t="inlineStr">
        <is>
          <t>国泰海通（投行上报）</t>
        </is>
      </c>
      <c r="Y2435" s="191" t="n">
        <v>0.33</v>
      </c>
    </row>
    <row r="2436">
      <c r="A2436" s="172" t="n">
        <v>133</v>
      </c>
      <c r="B2436" s="173" t="inlineStr">
        <is>
          <t>8月</t>
        </is>
      </c>
      <c r="C2436" s="173" t="inlineStr">
        <is>
          <t>消金</t>
        </is>
      </c>
      <c r="D2436" s="173" t="inlineStr">
        <is>
          <t>赊销白条</t>
        </is>
      </c>
      <c r="E2436" s="173" t="inlineStr">
        <is>
          <t>26东裕9号一期</t>
        </is>
      </c>
      <c r="F2436" s="173" t="inlineStr">
        <is>
          <t>银行间</t>
        </is>
      </c>
      <c r="G2436" s="173" t="inlineStr">
        <is>
          <t>中信证券</t>
        </is>
      </c>
      <c r="H2436" s="173" t="inlineStr">
        <is>
          <t>南京银行/中信建投/兴业证券/国泰海通</t>
        </is>
      </c>
      <c r="I2436" s="173" t="inlineStr">
        <is>
          <t>兴业北分</t>
        </is>
      </c>
      <c r="J2436" s="172" t="n">
        <v>20</v>
      </c>
      <c r="K2436" s="173" t="inlineStr">
        <is>
          <t>22+2</t>
        </is>
      </c>
      <c r="L2436" s="202" t="n">
        <v>46255</v>
      </c>
      <c r="M2436" s="175" t="n">
        <v>0.014692</v>
      </c>
      <c r="N2436" s="176" t="n">
        <v>0.0201</v>
      </c>
      <c r="O2436" s="191" t="n">
        <v>1.73</v>
      </c>
      <c r="P2436" s="172" t="inlineStr">
        <is>
          <t>优先A</t>
        </is>
      </c>
      <c r="Q2436" s="178" t="n">
        <v>0.87</v>
      </c>
      <c r="R2436" s="179" t="n">
        <v>8.699999999999999</v>
      </c>
      <c r="S2436" s="177" t="inlineStr">
        <is>
          <t>AAA</t>
        </is>
      </c>
      <c r="T2436" s="178" t="n">
        <v>0.0178</v>
      </c>
      <c r="U2436" s="177" t="inlineStr">
        <is>
          <t>兴业证券投行</t>
        </is>
      </c>
      <c r="V2436" s="192" t="n">
        <v>0.3</v>
      </c>
      <c r="W2436" s="175" t="n">
        <v>0.0178</v>
      </c>
      <c r="X2436" s="172" t="inlineStr">
        <is>
          <t>兴业证券（投行上报）</t>
        </is>
      </c>
      <c r="Y2436" s="191" t="n">
        <v>0.3</v>
      </c>
    </row>
    <row r="2437">
      <c r="A2437" s="172" t="n">
        <v>133</v>
      </c>
      <c r="B2437" s="173" t="inlineStr">
        <is>
          <t>8月</t>
        </is>
      </c>
      <c r="C2437" s="173" t="inlineStr">
        <is>
          <t>消金</t>
        </is>
      </c>
      <c r="D2437" s="173" t="inlineStr">
        <is>
          <t>赊销白条</t>
        </is>
      </c>
      <c r="E2437" s="173" t="inlineStr">
        <is>
          <t>26东裕9号一期</t>
        </is>
      </c>
      <c r="F2437" s="173" t="inlineStr">
        <is>
          <t>银行间</t>
        </is>
      </c>
      <c r="G2437" s="173" t="inlineStr">
        <is>
          <t>中信证券</t>
        </is>
      </c>
      <c r="H2437" s="173" t="inlineStr">
        <is>
          <t>南京银行/中信建投/兴业证券/国泰海通</t>
        </is>
      </c>
      <c r="I2437" s="173" t="inlineStr">
        <is>
          <t>兴业北分</t>
        </is>
      </c>
      <c r="J2437" s="172" t="n">
        <v>20</v>
      </c>
      <c r="K2437" s="173" t="inlineStr">
        <is>
          <t>22+2</t>
        </is>
      </c>
      <c r="L2437" s="202" t="n">
        <v>46255</v>
      </c>
      <c r="M2437" s="175" t="n">
        <v>0.014692</v>
      </c>
      <c r="N2437" s="176" t="n">
        <v>0.0201</v>
      </c>
      <c r="O2437" s="191" t="n">
        <v>1.73</v>
      </c>
      <c r="P2437" s="172" t="inlineStr">
        <is>
          <t>优先A</t>
        </is>
      </c>
      <c r="Q2437" s="178" t="n">
        <v>0.87</v>
      </c>
      <c r="R2437" s="179" t="n">
        <v>8.699999999999999</v>
      </c>
      <c r="S2437" s="177" t="inlineStr">
        <is>
          <t>AAA</t>
        </is>
      </c>
      <c r="T2437" s="178" t="n">
        <v>0.0178</v>
      </c>
      <c r="U2437" s="177" t="inlineStr">
        <is>
          <t>远行基金</t>
        </is>
      </c>
      <c r="V2437" s="192" t="n">
        <v>0.1</v>
      </c>
      <c r="W2437" s="172" t="n"/>
      <c r="X2437" s="172" t="n"/>
      <c r="Y2437" s="172" t="n"/>
    </row>
    <row r="2438">
      <c r="A2438" s="172" t="n">
        <v>133</v>
      </c>
      <c r="B2438" s="172" t="inlineStr">
        <is>
          <t>8月</t>
        </is>
      </c>
      <c r="C2438" s="172" t="inlineStr">
        <is>
          <t>消金</t>
        </is>
      </c>
      <c r="D2438" s="172" t="inlineStr">
        <is>
          <t>赊销白条</t>
        </is>
      </c>
      <c r="E2438" s="172" t="inlineStr">
        <is>
          <t>26东裕9号一期</t>
        </is>
      </c>
      <c r="F2438" s="172" t="inlineStr">
        <is>
          <t>银行间</t>
        </is>
      </c>
      <c r="G2438" s="172" t="inlineStr">
        <is>
          <t>中信证券</t>
        </is>
      </c>
      <c r="H2438" s="172" t="inlineStr">
        <is>
          <t>南京银行/中信建投/兴业证券/国泰海通</t>
        </is>
      </c>
      <c r="I2438" s="172" t="inlineStr">
        <is>
          <t>兴业北分</t>
        </is>
      </c>
      <c r="J2438" s="172" t="n">
        <v>20</v>
      </c>
      <c r="K2438" s="172" t="inlineStr">
        <is>
          <t>22+2</t>
        </is>
      </c>
      <c r="L2438" s="208" t="n">
        <v>46255</v>
      </c>
      <c r="M2438" s="175" t="n">
        <v>0.014692</v>
      </c>
      <c r="N2438" s="176" t="n">
        <v>0.0201</v>
      </c>
      <c r="O2438" s="172" t="n">
        <v>1.73</v>
      </c>
      <c r="P2438" s="172" t="inlineStr">
        <is>
          <t>优先A</t>
        </is>
      </c>
      <c r="Q2438" s="175" t="n">
        <v>0.87</v>
      </c>
      <c r="R2438" s="192" t="n">
        <v>8.699999999999999</v>
      </c>
      <c r="S2438" s="172" t="inlineStr">
        <is>
          <t>AAA</t>
        </is>
      </c>
      <c r="T2438" s="175" t="n">
        <v>0.0178</v>
      </c>
      <c r="U2438" s="172" t="n"/>
      <c r="V2438" s="172" t="n"/>
      <c r="W2438" s="175" t="n">
        <v>0.0175</v>
      </c>
      <c r="X2438" s="172" t="inlineStr">
        <is>
          <t>上海远行私募</t>
        </is>
      </c>
      <c r="Y2438" s="191" t="n">
        <v>0.1</v>
      </c>
    </row>
    <row r="2439">
      <c r="A2439" s="172" t="n">
        <v>133</v>
      </c>
      <c r="B2439" s="172" t="inlineStr">
        <is>
          <t>8月</t>
        </is>
      </c>
      <c r="C2439" s="172" t="inlineStr">
        <is>
          <t>消金</t>
        </is>
      </c>
      <c r="D2439" s="172" t="inlineStr">
        <is>
          <t>赊销白条</t>
        </is>
      </c>
      <c r="E2439" s="172" t="inlineStr">
        <is>
          <t>26东裕9号一期</t>
        </is>
      </c>
      <c r="F2439" s="172" t="inlineStr">
        <is>
          <t>银行间</t>
        </is>
      </c>
      <c r="G2439" s="172" t="inlineStr">
        <is>
          <t>中信证券</t>
        </is>
      </c>
      <c r="H2439" s="172" t="inlineStr">
        <is>
          <t>南京银行/中信建投/兴业证券/国泰海通</t>
        </is>
      </c>
      <c r="I2439" s="172" t="inlineStr">
        <is>
          <t>兴业北分</t>
        </is>
      </c>
      <c r="J2439" s="172" t="n">
        <v>20</v>
      </c>
      <c r="K2439" s="172" t="inlineStr">
        <is>
          <t>22+2</t>
        </is>
      </c>
      <c r="L2439" s="208" t="n">
        <v>46255</v>
      </c>
      <c r="M2439" s="175" t="n">
        <v>0.014692</v>
      </c>
      <c r="N2439" s="176" t="n">
        <v>0.0201</v>
      </c>
      <c r="O2439" s="172" t="n">
        <v>1.73</v>
      </c>
      <c r="P2439" s="172" t="inlineStr">
        <is>
          <t>优先A</t>
        </is>
      </c>
      <c r="Q2439" s="175" t="n">
        <v>0.87</v>
      </c>
      <c r="R2439" s="192" t="n">
        <v>8.699999999999999</v>
      </c>
      <c r="S2439" s="172" t="inlineStr">
        <is>
          <t>AAA</t>
        </is>
      </c>
      <c r="T2439" s="175" t="n">
        <v>0.0178</v>
      </c>
      <c r="U2439" s="172" t="n"/>
      <c r="V2439" s="172" t="n"/>
      <c r="W2439" s="175" t="n">
        <v>0.0175</v>
      </c>
      <c r="X2439" s="172" t="inlineStr">
        <is>
          <t>中金公司（固定收益部）</t>
        </is>
      </c>
      <c r="Y2439" s="191" t="n">
        <v>1</v>
      </c>
    </row>
    <row r="2440">
      <c r="A2440" s="172" t="n">
        <v>133</v>
      </c>
      <c r="B2440" s="172" t="inlineStr">
        <is>
          <t>8月</t>
        </is>
      </c>
      <c r="C2440" s="172" t="inlineStr">
        <is>
          <t>消金</t>
        </is>
      </c>
      <c r="D2440" s="172" t="inlineStr">
        <is>
          <t>赊销白条</t>
        </is>
      </c>
      <c r="E2440" s="172" t="inlineStr">
        <is>
          <t>26东裕9号一期</t>
        </is>
      </c>
      <c r="F2440" s="172" t="inlineStr">
        <is>
          <t>银行间</t>
        </is>
      </c>
      <c r="G2440" s="172" t="inlineStr">
        <is>
          <t>中信证券</t>
        </is>
      </c>
      <c r="H2440" s="172" t="inlineStr">
        <is>
          <t>南京银行/中信建投/兴业证券/国泰海通</t>
        </is>
      </c>
      <c r="I2440" s="172" t="inlineStr">
        <is>
          <t>兴业北分</t>
        </is>
      </c>
      <c r="J2440" s="172" t="n">
        <v>20</v>
      </c>
      <c r="K2440" s="172" t="inlineStr">
        <is>
          <t>22+2</t>
        </is>
      </c>
      <c r="L2440" s="208" t="n">
        <v>46255</v>
      </c>
      <c r="M2440" s="175" t="n">
        <v>0.014692</v>
      </c>
      <c r="N2440" s="176" t="n">
        <v>0.0201</v>
      </c>
      <c r="O2440" s="172" t="n">
        <v>1.73</v>
      </c>
      <c r="P2440" s="172" t="inlineStr">
        <is>
          <t>优先A</t>
        </is>
      </c>
      <c r="Q2440" s="175" t="n">
        <v>0.87</v>
      </c>
      <c r="R2440" s="192" t="n">
        <v>8.699999999999999</v>
      </c>
      <c r="S2440" s="172" t="inlineStr">
        <is>
          <t>AAA</t>
        </is>
      </c>
      <c r="T2440" s="175" t="n">
        <v>0.0178</v>
      </c>
      <c r="U2440" s="172" t="n"/>
      <c r="V2440" s="172" t="n"/>
      <c r="W2440" s="175" t="n">
        <v>0.0175</v>
      </c>
      <c r="X2440" s="172" t="inlineStr">
        <is>
          <t>中信建投（固收投顾）</t>
        </is>
      </c>
      <c r="Y2440" s="191" t="n">
        <v>1.5</v>
      </c>
    </row>
    <row r="2441">
      <c r="A2441" s="172" t="n">
        <v>133</v>
      </c>
      <c r="B2441" s="172" t="inlineStr">
        <is>
          <t>8月</t>
        </is>
      </c>
      <c r="C2441" s="172" t="inlineStr">
        <is>
          <t>消金</t>
        </is>
      </c>
      <c r="D2441" s="172" t="inlineStr">
        <is>
          <t>赊销白条</t>
        </is>
      </c>
      <c r="E2441" s="172" t="inlineStr">
        <is>
          <t>26东裕9号一期</t>
        </is>
      </c>
      <c r="F2441" s="172" t="inlineStr">
        <is>
          <t>银行间</t>
        </is>
      </c>
      <c r="G2441" s="172" t="inlineStr">
        <is>
          <t>中信证券</t>
        </is>
      </c>
      <c r="H2441" s="172" t="inlineStr">
        <is>
          <t>南京银行/中信建投/兴业证券/国泰海通</t>
        </is>
      </c>
      <c r="I2441" s="172" t="inlineStr">
        <is>
          <t>兴业北分</t>
        </is>
      </c>
      <c r="J2441" s="172" t="n">
        <v>20</v>
      </c>
      <c r="K2441" s="172" t="inlineStr">
        <is>
          <t>22+2</t>
        </is>
      </c>
      <c r="L2441" s="208" t="n">
        <v>46255</v>
      </c>
      <c r="M2441" s="175" t="n">
        <v>0.014692</v>
      </c>
      <c r="N2441" s="176" t="n">
        <v>0.0201</v>
      </c>
      <c r="O2441" s="172" t="n">
        <v>1.73</v>
      </c>
      <c r="P2441" s="172" t="inlineStr">
        <is>
          <t>优先A</t>
        </is>
      </c>
      <c r="Q2441" s="175" t="n">
        <v>0.87</v>
      </c>
      <c r="R2441" s="192" t="n">
        <v>8.699999999999999</v>
      </c>
      <c r="S2441" s="172" t="inlineStr">
        <is>
          <t>AAA</t>
        </is>
      </c>
      <c r="T2441" s="175" t="n">
        <v>0.0178</v>
      </c>
      <c r="U2441" s="172" t="n"/>
      <c r="V2441" s="172" t="n"/>
      <c r="W2441" s="175" t="n">
        <v>0.018</v>
      </c>
      <c r="X2441" s="172" t="inlineStr">
        <is>
          <t>兴银理财</t>
        </is>
      </c>
      <c r="Y2441" s="191" t="n">
        <v>1.7</v>
      </c>
    </row>
    <row r="2442">
      <c r="A2442" s="172" t="n">
        <v>133</v>
      </c>
      <c r="B2442" s="172" t="inlineStr">
        <is>
          <t>8月</t>
        </is>
      </c>
      <c r="C2442" s="172" t="inlineStr">
        <is>
          <t>消金</t>
        </is>
      </c>
      <c r="D2442" s="172" t="inlineStr">
        <is>
          <t>赊销白条</t>
        </is>
      </c>
      <c r="E2442" s="172" t="inlineStr">
        <is>
          <t>26东裕9号一期</t>
        </is>
      </c>
      <c r="F2442" s="172" t="inlineStr">
        <is>
          <t>银行间</t>
        </is>
      </c>
      <c r="G2442" s="172" t="inlineStr">
        <is>
          <t>中信证券</t>
        </is>
      </c>
      <c r="H2442" s="172" t="inlineStr">
        <is>
          <t>南京银行/中信建投/兴业证券/国泰海通</t>
        </is>
      </c>
      <c r="I2442" s="172" t="inlineStr">
        <is>
          <t>兴业北分</t>
        </is>
      </c>
      <c r="J2442" s="172" t="n">
        <v>20</v>
      </c>
      <c r="K2442" s="172" t="inlineStr">
        <is>
          <t>22+2</t>
        </is>
      </c>
      <c r="L2442" s="208" t="n">
        <v>46255</v>
      </c>
      <c r="M2442" s="175" t="n">
        <v>0.014692</v>
      </c>
      <c r="N2442" s="176" t="n">
        <v>0.0201</v>
      </c>
      <c r="O2442" s="172" t="n">
        <v>1.73</v>
      </c>
      <c r="P2442" s="172" t="inlineStr">
        <is>
          <t>优先A</t>
        </is>
      </c>
      <c r="Q2442" s="175" t="n">
        <v>0.87</v>
      </c>
      <c r="R2442" s="192" t="n">
        <v>8.699999999999999</v>
      </c>
      <c r="S2442" s="172" t="inlineStr">
        <is>
          <t>AAA</t>
        </is>
      </c>
      <c r="T2442" s="175" t="n">
        <v>0.0178</v>
      </c>
      <c r="U2442" s="172" t="n"/>
      <c r="V2442" s="172" t="n"/>
      <c r="W2442" s="175" t="n">
        <v>0.018</v>
      </c>
      <c r="X2442" s="172" t="inlineStr">
        <is>
          <t>中邮理财</t>
        </is>
      </c>
      <c r="Y2442" s="191" t="n">
        <v>4</v>
      </c>
    </row>
    <row r="2443">
      <c r="A2443" s="172" t="n">
        <v>133</v>
      </c>
      <c r="B2443" s="172" t="inlineStr">
        <is>
          <t>8月</t>
        </is>
      </c>
      <c r="C2443" s="172" t="inlineStr">
        <is>
          <t>消金</t>
        </is>
      </c>
      <c r="D2443" s="172" t="inlineStr">
        <is>
          <t>赊销白条</t>
        </is>
      </c>
      <c r="E2443" s="172" t="inlineStr">
        <is>
          <t>26东裕9号一期</t>
        </is>
      </c>
      <c r="F2443" s="172" t="inlineStr">
        <is>
          <t>银行间</t>
        </is>
      </c>
      <c r="G2443" s="172" t="inlineStr">
        <is>
          <t>中信证券</t>
        </is>
      </c>
      <c r="H2443" s="172" t="inlineStr">
        <is>
          <t>南京银行/中信建投/兴业证券/国泰海通</t>
        </is>
      </c>
      <c r="I2443" s="172" t="inlineStr">
        <is>
          <t>兴业北分</t>
        </is>
      </c>
      <c r="J2443" s="172" t="n">
        <v>20</v>
      </c>
      <c r="K2443" s="172" t="inlineStr">
        <is>
          <t>22+2</t>
        </is>
      </c>
      <c r="L2443" s="208" t="n">
        <v>46255</v>
      </c>
      <c r="M2443" s="175" t="n">
        <v>0.014692</v>
      </c>
      <c r="N2443" s="176" t="n">
        <v>0.0201</v>
      </c>
      <c r="O2443" s="172" t="n">
        <v>1.73</v>
      </c>
      <c r="P2443" s="172" t="inlineStr">
        <is>
          <t>优先A</t>
        </is>
      </c>
      <c r="Q2443" s="175" t="n">
        <v>0.87</v>
      </c>
      <c r="R2443" s="192" t="n">
        <v>8.699999999999999</v>
      </c>
      <c r="S2443" s="172" t="inlineStr">
        <is>
          <t>AAA</t>
        </is>
      </c>
      <c r="T2443" s="175" t="n">
        <v>0.0178</v>
      </c>
      <c r="U2443" s="172" t="n"/>
      <c r="V2443" s="172" t="n"/>
      <c r="W2443" s="175" t="n">
        <v>0.0196</v>
      </c>
      <c r="X2443" s="172" t="inlineStr">
        <is>
          <t>中邮理财</t>
        </is>
      </c>
      <c r="Y2443" s="191" t="n">
        <v>1</v>
      </c>
    </row>
    <row r="2444">
      <c r="A2444" s="172" t="n">
        <v>133</v>
      </c>
      <c r="B2444" s="172" t="inlineStr">
        <is>
          <t>8月</t>
        </is>
      </c>
      <c r="C2444" s="172" t="inlineStr">
        <is>
          <t>消金</t>
        </is>
      </c>
      <c r="D2444" s="172" t="inlineStr">
        <is>
          <t>赊销白条</t>
        </is>
      </c>
      <c r="E2444" s="172" t="inlineStr">
        <is>
          <t>26东裕9号一期</t>
        </is>
      </c>
      <c r="F2444" s="172" t="inlineStr">
        <is>
          <t>银行间</t>
        </is>
      </c>
      <c r="G2444" s="172" t="inlineStr">
        <is>
          <t>中信证券</t>
        </is>
      </c>
      <c r="H2444" s="172" t="inlineStr">
        <is>
          <t>南京银行/中信建投/兴业证券/国泰海通</t>
        </is>
      </c>
      <c r="I2444" s="172" t="inlineStr">
        <is>
          <t>兴业北分</t>
        </is>
      </c>
      <c r="J2444" s="172" t="n">
        <v>20</v>
      </c>
      <c r="K2444" s="172" t="inlineStr">
        <is>
          <t>22+2</t>
        </is>
      </c>
      <c r="L2444" s="208" t="n">
        <v>46255</v>
      </c>
      <c r="M2444" s="175" t="n">
        <v>0.014692</v>
      </c>
      <c r="N2444" s="176" t="n">
        <v>0.0201</v>
      </c>
      <c r="O2444" s="172" t="n">
        <v>1.73</v>
      </c>
      <c r="P2444" s="172" t="inlineStr">
        <is>
          <t>优先A</t>
        </is>
      </c>
      <c r="Q2444" s="175" t="n">
        <v>0.87</v>
      </c>
      <c r="R2444" s="192" t="n">
        <v>8.699999999999999</v>
      </c>
      <c r="S2444" s="172" t="inlineStr">
        <is>
          <t>AAA</t>
        </is>
      </c>
      <c r="T2444" s="175" t="n">
        <v>0.0178</v>
      </c>
      <c r="U2444" s="172" t="n"/>
      <c r="V2444" s="172" t="n"/>
      <c r="W2444" s="175" t="n">
        <v>0.0206</v>
      </c>
      <c r="X2444" s="172" t="inlineStr">
        <is>
          <t>中邮理财</t>
        </is>
      </c>
      <c r="Y2444" s="191" t="n">
        <v>0.22</v>
      </c>
    </row>
    <row r="2445">
      <c r="A2445" s="172" t="n">
        <v>133</v>
      </c>
      <c r="B2445" s="172" t="inlineStr">
        <is>
          <t>8月</t>
        </is>
      </c>
      <c r="C2445" s="172" t="inlineStr">
        <is>
          <t>消金</t>
        </is>
      </c>
      <c r="D2445" s="172" t="inlineStr">
        <is>
          <t>赊销白条</t>
        </is>
      </c>
      <c r="E2445" s="172" t="inlineStr">
        <is>
          <t>26东裕9号一期</t>
        </is>
      </c>
      <c r="F2445" s="172" t="inlineStr">
        <is>
          <t>银行间</t>
        </is>
      </c>
      <c r="G2445" s="172" t="inlineStr">
        <is>
          <t>中信证券</t>
        </is>
      </c>
      <c r="H2445" s="172" t="inlineStr">
        <is>
          <t>南京银行/中信建投/兴业证券/国泰海通</t>
        </is>
      </c>
      <c r="I2445" s="172" t="inlineStr">
        <is>
          <t>兴业北分</t>
        </is>
      </c>
      <c r="J2445" s="172" t="n">
        <v>20</v>
      </c>
      <c r="K2445" s="172" t="inlineStr">
        <is>
          <t>22+2</t>
        </is>
      </c>
      <c r="L2445" s="208" t="n">
        <v>46255</v>
      </c>
      <c r="M2445" s="175" t="n">
        <v>0.014692</v>
      </c>
      <c r="N2445" s="176" t="n">
        <v>0.0201</v>
      </c>
      <c r="O2445" s="172" t="n">
        <v>1.73</v>
      </c>
      <c r="P2445" s="172" t="inlineStr">
        <is>
          <t>优先A</t>
        </is>
      </c>
      <c r="Q2445" s="175" t="n">
        <v>0.87</v>
      </c>
      <c r="R2445" s="192" t="n">
        <v>8.699999999999999</v>
      </c>
      <c r="S2445" s="172" t="inlineStr">
        <is>
          <t>AAA</t>
        </is>
      </c>
      <c r="T2445" s="175" t="n">
        <v>0.0178</v>
      </c>
      <c r="U2445" s="172" t="n"/>
      <c r="V2445" s="172" t="n"/>
      <c r="W2445" s="175" t="n">
        <v>0.018</v>
      </c>
      <c r="X2445" s="172" t="inlineStr">
        <is>
          <t>宝武财务</t>
        </is>
      </c>
      <c r="Y2445" s="191" t="n">
        <v>0.36</v>
      </c>
    </row>
    <row r="2446">
      <c r="A2446" s="172" t="n">
        <v>133</v>
      </c>
      <c r="B2446" s="172" t="inlineStr">
        <is>
          <t>8月</t>
        </is>
      </c>
      <c r="C2446" s="172" t="inlineStr">
        <is>
          <t>消金</t>
        </is>
      </c>
      <c r="D2446" s="172" t="inlineStr">
        <is>
          <t>赊销白条</t>
        </is>
      </c>
      <c r="E2446" s="172" t="inlineStr">
        <is>
          <t>26东裕9号一期</t>
        </is>
      </c>
      <c r="F2446" s="172" t="inlineStr">
        <is>
          <t>银行间</t>
        </is>
      </c>
      <c r="G2446" s="172" t="inlineStr">
        <is>
          <t>中信证券</t>
        </is>
      </c>
      <c r="H2446" s="172" t="inlineStr">
        <is>
          <t>南京银行/中信建投/兴业证券/国泰海通</t>
        </is>
      </c>
      <c r="I2446" s="172" t="inlineStr">
        <is>
          <t>兴业北分</t>
        </is>
      </c>
      <c r="J2446" s="172" t="n">
        <v>20</v>
      </c>
      <c r="K2446" s="172" t="inlineStr">
        <is>
          <t>22+2</t>
        </is>
      </c>
      <c r="L2446" s="208" t="n">
        <v>46255</v>
      </c>
      <c r="M2446" s="175" t="n">
        <v>0.014692</v>
      </c>
      <c r="N2446" s="176" t="n">
        <v>0.0201</v>
      </c>
      <c r="O2446" s="172" t="n">
        <v>1.73</v>
      </c>
      <c r="P2446" s="172" t="inlineStr">
        <is>
          <t>优先A</t>
        </is>
      </c>
      <c r="Q2446" s="175" t="n">
        <v>0.87</v>
      </c>
      <c r="R2446" s="192" t="n">
        <v>8.699999999999999</v>
      </c>
      <c r="S2446" s="172" t="inlineStr">
        <is>
          <t>AAA</t>
        </is>
      </c>
      <c r="T2446" s="175" t="n">
        <v>0.0178</v>
      </c>
      <c r="U2446" s="172" t="n"/>
      <c r="V2446" s="172" t="n"/>
      <c r="W2446" s="175" t="n">
        <v>0.02</v>
      </c>
      <c r="X2446" s="172" t="inlineStr">
        <is>
          <t>银河证券</t>
        </is>
      </c>
      <c r="Y2446" s="191" t="n">
        <v>0.5</v>
      </c>
    </row>
    <row r="2447">
      <c r="A2447" s="172" t="n">
        <v>133</v>
      </c>
      <c r="B2447" s="172" t="inlineStr">
        <is>
          <t>8月</t>
        </is>
      </c>
      <c r="C2447" s="172" t="inlineStr">
        <is>
          <t>消金</t>
        </is>
      </c>
      <c r="D2447" s="172" t="inlineStr">
        <is>
          <t>赊销白条</t>
        </is>
      </c>
      <c r="E2447" s="172" t="inlineStr">
        <is>
          <t>26东裕9号一期</t>
        </is>
      </c>
      <c r="F2447" s="172" t="inlineStr">
        <is>
          <t>银行间</t>
        </is>
      </c>
      <c r="G2447" s="172" t="inlineStr">
        <is>
          <t>中信证券</t>
        </is>
      </c>
      <c r="H2447" s="172" t="inlineStr">
        <is>
          <t>南京银行/中信建投/兴业证券/国泰海通</t>
        </is>
      </c>
      <c r="I2447" s="172" t="inlineStr">
        <is>
          <t>兴业北分</t>
        </is>
      </c>
      <c r="J2447" s="172" t="n">
        <v>20</v>
      </c>
      <c r="K2447" s="172" t="inlineStr">
        <is>
          <t>22+2</t>
        </is>
      </c>
      <c r="L2447" s="208" t="n">
        <v>46255</v>
      </c>
      <c r="M2447" s="175" t="n">
        <v>0.014692</v>
      </c>
      <c r="N2447" s="176" t="n">
        <v>0.0201</v>
      </c>
      <c r="O2447" s="172" t="n">
        <v>1.73</v>
      </c>
      <c r="P2447" s="172" t="inlineStr">
        <is>
          <t>优先A</t>
        </is>
      </c>
      <c r="Q2447" s="175" t="n">
        <v>0.87</v>
      </c>
      <c r="R2447" s="192" t="n">
        <v>8.699999999999999</v>
      </c>
      <c r="S2447" s="172" t="inlineStr">
        <is>
          <t>AAA</t>
        </is>
      </c>
      <c r="T2447" s="175" t="n">
        <v>0.0178</v>
      </c>
      <c r="U2447" s="172" t="n"/>
      <c r="V2447" s="172" t="n"/>
      <c r="W2447" s="175" t="n">
        <v>0.02</v>
      </c>
      <c r="X2447" s="172" t="inlineStr">
        <is>
          <t>中金公司（投顾）</t>
        </is>
      </c>
      <c r="Y2447" s="191" t="n">
        <v>0.5</v>
      </c>
    </row>
    <row r="2448">
      <c r="A2448" s="172" t="n">
        <v>133</v>
      </c>
      <c r="B2448" s="172" t="inlineStr">
        <is>
          <t>8月</t>
        </is>
      </c>
      <c r="C2448" s="172" t="inlineStr">
        <is>
          <t>消金</t>
        </is>
      </c>
      <c r="D2448" s="172" t="inlineStr">
        <is>
          <t>赊销白条</t>
        </is>
      </c>
      <c r="E2448" s="172" t="inlineStr">
        <is>
          <t>26东裕9号一期</t>
        </is>
      </c>
      <c r="F2448" s="172" t="inlineStr">
        <is>
          <t>银行间</t>
        </is>
      </c>
      <c r="G2448" s="172" t="inlineStr">
        <is>
          <t>中信证券</t>
        </is>
      </c>
      <c r="H2448" s="172" t="inlineStr">
        <is>
          <t>南京银行/中信建投/兴业证券/国泰海通</t>
        </is>
      </c>
      <c r="I2448" s="172" t="inlineStr">
        <is>
          <t>兴业北分</t>
        </is>
      </c>
      <c r="J2448" s="172" t="n">
        <v>20</v>
      </c>
      <c r="K2448" s="172" t="inlineStr">
        <is>
          <t>22+2</t>
        </is>
      </c>
      <c r="L2448" s="208" t="n">
        <v>46255</v>
      </c>
      <c r="M2448" s="175" t="n">
        <v>0.014692</v>
      </c>
      <c r="N2448" s="176" t="n">
        <v>0.0201</v>
      </c>
      <c r="O2448" s="172" t="n">
        <v>1.73</v>
      </c>
      <c r="P2448" s="172" t="inlineStr">
        <is>
          <t>优先A</t>
        </is>
      </c>
      <c r="Q2448" s="175" t="n">
        <v>0.87</v>
      </c>
      <c r="R2448" s="192" t="n">
        <v>8.699999999999999</v>
      </c>
      <c r="S2448" s="172" t="inlineStr">
        <is>
          <t>AAA</t>
        </is>
      </c>
      <c r="T2448" s="175" t="n">
        <v>0.0178</v>
      </c>
      <c r="U2448" s="172" t="n"/>
      <c r="V2448" s="172" t="n"/>
      <c r="W2448" s="175" t="n">
        <v>0.024</v>
      </c>
      <c r="X2448" s="172" t="inlineStr">
        <is>
          <t>上海利曦私募</t>
        </is>
      </c>
      <c r="Y2448" s="191" t="n">
        <v>2</v>
      </c>
    </row>
    <row r="2449">
      <c r="A2449" s="172" t="n">
        <v>133</v>
      </c>
      <c r="B2449" s="173" t="inlineStr">
        <is>
          <t>8月</t>
        </is>
      </c>
      <c r="C2449" s="173" t="inlineStr">
        <is>
          <t>消金</t>
        </is>
      </c>
      <c r="D2449" s="173" t="inlineStr">
        <is>
          <t>赊销白条</t>
        </is>
      </c>
      <c r="E2449" s="173" t="inlineStr">
        <is>
          <t>26东裕9号一期</t>
        </is>
      </c>
      <c r="F2449" s="173" t="inlineStr">
        <is>
          <t>银行间</t>
        </is>
      </c>
      <c r="G2449" s="173" t="inlineStr">
        <is>
          <t>中信证券</t>
        </is>
      </c>
      <c r="H2449" s="173" t="inlineStr">
        <is>
          <t>南京银行/中信建投/兴业证券/国泰海通</t>
        </is>
      </c>
      <c r="I2449" s="173" t="inlineStr">
        <is>
          <t>兴业北分</t>
        </is>
      </c>
      <c r="J2449" s="172" t="n">
        <v>20</v>
      </c>
      <c r="K2449" s="173" t="inlineStr">
        <is>
          <t>22+2</t>
        </is>
      </c>
      <c r="L2449" s="202" t="n">
        <v>46255</v>
      </c>
      <c r="M2449" s="175" t="n">
        <v>0.014692</v>
      </c>
      <c r="N2449" s="176" t="n">
        <v>0.0201</v>
      </c>
      <c r="O2449" s="191" t="n">
        <v>1.73</v>
      </c>
      <c r="P2449" s="177" t="inlineStr">
        <is>
          <t>优先B</t>
        </is>
      </c>
      <c r="Q2449" s="178" t="n">
        <v>0.04</v>
      </c>
      <c r="R2449" s="179" t="n">
        <v>0.4</v>
      </c>
      <c r="S2449" s="177" t="inlineStr">
        <is>
          <t>AA+</t>
        </is>
      </c>
      <c r="T2449" s="178" t="n">
        <v>0.0188</v>
      </c>
      <c r="U2449" s="177" t="inlineStr">
        <is>
          <t>建信信托</t>
        </is>
      </c>
      <c r="V2449" s="192" t="n">
        <v>0.5600000000000001</v>
      </c>
      <c r="W2449" s="175" t="n">
        <v>0.0188</v>
      </c>
      <c r="X2449" s="172" t="inlineStr">
        <is>
          <t>建信信托</t>
        </is>
      </c>
      <c r="Y2449" s="191" t="n">
        <v>0.6</v>
      </c>
    </row>
    <row r="2450">
      <c r="A2450" s="172" t="n">
        <v>133</v>
      </c>
      <c r="B2450" s="173" t="inlineStr">
        <is>
          <t>8月</t>
        </is>
      </c>
      <c r="C2450" s="173" t="inlineStr">
        <is>
          <t>消金</t>
        </is>
      </c>
      <c r="D2450" s="173" t="inlineStr">
        <is>
          <t>赊销白条</t>
        </is>
      </c>
      <c r="E2450" s="173" t="inlineStr">
        <is>
          <t>26东裕9号一期</t>
        </is>
      </c>
      <c r="F2450" s="173" t="inlineStr">
        <is>
          <t>银行间</t>
        </is>
      </c>
      <c r="G2450" s="173" t="inlineStr">
        <is>
          <t>中信证券</t>
        </is>
      </c>
      <c r="H2450" s="173" t="inlineStr">
        <is>
          <t>南京银行/中信建投/兴业证券/国泰海通</t>
        </is>
      </c>
      <c r="I2450" s="173" t="inlineStr">
        <is>
          <t>兴业北分</t>
        </is>
      </c>
      <c r="J2450" s="172" t="n">
        <v>20</v>
      </c>
      <c r="K2450" s="173" t="inlineStr">
        <is>
          <t>22+2</t>
        </is>
      </c>
      <c r="L2450" s="202" t="n">
        <v>46255</v>
      </c>
      <c r="M2450" s="175" t="n">
        <v>0.014692</v>
      </c>
      <c r="N2450" s="176" t="n">
        <v>0.0201</v>
      </c>
      <c r="O2450" s="191" t="n">
        <v>1.73</v>
      </c>
      <c r="P2450" s="172" t="inlineStr">
        <is>
          <t>优先B</t>
        </is>
      </c>
      <c r="Q2450" s="178" t="n">
        <v>0.04</v>
      </c>
      <c r="R2450" s="179" t="n">
        <v>0.4</v>
      </c>
      <c r="S2450" s="177" t="inlineStr">
        <is>
          <t>AA+</t>
        </is>
      </c>
      <c r="T2450" s="178" t="n">
        <v>0.0188</v>
      </c>
      <c r="U2450" s="177" t="inlineStr">
        <is>
          <t>招银理财</t>
        </is>
      </c>
      <c r="V2450" s="192" t="n">
        <v>0.24</v>
      </c>
      <c r="W2450" s="175" t="n">
        <v>0.017</v>
      </c>
      <c r="X2450" s="172" t="inlineStr">
        <is>
          <t>招银理财</t>
        </is>
      </c>
      <c r="Y2450" s="191" t="n">
        <v>0.24</v>
      </c>
    </row>
    <row r="2451">
      <c r="A2451" s="172" t="n">
        <v>133</v>
      </c>
      <c r="B2451" s="172" t="inlineStr">
        <is>
          <t>8月</t>
        </is>
      </c>
      <c r="C2451" s="172" t="inlineStr">
        <is>
          <t>消金</t>
        </is>
      </c>
      <c r="D2451" s="172" t="inlineStr">
        <is>
          <t>赊销白条</t>
        </is>
      </c>
      <c r="E2451" s="172" t="inlineStr">
        <is>
          <t>26东裕9号一期</t>
        </is>
      </c>
      <c r="F2451" s="172" t="inlineStr">
        <is>
          <t>银行间</t>
        </is>
      </c>
      <c r="G2451" s="172" t="inlineStr">
        <is>
          <t>中信证券</t>
        </is>
      </c>
      <c r="H2451" s="172" t="inlineStr">
        <is>
          <t>南京银行/中信建投/兴业证券/国泰海通</t>
        </is>
      </c>
      <c r="I2451" s="172" t="inlineStr">
        <is>
          <t>兴业北分</t>
        </is>
      </c>
      <c r="J2451" s="172" t="n">
        <v>20</v>
      </c>
      <c r="K2451" s="172" t="inlineStr">
        <is>
          <t>22+2</t>
        </is>
      </c>
      <c r="L2451" s="208" t="n">
        <v>46255</v>
      </c>
      <c r="M2451" s="175" t="n">
        <v>0.014692</v>
      </c>
      <c r="N2451" s="176" t="n">
        <v>0.0201</v>
      </c>
      <c r="O2451" s="172" t="n">
        <v>1.73</v>
      </c>
      <c r="P2451" s="172" t="inlineStr">
        <is>
          <t>优先B</t>
        </is>
      </c>
      <c r="Q2451" s="175" t="n">
        <v>0.04</v>
      </c>
      <c r="R2451" s="192" t="n">
        <v>0.4</v>
      </c>
      <c r="S2451" s="172" t="inlineStr">
        <is>
          <t>AA+</t>
        </is>
      </c>
      <c r="T2451" s="175" t="n">
        <v>0.0188</v>
      </c>
      <c r="U2451" s="172" t="n"/>
      <c r="V2451" s="172" t="n"/>
      <c r="W2451" s="175" t="n">
        <v>0.02</v>
      </c>
      <c r="X2451" s="172" t="inlineStr">
        <is>
          <t>中金公司（固定收益部）</t>
        </is>
      </c>
      <c r="Y2451" s="191" t="n">
        <v>0.2</v>
      </c>
    </row>
    <row r="2452">
      <c r="A2452" s="172" t="n">
        <v>133</v>
      </c>
      <c r="B2452" s="173" t="inlineStr">
        <is>
          <t>8月</t>
        </is>
      </c>
      <c r="C2452" s="173" t="inlineStr">
        <is>
          <t>消金</t>
        </is>
      </c>
      <c r="D2452" s="173" t="inlineStr">
        <is>
          <t>赊销白条</t>
        </is>
      </c>
      <c r="E2452" s="173" t="inlineStr">
        <is>
          <t>26东裕9号一期</t>
        </is>
      </c>
      <c r="F2452" s="173" t="inlineStr">
        <is>
          <t>银行间</t>
        </is>
      </c>
      <c r="G2452" s="173" t="inlineStr">
        <is>
          <t>中信证券</t>
        </is>
      </c>
      <c r="H2452" s="173" t="inlineStr">
        <is>
          <t>南京银行/中信建投/兴业证券/国泰海通</t>
        </is>
      </c>
      <c r="I2452" s="173" t="inlineStr">
        <is>
          <t>兴业北分</t>
        </is>
      </c>
      <c r="J2452" s="172" t="n">
        <v>20</v>
      </c>
      <c r="K2452" s="173" t="inlineStr">
        <is>
          <t>22+2</t>
        </is>
      </c>
      <c r="L2452" s="202" t="n">
        <v>46255</v>
      </c>
      <c r="M2452" s="175" t="n">
        <v>0.014692</v>
      </c>
      <c r="N2452" s="176" t="n">
        <v>0.0201</v>
      </c>
      <c r="O2452" s="191" t="n">
        <v>1.73</v>
      </c>
      <c r="P2452" s="177" t="inlineStr">
        <is>
          <t>中间级</t>
        </is>
      </c>
      <c r="Q2452" s="178" t="n">
        <v>0.04</v>
      </c>
      <c r="R2452" s="179" t="n">
        <v>0.4</v>
      </c>
      <c r="S2452" s="177" t="inlineStr">
        <is>
          <t>A+</t>
        </is>
      </c>
      <c r="T2452" s="178" t="n">
        <v>0.032</v>
      </c>
      <c r="U2452" s="177" t="inlineStr">
        <is>
          <t>中信建投衍生品</t>
        </is>
      </c>
      <c r="V2452" s="192" t="n">
        <v>0.11</v>
      </c>
      <c r="W2452" s="172" t="n"/>
      <c r="X2452" s="172" t="n"/>
      <c r="Y2452" s="172" t="n"/>
    </row>
    <row r="2453">
      <c r="A2453" s="172" t="n">
        <v>133</v>
      </c>
      <c r="B2453" s="173" t="inlineStr">
        <is>
          <t>8月</t>
        </is>
      </c>
      <c r="C2453" s="173" t="inlineStr">
        <is>
          <t>消金</t>
        </is>
      </c>
      <c r="D2453" s="173" t="inlineStr">
        <is>
          <t>赊销白条</t>
        </is>
      </c>
      <c r="E2453" s="173" t="inlineStr">
        <is>
          <t>26东裕9号一期</t>
        </is>
      </c>
      <c r="F2453" s="173" t="inlineStr">
        <is>
          <t>银行间</t>
        </is>
      </c>
      <c r="G2453" s="173" t="inlineStr">
        <is>
          <t>中信证券</t>
        </is>
      </c>
      <c r="H2453" s="173" t="inlineStr">
        <is>
          <t>南京银行/中信建投/兴业证券/国泰海通</t>
        </is>
      </c>
      <c r="I2453" s="173" t="inlineStr">
        <is>
          <t>兴业北分</t>
        </is>
      </c>
      <c r="J2453" s="172" t="n">
        <v>20</v>
      </c>
      <c r="K2453" s="173" t="inlineStr">
        <is>
          <t>22+2</t>
        </is>
      </c>
      <c r="L2453" s="202" t="n">
        <v>46255</v>
      </c>
      <c r="M2453" s="175" t="n">
        <v>0.014692</v>
      </c>
      <c r="N2453" s="176" t="n">
        <v>0.0201</v>
      </c>
      <c r="O2453" s="191" t="n">
        <v>1.73</v>
      </c>
      <c r="P2453" s="172" t="inlineStr">
        <is>
          <t>中间级</t>
        </is>
      </c>
      <c r="Q2453" s="178" t="n">
        <v>0.04</v>
      </c>
      <c r="R2453" s="179" t="n">
        <v>0.4</v>
      </c>
      <c r="S2453" s="177" t="inlineStr">
        <is>
          <t>A+</t>
        </is>
      </c>
      <c r="T2453" s="178" t="n">
        <v>0.032</v>
      </c>
      <c r="U2453" s="177" t="inlineStr">
        <is>
          <t>中信建投投顾</t>
        </is>
      </c>
      <c r="V2453" s="192" t="n">
        <v>0.11</v>
      </c>
      <c r="W2453" s="172" t="n"/>
      <c r="X2453" s="172" t="n"/>
      <c r="Y2453" s="172" t="n"/>
    </row>
    <row r="2454">
      <c r="A2454" s="172" t="n">
        <v>133</v>
      </c>
      <c r="B2454" s="173" t="inlineStr">
        <is>
          <t>8月</t>
        </is>
      </c>
      <c r="C2454" s="173" t="inlineStr">
        <is>
          <t>消金</t>
        </is>
      </c>
      <c r="D2454" s="173" t="inlineStr">
        <is>
          <t>赊销白条</t>
        </is>
      </c>
      <c r="E2454" s="173" t="inlineStr">
        <is>
          <t>26东裕9号一期</t>
        </is>
      </c>
      <c r="F2454" s="173" t="inlineStr">
        <is>
          <t>银行间</t>
        </is>
      </c>
      <c r="G2454" s="173" t="inlineStr">
        <is>
          <t>中信证券</t>
        </is>
      </c>
      <c r="H2454" s="173" t="inlineStr">
        <is>
          <t>南京银行/中信建投/兴业证券/国泰海通</t>
        </is>
      </c>
      <c r="I2454" s="173" t="inlineStr">
        <is>
          <t>兴业北分</t>
        </is>
      </c>
      <c r="J2454" s="172" t="n">
        <v>20</v>
      </c>
      <c r="K2454" s="173" t="inlineStr">
        <is>
          <t>22+2</t>
        </is>
      </c>
      <c r="L2454" s="202" t="n">
        <v>46255</v>
      </c>
      <c r="M2454" s="175" t="n">
        <v>0.014692</v>
      </c>
      <c r="N2454" s="176" t="n">
        <v>0.0201</v>
      </c>
      <c r="O2454" s="191" t="n">
        <v>1.73</v>
      </c>
      <c r="P2454" s="172" t="inlineStr">
        <is>
          <t>中间级</t>
        </is>
      </c>
      <c r="Q2454" s="178" t="n">
        <v>0.04</v>
      </c>
      <c r="R2454" s="179" t="n">
        <v>0.4</v>
      </c>
      <c r="S2454" s="177" t="inlineStr">
        <is>
          <t>A+</t>
        </is>
      </c>
      <c r="T2454" s="178" t="n">
        <v>0.032</v>
      </c>
      <c r="U2454" s="177" t="inlineStr">
        <is>
          <t>平安理财</t>
        </is>
      </c>
      <c r="V2454" s="192" t="n">
        <v>0.24</v>
      </c>
      <c r="W2454" s="172" t="n"/>
      <c r="X2454" s="172" t="n"/>
      <c r="Y2454" s="172" t="n"/>
    </row>
    <row r="2455">
      <c r="A2455" s="172" t="n">
        <v>133</v>
      </c>
      <c r="B2455" s="173" t="inlineStr">
        <is>
          <t>8月</t>
        </is>
      </c>
      <c r="C2455" s="173" t="inlineStr">
        <is>
          <t>消金</t>
        </is>
      </c>
      <c r="D2455" s="173" t="inlineStr">
        <is>
          <t>赊销白条</t>
        </is>
      </c>
      <c r="E2455" s="173" t="inlineStr">
        <is>
          <t>26东裕9号一期</t>
        </is>
      </c>
      <c r="F2455" s="173" t="inlineStr">
        <is>
          <t>银行间</t>
        </is>
      </c>
      <c r="G2455" s="173" t="inlineStr">
        <is>
          <t>中信证券</t>
        </is>
      </c>
      <c r="H2455" s="173" t="inlineStr">
        <is>
          <t>南京银行/中信建投/兴业证券/国泰海通</t>
        </is>
      </c>
      <c r="I2455" s="173" t="inlineStr">
        <is>
          <t>兴业北分</t>
        </is>
      </c>
      <c r="J2455" s="172" t="n">
        <v>20</v>
      </c>
      <c r="K2455" s="173" t="inlineStr">
        <is>
          <t>22+2</t>
        </is>
      </c>
      <c r="L2455" s="202" t="n">
        <v>46255</v>
      </c>
      <c r="M2455" s="175" t="n">
        <v>0.014692</v>
      </c>
      <c r="N2455" s="176" t="n">
        <v>0.0201</v>
      </c>
      <c r="O2455" s="191" t="n">
        <v>1.73</v>
      </c>
      <c r="P2455" s="172" t="inlineStr">
        <is>
          <t>中间级</t>
        </is>
      </c>
      <c r="Q2455" s="178" t="n">
        <v>0.04</v>
      </c>
      <c r="R2455" s="179" t="n">
        <v>0.4</v>
      </c>
      <c r="S2455" s="177" t="inlineStr">
        <is>
          <t>A+</t>
        </is>
      </c>
      <c r="T2455" s="178" t="n">
        <v>0.032</v>
      </c>
      <c r="U2455" s="177" t="inlineStr">
        <is>
          <t>招银理财</t>
        </is>
      </c>
      <c r="V2455" s="192" t="n">
        <v>0.24</v>
      </c>
      <c r="W2455" s="172" t="n"/>
      <c r="X2455" s="172" t="n"/>
      <c r="Y2455" s="172" t="n"/>
    </row>
    <row r="2456">
      <c r="A2456" s="172" t="n">
        <v>133</v>
      </c>
      <c r="B2456" s="173" t="inlineStr">
        <is>
          <t>8月</t>
        </is>
      </c>
      <c r="C2456" s="173" t="inlineStr">
        <is>
          <t>消金</t>
        </is>
      </c>
      <c r="D2456" s="173" t="inlineStr">
        <is>
          <t>赊销白条</t>
        </is>
      </c>
      <c r="E2456" s="173" t="inlineStr">
        <is>
          <t>26东裕9号一期</t>
        </is>
      </c>
      <c r="F2456" s="173" t="inlineStr">
        <is>
          <t>银行间</t>
        </is>
      </c>
      <c r="G2456" s="173" t="inlineStr">
        <is>
          <t>中信证券</t>
        </is>
      </c>
      <c r="H2456" s="173" t="inlineStr">
        <is>
          <t>南京银行/中信建投/兴业证券/国泰海通</t>
        </is>
      </c>
      <c r="I2456" s="173" t="inlineStr">
        <is>
          <t>兴业北分</t>
        </is>
      </c>
      <c r="J2456" s="172" t="n">
        <v>20</v>
      </c>
      <c r="K2456" s="173" t="inlineStr">
        <is>
          <t>22+2</t>
        </is>
      </c>
      <c r="L2456" s="202" t="n">
        <v>46255</v>
      </c>
      <c r="M2456" s="175" t="n">
        <v>0.014692</v>
      </c>
      <c r="N2456" s="176" t="n">
        <v>0.0201</v>
      </c>
      <c r="O2456" s="191" t="n">
        <v>1.73</v>
      </c>
      <c r="P2456" s="172" t="inlineStr">
        <is>
          <t>中间级</t>
        </is>
      </c>
      <c r="Q2456" s="178" t="n">
        <v>0.04</v>
      </c>
      <c r="R2456" s="179" t="n">
        <v>0.4</v>
      </c>
      <c r="S2456" s="177" t="inlineStr">
        <is>
          <t>A+</t>
        </is>
      </c>
      <c r="T2456" s="178" t="n">
        <v>0.032</v>
      </c>
      <c r="U2456" s="177" t="inlineStr">
        <is>
          <t>中金财富</t>
        </is>
      </c>
      <c r="V2456" s="192" t="n">
        <v>0.1</v>
      </c>
      <c r="W2456" s="172" t="n"/>
      <c r="X2456" s="172" t="n"/>
      <c r="Y2456" s="172" t="n"/>
    </row>
    <row r="2457">
      <c r="A2457" s="172" t="n">
        <v>133</v>
      </c>
      <c r="B2457" s="173" t="inlineStr">
        <is>
          <t>8月</t>
        </is>
      </c>
      <c r="C2457" s="173" t="inlineStr">
        <is>
          <t>消金</t>
        </is>
      </c>
      <c r="D2457" s="173" t="inlineStr">
        <is>
          <t>赊销白条</t>
        </is>
      </c>
      <c r="E2457" s="173" t="inlineStr">
        <is>
          <t>26东裕9号一期</t>
        </is>
      </c>
      <c r="F2457" s="173" t="inlineStr">
        <is>
          <t>银行间</t>
        </is>
      </c>
      <c r="G2457" s="173" t="inlineStr">
        <is>
          <t>中信证券</t>
        </is>
      </c>
      <c r="H2457" s="173" t="inlineStr">
        <is>
          <t>南京银行/中信建投/兴业证券/国泰海通</t>
        </is>
      </c>
      <c r="I2457" s="173" t="inlineStr">
        <is>
          <t>兴业北分</t>
        </is>
      </c>
      <c r="J2457" s="172" t="n">
        <v>20</v>
      </c>
      <c r="K2457" s="173" t="inlineStr">
        <is>
          <t>22+2</t>
        </is>
      </c>
      <c r="L2457" s="202" t="n">
        <v>46255</v>
      </c>
      <c r="M2457" s="175" t="n">
        <v>0.014692</v>
      </c>
      <c r="N2457" s="176" t="n">
        <v>0.0201</v>
      </c>
      <c r="O2457" s="191" t="n">
        <v>1.73</v>
      </c>
      <c r="P2457" s="177" t="inlineStr">
        <is>
          <t>次级</t>
        </is>
      </c>
      <c r="Q2457" s="178" t="n">
        <v>0.05</v>
      </c>
      <c r="R2457" s="179" t="n">
        <v>0.5</v>
      </c>
      <c r="S2457" s="177" t="inlineStr">
        <is>
          <t>无</t>
        </is>
      </c>
      <c r="T2457" s="178" t="n">
        <v>0.045</v>
      </c>
      <c r="U2457" s="177" t="inlineStr">
        <is>
          <t>中信建投衍生品</t>
        </is>
      </c>
      <c r="V2457" s="192" t="n">
        <v>0.1</v>
      </c>
      <c r="W2457" s="172" t="n"/>
      <c r="X2457" s="172" t="n"/>
      <c r="Y2457" s="172" t="n"/>
    </row>
    <row r="2458">
      <c r="A2458" s="172" t="n">
        <v>133</v>
      </c>
      <c r="B2458" s="173" t="inlineStr">
        <is>
          <t>8月</t>
        </is>
      </c>
      <c r="C2458" s="173" t="inlineStr">
        <is>
          <t>消金</t>
        </is>
      </c>
      <c r="D2458" s="173" t="inlineStr">
        <is>
          <t>赊销白条</t>
        </is>
      </c>
      <c r="E2458" s="173" t="inlineStr">
        <is>
          <t>26东裕9号一期</t>
        </is>
      </c>
      <c r="F2458" s="173" t="inlineStr">
        <is>
          <t>银行间</t>
        </is>
      </c>
      <c r="G2458" s="173" t="inlineStr">
        <is>
          <t>中信证券</t>
        </is>
      </c>
      <c r="H2458" s="173" t="inlineStr">
        <is>
          <t>南京银行/中信建投/兴业证券/国泰海通</t>
        </is>
      </c>
      <c r="I2458" s="173" t="inlineStr">
        <is>
          <t>兴业北分</t>
        </is>
      </c>
      <c r="J2458" s="172" t="n">
        <v>20</v>
      </c>
      <c r="K2458" s="173" t="inlineStr">
        <is>
          <t>22+2</t>
        </is>
      </c>
      <c r="L2458" s="202" t="n">
        <v>46255</v>
      </c>
      <c r="M2458" s="175" t="n">
        <v>0.014692</v>
      </c>
      <c r="N2458" s="176" t="n">
        <v>0.0201</v>
      </c>
      <c r="O2458" s="191" t="n">
        <v>1.73</v>
      </c>
      <c r="P2458" s="172" t="inlineStr">
        <is>
          <t>次级</t>
        </is>
      </c>
      <c r="Q2458" s="178" t="n">
        <v>0.05</v>
      </c>
      <c r="R2458" s="179" t="n">
        <v>0.5</v>
      </c>
      <c r="S2458" s="177" t="inlineStr">
        <is>
          <t>无</t>
        </is>
      </c>
      <c r="T2458" s="178" t="n">
        <v>0.045</v>
      </c>
      <c r="U2458" s="177" t="inlineStr">
        <is>
          <t>中信建投投顾</t>
        </is>
      </c>
      <c r="V2458" s="192" t="n">
        <v>0.1</v>
      </c>
      <c r="W2458" s="172" t="n"/>
      <c r="X2458" s="172" t="n"/>
      <c r="Y2458" s="172" t="n"/>
    </row>
    <row r="2459">
      <c r="A2459" s="172" t="n">
        <v>133</v>
      </c>
      <c r="B2459" s="173" t="inlineStr">
        <is>
          <t>8月</t>
        </is>
      </c>
      <c r="C2459" s="173" t="inlineStr">
        <is>
          <t>消金</t>
        </is>
      </c>
      <c r="D2459" s="173" t="inlineStr">
        <is>
          <t>赊销白条</t>
        </is>
      </c>
      <c r="E2459" s="173" t="inlineStr">
        <is>
          <t>26东裕9号一期</t>
        </is>
      </c>
      <c r="F2459" s="173" t="inlineStr">
        <is>
          <t>银行间</t>
        </is>
      </c>
      <c r="G2459" s="173" t="inlineStr">
        <is>
          <t>中信证券</t>
        </is>
      </c>
      <c r="H2459" s="173" t="inlineStr">
        <is>
          <t>南京银行/中信建投/兴业证券/国泰海通</t>
        </is>
      </c>
      <c r="I2459" s="173" t="inlineStr">
        <is>
          <t>兴业北分</t>
        </is>
      </c>
      <c r="J2459" s="172" t="n">
        <v>20</v>
      </c>
      <c r="K2459" s="173" t="inlineStr">
        <is>
          <t>22+2</t>
        </is>
      </c>
      <c r="L2459" s="202" t="n">
        <v>46255</v>
      </c>
      <c r="M2459" s="175" t="n">
        <v>0.014692</v>
      </c>
      <c r="N2459" s="176" t="n">
        <v>0.0201</v>
      </c>
      <c r="O2459" s="191" t="n">
        <v>1.73</v>
      </c>
      <c r="P2459" s="172" t="inlineStr">
        <is>
          <t>次级</t>
        </is>
      </c>
      <c r="Q2459" s="178" t="n">
        <v>0.05</v>
      </c>
      <c r="R2459" s="179" t="n">
        <v>0.5</v>
      </c>
      <c r="S2459" s="177" t="inlineStr">
        <is>
          <t>无</t>
        </is>
      </c>
      <c r="T2459" s="178" t="n">
        <v>0.045</v>
      </c>
      <c r="U2459" s="177" t="inlineStr">
        <is>
          <t>易方达基金</t>
        </is>
      </c>
      <c r="V2459" s="192" t="n">
        <v>0.25</v>
      </c>
      <c r="W2459" s="172" t="n"/>
      <c r="X2459" s="172" t="n"/>
      <c r="Y2459" s="172" t="n"/>
    </row>
    <row r="2460">
      <c r="A2460" s="172" t="n">
        <v>133</v>
      </c>
      <c r="B2460" s="173" t="inlineStr">
        <is>
          <t>8月</t>
        </is>
      </c>
      <c r="C2460" s="173" t="inlineStr">
        <is>
          <t>消金</t>
        </is>
      </c>
      <c r="D2460" s="173" t="inlineStr">
        <is>
          <t>赊销白条</t>
        </is>
      </c>
      <c r="E2460" s="173" t="inlineStr">
        <is>
          <t>26东裕9号一期</t>
        </is>
      </c>
      <c r="F2460" s="173" t="inlineStr">
        <is>
          <t>银行间</t>
        </is>
      </c>
      <c r="G2460" s="173" t="inlineStr">
        <is>
          <t>中信证券</t>
        </is>
      </c>
      <c r="H2460" s="173" t="inlineStr">
        <is>
          <t>南京银行/中信建投/兴业证券/国泰海通</t>
        </is>
      </c>
      <c r="I2460" s="173" t="inlineStr">
        <is>
          <t>兴业北分</t>
        </is>
      </c>
      <c r="J2460" s="172" t="n">
        <v>20</v>
      </c>
      <c r="K2460" s="173" t="inlineStr">
        <is>
          <t>22+2</t>
        </is>
      </c>
      <c r="L2460" s="202" t="n">
        <v>46255</v>
      </c>
      <c r="M2460" s="175" t="n">
        <v>0.014692</v>
      </c>
      <c r="N2460" s="176" t="n">
        <v>0.0201</v>
      </c>
      <c r="O2460" s="191" t="n">
        <v>1.73</v>
      </c>
      <c r="P2460" s="172" t="inlineStr">
        <is>
          <t>次级</t>
        </is>
      </c>
      <c r="Q2460" s="178" t="n">
        <v>0.05</v>
      </c>
      <c r="R2460" s="179" t="n">
        <v>0.5</v>
      </c>
      <c r="S2460" s="177" t="inlineStr">
        <is>
          <t>无</t>
        </is>
      </c>
      <c r="T2460" s="178" t="n">
        <v>0.045</v>
      </c>
      <c r="U2460" s="177" t="inlineStr">
        <is>
          <t>中信证券自营</t>
        </is>
      </c>
      <c r="V2460" s="192" t="n">
        <v>0.1</v>
      </c>
      <c r="W2460" s="172" t="n"/>
      <c r="X2460" s="172" t="n"/>
      <c r="Y2460" s="172" t="n"/>
    </row>
    <row r="2461">
      <c r="A2461" s="172" t="n">
        <v>133</v>
      </c>
      <c r="B2461" s="173" t="inlineStr">
        <is>
          <t>8月</t>
        </is>
      </c>
      <c r="C2461" s="173" t="inlineStr">
        <is>
          <t>消金</t>
        </is>
      </c>
      <c r="D2461" s="173" t="inlineStr">
        <is>
          <t>赊销白条</t>
        </is>
      </c>
      <c r="E2461" s="173" t="inlineStr">
        <is>
          <t>26东裕9号一期</t>
        </is>
      </c>
      <c r="F2461" s="173" t="inlineStr">
        <is>
          <t>银行间</t>
        </is>
      </c>
      <c r="G2461" s="173" t="inlineStr">
        <is>
          <t>中信证券</t>
        </is>
      </c>
      <c r="H2461" s="173" t="inlineStr">
        <is>
          <t>南京银行/中信建投/兴业证券/国泰海通</t>
        </is>
      </c>
      <c r="I2461" s="173" t="inlineStr">
        <is>
          <t>兴业北分</t>
        </is>
      </c>
      <c r="J2461" s="172" t="n">
        <v>20</v>
      </c>
      <c r="K2461" s="173" t="inlineStr">
        <is>
          <t>22+2</t>
        </is>
      </c>
      <c r="L2461" s="202" t="n">
        <v>46255</v>
      </c>
      <c r="M2461" s="175" t="n">
        <v>0.014692</v>
      </c>
      <c r="N2461" s="176" t="n">
        <v>0.0201</v>
      </c>
      <c r="O2461" s="191" t="n">
        <v>1.73</v>
      </c>
      <c r="P2461" s="172" t="inlineStr">
        <is>
          <t>次级</t>
        </is>
      </c>
      <c r="Q2461" s="178" t="n">
        <v>0.05</v>
      </c>
      <c r="R2461" s="179" t="n">
        <v>0.5</v>
      </c>
      <c r="S2461" s="177" t="inlineStr">
        <is>
          <t>无</t>
        </is>
      </c>
      <c r="T2461" s="178" t="n">
        <v>0.045</v>
      </c>
      <c r="U2461" s="177" t="inlineStr">
        <is>
          <t>利曦基金</t>
        </is>
      </c>
      <c r="V2461" s="192" t="n">
        <v>0.25</v>
      </c>
      <c r="W2461" s="172" t="n"/>
      <c r="X2461" s="172" t="n"/>
      <c r="Y2461" s="172" t="n"/>
    </row>
    <row r="2462">
      <c r="A2462" s="172" t="n">
        <v>133</v>
      </c>
      <c r="B2462" s="173" t="inlineStr">
        <is>
          <t>8月</t>
        </is>
      </c>
      <c r="C2462" s="173" t="inlineStr">
        <is>
          <t>消金</t>
        </is>
      </c>
      <c r="D2462" s="173" t="inlineStr">
        <is>
          <t>赊销白条</t>
        </is>
      </c>
      <c r="E2462" s="173" t="inlineStr">
        <is>
          <t>26东裕9号一期</t>
        </is>
      </c>
      <c r="F2462" s="173" t="inlineStr">
        <is>
          <t>银行间</t>
        </is>
      </c>
      <c r="G2462" s="173" t="inlineStr">
        <is>
          <t>中信证券</t>
        </is>
      </c>
      <c r="H2462" s="173" t="inlineStr">
        <is>
          <t>南京银行/中信建投/兴业证券/国泰海通</t>
        </is>
      </c>
      <c r="I2462" s="173" t="inlineStr">
        <is>
          <t>兴业北分</t>
        </is>
      </c>
      <c r="J2462" s="172" t="n">
        <v>20</v>
      </c>
      <c r="K2462" s="173" t="inlineStr">
        <is>
          <t>22+2</t>
        </is>
      </c>
      <c r="L2462" s="202" t="n">
        <v>46255</v>
      </c>
      <c r="M2462" s="175" t="n">
        <v>0.014692</v>
      </c>
      <c r="N2462" s="176" t="n">
        <v>0.0201</v>
      </c>
      <c r="O2462" s="191" t="n">
        <v>1.73</v>
      </c>
      <c r="P2462" s="172" t="inlineStr">
        <is>
          <t>次级</t>
        </is>
      </c>
      <c r="Q2462" s="178" t="n">
        <v>0.05</v>
      </c>
      <c r="R2462" s="179" t="n">
        <v>0.5</v>
      </c>
      <c r="S2462" s="177" t="inlineStr">
        <is>
          <t>无</t>
        </is>
      </c>
      <c r="T2462" s="178" t="n">
        <v>0.045</v>
      </c>
      <c r="U2462" s="177" t="inlineStr">
        <is>
          <t>中金投顾</t>
        </is>
      </c>
      <c r="V2462" s="192" t="n">
        <v>0.1</v>
      </c>
      <c r="W2462" s="172" t="n"/>
      <c r="X2462" s="172" t="n"/>
      <c r="Y2462" s="172" t="n"/>
    </row>
    <row r="2463">
      <c r="A2463" s="172" t="n">
        <v>133</v>
      </c>
      <c r="B2463" s="173" t="inlineStr">
        <is>
          <t>8月</t>
        </is>
      </c>
      <c r="C2463" s="173" t="inlineStr">
        <is>
          <t>消金</t>
        </is>
      </c>
      <c r="D2463" s="173" t="inlineStr">
        <is>
          <t>赊销白条</t>
        </is>
      </c>
      <c r="E2463" s="173" t="inlineStr">
        <is>
          <t>26东裕9号一期</t>
        </is>
      </c>
      <c r="F2463" s="173" t="inlineStr">
        <is>
          <t>银行间</t>
        </is>
      </c>
      <c r="G2463" s="173" t="inlineStr">
        <is>
          <t>中信证券</t>
        </is>
      </c>
      <c r="H2463" s="173" t="inlineStr">
        <is>
          <t>南京银行/中信建投/兴业证券/国泰海通</t>
        </is>
      </c>
      <c r="I2463" s="173" t="inlineStr">
        <is>
          <t>兴业北分</t>
        </is>
      </c>
      <c r="J2463" s="172" t="n">
        <v>20</v>
      </c>
      <c r="K2463" s="173" t="inlineStr">
        <is>
          <t>22+2</t>
        </is>
      </c>
      <c r="L2463" s="202" t="n">
        <v>46255</v>
      </c>
      <c r="M2463" s="175" t="n">
        <v>0.014692</v>
      </c>
      <c r="N2463" s="176" t="n">
        <v>0.0201</v>
      </c>
      <c r="O2463" s="191" t="n">
        <v>1.73</v>
      </c>
      <c r="P2463" s="172" t="inlineStr">
        <is>
          <t>次级</t>
        </is>
      </c>
      <c r="Q2463" s="178" t="n">
        <v>0.05</v>
      </c>
      <c r="R2463" s="179" t="n">
        <v>0.5</v>
      </c>
      <c r="S2463" s="177" t="inlineStr">
        <is>
          <t>无</t>
        </is>
      </c>
      <c r="T2463" s="178" t="n">
        <v>0.045</v>
      </c>
      <c r="U2463" s="177" t="inlineStr">
        <is>
          <t>朗姿韩亚</t>
        </is>
      </c>
      <c r="V2463" s="192" t="n">
        <v>0.1</v>
      </c>
      <c r="W2463" s="172" t="n"/>
      <c r="X2463" s="172" t="n"/>
      <c r="Y2463" s="172" t="n"/>
    </row>
    <row r="2464">
      <c r="A2464" s="172" t="n">
        <v>134</v>
      </c>
      <c r="B2464" s="173" t="inlineStr">
        <is>
          <t>8月</t>
        </is>
      </c>
      <c r="C2464" s="173" t="inlineStr">
        <is>
          <t>消金</t>
        </is>
      </c>
      <c r="D2464" s="173" t="inlineStr">
        <is>
          <t>赊销白条</t>
        </is>
      </c>
      <c r="E2464" s="173" t="inlineStr">
        <is>
          <t>东裕4号伯裕（续发）</t>
        </is>
      </c>
      <c r="F2464" s="173" t="inlineStr">
        <is>
          <t>银行间</t>
        </is>
      </c>
      <c r="G2464" s="173" t="inlineStr">
        <is>
          <t>中信证券</t>
        </is>
      </c>
      <c r="H2464" s="173" t="inlineStr">
        <is>
          <t>南京银行/国泰海通/东方证券/国开证券</t>
        </is>
      </c>
      <c r="I2464" s="173" t="inlineStr">
        <is>
          <t>交行北分</t>
        </is>
      </c>
      <c r="J2464" s="172" t="n">
        <v>9.449999999999999</v>
      </c>
      <c r="K2464" s="173" t="inlineStr">
        <is>
          <t>9+3</t>
        </is>
      </c>
      <c r="L2464" s="202" t="n">
        <v>46258</v>
      </c>
      <c r="M2464" s="175" t="n">
        <v>0.0148</v>
      </c>
      <c r="N2464" s="176" t="n">
        <v>0.0193</v>
      </c>
      <c r="O2464" s="191" t="n">
        <v>1.68</v>
      </c>
      <c r="P2464" s="177" t="inlineStr">
        <is>
          <t>优先级</t>
        </is>
      </c>
      <c r="Q2464" s="178" t="n">
        <v>0.9</v>
      </c>
      <c r="R2464" s="179" t="n">
        <v>9</v>
      </c>
      <c r="S2464" s="177" t="inlineStr">
        <is>
          <t>AAA</t>
        </is>
      </c>
      <c r="T2464" s="178" t="n">
        <v>0.0157</v>
      </c>
      <c r="U2464" s="177" t="inlineStr">
        <is>
          <t>信银理财</t>
        </is>
      </c>
      <c r="V2464" s="192" t="n">
        <v>2.7</v>
      </c>
      <c r="W2464" s="175" t="n">
        <v>0.0156</v>
      </c>
      <c r="X2464" s="172" t="inlineStr">
        <is>
          <t>信银理财</t>
        </is>
      </c>
      <c r="Y2464" s="191" t="n">
        <v>2.7</v>
      </c>
    </row>
    <row r="2465">
      <c r="A2465" s="172" t="n">
        <v>134</v>
      </c>
      <c r="B2465" s="173" t="inlineStr">
        <is>
          <t>8月</t>
        </is>
      </c>
      <c r="C2465" s="173" t="inlineStr">
        <is>
          <t>消金</t>
        </is>
      </c>
      <c r="D2465" s="173" t="inlineStr">
        <is>
          <t>赊销白条</t>
        </is>
      </c>
      <c r="E2465" s="173" t="inlineStr">
        <is>
          <t>东裕4号伯裕（续发）</t>
        </is>
      </c>
      <c r="F2465" s="173" t="inlineStr">
        <is>
          <t>银行间</t>
        </is>
      </c>
      <c r="G2465" s="173" t="inlineStr">
        <is>
          <t>中信证券</t>
        </is>
      </c>
      <c r="H2465" s="173" t="inlineStr">
        <is>
          <t>南京银行/国泰海通/东方证券/国开证券</t>
        </is>
      </c>
      <c r="I2465" s="173" t="inlineStr">
        <is>
          <t>交行北分</t>
        </is>
      </c>
      <c r="J2465" s="172" t="n">
        <v>9.449999999999999</v>
      </c>
      <c r="K2465" s="173" t="inlineStr">
        <is>
          <t>9+3</t>
        </is>
      </c>
      <c r="L2465" s="202" t="n">
        <v>46258</v>
      </c>
      <c r="M2465" s="175" t="n">
        <v>0.0148</v>
      </c>
      <c r="N2465" s="176" t="n">
        <v>0.0193</v>
      </c>
      <c r="O2465" s="191" t="n">
        <v>1.68</v>
      </c>
      <c r="P2465" s="172" t="inlineStr">
        <is>
          <t>优先级</t>
        </is>
      </c>
      <c r="Q2465" s="178" t="n">
        <v>0.9</v>
      </c>
      <c r="R2465" s="179" t="n">
        <v>9</v>
      </c>
      <c r="S2465" s="177" t="inlineStr">
        <is>
          <t>AAA</t>
        </is>
      </c>
      <c r="T2465" s="178" t="n">
        <v>0.0157</v>
      </c>
      <c r="U2465" s="177" t="inlineStr">
        <is>
          <t>招银理财</t>
        </is>
      </c>
      <c r="V2465" s="192" t="n">
        <v>2.7</v>
      </c>
      <c r="W2465" s="175" t="n">
        <v>0.0156</v>
      </c>
      <c r="X2465" s="172" t="inlineStr">
        <is>
          <t>招银理财</t>
        </is>
      </c>
      <c r="Y2465" s="191" t="n">
        <v>2.7</v>
      </c>
    </row>
    <row r="2466">
      <c r="A2466" s="172" t="n">
        <v>134</v>
      </c>
      <c r="B2466" s="173" t="inlineStr">
        <is>
          <t>8月</t>
        </is>
      </c>
      <c r="C2466" s="173" t="inlineStr">
        <is>
          <t>消金</t>
        </is>
      </c>
      <c r="D2466" s="173" t="inlineStr">
        <is>
          <t>赊销白条</t>
        </is>
      </c>
      <c r="E2466" s="173" t="inlineStr">
        <is>
          <t>东裕4号伯裕（续发）</t>
        </is>
      </c>
      <c r="F2466" s="173" t="inlineStr">
        <is>
          <t>银行间</t>
        </is>
      </c>
      <c r="G2466" s="173" t="inlineStr">
        <is>
          <t>中信证券</t>
        </is>
      </c>
      <c r="H2466" s="173" t="inlineStr">
        <is>
          <t>南京银行/国泰海通/东方证券/国开证券</t>
        </is>
      </c>
      <c r="I2466" s="173" t="inlineStr">
        <is>
          <t>交行北分</t>
        </is>
      </c>
      <c r="J2466" s="172" t="n">
        <v>9.449999999999999</v>
      </c>
      <c r="K2466" s="173" t="inlineStr">
        <is>
          <t>9+3</t>
        </is>
      </c>
      <c r="L2466" s="202" t="n">
        <v>46258</v>
      </c>
      <c r="M2466" s="175" t="n">
        <v>0.0148</v>
      </c>
      <c r="N2466" s="176" t="n">
        <v>0.0193</v>
      </c>
      <c r="O2466" s="191" t="n">
        <v>1.68</v>
      </c>
      <c r="P2466" s="172" t="inlineStr">
        <is>
          <t>优先级</t>
        </is>
      </c>
      <c r="Q2466" s="178" t="n">
        <v>0.9</v>
      </c>
      <c r="R2466" s="179" t="n">
        <v>9</v>
      </c>
      <c r="S2466" s="177" t="inlineStr">
        <is>
          <t>AAA</t>
        </is>
      </c>
      <c r="T2466" s="178" t="n">
        <v>0.0157</v>
      </c>
      <c r="U2466" s="177" t="inlineStr">
        <is>
          <t>兴银理财</t>
        </is>
      </c>
      <c r="V2466" s="192" t="n">
        <v>1.6</v>
      </c>
      <c r="W2466" s="175" t="n">
        <v>0.0157</v>
      </c>
      <c r="X2466" s="172" t="inlineStr">
        <is>
          <t>兴银理财</t>
        </is>
      </c>
      <c r="Y2466" s="191" t="n">
        <v>1.8</v>
      </c>
    </row>
    <row r="2467">
      <c r="A2467" s="172" t="n">
        <v>134</v>
      </c>
      <c r="B2467" s="173" t="inlineStr">
        <is>
          <t>8月</t>
        </is>
      </c>
      <c r="C2467" s="173" t="inlineStr">
        <is>
          <t>消金</t>
        </is>
      </c>
      <c r="D2467" s="173" t="inlineStr">
        <is>
          <t>赊销白条</t>
        </is>
      </c>
      <c r="E2467" s="173" t="inlineStr">
        <is>
          <t>东裕4号伯裕（续发）</t>
        </is>
      </c>
      <c r="F2467" s="173" t="inlineStr">
        <is>
          <t>银行间</t>
        </is>
      </c>
      <c r="G2467" s="173" t="inlineStr">
        <is>
          <t>中信证券</t>
        </is>
      </c>
      <c r="H2467" s="173" t="inlineStr">
        <is>
          <t>南京银行/国泰海通/东方证券/国开证券</t>
        </is>
      </c>
      <c r="I2467" s="173" t="inlineStr">
        <is>
          <t>交行北分</t>
        </is>
      </c>
      <c r="J2467" s="172" t="n">
        <v>9.449999999999999</v>
      </c>
      <c r="K2467" s="173" t="inlineStr">
        <is>
          <t>9+3</t>
        </is>
      </c>
      <c r="L2467" s="202" t="n">
        <v>46258</v>
      </c>
      <c r="M2467" s="175" t="n">
        <v>0.0148</v>
      </c>
      <c r="N2467" s="176" t="n">
        <v>0.0193</v>
      </c>
      <c r="O2467" s="191" t="n">
        <v>1.68</v>
      </c>
      <c r="P2467" s="172" t="inlineStr">
        <is>
          <t>优先级</t>
        </is>
      </c>
      <c r="Q2467" s="178" t="n">
        <v>0.9</v>
      </c>
      <c r="R2467" s="179" t="n">
        <v>9</v>
      </c>
      <c r="S2467" s="177" t="inlineStr">
        <is>
          <t>AAA</t>
        </is>
      </c>
      <c r="T2467" s="178" t="n">
        <v>0.0157</v>
      </c>
      <c r="U2467" s="177" t="inlineStr">
        <is>
          <t>南京银行</t>
        </is>
      </c>
      <c r="V2467" s="192" t="n">
        <v>1</v>
      </c>
      <c r="W2467" s="175" t="n">
        <v>0.0151</v>
      </c>
      <c r="X2467" s="172" t="inlineStr">
        <is>
          <t>南京银行（投行上报）</t>
        </is>
      </c>
      <c r="Y2467" s="191" t="n">
        <v>1</v>
      </c>
    </row>
    <row r="2468">
      <c r="A2468" s="172" t="n">
        <v>134</v>
      </c>
      <c r="B2468" s="173" t="inlineStr">
        <is>
          <t>8月</t>
        </is>
      </c>
      <c r="C2468" s="173" t="inlineStr">
        <is>
          <t>消金</t>
        </is>
      </c>
      <c r="D2468" s="173" t="inlineStr">
        <is>
          <t>赊销白条</t>
        </is>
      </c>
      <c r="E2468" s="173" t="inlineStr">
        <is>
          <t>东裕4号伯裕（续发）</t>
        </is>
      </c>
      <c r="F2468" s="173" t="inlineStr">
        <is>
          <t>银行间</t>
        </is>
      </c>
      <c r="G2468" s="173" t="inlineStr">
        <is>
          <t>中信证券</t>
        </is>
      </c>
      <c r="H2468" s="173" t="inlineStr">
        <is>
          <t>南京银行/国泰海通/东方证券/国开证券</t>
        </is>
      </c>
      <c r="I2468" s="173" t="inlineStr">
        <is>
          <t>交行北分</t>
        </is>
      </c>
      <c r="J2468" s="172" t="n">
        <v>9.449999999999999</v>
      </c>
      <c r="K2468" s="173" t="inlineStr">
        <is>
          <t>9+3</t>
        </is>
      </c>
      <c r="L2468" s="202" t="n">
        <v>46258</v>
      </c>
      <c r="M2468" s="175" t="n">
        <v>0.0148</v>
      </c>
      <c r="N2468" s="176" t="n">
        <v>0.0193</v>
      </c>
      <c r="O2468" s="191" t="n">
        <v>1.68</v>
      </c>
      <c r="P2468" s="172" t="inlineStr">
        <is>
          <t>优先级</t>
        </is>
      </c>
      <c r="Q2468" s="178" t="n">
        <v>0.9</v>
      </c>
      <c r="R2468" s="179" t="n">
        <v>9</v>
      </c>
      <c r="S2468" s="177" t="inlineStr">
        <is>
          <t>AAA</t>
        </is>
      </c>
      <c r="T2468" s="178" t="n">
        <v>0.0157</v>
      </c>
      <c r="U2468" s="177" t="inlineStr">
        <is>
          <t>中银理财</t>
        </is>
      </c>
      <c r="V2468" s="192" t="n">
        <v>1</v>
      </c>
      <c r="W2468" s="175" t="n">
        <v>0.0155</v>
      </c>
      <c r="X2468" s="172" t="inlineStr">
        <is>
          <t>中银理财</t>
        </is>
      </c>
      <c r="Y2468" s="191" t="n">
        <v>1</v>
      </c>
    </row>
    <row r="2469">
      <c r="A2469" s="172" t="n">
        <v>134</v>
      </c>
      <c r="B2469" s="172" t="inlineStr">
        <is>
          <t>8月</t>
        </is>
      </c>
      <c r="C2469" s="172" t="inlineStr">
        <is>
          <t>消金</t>
        </is>
      </c>
      <c r="D2469" s="172" t="inlineStr">
        <is>
          <t>赊销白条</t>
        </is>
      </c>
      <c r="E2469" s="172" t="inlineStr">
        <is>
          <t>东裕4号伯裕（续发）</t>
        </is>
      </c>
      <c r="F2469" s="172" t="inlineStr">
        <is>
          <t>银行间</t>
        </is>
      </c>
      <c r="G2469" s="172" t="inlineStr">
        <is>
          <t>中信证券</t>
        </is>
      </c>
      <c r="H2469" s="172" t="inlineStr">
        <is>
          <t>南京银行/国泰海通/东方证券/国开证券</t>
        </is>
      </c>
      <c r="I2469" s="172" t="inlineStr">
        <is>
          <t>交行北分</t>
        </is>
      </c>
      <c r="J2469" s="172" t="n">
        <v>9.449999999999999</v>
      </c>
      <c r="K2469" s="172" t="inlineStr">
        <is>
          <t>9+3</t>
        </is>
      </c>
      <c r="L2469" s="208" t="n">
        <v>46258</v>
      </c>
      <c r="M2469" s="175" t="n">
        <v>0.0148</v>
      </c>
      <c r="N2469" s="176" t="n">
        <v>0.0193</v>
      </c>
      <c r="O2469" s="172" t="n">
        <v>1.68</v>
      </c>
      <c r="P2469" s="172" t="inlineStr">
        <is>
          <t>优先级</t>
        </is>
      </c>
      <c r="Q2469" s="175" t="n">
        <v>0.9</v>
      </c>
      <c r="R2469" s="192" t="n">
        <v>9</v>
      </c>
      <c r="S2469" s="172" t="inlineStr">
        <is>
          <t>AAA</t>
        </is>
      </c>
      <c r="T2469" s="175" t="n">
        <v>0.0157</v>
      </c>
      <c r="U2469" s="172" t="n"/>
      <c r="V2469" s="172" t="n"/>
      <c r="W2469" s="175" t="n">
        <v>0.016</v>
      </c>
      <c r="X2469" s="172" t="inlineStr">
        <is>
          <t>中邮理财</t>
        </is>
      </c>
      <c r="Y2469" s="191" t="n">
        <v>2.2</v>
      </c>
    </row>
    <row r="2470">
      <c r="A2470" s="172" t="n">
        <v>134</v>
      </c>
      <c r="B2470" s="172" t="inlineStr">
        <is>
          <t>8月</t>
        </is>
      </c>
      <c r="C2470" s="172" t="inlineStr">
        <is>
          <t>消金</t>
        </is>
      </c>
      <c r="D2470" s="172" t="inlineStr">
        <is>
          <t>赊销白条</t>
        </is>
      </c>
      <c r="E2470" s="172" t="inlineStr">
        <is>
          <t>东裕4号伯裕（续发）</t>
        </is>
      </c>
      <c r="F2470" s="172" t="inlineStr">
        <is>
          <t>银行间</t>
        </is>
      </c>
      <c r="G2470" s="172" t="inlineStr">
        <is>
          <t>中信证券</t>
        </is>
      </c>
      <c r="H2470" s="172" t="inlineStr">
        <is>
          <t>南京银行/国泰海通/东方证券/国开证券</t>
        </is>
      </c>
      <c r="I2470" s="172" t="inlineStr">
        <is>
          <t>交行北分</t>
        </is>
      </c>
      <c r="J2470" s="172" t="n">
        <v>9.449999999999999</v>
      </c>
      <c r="K2470" s="172" t="inlineStr">
        <is>
          <t>9+3</t>
        </is>
      </c>
      <c r="L2470" s="208" t="n">
        <v>46258</v>
      </c>
      <c r="M2470" s="175" t="n">
        <v>0.0148</v>
      </c>
      <c r="N2470" s="176" t="n">
        <v>0.0193</v>
      </c>
      <c r="O2470" s="172" t="n">
        <v>1.68</v>
      </c>
      <c r="P2470" s="172" t="inlineStr">
        <is>
          <t>优先级</t>
        </is>
      </c>
      <c r="Q2470" s="175" t="n">
        <v>0.9</v>
      </c>
      <c r="R2470" s="192" t="n">
        <v>9</v>
      </c>
      <c r="S2470" s="172" t="inlineStr">
        <is>
          <t>AAA</t>
        </is>
      </c>
      <c r="T2470" s="175" t="n">
        <v>0.0157</v>
      </c>
      <c r="U2470" s="172" t="n"/>
      <c r="V2470" s="172" t="n"/>
      <c r="W2470" s="175" t="n">
        <v>0.0161</v>
      </c>
      <c r="X2470" s="172" t="inlineStr">
        <is>
          <t>中邮理财</t>
        </is>
      </c>
      <c r="Y2470" s="191" t="n">
        <v>0.5</v>
      </c>
    </row>
    <row r="2471">
      <c r="A2471" s="172" t="n">
        <v>134</v>
      </c>
      <c r="B2471" s="172" t="inlineStr">
        <is>
          <t>8月</t>
        </is>
      </c>
      <c r="C2471" s="172" t="inlineStr">
        <is>
          <t>消金</t>
        </is>
      </c>
      <c r="D2471" s="172" t="inlineStr">
        <is>
          <t>赊销白条</t>
        </is>
      </c>
      <c r="E2471" s="172" t="inlineStr">
        <is>
          <t>东裕4号伯裕（续发）</t>
        </is>
      </c>
      <c r="F2471" s="172" t="inlineStr">
        <is>
          <t>银行间</t>
        </is>
      </c>
      <c r="G2471" s="172" t="inlineStr">
        <is>
          <t>中信证券</t>
        </is>
      </c>
      <c r="H2471" s="172" t="inlineStr">
        <is>
          <t>南京银行/国泰海通/东方证券/国开证券</t>
        </is>
      </c>
      <c r="I2471" s="172" t="inlineStr">
        <is>
          <t>交行北分</t>
        </is>
      </c>
      <c r="J2471" s="172" t="n">
        <v>9.449999999999999</v>
      </c>
      <c r="K2471" s="172" t="inlineStr">
        <is>
          <t>9+3</t>
        </is>
      </c>
      <c r="L2471" s="208" t="n">
        <v>46258</v>
      </c>
      <c r="M2471" s="175" t="n">
        <v>0.0148</v>
      </c>
      <c r="N2471" s="176" t="n">
        <v>0.0193</v>
      </c>
      <c r="O2471" s="172" t="n">
        <v>1.68</v>
      </c>
      <c r="P2471" s="172" t="inlineStr">
        <is>
          <t>优先级</t>
        </is>
      </c>
      <c r="Q2471" s="175" t="n">
        <v>0.9</v>
      </c>
      <c r="R2471" s="192" t="n">
        <v>9</v>
      </c>
      <c r="S2471" s="172" t="inlineStr">
        <is>
          <t>AAA</t>
        </is>
      </c>
      <c r="T2471" s="175" t="n">
        <v>0.0157</v>
      </c>
      <c r="U2471" s="172" t="n"/>
      <c r="V2471" s="172" t="n"/>
      <c r="W2471" s="175" t="n">
        <v>0.0162</v>
      </c>
      <c r="X2471" s="172" t="inlineStr">
        <is>
          <t>建信理财</t>
        </is>
      </c>
      <c r="Y2471" s="191" t="n">
        <v>0.9</v>
      </c>
    </row>
    <row r="2472">
      <c r="A2472" s="172" t="n">
        <v>134</v>
      </c>
      <c r="B2472" s="172" t="inlineStr">
        <is>
          <t>8月</t>
        </is>
      </c>
      <c r="C2472" s="172" t="inlineStr">
        <is>
          <t>消金</t>
        </is>
      </c>
      <c r="D2472" s="172" t="inlineStr">
        <is>
          <t>赊销白条</t>
        </is>
      </c>
      <c r="E2472" s="172" t="inlineStr">
        <is>
          <t>东裕4号伯裕（续发）</t>
        </is>
      </c>
      <c r="F2472" s="172" t="inlineStr">
        <is>
          <t>银行间</t>
        </is>
      </c>
      <c r="G2472" s="172" t="inlineStr">
        <is>
          <t>中信证券</t>
        </is>
      </c>
      <c r="H2472" s="172" t="inlineStr">
        <is>
          <t>南京银行/国泰海通/东方证券/国开证券</t>
        </is>
      </c>
      <c r="I2472" s="172" t="inlineStr">
        <is>
          <t>交行北分</t>
        </is>
      </c>
      <c r="J2472" s="172" t="n">
        <v>9.449999999999999</v>
      </c>
      <c r="K2472" s="172" t="inlineStr">
        <is>
          <t>9+3</t>
        </is>
      </c>
      <c r="L2472" s="208" t="n">
        <v>46258</v>
      </c>
      <c r="M2472" s="175" t="n">
        <v>0.0148</v>
      </c>
      <c r="N2472" s="176" t="n">
        <v>0.0193</v>
      </c>
      <c r="O2472" s="172" t="n">
        <v>1.68</v>
      </c>
      <c r="P2472" s="172" t="inlineStr">
        <is>
          <t>优先级</t>
        </is>
      </c>
      <c r="Q2472" s="175" t="n">
        <v>0.9</v>
      </c>
      <c r="R2472" s="192" t="n">
        <v>9</v>
      </c>
      <c r="S2472" s="172" t="inlineStr">
        <is>
          <t>AAA</t>
        </is>
      </c>
      <c r="T2472" s="175" t="n">
        <v>0.0157</v>
      </c>
      <c r="U2472" s="172" t="n"/>
      <c r="V2472" s="172" t="n"/>
      <c r="W2472" s="175" t="n">
        <v>0.0162</v>
      </c>
      <c r="X2472" s="172" t="inlineStr">
        <is>
          <t>国开证券（投行上报）</t>
        </is>
      </c>
      <c r="Y2472" s="191" t="n">
        <v>1</v>
      </c>
    </row>
    <row r="2473">
      <c r="A2473" s="172" t="n">
        <v>134</v>
      </c>
      <c r="B2473" s="172" t="inlineStr">
        <is>
          <t>8月</t>
        </is>
      </c>
      <c r="C2473" s="172" t="inlineStr">
        <is>
          <t>消金</t>
        </is>
      </c>
      <c r="D2473" s="172" t="inlineStr">
        <is>
          <t>赊销白条</t>
        </is>
      </c>
      <c r="E2473" s="172" t="inlineStr">
        <is>
          <t>东裕4号伯裕（续发）</t>
        </is>
      </c>
      <c r="F2473" s="172" t="inlineStr">
        <is>
          <t>银行间</t>
        </is>
      </c>
      <c r="G2473" s="172" t="inlineStr">
        <is>
          <t>中信证券</t>
        </is>
      </c>
      <c r="H2473" s="172" t="inlineStr">
        <is>
          <t>南京银行/国泰海通/东方证券/国开证券</t>
        </is>
      </c>
      <c r="I2473" s="172" t="inlineStr">
        <is>
          <t>交行北分</t>
        </is>
      </c>
      <c r="J2473" s="172" t="n">
        <v>9.449999999999999</v>
      </c>
      <c r="K2473" s="172" t="inlineStr">
        <is>
          <t>9+3</t>
        </is>
      </c>
      <c r="L2473" s="208" t="n">
        <v>46258</v>
      </c>
      <c r="M2473" s="175" t="n">
        <v>0.0148</v>
      </c>
      <c r="N2473" s="176" t="n">
        <v>0.0193</v>
      </c>
      <c r="O2473" s="172" t="n">
        <v>1.68</v>
      </c>
      <c r="P2473" s="172" t="inlineStr">
        <is>
          <t>优先级</t>
        </is>
      </c>
      <c r="Q2473" s="175" t="n">
        <v>0.9</v>
      </c>
      <c r="R2473" s="192" t="n">
        <v>9</v>
      </c>
      <c r="S2473" s="172" t="inlineStr">
        <is>
          <t>AAA</t>
        </is>
      </c>
      <c r="T2473" s="175" t="n">
        <v>0.0157</v>
      </c>
      <c r="U2473" s="172" t="n"/>
      <c r="V2473" s="172" t="n"/>
      <c r="W2473" s="175" t="n">
        <v>0.017</v>
      </c>
      <c r="X2473" s="172" t="inlineStr">
        <is>
          <t>中信证券（投行上报）</t>
        </is>
      </c>
      <c r="Y2473" s="191" t="n">
        <v>1.4</v>
      </c>
    </row>
    <row r="2474">
      <c r="A2474" s="172" t="n">
        <v>134</v>
      </c>
      <c r="B2474" s="173" t="inlineStr">
        <is>
          <t>8月</t>
        </is>
      </c>
      <c r="C2474" s="173" t="inlineStr">
        <is>
          <t>消金</t>
        </is>
      </c>
      <c r="D2474" s="173" t="inlineStr">
        <is>
          <t>赊销白条</t>
        </is>
      </c>
      <c r="E2474" s="173" t="inlineStr">
        <is>
          <t>东裕4号伯裕（续发）</t>
        </is>
      </c>
      <c r="F2474" s="173" t="inlineStr">
        <is>
          <t>银行间</t>
        </is>
      </c>
      <c r="G2474" s="173" t="inlineStr">
        <is>
          <t>中信证券</t>
        </is>
      </c>
      <c r="H2474" s="173" t="inlineStr">
        <is>
          <t>南京银行/国泰海通/东方证券/国开证券</t>
        </is>
      </c>
      <c r="I2474" s="173" t="inlineStr">
        <is>
          <t>交行北分</t>
        </is>
      </c>
      <c r="J2474" s="172" t="n">
        <v>9.449999999999999</v>
      </c>
      <c r="K2474" s="173" t="inlineStr">
        <is>
          <t>9+3</t>
        </is>
      </c>
      <c r="L2474" s="202" t="n">
        <v>46258</v>
      </c>
      <c r="M2474" s="175" t="n">
        <v>0.0148</v>
      </c>
      <c r="N2474" s="176" t="n">
        <v>0.0193</v>
      </c>
      <c r="O2474" s="191" t="n">
        <v>1.68</v>
      </c>
      <c r="P2474" s="177" t="inlineStr">
        <is>
          <t>中间级</t>
        </is>
      </c>
      <c r="Q2474" s="178" t="n">
        <v>0.045</v>
      </c>
      <c r="R2474" s="179" t="n">
        <v>0.45</v>
      </c>
      <c r="S2474" s="177" t="inlineStr">
        <is>
          <t>A+</t>
        </is>
      </c>
      <c r="T2474" s="178" t="n">
        <v>0.031</v>
      </c>
      <c r="U2474" s="177" t="inlineStr">
        <is>
          <t>平安理财</t>
        </is>
      </c>
      <c r="V2474" s="192" t="n">
        <v>0.13</v>
      </c>
      <c r="W2474" s="172" t="n"/>
      <c r="X2474" s="172" t="n"/>
      <c r="Y2474" s="172" t="n"/>
    </row>
    <row r="2475">
      <c r="A2475" s="172" t="n">
        <v>134</v>
      </c>
      <c r="B2475" s="173" t="inlineStr">
        <is>
          <t>8月</t>
        </is>
      </c>
      <c r="C2475" s="173" t="inlineStr">
        <is>
          <t>消金</t>
        </is>
      </c>
      <c r="D2475" s="173" t="inlineStr">
        <is>
          <t>赊销白条</t>
        </is>
      </c>
      <c r="E2475" s="173" t="inlineStr">
        <is>
          <t>东裕4号伯裕（续发）</t>
        </is>
      </c>
      <c r="F2475" s="173" t="inlineStr">
        <is>
          <t>银行间</t>
        </is>
      </c>
      <c r="G2475" s="173" t="inlineStr">
        <is>
          <t>中信证券</t>
        </is>
      </c>
      <c r="H2475" s="173" t="inlineStr">
        <is>
          <t>南京银行/国泰海通/东方证券/国开证券</t>
        </is>
      </c>
      <c r="I2475" s="173" t="inlineStr">
        <is>
          <t>交行北分</t>
        </is>
      </c>
      <c r="J2475" s="172" t="n">
        <v>9.449999999999999</v>
      </c>
      <c r="K2475" s="173" t="inlineStr">
        <is>
          <t>9+3</t>
        </is>
      </c>
      <c r="L2475" s="202" t="n">
        <v>46258</v>
      </c>
      <c r="M2475" s="175" t="n">
        <v>0.0148</v>
      </c>
      <c r="N2475" s="176" t="n">
        <v>0.0193</v>
      </c>
      <c r="O2475" s="191" t="n">
        <v>1.68</v>
      </c>
      <c r="P2475" s="172" t="inlineStr">
        <is>
          <t>中间级</t>
        </is>
      </c>
      <c r="Q2475" s="178" t="n">
        <v>0.045</v>
      </c>
      <c r="R2475" s="179" t="n">
        <v>0.45</v>
      </c>
      <c r="S2475" s="177" t="inlineStr">
        <is>
          <t>A+</t>
        </is>
      </c>
      <c r="T2475" s="178" t="n">
        <v>0.031</v>
      </c>
      <c r="U2475" s="177" t="inlineStr">
        <is>
          <t>招银理财</t>
        </is>
      </c>
      <c r="V2475" s="192" t="n">
        <v>0.13</v>
      </c>
      <c r="W2475" s="172" t="n"/>
      <c r="X2475" s="172" t="n"/>
      <c r="Y2475" s="172" t="n"/>
    </row>
    <row r="2476">
      <c r="A2476" s="172" t="n">
        <v>134</v>
      </c>
      <c r="B2476" s="173" t="inlineStr">
        <is>
          <t>8月</t>
        </is>
      </c>
      <c r="C2476" s="173" t="inlineStr">
        <is>
          <t>消金</t>
        </is>
      </c>
      <c r="D2476" s="173" t="inlineStr">
        <is>
          <t>赊销白条</t>
        </is>
      </c>
      <c r="E2476" s="173" t="inlineStr">
        <is>
          <t>东裕4号伯裕（续发）</t>
        </is>
      </c>
      <c r="F2476" s="173" t="inlineStr">
        <is>
          <t>银行间</t>
        </is>
      </c>
      <c r="G2476" s="173" t="inlineStr">
        <is>
          <t>中信证券</t>
        </is>
      </c>
      <c r="H2476" s="173" t="inlineStr">
        <is>
          <t>南京银行/国泰海通/东方证券/国开证券</t>
        </is>
      </c>
      <c r="I2476" s="173" t="inlineStr">
        <is>
          <t>交行北分</t>
        </is>
      </c>
      <c r="J2476" s="172" t="n">
        <v>9.449999999999999</v>
      </c>
      <c r="K2476" s="173" t="inlineStr">
        <is>
          <t>9+3</t>
        </is>
      </c>
      <c r="L2476" s="202" t="n">
        <v>46258</v>
      </c>
      <c r="M2476" s="175" t="n">
        <v>0.0148</v>
      </c>
      <c r="N2476" s="176" t="n">
        <v>0.0193</v>
      </c>
      <c r="O2476" s="191" t="n">
        <v>1.68</v>
      </c>
      <c r="P2476" s="172" t="inlineStr">
        <is>
          <t>中间级</t>
        </is>
      </c>
      <c r="Q2476" s="178" t="n">
        <v>0.045</v>
      </c>
      <c r="R2476" s="179" t="n">
        <v>0.45</v>
      </c>
      <c r="S2476" s="177" t="inlineStr">
        <is>
          <t>A+</t>
        </is>
      </c>
      <c r="T2476" s="178" t="n">
        <v>0.031</v>
      </c>
      <c r="U2476" s="177" t="inlineStr">
        <is>
          <t>朗姿韩亚</t>
        </is>
      </c>
      <c r="V2476" s="192" t="n">
        <v>0.09</v>
      </c>
      <c r="W2476" s="172" t="n"/>
      <c r="X2476" s="172" t="n"/>
      <c r="Y2476" s="172" t="n"/>
    </row>
    <row r="2477">
      <c r="A2477" s="172" t="n">
        <v>134</v>
      </c>
      <c r="B2477" s="173" t="inlineStr">
        <is>
          <t>8月</t>
        </is>
      </c>
      <c r="C2477" s="173" t="inlineStr">
        <is>
          <t>消金</t>
        </is>
      </c>
      <c r="D2477" s="173" t="inlineStr">
        <is>
          <t>赊销白条</t>
        </is>
      </c>
      <c r="E2477" s="173" t="inlineStr">
        <is>
          <t>东裕4号伯裕（续发）</t>
        </is>
      </c>
      <c r="F2477" s="173" t="inlineStr">
        <is>
          <t>银行间</t>
        </is>
      </c>
      <c r="G2477" s="173" t="inlineStr">
        <is>
          <t>中信证券</t>
        </is>
      </c>
      <c r="H2477" s="173" t="inlineStr">
        <is>
          <t>南京银行/国泰海通/东方证券/国开证券</t>
        </is>
      </c>
      <c r="I2477" s="173" t="inlineStr">
        <is>
          <t>交行北分</t>
        </is>
      </c>
      <c r="J2477" s="172" t="n">
        <v>9.449999999999999</v>
      </c>
      <c r="K2477" s="173" t="inlineStr">
        <is>
          <t>9+3</t>
        </is>
      </c>
      <c r="L2477" s="202" t="n">
        <v>46258</v>
      </c>
      <c r="M2477" s="175" t="n">
        <v>0.0148</v>
      </c>
      <c r="N2477" s="176" t="n">
        <v>0.0193</v>
      </c>
      <c r="O2477" s="191" t="n">
        <v>1.68</v>
      </c>
      <c r="P2477" s="172" t="inlineStr">
        <is>
          <t>中间级</t>
        </is>
      </c>
      <c r="Q2477" s="178" t="n">
        <v>0.045</v>
      </c>
      <c r="R2477" s="179" t="n">
        <v>0.45</v>
      </c>
      <c r="S2477" s="177" t="inlineStr">
        <is>
          <t>A+</t>
        </is>
      </c>
      <c r="T2477" s="178" t="n">
        <v>0.031</v>
      </c>
      <c r="U2477" s="177" t="inlineStr">
        <is>
          <t>中金投顾</t>
        </is>
      </c>
      <c r="V2477" s="192" t="n">
        <v>0.1</v>
      </c>
      <c r="W2477" s="172" t="n"/>
      <c r="X2477" s="172" t="n"/>
      <c r="Y2477" s="172" t="n"/>
    </row>
    <row r="2478">
      <c r="A2478" s="172" t="n">
        <v>135</v>
      </c>
      <c r="B2478" s="173" t="inlineStr">
        <is>
          <t>8月</t>
        </is>
      </c>
      <c r="C2478" s="173" t="inlineStr">
        <is>
          <t>消金</t>
        </is>
      </c>
      <c r="D2478" s="173" t="inlineStr">
        <is>
          <t>赊销白条</t>
        </is>
      </c>
      <c r="E2478" s="173" t="inlineStr">
        <is>
          <t>26东裕9号二期</t>
        </is>
      </c>
      <c r="F2478" s="173" t="inlineStr">
        <is>
          <t>银行间</t>
        </is>
      </c>
      <c r="G2478" s="173" t="inlineStr">
        <is>
          <t>国泰海通</t>
        </is>
      </c>
      <c r="H2478" s="173" t="inlineStr">
        <is>
          <t>中信建投/兴业证券/招商证券/中信证券</t>
        </is>
      </c>
      <c r="I2478" s="173" t="inlineStr">
        <is>
          <t>邮储北分</t>
        </is>
      </c>
      <c r="J2478" s="172" t="n">
        <v>10</v>
      </c>
      <c r="K2478" s="173" t="inlineStr">
        <is>
          <t>22+2</t>
        </is>
      </c>
      <c r="L2478" s="202" t="n">
        <v>46259</v>
      </c>
      <c r="M2478" s="175" t="n">
        <v>0.0148</v>
      </c>
      <c r="N2478" s="176" t="n">
        <v>0.0201</v>
      </c>
      <c r="O2478" s="191" t="n">
        <v>2.2</v>
      </c>
      <c r="P2478" s="177" t="inlineStr">
        <is>
          <t>优先A</t>
        </is>
      </c>
      <c r="Q2478" s="178" t="n">
        <v>0.87</v>
      </c>
      <c r="R2478" s="179" t="n">
        <v>8.699999999999999</v>
      </c>
      <c r="S2478" s="177" t="inlineStr">
        <is>
          <t>AAA</t>
        </is>
      </c>
      <c r="T2478" s="178" t="n">
        <v>0.0178</v>
      </c>
      <c r="U2478" s="172" t="inlineStr">
        <is>
          <t>招银理财</t>
        </is>
      </c>
      <c r="V2478" s="192" t="n">
        <v>2.61</v>
      </c>
      <c r="W2478" s="175" t="n">
        <v>0.0167</v>
      </c>
      <c r="X2478" s="172" t="inlineStr">
        <is>
          <t>招银理财</t>
        </is>
      </c>
      <c r="Y2478" s="191" t="n">
        <v>2.61</v>
      </c>
    </row>
    <row r="2479">
      <c r="A2479" s="172" t="n">
        <v>135</v>
      </c>
      <c r="B2479" s="173" t="inlineStr">
        <is>
          <t>8月</t>
        </is>
      </c>
      <c r="C2479" s="173" t="inlineStr">
        <is>
          <t>消金</t>
        </is>
      </c>
      <c r="D2479" s="173" t="inlineStr">
        <is>
          <t>赊销白条</t>
        </is>
      </c>
      <c r="E2479" s="173" t="inlineStr">
        <is>
          <t>26东裕9号二期</t>
        </is>
      </c>
      <c r="F2479" s="173" t="inlineStr">
        <is>
          <t>银行间</t>
        </is>
      </c>
      <c r="G2479" s="173" t="inlineStr">
        <is>
          <t>国泰海通</t>
        </is>
      </c>
      <c r="H2479" s="173" t="inlineStr">
        <is>
          <t>中信建投/兴业证券/招商证券/中信证券</t>
        </is>
      </c>
      <c r="I2479" s="173" t="inlineStr">
        <is>
          <t>邮储北分</t>
        </is>
      </c>
      <c r="J2479" s="172" t="n">
        <v>10</v>
      </c>
      <c r="K2479" s="173" t="inlineStr">
        <is>
          <t>22+2</t>
        </is>
      </c>
      <c r="L2479" s="202" t="n">
        <v>46259</v>
      </c>
      <c r="M2479" s="175" t="n">
        <v>0.0148</v>
      </c>
      <c r="N2479" s="176" t="n">
        <v>0.0201</v>
      </c>
      <c r="O2479" s="191" t="n">
        <v>2.2</v>
      </c>
      <c r="P2479" s="172" t="inlineStr">
        <is>
          <t>优先A</t>
        </is>
      </c>
      <c r="Q2479" s="178" t="n">
        <v>0.87</v>
      </c>
      <c r="R2479" s="179" t="n">
        <v>8.699999999999999</v>
      </c>
      <c r="S2479" s="177" t="inlineStr">
        <is>
          <t>AAA</t>
        </is>
      </c>
      <c r="T2479" s="178" t="n">
        <v>0.0178</v>
      </c>
      <c r="U2479" s="177" t="inlineStr">
        <is>
          <t>信银理财</t>
        </is>
      </c>
      <c r="V2479" s="192" t="n">
        <v>2.61</v>
      </c>
      <c r="W2479" s="175" t="n">
        <v>0.0175</v>
      </c>
      <c r="X2479" s="172" t="inlineStr">
        <is>
          <t>信银理财</t>
        </is>
      </c>
      <c r="Y2479" s="191" t="n">
        <v>2.61</v>
      </c>
    </row>
    <row r="2480">
      <c r="A2480" s="172" t="n">
        <v>135</v>
      </c>
      <c r="B2480" s="173" t="inlineStr">
        <is>
          <t>8月</t>
        </is>
      </c>
      <c r="C2480" s="173" t="inlineStr">
        <is>
          <t>消金</t>
        </is>
      </c>
      <c r="D2480" s="173" t="inlineStr">
        <is>
          <t>赊销白条</t>
        </is>
      </c>
      <c r="E2480" s="173" t="inlineStr">
        <is>
          <t>26东裕9号二期</t>
        </is>
      </c>
      <c r="F2480" s="173" t="inlineStr">
        <is>
          <t>银行间</t>
        </is>
      </c>
      <c r="G2480" s="173" t="inlineStr">
        <is>
          <t>国泰海通</t>
        </is>
      </c>
      <c r="H2480" s="173" t="inlineStr">
        <is>
          <t>中信建投/兴业证券/招商证券/中信证券</t>
        </is>
      </c>
      <c r="I2480" s="173" t="inlineStr">
        <is>
          <t>邮储北分</t>
        </is>
      </c>
      <c r="J2480" s="172" t="n">
        <v>10</v>
      </c>
      <c r="K2480" s="173" t="inlineStr">
        <is>
          <t>22+2</t>
        </is>
      </c>
      <c r="L2480" s="202" t="n">
        <v>46259</v>
      </c>
      <c r="M2480" s="175" t="n">
        <v>0.0148</v>
      </c>
      <c r="N2480" s="176" t="n">
        <v>0.0201</v>
      </c>
      <c r="O2480" s="191" t="n">
        <v>2.2</v>
      </c>
      <c r="P2480" s="172" t="inlineStr">
        <is>
          <t>优先A</t>
        </is>
      </c>
      <c r="Q2480" s="178" t="n">
        <v>0.87</v>
      </c>
      <c r="R2480" s="179" t="n">
        <v>8.699999999999999</v>
      </c>
      <c r="S2480" s="177" t="inlineStr">
        <is>
          <t>AAA</t>
        </is>
      </c>
      <c r="T2480" s="178" t="n">
        <v>0.0178</v>
      </c>
      <c r="U2480" s="177" t="inlineStr">
        <is>
          <t>工银理财</t>
        </is>
      </c>
      <c r="V2480" s="192" t="n">
        <v>1.13</v>
      </c>
      <c r="W2480" s="175" t="n">
        <v>0.0178</v>
      </c>
      <c r="X2480" s="172" t="inlineStr">
        <is>
          <t>工银理财</t>
        </is>
      </c>
      <c r="Y2480" s="191" t="n">
        <v>2.5</v>
      </c>
    </row>
    <row r="2481">
      <c r="A2481" s="172" t="n">
        <v>135</v>
      </c>
      <c r="B2481" s="173" t="inlineStr">
        <is>
          <t>8月</t>
        </is>
      </c>
      <c r="C2481" s="173" t="inlineStr">
        <is>
          <t>消金</t>
        </is>
      </c>
      <c r="D2481" s="173" t="inlineStr">
        <is>
          <t>赊销白条</t>
        </is>
      </c>
      <c r="E2481" s="173" t="inlineStr">
        <is>
          <t>26东裕9号二期</t>
        </is>
      </c>
      <c r="F2481" s="173" t="inlineStr">
        <is>
          <t>银行间</t>
        </is>
      </c>
      <c r="G2481" s="173" t="inlineStr">
        <is>
          <t>国泰海通</t>
        </is>
      </c>
      <c r="H2481" s="173" t="inlineStr">
        <is>
          <t>中信建投/兴业证券/招商证券/中信证券</t>
        </is>
      </c>
      <c r="I2481" s="173" t="inlineStr">
        <is>
          <t>邮储北分</t>
        </is>
      </c>
      <c r="J2481" s="172" t="n">
        <v>10</v>
      </c>
      <c r="K2481" s="173" t="inlineStr">
        <is>
          <t>22+2</t>
        </is>
      </c>
      <c r="L2481" s="202" t="n">
        <v>46259</v>
      </c>
      <c r="M2481" s="175" t="n">
        <v>0.0148</v>
      </c>
      <c r="N2481" s="176" t="n">
        <v>0.0201</v>
      </c>
      <c r="O2481" s="191" t="n">
        <v>2.2</v>
      </c>
      <c r="P2481" s="172" t="inlineStr">
        <is>
          <t>优先A</t>
        </is>
      </c>
      <c r="Q2481" s="178" t="n">
        <v>0.87</v>
      </c>
      <c r="R2481" s="179" t="n">
        <v>8.699999999999999</v>
      </c>
      <c r="S2481" s="177" t="inlineStr">
        <is>
          <t>AAA</t>
        </is>
      </c>
      <c r="T2481" s="178" t="n">
        <v>0.0178</v>
      </c>
      <c r="U2481" s="177" t="inlineStr">
        <is>
          <t>华夏基金</t>
        </is>
      </c>
      <c r="V2481" s="192" t="n">
        <v>1</v>
      </c>
      <c r="W2481" s="175" t="n">
        <v>0.0177</v>
      </c>
      <c r="X2481" s="172" t="inlineStr">
        <is>
          <t>华夏基金</t>
        </is>
      </c>
      <c r="Y2481" s="191" t="n">
        <v>1</v>
      </c>
    </row>
    <row r="2482">
      <c r="A2482" s="172" t="n">
        <v>135</v>
      </c>
      <c r="B2482" s="173" t="inlineStr">
        <is>
          <t>8月</t>
        </is>
      </c>
      <c r="C2482" s="173" t="inlineStr">
        <is>
          <t>消金</t>
        </is>
      </c>
      <c r="D2482" s="173" t="inlineStr">
        <is>
          <t>赊销白条</t>
        </is>
      </c>
      <c r="E2482" s="173" t="inlineStr">
        <is>
          <t>26东裕9号二期</t>
        </is>
      </c>
      <c r="F2482" s="173" t="inlineStr">
        <is>
          <t>银行间</t>
        </is>
      </c>
      <c r="G2482" s="173" t="inlineStr">
        <is>
          <t>国泰海通</t>
        </is>
      </c>
      <c r="H2482" s="173" t="inlineStr">
        <is>
          <t>中信建投/兴业证券/招商证券/中信证券</t>
        </is>
      </c>
      <c r="I2482" s="173" t="inlineStr">
        <is>
          <t>邮储北分</t>
        </is>
      </c>
      <c r="J2482" s="172" t="n">
        <v>10</v>
      </c>
      <c r="K2482" s="173" t="inlineStr">
        <is>
          <t>22+2</t>
        </is>
      </c>
      <c r="L2482" s="202" t="n">
        <v>46259</v>
      </c>
      <c r="M2482" s="175" t="n">
        <v>0.0148</v>
      </c>
      <c r="N2482" s="176" t="n">
        <v>0.0201</v>
      </c>
      <c r="O2482" s="191" t="n">
        <v>2.2</v>
      </c>
      <c r="P2482" s="172" t="inlineStr">
        <is>
          <t>优先A</t>
        </is>
      </c>
      <c r="Q2482" s="178" t="n">
        <v>0.87</v>
      </c>
      <c r="R2482" s="179" t="n">
        <v>8.699999999999999</v>
      </c>
      <c r="S2482" s="177" t="inlineStr">
        <is>
          <t>AAA</t>
        </is>
      </c>
      <c r="T2482" s="178" t="n">
        <v>0.0178</v>
      </c>
      <c r="U2482" s="177" t="inlineStr">
        <is>
          <t>易方达基金</t>
        </is>
      </c>
      <c r="V2482" s="192" t="n">
        <v>0.8</v>
      </c>
      <c r="W2482" s="175" t="n">
        <v>0.0173</v>
      </c>
      <c r="X2482" s="172" t="inlineStr">
        <is>
          <t>易方达基金</t>
        </is>
      </c>
      <c r="Y2482" s="191" t="n">
        <v>0.8</v>
      </c>
    </row>
    <row r="2483">
      <c r="A2483" s="172" t="n">
        <v>135</v>
      </c>
      <c r="B2483" s="173" t="inlineStr">
        <is>
          <t>8月</t>
        </is>
      </c>
      <c r="C2483" s="173" t="inlineStr">
        <is>
          <t>消金</t>
        </is>
      </c>
      <c r="D2483" s="173" t="inlineStr">
        <is>
          <t>赊销白条</t>
        </is>
      </c>
      <c r="E2483" s="173" t="inlineStr">
        <is>
          <t>26东裕9号二期</t>
        </is>
      </c>
      <c r="F2483" s="173" t="inlineStr">
        <is>
          <t>银行间</t>
        </is>
      </c>
      <c r="G2483" s="173" t="inlineStr">
        <is>
          <t>国泰海通</t>
        </is>
      </c>
      <c r="H2483" s="173" t="inlineStr">
        <is>
          <t>中信建投/兴业证券/招商证券/中信证券</t>
        </is>
      </c>
      <c r="I2483" s="173" t="inlineStr">
        <is>
          <t>邮储北分</t>
        </is>
      </c>
      <c r="J2483" s="172" t="n">
        <v>10</v>
      </c>
      <c r="K2483" s="173" t="inlineStr">
        <is>
          <t>22+2</t>
        </is>
      </c>
      <c r="L2483" s="202" t="n">
        <v>46259</v>
      </c>
      <c r="M2483" s="175" t="n">
        <v>0.0148</v>
      </c>
      <c r="N2483" s="176" t="n">
        <v>0.0201</v>
      </c>
      <c r="O2483" s="191" t="n">
        <v>2.2</v>
      </c>
      <c r="P2483" s="172" t="inlineStr">
        <is>
          <t>优先A</t>
        </is>
      </c>
      <c r="Q2483" s="178" t="n">
        <v>0.87</v>
      </c>
      <c r="R2483" s="179" t="n">
        <v>8.699999999999999</v>
      </c>
      <c r="S2483" s="177" t="inlineStr">
        <is>
          <t>AAA</t>
        </is>
      </c>
      <c r="T2483" s="178" t="n">
        <v>0.0178</v>
      </c>
      <c r="U2483" s="177" t="inlineStr">
        <is>
          <t>中金自营</t>
        </is>
      </c>
      <c r="V2483" s="192" t="n">
        <v>0.3</v>
      </c>
      <c r="W2483" s="172" t="n"/>
      <c r="X2483" s="172" t="n"/>
      <c r="Y2483" s="172" t="n"/>
    </row>
    <row r="2484">
      <c r="A2484" s="172" t="n">
        <v>135</v>
      </c>
      <c r="B2484" s="173" t="inlineStr">
        <is>
          <t>8月</t>
        </is>
      </c>
      <c r="C2484" s="173" t="inlineStr">
        <is>
          <t>消金</t>
        </is>
      </c>
      <c r="D2484" s="173" t="inlineStr">
        <is>
          <t>赊销白条</t>
        </is>
      </c>
      <c r="E2484" s="173" t="inlineStr">
        <is>
          <t>26东裕9号二期</t>
        </is>
      </c>
      <c r="F2484" s="173" t="inlineStr">
        <is>
          <t>银行间</t>
        </is>
      </c>
      <c r="G2484" s="173" t="inlineStr">
        <is>
          <t>国泰海通</t>
        </is>
      </c>
      <c r="H2484" s="173" t="inlineStr">
        <is>
          <t>中信建投/兴业证券/招商证券/中信证券</t>
        </is>
      </c>
      <c r="I2484" s="173" t="inlineStr">
        <is>
          <t>邮储北分</t>
        </is>
      </c>
      <c r="J2484" s="172" t="n">
        <v>10</v>
      </c>
      <c r="K2484" s="173" t="inlineStr">
        <is>
          <t>22+2</t>
        </is>
      </c>
      <c r="L2484" s="202" t="n">
        <v>46259</v>
      </c>
      <c r="M2484" s="175" t="n">
        <v>0.0148</v>
      </c>
      <c r="N2484" s="176" t="n">
        <v>0.0201</v>
      </c>
      <c r="O2484" s="191" t="n">
        <v>2.2</v>
      </c>
      <c r="P2484" s="172" t="inlineStr">
        <is>
          <t>优先A</t>
        </is>
      </c>
      <c r="Q2484" s="178" t="n">
        <v>0.87</v>
      </c>
      <c r="R2484" s="179" t="n">
        <v>8.699999999999999</v>
      </c>
      <c r="S2484" s="177" t="inlineStr">
        <is>
          <t>AAA</t>
        </is>
      </c>
      <c r="T2484" s="178" t="n">
        <v>0.0178</v>
      </c>
      <c r="U2484" s="177" t="inlineStr">
        <is>
          <t>宝武财务</t>
        </is>
      </c>
      <c r="V2484" s="192" t="n">
        <v>0.25</v>
      </c>
      <c r="W2484" s="175" t="n">
        <v>0.0177</v>
      </c>
      <c r="X2484" s="172" t="inlineStr">
        <is>
          <t>宝武财务</t>
        </is>
      </c>
      <c r="Y2484" s="191" t="n">
        <v>0.25</v>
      </c>
    </row>
    <row r="2485">
      <c r="A2485" s="172" t="n">
        <v>135</v>
      </c>
      <c r="B2485" s="172" t="inlineStr">
        <is>
          <t>8月</t>
        </is>
      </c>
      <c r="C2485" s="172" t="inlineStr">
        <is>
          <t>消金</t>
        </is>
      </c>
      <c r="D2485" s="172" t="inlineStr">
        <is>
          <t>赊销白条</t>
        </is>
      </c>
      <c r="E2485" s="172" t="inlineStr">
        <is>
          <t>26东裕9号二期</t>
        </is>
      </c>
      <c r="F2485" s="172" t="inlineStr">
        <is>
          <t>银行间</t>
        </is>
      </c>
      <c r="G2485" s="172" t="inlineStr">
        <is>
          <t>国泰海通</t>
        </is>
      </c>
      <c r="H2485" s="172" t="inlineStr">
        <is>
          <t>中信建投/兴业证券/招商证券/中信证券</t>
        </is>
      </c>
      <c r="I2485" s="172" t="inlineStr">
        <is>
          <t>邮储北分</t>
        </is>
      </c>
      <c r="J2485" s="172" t="n">
        <v>10</v>
      </c>
      <c r="K2485" s="172" t="inlineStr">
        <is>
          <t>22+2</t>
        </is>
      </c>
      <c r="L2485" s="208" t="n">
        <v>46259</v>
      </c>
      <c r="M2485" s="175" t="n">
        <v>0.0148</v>
      </c>
      <c r="N2485" s="176" t="n">
        <v>0.0201</v>
      </c>
      <c r="O2485" s="172" t="n">
        <v>2.2</v>
      </c>
      <c r="P2485" s="172" t="inlineStr">
        <is>
          <t>优先A</t>
        </is>
      </c>
      <c r="Q2485" s="175" t="n">
        <v>0.87</v>
      </c>
      <c r="R2485" s="192" t="n">
        <v>8.699999999999999</v>
      </c>
      <c r="S2485" s="172" t="inlineStr">
        <is>
          <t>AAA</t>
        </is>
      </c>
      <c r="T2485" s="175" t="n">
        <v>0.0178</v>
      </c>
      <c r="U2485" s="172" t="n"/>
      <c r="V2485" s="172" t="n"/>
      <c r="W2485" s="175" t="n">
        <v>0.018</v>
      </c>
      <c r="X2485" s="172" t="inlineStr">
        <is>
          <t>宝武财务</t>
        </is>
      </c>
      <c r="Y2485" s="191" t="n">
        <v>0.2</v>
      </c>
    </row>
    <row r="2486">
      <c r="A2486" s="172" t="n">
        <v>135</v>
      </c>
      <c r="B2486" s="172" t="inlineStr">
        <is>
          <t>8月</t>
        </is>
      </c>
      <c r="C2486" s="172" t="inlineStr">
        <is>
          <t>消金</t>
        </is>
      </c>
      <c r="D2486" s="172" t="inlineStr">
        <is>
          <t>赊销白条</t>
        </is>
      </c>
      <c r="E2486" s="172" t="inlineStr">
        <is>
          <t>26东裕9号二期</t>
        </is>
      </c>
      <c r="F2486" s="172" t="inlineStr">
        <is>
          <t>银行间</t>
        </is>
      </c>
      <c r="G2486" s="172" t="inlineStr">
        <is>
          <t>国泰海通</t>
        </is>
      </c>
      <c r="H2486" s="172" t="inlineStr">
        <is>
          <t>中信建投/兴业证券/招商证券/中信证券</t>
        </is>
      </c>
      <c r="I2486" s="172" t="inlineStr">
        <is>
          <t>邮储北分</t>
        </is>
      </c>
      <c r="J2486" s="172" t="n">
        <v>10</v>
      </c>
      <c r="K2486" s="172" t="inlineStr">
        <is>
          <t>22+2</t>
        </is>
      </c>
      <c r="L2486" s="208" t="n">
        <v>46259</v>
      </c>
      <c r="M2486" s="175" t="n">
        <v>0.0148</v>
      </c>
      <c r="N2486" s="176" t="n">
        <v>0.0201</v>
      </c>
      <c r="O2486" s="172" t="n">
        <v>2.2</v>
      </c>
      <c r="P2486" s="172" t="inlineStr">
        <is>
          <t>优先A</t>
        </is>
      </c>
      <c r="Q2486" s="175" t="n">
        <v>0.87</v>
      </c>
      <c r="R2486" s="192" t="n">
        <v>8.699999999999999</v>
      </c>
      <c r="S2486" s="172" t="inlineStr">
        <is>
          <t>AAA</t>
        </is>
      </c>
      <c r="T2486" s="175" t="n">
        <v>0.0178</v>
      </c>
      <c r="U2486" s="172" t="n"/>
      <c r="V2486" s="172" t="n"/>
      <c r="W2486" s="175" t="n">
        <v>0.0178</v>
      </c>
      <c r="X2486" s="172" t="inlineStr">
        <is>
          <t>中金公司自营</t>
        </is>
      </c>
      <c r="Y2486" s="191" t="n">
        <v>0.6</v>
      </c>
    </row>
    <row r="2487">
      <c r="A2487" s="172" t="n">
        <v>135</v>
      </c>
      <c r="B2487" s="172" t="inlineStr">
        <is>
          <t>8月</t>
        </is>
      </c>
      <c r="C2487" s="172" t="inlineStr">
        <is>
          <t>消金</t>
        </is>
      </c>
      <c r="D2487" s="172" t="inlineStr">
        <is>
          <t>赊销白条</t>
        </is>
      </c>
      <c r="E2487" s="172" t="inlineStr">
        <is>
          <t>26东裕9号二期</t>
        </is>
      </c>
      <c r="F2487" s="172" t="inlineStr">
        <is>
          <t>银行间</t>
        </is>
      </c>
      <c r="G2487" s="172" t="inlineStr">
        <is>
          <t>国泰海通</t>
        </is>
      </c>
      <c r="H2487" s="172" t="inlineStr">
        <is>
          <t>中信建投/兴业证券/招商证券/中信证券</t>
        </is>
      </c>
      <c r="I2487" s="172" t="inlineStr">
        <is>
          <t>邮储北分</t>
        </is>
      </c>
      <c r="J2487" s="172" t="n">
        <v>10</v>
      </c>
      <c r="K2487" s="172" t="inlineStr">
        <is>
          <t>22+2</t>
        </is>
      </c>
      <c r="L2487" s="208" t="n">
        <v>46259</v>
      </c>
      <c r="M2487" s="175" t="n">
        <v>0.0148</v>
      </c>
      <c r="N2487" s="176" t="n">
        <v>0.0201</v>
      </c>
      <c r="O2487" s="172" t="n">
        <v>2.2</v>
      </c>
      <c r="P2487" s="172" t="inlineStr">
        <is>
          <t>优先A</t>
        </is>
      </c>
      <c r="Q2487" s="175" t="n">
        <v>0.87</v>
      </c>
      <c r="R2487" s="192" t="n">
        <v>8.699999999999999</v>
      </c>
      <c r="S2487" s="172" t="inlineStr">
        <is>
          <t>AAA</t>
        </is>
      </c>
      <c r="T2487" s="175" t="n">
        <v>0.0178</v>
      </c>
      <c r="U2487" s="172" t="n"/>
      <c r="V2487" s="172" t="n"/>
      <c r="W2487" s="175" t="n">
        <v>0.0178</v>
      </c>
      <c r="X2487" s="172" t="inlineStr">
        <is>
          <t>中信证券投顾</t>
        </is>
      </c>
      <c r="Y2487" s="191" t="n">
        <v>0.1</v>
      </c>
    </row>
    <row r="2488">
      <c r="A2488" s="172" t="n">
        <v>135</v>
      </c>
      <c r="B2488" s="172" t="inlineStr">
        <is>
          <t>8月</t>
        </is>
      </c>
      <c r="C2488" s="172" t="inlineStr">
        <is>
          <t>消金</t>
        </is>
      </c>
      <c r="D2488" s="172" t="inlineStr">
        <is>
          <t>赊销白条</t>
        </is>
      </c>
      <c r="E2488" s="172" t="inlineStr">
        <is>
          <t>26东裕9号二期</t>
        </is>
      </c>
      <c r="F2488" s="172" t="inlineStr">
        <is>
          <t>银行间</t>
        </is>
      </c>
      <c r="G2488" s="172" t="inlineStr">
        <is>
          <t>国泰海通</t>
        </is>
      </c>
      <c r="H2488" s="172" t="inlineStr">
        <is>
          <t>中信建投/兴业证券/招商证券/中信证券</t>
        </is>
      </c>
      <c r="I2488" s="172" t="inlineStr">
        <is>
          <t>邮储北分</t>
        </is>
      </c>
      <c r="J2488" s="172" t="n">
        <v>10</v>
      </c>
      <c r="K2488" s="172" t="inlineStr">
        <is>
          <t>22+2</t>
        </is>
      </c>
      <c r="L2488" s="208" t="n">
        <v>46259</v>
      </c>
      <c r="M2488" s="175" t="n">
        <v>0.0148</v>
      </c>
      <c r="N2488" s="176" t="n">
        <v>0.0201</v>
      </c>
      <c r="O2488" s="172" t="n">
        <v>2.2</v>
      </c>
      <c r="P2488" s="172" t="inlineStr">
        <is>
          <t>优先A</t>
        </is>
      </c>
      <c r="Q2488" s="175" t="n">
        <v>0.87</v>
      </c>
      <c r="R2488" s="192" t="n">
        <v>8.699999999999999</v>
      </c>
      <c r="S2488" s="172" t="inlineStr">
        <is>
          <t>AAA</t>
        </is>
      </c>
      <c r="T2488" s="175" t="n">
        <v>0.0178</v>
      </c>
      <c r="U2488" s="172" t="n"/>
      <c r="V2488" s="172" t="n"/>
      <c r="W2488" s="175" t="n">
        <v>0.018</v>
      </c>
      <c r="X2488" s="172" t="inlineStr">
        <is>
          <t>国泰海通证券投行</t>
        </is>
      </c>
      <c r="Y2488" s="191" t="n">
        <v>1.3</v>
      </c>
    </row>
    <row r="2489">
      <c r="A2489" s="172" t="n">
        <v>135</v>
      </c>
      <c r="B2489" s="172" t="inlineStr">
        <is>
          <t>8月</t>
        </is>
      </c>
      <c r="C2489" s="172" t="inlineStr">
        <is>
          <t>消金</t>
        </is>
      </c>
      <c r="D2489" s="172" t="inlineStr">
        <is>
          <t>赊销白条</t>
        </is>
      </c>
      <c r="E2489" s="172" t="inlineStr">
        <is>
          <t>26东裕9号二期</t>
        </is>
      </c>
      <c r="F2489" s="172" t="inlineStr">
        <is>
          <t>银行间</t>
        </is>
      </c>
      <c r="G2489" s="172" t="inlineStr">
        <is>
          <t>国泰海通</t>
        </is>
      </c>
      <c r="H2489" s="172" t="inlineStr">
        <is>
          <t>中信建投/兴业证券/招商证券/中信证券</t>
        </is>
      </c>
      <c r="I2489" s="172" t="inlineStr">
        <is>
          <t>邮储北分</t>
        </is>
      </c>
      <c r="J2489" s="172" t="n">
        <v>10</v>
      </c>
      <c r="K2489" s="172" t="inlineStr">
        <is>
          <t>22+2</t>
        </is>
      </c>
      <c r="L2489" s="208" t="n">
        <v>46259</v>
      </c>
      <c r="M2489" s="175" t="n">
        <v>0.0148</v>
      </c>
      <c r="N2489" s="176" t="n">
        <v>0.0201</v>
      </c>
      <c r="O2489" s="172" t="n">
        <v>2.2</v>
      </c>
      <c r="P2489" s="172" t="inlineStr">
        <is>
          <t>优先A</t>
        </is>
      </c>
      <c r="Q2489" s="175" t="n">
        <v>0.87</v>
      </c>
      <c r="R2489" s="192" t="n">
        <v>8.699999999999999</v>
      </c>
      <c r="S2489" s="172" t="inlineStr">
        <is>
          <t>AAA</t>
        </is>
      </c>
      <c r="T2489" s="175" t="n">
        <v>0.0178</v>
      </c>
      <c r="U2489" s="172" t="n"/>
      <c r="V2489" s="172" t="n"/>
      <c r="W2489" s="175" t="n">
        <v>0.018</v>
      </c>
      <c r="X2489" s="172" t="inlineStr">
        <is>
          <t>招商证券投行</t>
        </is>
      </c>
      <c r="Y2489" s="191" t="n">
        <v>1.392</v>
      </c>
    </row>
    <row r="2490">
      <c r="A2490" s="172" t="n">
        <v>135</v>
      </c>
      <c r="B2490" s="172" t="inlineStr">
        <is>
          <t>8月</t>
        </is>
      </c>
      <c r="C2490" s="172" t="inlineStr">
        <is>
          <t>消金</t>
        </is>
      </c>
      <c r="D2490" s="172" t="inlineStr">
        <is>
          <t>赊销白条</t>
        </is>
      </c>
      <c r="E2490" s="172" t="inlineStr">
        <is>
          <t>26东裕9号二期</t>
        </is>
      </c>
      <c r="F2490" s="172" t="inlineStr">
        <is>
          <t>银行间</t>
        </is>
      </c>
      <c r="G2490" s="172" t="inlineStr">
        <is>
          <t>国泰海通</t>
        </is>
      </c>
      <c r="H2490" s="172" t="inlineStr">
        <is>
          <t>中信建投/兴业证券/招商证券/中信证券</t>
        </is>
      </c>
      <c r="I2490" s="172" t="inlineStr">
        <is>
          <t>邮储北分</t>
        </is>
      </c>
      <c r="J2490" s="172" t="n">
        <v>10</v>
      </c>
      <c r="K2490" s="172" t="inlineStr">
        <is>
          <t>22+2</t>
        </is>
      </c>
      <c r="L2490" s="208" t="n">
        <v>46259</v>
      </c>
      <c r="M2490" s="175" t="n">
        <v>0.0148</v>
      </c>
      <c r="N2490" s="176" t="n">
        <v>0.0201</v>
      </c>
      <c r="O2490" s="172" t="n">
        <v>2.2</v>
      </c>
      <c r="P2490" s="172" t="inlineStr">
        <is>
          <t>优先A</t>
        </is>
      </c>
      <c r="Q2490" s="175" t="n">
        <v>0.87</v>
      </c>
      <c r="R2490" s="192" t="n">
        <v>8.699999999999999</v>
      </c>
      <c r="S2490" s="172" t="inlineStr">
        <is>
          <t>AAA</t>
        </is>
      </c>
      <c r="T2490" s="175" t="n">
        <v>0.0178</v>
      </c>
      <c r="U2490" s="172" t="n"/>
      <c r="V2490" s="172" t="n"/>
      <c r="W2490" s="175" t="n">
        <v>0.018</v>
      </c>
      <c r="X2490" s="172" t="inlineStr">
        <is>
          <t>中信建投证券投行</t>
        </is>
      </c>
      <c r="Y2490" s="191" t="n">
        <v>1.3</v>
      </c>
    </row>
    <row r="2491">
      <c r="A2491" s="172" t="n">
        <v>135</v>
      </c>
      <c r="B2491" s="172" t="inlineStr">
        <is>
          <t>8月</t>
        </is>
      </c>
      <c r="C2491" s="172" t="inlineStr">
        <is>
          <t>消金</t>
        </is>
      </c>
      <c r="D2491" s="172" t="inlineStr">
        <is>
          <t>赊销白条</t>
        </is>
      </c>
      <c r="E2491" s="172" t="inlineStr">
        <is>
          <t>26东裕9号二期</t>
        </is>
      </c>
      <c r="F2491" s="172" t="inlineStr">
        <is>
          <t>银行间</t>
        </is>
      </c>
      <c r="G2491" s="172" t="inlineStr">
        <is>
          <t>国泰海通</t>
        </is>
      </c>
      <c r="H2491" s="172" t="inlineStr">
        <is>
          <t>中信建投/兴业证券/招商证券/中信证券</t>
        </is>
      </c>
      <c r="I2491" s="172" t="inlineStr">
        <is>
          <t>邮储北分</t>
        </is>
      </c>
      <c r="J2491" s="172" t="n">
        <v>10</v>
      </c>
      <c r="K2491" s="172" t="inlineStr">
        <is>
          <t>22+2</t>
        </is>
      </c>
      <c r="L2491" s="208" t="n">
        <v>46259</v>
      </c>
      <c r="M2491" s="175" t="n">
        <v>0.0148</v>
      </c>
      <c r="N2491" s="176" t="n">
        <v>0.0201</v>
      </c>
      <c r="O2491" s="172" t="n">
        <v>2.2</v>
      </c>
      <c r="P2491" s="172" t="inlineStr">
        <is>
          <t>优先A</t>
        </is>
      </c>
      <c r="Q2491" s="175" t="n">
        <v>0.87</v>
      </c>
      <c r="R2491" s="192" t="n">
        <v>8.699999999999999</v>
      </c>
      <c r="S2491" s="172" t="inlineStr">
        <is>
          <t>AAA</t>
        </is>
      </c>
      <c r="T2491" s="175" t="n">
        <v>0.0178</v>
      </c>
      <c r="U2491" s="172" t="n"/>
      <c r="V2491" s="172" t="n"/>
      <c r="W2491" s="175" t="n">
        <v>0.018</v>
      </c>
      <c r="X2491" s="172" t="inlineStr">
        <is>
          <t>中信证券投行</t>
        </is>
      </c>
      <c r="Y2491" s="191" t="n">
        <v>1.3</v>
      </c>
    </row>
    <row r="2492">
      <c r="A2492" s="172" t="n">
        <v>135</v>
      </c>
      <c r="B2492" s="172" t="inlineStr">
        <is>
          <t>8月</t>
        </is>
      </c>
      <c r="C2492" s="172" t="inlineStr">
        <is>
          <t>消金</t>
        </is>
      </c>
      <c r="D2492" s="172" t="inlineStr">
        <is>
          <t>赊销白条</t>
        </is>
      </c>
      <c r="E2492" s="172" t="inlineStr">
        <is>
          <t>26东裕9号二期</t>
        </is>
      </c>
      <c r="F2492" s="172" t="inlineStr">
        <is>
          <t>银行间</t>
        </is>
      </c>
      <c r="G2492" s="172" t="inlineStr">
        <is>
          <t>国泰海通</t>
        </is>
      </c>
      <c r="H2492" s="172" t="inlineStr">
        <is>
          <t>中信建投/兴业证券/招商证券/中信证券</t>
        </is>
      </c>
      <c r="I2492" s="172" t="inlineStr">
        <is>
          <t>邮储北分</t>
        </is>
      </c>
      <c r="J2492" s="172" t="n">
        <v>10</v>
      </c>
      <c r="K2492" s="172" t="inlineStr">
        <is>
          <t>22+2</t>
        </is>
      </c>
      <c r="L2492" s="208" t="n">
        <v>46259</v>
      </c>
      <c r="M2492" s="175" t="n">
        <v>0.0148</v>
      </c>
      <c r="N2492" s="176" t="n">
        <v>0.0201</v>
      </c>
      <c r="O2492" s="172" t="n">
        <v>2.2</v>
      </c>
      <c r="P2492" s="172" t="inlineStr">
        <is>
          <t>优先A</t>
        </is>
      </c>
      <c r="Q2492" s="175" t="n">
        <v>0.87</v>
      </c>
      <c r="R2492" s="192" t="n">
        <v>8.699999999999999</v>
      </c>
      <c r="S2492" s="172" t="inlineStr">
        <is>
          <t>AAA</t>
        </is>
      </c>
      <c r="T2492" s="175" t="n">
        <v>0.0178</v>
      </c>
      <c r="U2492" s="172" t="n"/>
      <c r="V2492" s="172" t="n"/>
      <c r="W2492" s="175" t="n">
        <v>0.018</v>
      </c>
      <c r="X2492" s="172" t="inlineStr">
        <is>
          <t>兴业证券投行</t>
        </is>
      </c>
      <c r="Y2492" s="191" t="n">
        <v>1.5</v>
      </c>
    </row>
    <row r="2493">
      <c r="A2493" s="172" t="n">
        <v>135</v>
      </c>
      <c r="B2493" s="172" t="inlineStr">
        <is>
          <t>8月</t>
        </is>
      </c>
      <c r="C2493" s="172" t="inlineStr">
        <is>
          <t>消金</t>
        </is>
      </c>
      <c r="D2493" s="172" t="inlineStr">
        <is>
          <t>赊销白条</t>
        </is>
      </c>
      <c r="E2493" s="172" t="inlineStr">
        <is>
          <t>26东裕9号二期</t>
        </is>
      </c>
      <c r="F2493" s="172" t="inlineStr">
        <is>
          <t>银行间</t>
        </is>
      </c>
      <c r="G2493" s="172" t="inlineStr">
        <is>
          <t>国泰海通</t>
        </is>
      </c>
      <c r="H2493" s="172" t="inlineStr">
        <is>
          <t>中信建投/兴业证券/招商证券/中信证券</t>
        </is>
      </c>
      <c r="I2493" s="172" t="inlineStr">
        <is>
          <t>邮储北分</t>
        </is>
      </c>
      <c r="J2493" s="172" t="n">
        <v>10</v>
      </c>
      <c r="K2493" s="172" t="inlineStr">
        <is>
          <t>22+2</t>
        </is>
      </c>
      <c r="L2493" s="208" t="n">
        <v>46259</v>
      </c>
      <c r="M2493" s="175" t="n">
        <v>0.0148</v>
      </c>
      <c r="N2493" s="176" t="n">
        <v>0.0201</v>
      </c>
      <c r="O2493" s="172" t="n">
        <v>2.2</v>
      </c>
      <c r="P2493" s="172" t="inlineStr">
        <is>
          <t>优先A</t>
        </is>
      </c>
      <c r="Q2493" s="175" t="n">
        <v>0.87</v>
      </c>
      <c r="R2493" s="192" t="n">
        <v>8.699999999999999</v>
      </c>
      <c r="S2493" s="172" t="inlineStr">
        <is>
          <t>AAA</t>
        </is>
      </c>
      <c r="T2493" s="175" t="n">
        <v>0.0178</v>
      </c>
      <c r="U2493" s="172" t="n"/>
      <c r="V2493" s="172" t="n"/>
      <c r="W2493" s="175" t="n">
        <v>0.018</v>
      </c>
      <c r="X2493" s="172" t="inlineStr">
        <is>
          <t>兴银理财</t>
        </is>
      </c>
      <c r="Y2493" s="191" t="n">
        <v>0.8</v>
      </c>
    </row>
    <row r="2494">
      <c r="A2494" s="172" t="n">
        <v>135</v>
      </c>
      <c r="B2494" s="172" t="inlineStr">
        <is>
          <t>8月</t>
        </is>
      </c>
      <c r="C2494" s="172" t="inlineStr">
        <is>
          <t>消金</t>
        </is>
      </c>
      <c r="D2494" s="172" t="inlineStr">
        <is>
          <t>赊销白条</t>
        </is>
      </c>
      <c r="E2494" s="172" t="inlineStr">
        <is>
          <t>26东裕9号二期</t>
        </is>
      </c>
      <c r="F2494" s="172" t="inlineStr">
        <is>
          <t>银行间</t>
        </is>
      </c>
      <c r="G2494" s="172" t="inlineStr">
        <is>
          <t>国泰海通</t>
        </is>
      </c>
      <c r="H2494" s="172" t="inlineStr">
        <is>
          <t>中信建投/兴业证券/招商证券/中信证券</t>
        </is>
      </c>
      <c r="I2494" s="172" t="inlineStr">
        <is>
          <t>邮储北分</t>
        </is>
      </c>
      <c r="J2494" s="172" t="n">
        <v>10</v>
      </c>
      <c r="K2494" s="172" t="inlineStr">
        <is>
          <t>22+2</t>
        </is>
      </c>
      <c r="L2494" s="208" t="n">
        <v>46259</v>
      </c>
      <c r="M2494" s="175" t="n">
        <v>0.0148</v>
      </c>
      <c r="N2494" s="176" t="n">
        <v>0.0201</v>
      </c>
      <c r="O2494" s="172" t="n">
        <v>2.2</v>
      </c>
      <c r="P2494" s="172" t="inlineStr">
        <is>
          <t>优先A</t>
        </is>
      </c>
      <c r="Q2494" s="175" t="n">
        <v>0.87</v>
      </c>
      <c r="R2494" s="192" t="n">
        <v>8.699999999999999</v>
      </c>
      <c r="S2494" s="172" t="inlineStr">
        <is>
          <t>AAA</t>
        </is>
      </c>
      <c r="T2494" s="175" t="n">
        <v>0.0178</v>
      </c>
      <c r="U2494" s="172" t="n"/>
      <c r="V2494" s="172" t="n"/>
      <c r="W2494" s="175" t="n">
        <v>0.019</v>
      </c>
      <c r="X2494" s="172" t="inlineStr">
        <is>
          <t>中信建投固收投顾</t>
        </is>
      </c>
      <c r="Y2494" s="191" t="n">
        <v>0.4</v>
      </c>
    </row>
    <row r="2495">
      <c r="A2495" s="172" t="n">
        <v>135</v>
      </c>
      <c r="B2495" s="172" t="inlineStr">
        <is>
          <t>8月</t>
        </is>
      </c>
      <c r="C2495" s="172" t="inlineStr">
        <is>
          <t>消金</t>
        </is>
      </c>
      <c r="D2495" s="172" t="inlineStr">
        <is>
          <t>赊销白条</t>
        </is>
      </c>
      <c r="E2495" s="172" t="inlineStr">
        <is>
          <t>26东裕9号二期</t>
        </is>
      </c>
      <c r="F2495" s="172" t="inlineStr">
        <is>
          <t>银行间</t>
        </is>
      </c>
      <c r="G2495" s="172" t="inlineStr">
        <is>
          <t>国泰海通</t>
        </is>
      </c>
      <c r="H2495" s="172" t="inlineStr">
        <is>
          <t>中信建投/兴业证券/招商证券/中信证券</t>
        </is>
      </c>
      <c r="I2495" s="172" t="inlineStr">
        <is>
          <t>邮储北分</t>
        </is>
      </c>
      <c r="J2495" s="172" t="n">
        <v>10</v>
      </c>
      <c r="K2495" s="172" t="inlineStr">
        <is>
          <t>22+2</t>
        </is>
      </c>
      <c r="L2495" s="208" t="n">
        <v>46259</v>
      </c>
      <c r="M2495" s="175" t="n">
        <v>0.0148</v>
      </c>
      <c r="N2495" s="176" t="n">
        <v>0.0201</v>
      </c>
      <c r="O2495" s="172" t="n">
        <v>2.2</v>
      </c>
      <c r="P2495" s="172" t="inlineStr">
        <is>
          <t>优先A</t>
        </is>
      </c>
      <c r="Q2495" s="175" t="n">
        <v>0.87</v>
      </c>
      <c r="R2495" s="192" t="n">
        <v>8.699999999999999</v>
      </c>
      <c r="S2495" s="172" t="inlineStr">
        <is>
          <t>AAA</t>
        </is>
      </c>
      <c r="T2495" s="175" t="n">
        <v>0.0178</v>
      </c>
      <c r="U2495" s="172" t="n"/>
      <c r="V2495" s="172" t="n"/>
      <c r="W2495" s="175" t="n">
        <v>0.025</v>
      </c>
      <c r="X2495" s="172" t="inlineStr">
        <is>
          <t>银河证券固收</t>
        </is>
      </c>
      <c r="Y2495" s="191" t="n">
        <v>0.5</v>
      </c>
    </row>
    <row r="2496">
      <c r="A2496" s="172" t="n">
        <v>135</v>
      </c>
      <c r="B2496" s="173" t="inlineStr">
        <is>
          <t>8月</t>
        </is>
      </c>
      <c r="C2496" s="173" t="inlineStr">
        <is>
          <t>消金</t>
        </is>
      </c>
      <c r="D2496" s="173" t="inlineStr">
        <is>
          <t>赊销白条</t>
        </is>
      </c>
      <c r="E2496" s="173" t="inlineStr">
        <is>
          <t>26东裕9号二期</t>
        </is>
      </c>
      <c r="F2496" s="173" t="inlineStr">
        <is>
          <t>银行间</t>
        </is>
      </c>
      <c r="G2496" s="173" t="inlineStr">
        <is>
          <t>国泰海通</t>
        </is>
      </c>
      <c r="H2496" s="173" t="inlineStr">
        <is>
          <t>中信建投/兴业证券/招商证券/中信证券</t>
        </is>
      </c>
      <c r="I2496" s="173" t="inlineStr">
        <is>
          <t>邮储北分</t>
        </is>
      </c>
      <c r="J2496" s="172" t="n">
        <v>10</v>
      </c>
      <c r="K2496" s="173" t="inlineStr">
        <is>
          <t>22+2</t>
        </is>
      </c>
      <c r="L2496" s="202" t="n">
        <v>46259</v>
      </c>
      <c r="M2496" s="175" t="n">
        <v>0.0148</v>
      </c>
      <c r="N2496" s="176" t="n">
        <v>0.0201</v>
      </c>
      <c r="O2496" s="191" t="n">
        <v>2.2</v>
      </c>
      <c r="P2496" s="177" t="inlineStr">
        <is>
          <t>优先B</t>
        </is>
      </c>
      <c r="Q2496" s="178" t="n">
        <v>0.04</v>
      </c>
      <c r="R2496" s="179" t="n">
        <v>0.4</v>
      </c>
      <c r="S2496" s="177" t="inlineStr">
        <is>
          <t>AA+</t>
        </is>
      </c>
      <c r="T2496" s="178" t="n">
        <v>0.0188</v>
      </c>
      <c r="U2496" s="177" t="inlineStr">
        <is>
          <t>中金财富</t>
        </is>
      </c>
      <c r="V2496" s="192" t="n">
        <v>0.18</v>
      </c>
      <c r="W2496" s="175" t="n">
        <v>0.0188</v>
      </c>
      <c r="X2496" s="172" t="inlineStr">
        <is>
          <t>中金财富证券</t>
        </is>
      </c>
      <c r="Y2496" s="191" t="n">
        <v>0.28</v>
      </c>
    </row>
    <row r="2497">
      <c r="A2497" s="172" t="n">
        <v>135</v>
      </c>
      <c r="B2497" s="173" t="inlineStr">
        <is>
          <t>8月</t>
        </is>
      </c>
      <c r="C2497" s="173" t="inlineStr">
        <is>
          <t>消金</t>
        </is>
      </c>
      <c r="D2497" s="173" t="inlineStr">
        <is>
          <t>赊销白条</t>
        </is>
      </c>
      <c r="E2497" s="173" t="inlineStr">
        <is>
          <t>26东裕9号二期</t>
        </is>
      </c>
      <c r="F2497" s="173" t="inlineStr">
        <is>
          <t>银行间</t>
        </is>
      </c>
      <c r="G2497" s="173" t="inlineStr">
        <is>
          <t>国泰海通</t>
        </is>
      </c>
      <c r="H2497" s="173" t="inlineStr">
        <is>
          <t>中信建投/兴业证券/招商证券/中信证券</t>
        </is>
      </c>
      <c r="I2497" s="173" t="inlineStr">
        <is>
          <t>邮储北分</t>
        </is>
      </c>
      <c r="J2497" s="172" t="n">
        <v>10</v>
      </c>
      <c r="K2497" s="173" t="inlineStr">
        <is>
          <t>22+2</t>
        </is>
      </c>
      <c r="L2497" s="202" t="n">
        <v>46259</v>
      </c>
      <c r="M2497" s="175" t="n">
        <v>0.0148</v>
      </c>
      <c r="N2497" s="176" t="n">
        <v>0.0201</v>
      </c>
      <c r="O2497" s="191" t="n">
        <v>2.2</v>
      </c>
      <c r="P2497" s="172" t="inlineStr">
        <is>
          <t>优先B</t>
        </is>
      </c>
      <c r="Q2497" s="178" t="n">
        <v>0.04</v>
      </c>
      <c r="R2497" s="179" t="n">
        <v>0.4</v>
      </c>
      <c r="S2497" s="177" t="inlineStr">
        <is>
          <t>AA+</t>
        </is>
      </c>
      <c r="T2497" s="178" t="n">
        <v>0.0188</v>
      </c>
      <c r="U2497" s="177" t="inlineStr">
        <is>
          <t>招银理财</t>
        </is>
      </c>
      <c r="V2497" s="192" t="n">
        <v>0.12</v>
      </c>
      <c r="W2497" s="175" t="n">
        <v>0.017</v>
      </c>
      <c r="X2497" s="172" t="inlineStr">
        <is>
          <t>招银理财</t>
        </is>
      </c>
      <c r="Y2497" s="191" t="n">
        <v>0.12</v>
      </c>
    </row>
    <row r="2498">
      <c r="A2498" s="172" t="n">
        <v>135</v>
      </c>
      <c r="B2498" s="173" t="inlineStr">
        <is>
          <t>8月</t>
        </is>
      </c>
      <c r="C2498" s="173" t="inlineStr">
        <is>
          <t>消金</t>
        </is>
      </c>
      <c r="D2498" s="173" t="inlineStr">
        <is>
          <t>赊销白条</t>
        </is>
      </c>
      <c r="E2498" s="173" t="inlineStr">
        <is>
          <t>26东裕9号二期</t>
        </is>
      </c>
      <c r="F2498" s="173" t="inlineStr">
        <is>
          <t>银行间</t>
        </is>
      </c>
      <c r="G2498" s="173" t="inlineStr">
        <is>
          <t>国泰海通</t>
        </is>
      </c>
      <c r="H2498" s="173" t="inlineStr">
        <is>
          <t>中信建投/兴业证券/招商证券/中信证券</t>
        </is>
      </c>
      <c r="I2498" s="173" t="inlineStr">
        <is>
          <t>邮储北分</t>
        </is>
      </c>
      <c r="J2498" s="172" t="n">
        <v>10</v>
      </c>
      <c r="K2498" s="173" t="inlineStr">
        <is>
          <t>22+2</t>
        </is>
      </c>
      <c r="L2498" s="202" t="n">
        <v>46259</v>
      </c>
      <c r="M2498" s="175" t="n">
        <v>0.0148</v>
      </c>
      <c r="N2498" s="176" t="n">
        <v>0.0201</v>
      </c>
      <c r="O2498" s="191" t="n">
        <v>2.2</v>
      </c>
      <c r="P2498" s="172" t="inlineStr">
        <is>
          <t>优先B</t>
        </is>
      </c>
      <c r="Q2498" s="178" t="n">
        <v>0.04</v>
      </c>
      <c r="R2498" s="179" t="n">
        <v>0.4</v>
      </c>
      <c r="S2498" s="177" t="inlineStr">
        <is>
          <t>AA+</t>
        </is>
      </c>
      <c r="T2498" s="178" t="n">
        <v>0.0188</v>
      </c>
      <c r="U2498" s="177" t="inlineStr">
        <is>
          <t>中信证券投顾</t>
        </is>
      </c>
      <c r="V2498" s="192" t="n">
        <v>0.1</v>
      </c>
      <c r="W2498" s="175" t="n">
        <v>0.0188</v>
      </c>
      <c r="X2498" s="172" t="inlineStr">
        <is>
          <t>中信证券投顾</t>
        </is>
      </c>
      <c r="Y2498" s="191" t="n">
        <v>0.1</v>
      </c>
    </row>
    <row r="2499">
      <c r="A2499" s="172" t="n">
        <v>135</v>
      </c>
      <c r="B2499" s="173" t="inlineStr">
        <is>
          <t>8月</t>
        </is>
      </c>
      <c r="C2499" s="173" t="inlineStr">
        <is>
          <t>消金</t>
        </is>
      </c>
      <c r="D2499" s="173" t="inlineStr">
        <is>
          <t>赊销白条</t>
        </is>
      </c>
      <c r="E2499" s="173" t="inlineStr">
        <is>
          <t>26东裕9号二期</t>
        </is>
      </c>
      <c r="F2499" s="173" t="inlineStr">
        <is>
          <t>银行间</t>
        </is>
      </c>
      <c r="G2499" s="173" t="inlineStr">
        <is>
          <t>国泰海通</t>
        </is>
      </c>
      <c r="H2499" s="173" t="inlineStr">
        <is>
          <t>中信建投/兴业证券/招商证券/中信证券</t>
        </is>
      </c>
      <c r="I2499" s="173" t="inlineStr">
        <is>
          <t>邮储北分</t>
        </is>
      </c>
      <c r="J2499" s="172" t="n">
        <v>10</v>
      </c>
      <c r="K2499" s="173" t="inlineStr">
        <is>
          <t>22+2</t>
        </is>
      </c>
      <c r="L2499" s="202" t="n">
        <v>46259</v>
      </c>
      <c r="M2499" s="175" t="n">
        <v>0.0148</v>
      </c>
      <c r="N2499" s="176" t="n">
        <v>0.0201</v>
      </c>
      <c r="O2499" s="191" t="n">
        <v>2.2</v>
      </c>
      <c r="P2499" s="177" t="inlineStr">
        <is>
          <t>中间级</t>
        </is>
      </c>
      <c r="Q2499" s="178" t="n">
        <v>0.04</v>
      </c>
      <c r="R2499" s="179" t="n">
        <v>0.4</v>
      </c>
      <c r="S2499" s="177" t="inlineStr">
        <is>
          <t>A</t>
        </is>
      </c>
      <c r="T2499" s="178" t="n">
        <v>0.032</v>
      </c>
      <c r="U2499" s="177" t="inlineStr">
        <is>
          <t>中信建投机构部</t>
        </is>
      </c>
      <c r="V2499" s="192" t="n">
        <v>0.1</v>
      </c>
      <c r="W2499" s="172" t="n"/>
      <c r="X2499" s="172" t="n"/>
      <c r="Y2499" s="172" t="n"/>
    </row>
    <row r="2500">
      <c r="A2500" s="172" t="n">
        <v>135</v>
      </c>
      <c r="B2500" s="173" t="inlineStr">
        <is>
          <t>8月</t>
        </is>
      </c>
      <c r="C2500" s="173" t="inlineStr">
        <is>
          <t>消金</t>
        </is>
      </c>
      <c r="D2500" s="173" t="inlineStr">
        <is>
          <t>赊销白条</t>
        </is>
      </c>
      <c r="E2500" s="173" t="inlineStr">
        <is>
          <t>26东裕9号二期</t>
        </is>
      </c>
      <c r="F2500" s="173" t="inlineStr">
        <is>
          <t>银行间</t>
        </is>
      </c>
      <c r="G2500" s="173" t="inlineStr">
        <is>
          <t>国泰海通</t>
        </is>
      </c>
      <c r="H2500" s="173" t="inlineStr">
        <is>
          <t>中信建投/兴业证券/招商证券/中信证券</t>
        </is>
      </c>
      <c r="I2500" s="173" t="inlineStr">
        <is>
          <t>邮储北分</t>
        </is>
      </c>
      <c r="J2500" s="172" t="n">
        <v>10</v>
      </c>
      <c r="K2500" s="173" t="inlineStr">
        <is>
          <t>22+2</t>
        </is>
      </c>
      <c r="L2500" s="202" t="n">
        <v>46259</v>
      </c>
      <c r="M2500" s="175" t="n">
        <v>0.0148</v>
      </c>
      <c r="N2500" s="176" t="n">
        <v>0.0201</v>
      </c>
      <c r="O2500" s="191" t="n">
        <v>2.2</v>
      </c>
      <c r="P2500" s="172" t="inlineStr">
        <is>
          <t>中间级</t>
        </is>
      </c>
      <c r="Q2500" s="178" t="n">
        <v>0.04</v>
      </c>
      <c r="R2500" s="179" t="n">
        <v>0.4</v>
      </c>
      <c r="S2500" s="177" t="inlineStr">
        <is>
          <t>A</t>
        </is>
      </c>
      <c r="T2500" s="178" t="n">
        <v>0.032</v>
      </c>
      <c r="U2500" s="177" t="inlineStr">
        <is>
          <t>中泰证券自营</t>
        </is>
      </c>
      <c r="V2500" s="192" t="n">
        <v>0.06</v>
      </c>
      <c r="W2500" s="172" t="n"/>
      <c r="X2500" s="172" t="n"/>
      <c r="Y2500" s="172" t="n"/>
    </row>
    <row r="2501">
      <c r="A2501" s="172" t="n">
        <v>135</v>
      </c>
      <c r="B2501" s="173" t="inlineStr">
        <is>
          <t>8月</t>
        </is>
      </c>
      <c r="C2501" s="173" t="inlineStr">
        <is>
          <t>消金</t>
        </is>
      </c>
      <c r="D2501" s="173" t="inlineStr">
        <is>
          <t>赊销白条</t>
        </is>
      </c>
      <c r="E2501" s="173" t="inlineStr">
        <is>
          <t>26东裕9号二期</t>
        </is>
      </c>
      <c r="F2501" s="173" t="inlineStr">
        <is>
          <t>银行间</t>
        </is>
      </c>
      <c r="G2501" s="173" t="inlineStr">
        <is>
          <t>国泰海通</t>
        </is>
      </c>
      <c r="H2501" s="173" t="inlineStr">
        <is>
          <t>中信建投/兴业证券/招商证券/中信证券</t>
        </is>
      </c>
      <c r="I2501" s="173" t="inlineStr">
        <is>
          <t>邮储北分</t>
        </is>
      </c>
      <c r="J2501" s="172" t="n">
        <v>10</v>
      </c>
      <c r="K2501" s="173" t="inlineStr">
        <is>
          <t>22+2</t>
        </is>
      </c>
      <c r="L2501" s="202" t="n">
        <v>46259</v>
      </c>
      <c r="M2501" s="175" t="n">
        <v>0.0148</v>
      </c>
      <c r="N2501" s="176" t="n">
        <v>0.0201</v>
      </c>
      <c r="O2501" s="191" t="n">
        <v>2.2</v>
      </c>
      <c r="P2501" s="172" t="inlineStr">
        <is>
          <t>中间级</t>
        </is>
      </c>
      <c r="Q2501" s="178" t="n">
        <v>0.04</v>
      </c>
      <c r="R2501" s="179" t="n">
        <v>0.4</v>
      </c>
      <c r="S2501" s="177" t="inlineStr">
        <is>
          <t>A</t>
        </is>
      </c>
      <c r="T2501" s="178" t="n">
        <v>0.032</v>
      </c>
      <c r="U2501" s="177" t="inlineStr">
        <is>
          <t>平安理财</t>
        </is>
      </c>
      <c r="V2501" s="192" t="n">
        <v>0.12</v>
      </c>
      <c r="W2501" s="172" t="n"/>
      <c r="X2501" s="172" t="n"/>
      <c r="Y2501" s="172" t="n"/>
    </row>
    <row r="2502">
      <c r="A2502" s="172" t="n">
        <v>135</v>
      </c>
      <c r="B2502" s="173" t="inlineStr">
        <is>
          <t>8月</t>
        </is>
      </c>
      <c r="C2502" s="173" t="inlineStr">
        <is>
          <t>消金</t>
        </is>
      </c>
      <c r="D2502" s="173" t="inlineStr">
        <is>
          <t>赊销白条</t>
        </is>
      </c>
      <c r="E2502" s="173" t="inlineStr">
        <is>
          <t>26东裕9号二期</t>
        </is>
      </c>
      <c r="F2502" s="173" t="inlineStr">
        <is>
          <t>银行间</t>
        </is>
      </c>
      <c r="G2502" s="173" t="inlineStr">
        <is>
          <t>国泰海通</t>
        </is>
      </c>
      <c r="H2502" s="173" t="inlineStr">
        <is>
          <t>中信建投/兴业证券/招商证券/中信证券</t>
        </is>
      </c>
      <c r="I2502" s="173" t="inlineStr">
        <is>
          <t>邮储北分</t>
        </is>
      </c>
      <c r="J2502" s="172" t="n">
        <v>10</v>
      </c>
      <c r="K2502" s="173" t="inlineStr">
        <is>
          <t>22+2</t>
        </is>
      </c>
      <c r="L2502" s="202" t="n">
        <v>46259</v>
      </c>
      <c r="M2502" s="175" t="n">
        <v>0.0148</v>
      </c>
      <c r="N2502" s="176" t="n">
        <v>0.0201</v>
      </c>
      <c r="O2502" s="191" t="n">
        <v>2.2</v>
      </c>
      <c r="P2502" s="172" t="inlineStr">
        <is>
          <t>中间级</t>
        </is>
      </c>
      <c r="Q2502" s="178" t="n">
        <v>0.04</v>
      </c>
      <c r="R2502" s="179" t="n">
        <v>0.4</v>
      </c>
      <c r="S2502" s="177" t="inlineStr">
        <is>
          <t>A</t>
        </is>
      </c>
      <c r="T2502" s="178" t="n">
        <v>0.032</v>
      </c>
      <c r="U2502" s="177" t="inlineStr">
        <is>
          <t>招银理财</t>
        </is>
      </c>
      <c r="V2502" s="192" t="n">
        <v>0.12</v>
      </c>
      <c r="W2502" s="172" t="n"/>
      <c r="X2502" s="172" t="n"/>
      <c r="Y2502" s="172" t="n"/>
    </row>
    <row r="2503">
      <c r="A2503" s="172" t="n">
        <v>135</v>
      </c>
      <c r="B2503" s="173" t="inlineStr">
        <is>
          <t>8月</t>
        </is>
      </c>
      <c r="C2503" s="173" t="inlineStr">
        <is>
          <t>消金</t>
        </is>
      </c>
      <c r="D2503" s="173" t="inlineStr">
        <is>
          <t>赊销白条</t>
        </is>
      </c>
      <c r="E2503" s="173" t="inlineStr">
        <is>
          <t>26东裕9号二期</t>
        </is>
      </c>
      <c r="F2503" s="173" t="inlineStr">
        <is>
          <t>银行间</t>
        </is>
      </c>
      <c r="G2503" s="173" t="inlineStr">
        <is>
          <t>国泰海通</t>
        </is>
      </c>
      <c r="H2503" s="173" t="inlineStr">
        <is>
          <t>中信建投/兴业证券/招商证券/中信证券</t>
        </is>
      </c>
      <c r="I2503" s="173" t="inlineStr">
        <is>
          <t>邮储北分</t>
        </is>
      </c>
      <c r="J2503" s="172" t="n">
        <v>10</v>
      </c>
      <c r="K2503" s="173" t="inlineStr">
        <is>
          <t>22+2</t>
        </is>
      </c>
      <c r="L2503" s="202" t="n">
        <v>46259</v>
      </c>
      <c r="M2503" s="175" t="n">
        <v>0.0148</v>
      </c>
      <c r="N2503" s="176" t="n">
        <v>0.0201</v>
      </c>
      <c r="O2503" s="191" t="n">
        <v>2.2</v>
      </c>
      <c r="P2503" s="177" t="inlineStr">
        <is>
          <t>次级</t>
        </is>
      </c>
      <c r="Q2503" s="178" t="n">
        <v>0.05</v>
      </c>
      <c r="R2503" s="179" t="n">
        <v>0.5</v>
      </c>
      <c r="S2503" s="177" t="inlineStr">
        <is>
          <t>无</t>
        </is>
      </c>
      <c r="T2503" s="178" t="n">
        <v>0.045</v>
      </c>
      <c r="U2503" s="177" t="inlineStr">
        <is>
          <t>国信证券自营</t>
        </is>
      </c>
      <c r="V2503" s="192" t="n">
        <v>0.1</v>
      </c>
      <c r="W2503" s="172" t="n"/>
      <c r="X2503" s="172" t="n"/>
      <c r="Y2503" s="172" t="n"/>
    </row>
    <row r="2504">
      <c r="A2504" s="172" t="n">
        <v>135</v>
      </c>
      <c r="B2504" s="173" t="inlineStr">
        <is>
          <t>8月</t>
        </is>
      </c>
      <c r="C2504" s="173" t="inlineStr">
        <is>
          <t>消金</t>
        </is>
      </c>
      <c r="D2504" s="173" t="inlineStr">
        <is>
          <t>赊销白条</t>
        </is>
      </c>
      <c r="E2504" s="173" t="inlineStr">
        <is>
          <t>26东裕9号二期</t>
        </is>
      </c>
      <c r="F2504" s="173" t="inlineStr">
        <is>
          <t>银行间</t>
        </is>
      </c>
      <c r="G2504" s="173" t="inlineStr">
        <is>
          <t>国泰海通</t>
        </is>
      </c>
      <c r="H2504" s="173" t="inlineStr">
        <is>
          <t>中信建投/兴业证券/招商证券/中信证券</t>
        </is>
      </c>
      <c r="I2504" s="173" t="inlineStr">
        <is>
          <t>邮储北分</t>
        </is>
      </c>
      <c r="J2504" s="172" t="n">
        <v>10</v>
      </c>
      <c r="K2504" s="173" t="inlineStr">
        <is>
          <t>22+2</t>
        </is>
      </c>
      <c r="L2504" s="202" t="n">
        <v>46259</v>
      </c>
      <c r="M2504" s="175" t="n">
        <v>0.0148</v>
      </c>
      <c r="N2504" s="176" t="n">
        <v>0.0201</v>
      </c>
      <c r="O2504" s="191" t="n">
        <v>2.2</v>
      </c>
      <c r="P2504" s="172" t="inlineStr">
        <is>
          <t>次级</t>
        </is>
      </c>
      <c r="Q2504" s="178" t="n">
        <v>0.05</v>
      </c>
      <c r="R2504" s="179" t="n">
        <v>0.5</v>
      </c>
      <c r="S2504" s="177" t="inlineStr">
        <is>
          <t>无</t>
        </is>
      </c>
      <c r="T2504" s="178" t="n">
        <v>0.045</v>
      </c>
      <c r="U2504" s="177" t="inlineStr">
        <is>
          <t>中信证券自营</t>
        </is>
      </c>
      <c r="V2504" s="192" t="n">
        <v>0.1</v>
      </c>
      <c r="W2504" s="172" t="n"/>
      <c r="X2504" s="172" t="n"/>
      <c r="Y2504" s="172" t="n"/>
    </row>
    <row r="2505">
      <c r="A2505" s="172" t="n">
        <v>135</v>
      </c>
      <c r="B2505" s="173" t="inlineStr">
        <is>
          <t>8月</t>
        </is>
      </c>
      <c r="C2505" s="173" t="inlineStr">
        <is>
          <t>消金</t>
        </is>
      </c>
      <c r="D2505" s="173" t="inlineStr">
        <is>
          <t>赊销白条</t>
        </is>
      </c>
      <c r="E2505" s="173" t="inlineStr">
        <is>
          <t>26东裕9号二期</t>
        </is>
      </c>
      <c r="F2505" s="173" t="inlineStr">
        <is>
          <t>银行间</t>
        </is>
      </c>
      <c r="G2505" s="173" t="inlineStr">
        <is>
          <t>国泰海通</t>
        </is>
      </c>
      <c r="H2505" s="173" t="inlineStr">
        <is>
          <t>中信建投/兴业证券/招商证券/中信证券</t>
        </is>
      </c>
      <c r="I2505" s="173" t="inlineStr">
        <is>
          <t>邮储北分</t>
        </is>
      </c>
      <c r="J2505" s="172" t="n">
        <v>10</v>
      </c>
      <c r="K2505" s="173" t="inlineStr">
        <is>
          <t>22+2</t>
        </is>
      </c>
      <c r="L2505" s="202" t="n">
        <v>46259</v>
      </c>
      <c r="M2505" s="175" t="n">
        <v>0.0148</v>
      </c>
      <c r="N2505" s="176" t="n">
        <v>0.0201</v>
      </c>
      <c r="O2505" s="191" t="n">
        <v>2.2</v>
      </c>
      <c r="P2505" s="172" t="inlineStr">
        <is>
          <t>次级</t>
        </is>
      </c>
      <c r="Q2505" s="178" t="n">
        <v>0.05</v>
      </c>
      <c r="R2505" s="179" t="n">
        <v>0.5</v>
      </c>
      <c r="S2505" s="177" t="inlineStr">
        <is>
          <t>无</t>
        </is>
      </c>
      <c r="T2505" s="178" t="n">
        <v>0.045</v>
      </c>
      <c r="U2505" s="177" t="inlineStr">
        <is>
          <t>中金自营</t>
        </is>
      </c>
      <c r="V2505" s="192" t="n">
        <v>0.1</v>
      </c>
      <c r="W2505" s="172" t="n"/>
      <c r="X2505" s="172" t="n"/>
      <c r="Y2505" s="172" t="n"/>
    </row>
    <row r="2506">
      <c r="A2506" s="172" t="n">
        <v>135</v>
      </c>
      <c r="B2506" s="173" t="inlineStr">
        <is>
          <t>8月</t>
        </is>
      </c>
      <c r="C2506" s="173" t="inlineStr">
        <is>
          <t>消金</t>
        </is>
      </c>
      <c r="D2506" s="173" t="inlineStr">
        <is>
          <t>赊销白条</t>
        </is>
      </c>
      <c r="E2506" s="173" t="inlineStr">
        <is>
          <t>26东裕9号二期</t>
        </is>
      </c>
      <c r="F2506" s="173" t="inlineStr">
        <is>
          <t>银行间</t>
        </is>
      </c>
      <c r="G2506" s="173" t="inlineStr">
        <is>
          <t>国泰海通</t>
        </is>
      </c>
      <c r="H2506" s="173" t="inlineStr">
        <is>
          <t>中信建投/兴业证券/招商证券/中信证券</t>
        </is>
      </c>
      <c r="I2506" s="173" t="inlineStr">
        <is>
          <t>邮储北分</t>
        </is>
      </c>
      <c r="J2506" s="172" t="n">
        <v>10</v>
      </c>
      <c r="K2506" s="173" t="inlineStr">
        <is>
          <t>22+2</t>
        </is>
      </c>
      <c r="L2506" s="202" t="n">
        <v>46259</v>
      </c>
      <c r="M2506" s="175" t="n">
        <v>0.0148</v>
      </c>
      <c r="N2506" s="176" t="n">
        <v>0.0201</v>
      </c>
      <c r="O2506" s="191" t="n">
        <v>2.2</v>
      </c>
      <c r="P2506" s="172" t="inlineStr">
        <is>
          <t>次级</t>
        </is>
      </c>
      <c r="Q2506" s="178" t="n">
        <v>0.05</v>
      </c>
      <c r="R2506" s="179" t="n">
        <v>0.5</v>
      </c>
      <c r="S2506" s="177" t="inlineStr">
        <is>
          <t>无</t>
        </is>
      </c>
      <c r="T2506" s="178" t="n">
        <v>0.045</v>
      </c>
      <c r="U2506" s="177" t="inlineStr">
        <is>
          <t>利曦基金</t>
        </is>
      </c>
      <c r="V2506" s="192" t="n">
        <v>0.1</v>
      </c>
      <c r="W2506" s="172" t="n"/>
      <c r="X2506" s="172" t="n"/>
      <c r="Y2506" s="172" t="n"/>
    </row>
    <row r="2507">
      <c r="A2507" s="172" t="n">
        <v>135</v>
      </c>
      <c r="B2507" s="173" t="inlineStr">
        <is>
          <t>8月</t>
        </is>
      </c>
      <c r="C2507" s="173" t="inlineStr">
        <is>
          <t>消金</t>
        </is>
      </c>
      <c r="D2507" s="173" t="inlineStr">
        <is>
          <t>赊销白条</t>
        </is>
      </c>
      <c r="E2507" s="173" t="inlineStr">
        <is>
          <t>26东裕9号二期</t>
        </is>
      </c>
      <c r="F2507" s="173" t="inlineStr">
        <is>
          <t>银行间</t>
        </is>
      </c>
      <c r="G2507" s="173" t="inlineStr">
        <is>
          <t>国泰海通</t>
        </is>
      </c>
      <c r="H2507" s="173" t="inlineStr">
        <is>
          <t>中信建投/兴业证券/招商证券/中信证券</t>
        </is>
      </c>
      <c r="I2507" s="173" t="inlineStr">
        <is>
          <t>邮储北分</t>
        </is>
      </c>
      <c r="J2507" s="172" t="n">
        <v>10</v>
      </c>
      <c r="K2507" s="173" t="inlineStr">
        <is>
          <t>22+2</t>
        </is>
      </c>
      <c r="L2507" s="202" t="n">
        <v>46259</v>
      </c>
      <c r="M2507" s="175" t="n">
        <v>0.0148</v>
      </c>
      <c r="N2507" s="176" t="n">
        <v>0.0201</v>
      </c>
      <c r="O2507" s="191" t="n">
        <v>2.2</v>
      </c>
      <c r="P2507" s="172" t="inlineStr">
        <is>
          <t>次级</t>
        </is>
      </c>
      <c r="Q2507" s="178" t="n">
        <v>0.05</v>
      </c>
      <c r="R2507" s="179" t="n">
        <v>0.5</v>
      </c>
      <c r="S2507" s="177" t="inlineStr">
        <is>
          <t>无</t>
        </is>
      </c>
      <c r="T2507" s="178" t="n">
        <v>0.045</v>
      </c>
      <c r="U2507" s="177" t="inlineStr">
        <is>
          <t>华宝证券资管</t>
        </is>
      </c>
      <c r="V2507" s="192" t="n">
        <v>0.1</v>
      </c>
      <c r="W2507" s="172" t="n"/>
      <c r="X2507" s="172" t="n"/>
      <c r="Y2507" s="172" t="n"/>
    </row>
    <row r="2508">
      <c r="A2508" s="172" t="n">
        <v>136</v>
      </c>
      <c r="B2508" s="173" t="inlineStr">
        <is>
          <t>8月</t>
        </is>
      </c>
      <c r="C2508" s="173" t="inlineStr">
        <is>
          <t>消金</t>
        </is>
      </c>
      <c r="D2508" s="173" t="inlineStr">
        <is>
          <t>赊销白条</t>
        </is>
      </c>
      <c r="E2508" s="173" t="inlineStr">
        <is>
          <t>26东裕9号三期</t>
        </is>
      </c>
      <c r="F2508" s="173" t="inlineStr">
        <is>
          <t>银行间</t>
        </is>
      </c>
      <c r="G2508" s="173" t="inlineStr">
        <is>
          <t>兴业证券</t>
        </is>
      </c>
      <c r="H2508" s="173" t="inlineStr">
        <is>
          <t>国开证券/招商证券/中信建投/国泰海通</t>
        </is>
      </c>
      <c r="I2508" s="173" t="inlineStr">
        <is>
          <t>杭州北分</t>
        </is>
      </c>
      <c r="J2508" s="172" t="n">
        <v>10</v>
      </c>
      <c r="K2508" s="173" t="inlineStr">
        <is>
          <t>22+2</t>
        </is>
      </c>
      <c r="L2508" s="202" t="n">
        <v>46260</v>
      </c>
      <c r="M2508" s="175" t="n">
        <v>0.014825</v>
      </c>
      <c r="N2508" s="176" t="n">
        <v>0.0201</v>
      </c>
      <c r="O2508" s="191" t="n">
        <v>2.13</v>
      </c>
      <c r="P2508" s="177" t="inlineStr">
        <is>
          <t>优先A</t>
        </is>
      </c>
      <c r="Q2508" s="178" t="n">
        <v>0.87</v>
      </c>
      <c r="R2508" s="179" t="n">
        <v>8.699999999999999</v>
      </c>
      <c r="S2508" s="177" t="inlineStr">
        <is>
          <t>AAA</t>
        </is>
      </c>
      <c r="T2508" s="178" t="n">
        <v>0.0178</v>
      </c>
      <c r="U2508" s="177" t="inlineStr">
        <is>
          <t>中金自营</t>
        </is>
      </c>
      <c r="V2508" s="192" t="n">
        <v>0.6</v>
      </c>
      <c r="W2508" s="172" t="n"/>
      <c r="X2508" s="172" t="n"/>
      <c r="Y2508" s="172" t="n"/>
    </row>
    <row r="2509">
      <c r="A2509" s="172" t="n">
        <v>136</v>
      </c>
      <c r="B2509" s="173" t="inlineStr">
        <is>
          <t>8月</t>
        </is>
      </c>
      <c r="C2509" s="173" t="inlineStr">
        <is>
          <t>消金</t>
        </is>
      </c>
      <c r="D2509" s="173" t="inlineStr">
        <is>
          <t>赊销白条</t>
        </is>
      </c>
      <c r="E2509" s="173" t="inlineStr">
        <is>
          <t>26东裕9号三期</t>
        </is>
      </c>
      <c r="F2509" s="173" t="inlineStr">
        <is>
          <t>银行间</t>
        </is>
      </c>
      <c r="G2509" s="173" t="inlineStr">
        <is>
          <t>兴业证券</t>
        </is>
      </c>
      <c r="H2509" s="173" t="inlineStr">
        <is>
          <t>国开证券/招商证券/中信建投/国泰海通</t>
        </is>
      </c>
      <c r="I2509" s="173" t="inlineStr">
        <is>
          <t>杭州北分</t>
        </is>
      </c>
      <c r="J2509" s="172" t="n">
        <v>10</v>
      </c>
      <c r="K2509" s="173" t="inlineStr">
        <is>
          <t>22+2</t>
        </is>
      </c>
      <c r="L2509" s="202" t="n">
        <v>46260</v>
      </c>
      <c r="M2509" s="175" t="n">
        <v>0.014825</v>
      </c>
      <c r="N2509" s="176" t="n">
        <v>0.0201</v>
      </c>
      <c r="O2509" s="191" t="n">
        <v>2.13</v>
      </c>
      <c r="P2509" s="172" t="inlineStr">
        <is>
          <t>优先A</t>
        </is>
      </c>
      <c r="Q2509" s="178" t="n">
        <v>0.87</v>
      </c>
      <c r="R2509" s="179" t="n">
        <v>8.699999999999999</v>
      </c>
      <c r="S2509" s="177" t="inlineStr">
        <is>
          <t>AAA</t>
        </is>
      </c>
      <c r="T2509" s="178" t="n">
        <v>0.0178</v>
      </c>
      <c r="U2509" s="177" t="inlineStr">
        <is>
          <t>招银理财</t>
        </is>
      </c>
      <c r="V2509" s="192" t="n">
        <v>2.61</v>
      </c>
      <c r="W2509" s="175" t="n">
        <v>0.0167</v>
      </c>
      <c r="X2509" s="172" t="inlineStr">
        <is>
          <t>招银理财有限责任公司</t>
        </is>
      </c>
      <c r="Y2509" s="191" t="n">
        <v>2.61</v>
      </c>
    </row>
    <row r="2510">
      <c r="A2510" s="172" t="n">
        <v>136</v>
      </c>
      <c r="B2510" s="172" t="inlineStr">
        <is>
          <t>8月</t>
        </is>
      </c>
      <c r="C2510" s="172" t="inlineStr">
        <is>
          <t>消金</t>
        </is>
      </c>
      <c r="D2510" s="172" t="inlineStr">
        <is>
          <t>赊销白条</t>
        </is>
      </c>
      <c r="E2510" s="172" t="inlineStr">
        <is>
          <t>26东裕9号三期</t>
        </is>
      </c>
      <c r="F2510" s="172" t="inlineStr">
        <is>
          <t>银行间</t>
        </is>
      </c>
      <c r="G2510" s="172" t="inlineStr">
        <is>
          <t>兴业证券</t>
        </is>
      </c>
      <c r="H2510" s="172" t="inlineStr">
        <is>
          <t>国开证券/招商证券/中信建投/国泰海通</t>
        </is>
      </c>
      <c r="I2510" s="172" t="inlineStr">
        <is>
          <t>杭州北分</t>
        </is>
      </c>
      <c r="J2510" s="172" t="n">
        <v>10</v>
      </c>
      <c r="K2510" s="172" t="inlineStr">
        <is>
          <t>22+2</t>
        </is>
      </c>
      <c r="L2510" s="208" t="n">
        <v>46260</v>
      </c>
      <c r="M2510" s="175" t="n">
        <v>0.014825</v>
      </c>
      <c r="N2510" s="176" t="n">
        <v>0.0201</v>
      </c>
      <c r="O2510" s="172" t="n">
        <v>2.13</v>
      </c>
      <c r="P2510" s="172" t="inlineStr">
        <is>
          <t>优先A</t>
        </is>
      </c>
      <c r="Q2510" s="175" t="n">
        <v>0.87</v>
      </c>
      <c r="R2510" s="192" t="n">
        <v>8.699999999999999</v>
      </c>
      <c r="S2510" s="172" t="inlineStr">
        <is>
          <t>AAA</t>
        </is>
      </c>
      <c r="T2510" s="175" t="n">
        <v>0.0178</v>
      </c>
      <c r="U2510" s="172" t="n"/>
      <c r="V2510" s="172" t="n"/>
      <c r="W2510" s="175" t="n">
        <v>0.017</v>
      </c>
      <c r="X2510" s="172" t="inlineStr">
        <is>
          <t>招银理财有限责任公司</t>
        </is>
      </c>
      <c r="Y2510" s="191" t="n">
        <v>0.12</v>
      </c>
    </row>
    <row r="2511">
      <c r="A2511" s="172" t="n">
        <v>136</v>
      </c>
      <c r="B2511" s="173" t="inlineStr">
        <is>
          <t>8月</t>
        </is>
      </c>
      <c r="C2511" s="173" t="inlineStr">
        <is>
          <t>消金</t>
        </is>
      </c>
      <c r="D2511" s="173" t="inlineStr">
        <is>
          <t>赊销白条</t>
        </is>
      </c>
      <c r="E2511" s="173" t="inlineStr">
        <is>
          <t>26东裕9号三期</t>
        </is>
      </c>
      <c r="F2511" s="173" t="inlineStr">
        <is>
          <t>银行间</t>
        </is>
      </c>
      <c r="G2511" s="173" t="inlineStr">
        <is>
          <t>兴业证券</t>
        </is>
      </c>
      <c r="H2511" s="173" t="inlineStr">
        <is>
          <t>国开证券/招商证券/中信建投/国泰海通</t>
        </is>
      </c>
      <c r="I2511" s="173" t="inlineStr">
        <is>
          <t>杭州北分</t>
        </is>
      </c>
      <c r="J2511" s="172" t="n">
        <v>10</v>
      </c>
      <c r="K2511" s="173" t="inlineStr">
        <is>
          <t>22+2</t>
        </is>
      </c>
      <c r="L2511" s="202" t="n">
        <v>46260</v>
      </c>
      <c r="M2511" s="175" t="n">
        <v>0.014825</v>
      </c>
      <c r="N2511" s="176" t="n">
        <v>0.0201</v>
      </c>
      <c r="O2511" s="191" t="n">
        <v>2.13</v>
      </c>
      <c r="P2511" s="172" t="inlineStr">
        <is>
          <t>优先A</t>
        </is>
      </c>
      <c r="Q2511" s="178" t="n">
        <v>0.87</v>
      </c>
      <c r="R2511" s="179" t="n">
        <v>8.699999999999999</v>
      </c>
      <c r="S2511" s="177" t="inlineStr">
        <is>
          <t>AAA</t>
        </is>
      </c>
      <c r="T2511" s="178" t="n">
        <v>0.0178</v>
      </c>
      <c r="U2511" s="177" t="inlineStr">
        <is>
          <t>易方达基金</t>
        </is>
      </c>
      <c r="V2511" s="192" t="n">
        <v>2.6</v>
      </c>
      <c r="W2511" s="175" t="n">
        <v>0.0168</v>
      </c>
      <c r="X2511" s="172" t="inlineStr">
        <is>
          <t>易方达基金管理有限公司</t>
        </is>
      </c>
      <c r="Y2511" s="191" t="n">
        <v>0.8</v>
      </c>
    </row>
    <row r="2512">
      <c r="A2512" s="172" t="n">
        <v>136</v>
      </c>
      <c r="B2512" s="172" t="inlineStr">
        <is>
          <t>8月</t>
        </is>
      </c>
      <c r="C2512" s="172" t="inlineStr">
        <is>
          <t>消金</t>
        </is>
      </c>
      <c r="D2512" s="172" t="inlineStr">
        <is>
          <t>赊销白条</t>
        </is>
      </c>
      <c r="E2512" s="172" t="inlineStr">
        <is>
          <t>26东裕9号三期</t>
        </is>
      </c>
      <c r="F2512" s="172" t="inlineStr">
        <is>
          <t>银行间</t>
        </is>
      </c>
      <c r="G2512" s="172" t="inlineStr">
        <is>
          <t>兴业证券</t>
        </is>
      </c>
      <c r="H2512" s="172" t="inlineStr">
        <is>
          <t>国开证券/招商证券/中信建投/国泰海通</t>
        </is>
      </c>
      <c r="I2512" s="172" t="inlineStr">
        <is>
          <t>杭州北分</t>
        </is>
      </c>
      <c r="J2512" s="172" t="n">
        <v>10</v>
      </c>
      <c r="K2512" s="172" t="inlineStr">
        <is>
          <t>22+2</t>
        </is>
      </c>
      <c r="L2512" s="208" t="n">
        <v>46260</v>
      </c>
      <c r="M2512" s="175" t="n">
        <v>0.014825</v>
      </c>
      <c r="N2512" s="176" t="n">
        <v>0.0201</v>
      </c>
      <c r="O2512" s="172" t="n">
        <v>2.13</v>
      </c>
      <c r="P2512" s="172" t="inlineStr">
        <is>
          <t>优先A</t>
        </is>
      </c>
      <c r="Q2512" s="175" t="n">
        <v>0.87</v>
      </c>
      <c r="R2512" s="192" t="n">
        <v>8.699999999999999</v>
      </c>
      <c r="S2512" s="172" t="inlineStr">
        <is>
          <t>AAA</t>
        </is>
      </c>
      <c r="T2512" s="175" t="n">
        <v>0.0178</v>
      </c>
      <c r="U2512" s="172" t="n"/>
      <c r="V2512" s="172" t="n"/>
      <c r="W2512" s="175" t="n">
        <v>0.0175</v>
      </c>
      <c r="X2512" s="172" t="inlineStr">
        <is>
          <t>易方达基金管理有限公司</t>
        </is>
      </c>
      <c r="Y2512" s="191" t="n">
        <v>1.8</v>
      </c>
    </row>
    <row r="2513">
      <c r="A2513" s="172" t="n">
        <v>136</v>
      </c>
      <c r="B2513" s="173" t="inlineStr">
        <is>
          <t>8月</t>
        </is>
      </c>
      <c r="C2513" s="173" t="inlineStr">
        <is>
          <t>消金</t>
        </is>
      </c>
      <c r="D2513" s="173" t="inlineStr">
        <is>
          <t>赊销白条</t>
        </is>
      </c>
      <c r="E2513" s="173" t="inlineStr">
        <is>
          <t>26东裕9号三期</t>
        </is>
      </c>
      <c r="F2513" s="173" t="inlineStr">
        <is>
          <t>银行间</t>
        </is>
      </c>
      <c r="G2513" s="173" t="inlineStr">
        <is>
          <t>兴业证券</t>
        </is>
      </c>
      <c r="H2513" s="173" t="inlineStr">
        <is>
          <t>国开证券/招商证券/中信建投/国泰海通</t>
        </is>
      </c>
      <c r="I2513" s="173" t="inlineStr">
        <is>
          <t>杭州北分</t>
        </is>
      </c>
      <c r="J2513" s="172" t="n">
        <v>10</v>
      </c>
      <c r="K2513" s="173" t="inlineStr">
        <is>
          <t>22+2</t>
        </is>
      </c>
      <c r="L2513" s="202" t="n">
        <v>46260</v>
      </c>
      <c r="M2513" s="175" t="n">
        <v>0.014825</v>
      </c>
      <c r="N2513" s="176" t="n">
        <v>0.0201</v>
      </c>
      <c r="O2513" s="191" t="n">
        <v>2.13</v>
      </c>
      <c r="P2513" s="172" t="inlineStr">
        <is>
          <t>优先A</t>
        </is>
      </c>
      <c r="Q2513" s="178" t="n">
        <v>0.87</v>
      </c>
      <c r="R2513" s="179" t="n">
        <v>8.699999999999999</v>
      </c>
      <c r="S2513" s="177" t="inlineStr">
        <is>
          <t>AAA</t>
        </is>
      </c>
      <c r="T2513" s="178" t="n">
        <v>0.0178</v>
      </c>
      <c r="U2513" s="177" t="inlineStr">
        <is>
          <t>建信信托</t>
        </is>
      </c>
      <c r="V2513" s="192" t="n">
        <v>0.29</v>
      </c>
      <c r="W2513" s="175" t="n">
        <v>0.0178</v>
      </c>
      <c r="X2513" s="172" t="inlineStr">
        <is>
          <t>建信信托有限责任公司</t>
        </is>
      </c>
      <c r="Y2513" s="191" t="n">
        <v>0.5</v>
      </c>
    </row>
    <row r="2514">
      <c r="A2514" s="172" t="n">
        <v>136</v>
      </c>
      <c r="B2514" s="172" t="inlineStr">
        <is>
          <t>8月</t>
        </is>
      </c>
      <c r="C2514" s="172" t="inlineStr">
        <is>
          <t>消金</t>
        </is>
      </c>
      <c r="D2514" s="172" t="inlineStr">
        <is>
          <t>赊销白条</t>
        </is>
      </c>
      <c r="E2514" s="172" t="inlineStr">
        <is>
          <t>26东裕9号三期</t>
        </is>
      </c>
      <c r="F2514" s="172" t="inlineStr">
        <is>
          <t>银行间</t>
        </is>
      </c>
      <c r="G2514" s="172" t="inlineStr">
        <is>
          <t>兴业证券</t>
        </is>
      </c>
      <c r="H2514" s="172" t="inlineStr">
        <is>
          <t>国开证券/招商证券/中信建投/国泰海通</t>
        </is>
      </c>
      <c r="I2514" s="172" t="inlineStr">
        <is>
          <t>杭州北分</t>
        </is>
      </c>
      <c r="J2514" s="172" t="n">
        <v>10</v>
      </c>
      <c r="K2514" s="172" t="inlineStr">
        <is>
          <t>22+2</t>
        </is>
      </c>
      <c r="L2514" s="208" t="n">
        <v>46260</v>
      </c>
      <c r="M2514" s="175" t="n">
        <v>0.014825</v>
      </c>
      <c r="N2514" s="176" t="n">
        <v>0.0201</v>
      </c>
      <c r="O2514" s="172" t="n">
        <v>2.13</v>
      </c>
      <c r="P2514" s="172" t="inlineStr">
        <is>
          <t>优先A</t>
        </is>
      </c>
      <c r="Q2514" s="175" t="n">
        <v>0.87</v>
      </c>
      <c r="R2514" s="192" t="n">
        <v>8.699999999999999</v>
      </c>
      <c r="S2514" s="172" t="inlineStr">
        <is>
          <t>AAA</t>
        </is>
      </c>
      <c r="T2514" s="175" t="n">
        <v>0.0178</v>
      </c>
      <c r="U2514" s="172" t="n"/>
      <c r="V2514" s="172" t="n"/>
      <c r="W2514" s="175" t="n">
        <v>0.0185</v>
      </c>
      <c r="X2514" s="172" t="inlineStr">
        <is>
          <t>建信信托有限责任公司</t>
        </is>
      </c>
      <c r="Y2514" s="191" t="n">
        <v>0.5</v>
      </c>
    </row>
    <row r="2515">
      <c r="A2515" s="172" t="n">
        <v>136</v>
      </c>
      <c r="B2515" s="172" t="inlineStr">
        <is>
          <t>8月</t>
        </is>
      </c>
      <c r="C2515" s="172" t="inlineStr">
        <is>
          <t>消金</t>
        </is>
      </c>
      <c r="D2515" s="172" t="inlineStr">
        <is>
          <t>赊销白条</t>
        </is>
      </c>
      <c r="E2515" s="172" t="inlineStr">
        <is>
          <t>26东裕9号三期</t>
        </is>
      </c>
      <c r="F2515" s="172" t="inlineStr">
        <is>
          <t>银行间</t>
        </is>
      </c>
      <c r="G2515" s="172" t="inlineStr">
        <is>
          <t>兴业证券</t>
        </is>
      </c>
      <c r="H2515" s="172" t="inlineStr">
        <is>
          <t>国开证券/招商证券/中信建投/国泰海通</t>
        </is>
      </c>
      <c r="I2515" s="172" t="inlineStr">
        <is>
          <t>杭州北分</t>
        </is>
      </c>
      <c r="J2515" s="172" t="n">
        <v>10</v>
      </c>
      <c r="K2515" s="172" t="inlineStr">
        <is>
          <t>22+2</t>
        </is>
      </c>
      <c r="L2515" s="208" t="n">
        <v>46260</v>
      </c>
      <c r="M2515" s="175" t="n">
        <v>0.014825</v>
      </c>
      <c r="N2515" s="176" t="n">
        <v>0.0201</v>
      </c>
      <c r="O2515" s="172" t="n">
        <v>2.13</v>
      </c>
      <c r="P2515" s="172" t="inlineStr">
        <is>
          <t>优先A</t>
        </is>
      </c>
      <c r="Q2515" s="175" t="n">
        <v>0.87</v>
      </c>
      <c r="R2515" s="192" t="n">
        <v>8.699999999999999</v>
      </c>
      <c r="S2515" s="172" t="inlineStr">
        <is>
          <t>AAA</t>
        </is>
      </c>
      <c r="T2515" s="175" t="n">
        <v>0.0178</v>
      </c>
      <c r="U2515" s="172" t="n"/>
      <c r="V2515" s="172" t="n"/>
      <c r="W2515" s="175" t="n">
        <v>0.0188</v>
      </c>
      <c r="X2515" s="172" t="inlineStr">
        <is>
          <t>建信信托有限责任公司</t>
        </is>
      </c>
      <c r="Y2515" s="191" t="n">
        <v>0.3</v>
      </c>
    </row>
    <row r="2516">
      <c r="A2516" s="172" t="n">
        <v>136</v>
      </c>
      <c r="B2516" s="173" t="inlineStr">
        <is>
          <t>8月</t>
        </is>
      </c>
      <c r="C2516" s="173" t="inlineStr">
        <is>
          <t>消金</t>
        </is>
      </c>
      <c r="D2516" s="173" t="inlineStr">
        <is>
          <t>赊销白条</t>
        </is>
      </c>
      <c r="E2516" s="173" t="inlineStr">
        <is>
          <t>26东裕9号三期</t>
        </is>
      </c>
      <c r="F2516" s="173" t="inlineStr">
        <is>
          <t>银行间</t>
        </is>
      </c>
      <c r="G2516" s="173" t="inlineStr">
        <is>
          <t>兴业证券</t>
        </is>
      </c>
      <c r="H2516" s="173" t="inlineStr">
        <is>
          <t>国开证券/招商证券/中信建投/国泰海通</t>
        </is>
      </c>
      <c r="I2516" s="173" t="inlineStr">
        <is>
          <t>杭州北分</t>
        </is>
      </c>
      <c r="J2516" s="172" t="n">
        <v>10</v>
      </c>
      <c r="K2516" s="173" t="inlineStr">
        <is>
          <t>22+2</t>
        </is>
      </c>
      <c r="L2516" s="202" t="n">
        <v>46260</v>
      </c>
      <c r="M2516" s="175" t="n">
        <v>0.014825</v>
      </c>
      <c r="N2516" s="176" t="n">
        <v>0.0201</v>
      </c>
      <c r="O2516" s="191" t="n">
        <v>2.13</v>
      </c>
      <c r="P2516" s="172" t="inlineStr">
        <is>
          <t>优先A</t>
        </is>
      </c>
      <c r="Q2516" s="178" t="n">
        <v>0.87</v>
      </c>
      <c r="R2516" s="179" t="n">
        <v>8.699999999999999</v>
      </c>
      <c r="S2516" s="177" t="inlineStr">
        <is>
          <t>AAA</t>
        </is>
      </c>
      <c r="T2516" s="178" t="n">
        <v>0.0178</v>
      </c>
      <c r="U2516" s="177" t="inlineStr">
        <is>
          <t>信银理财</t>
        </is>
      </c>
      <c r="V2516" s="192" t="n">
        <v>2.6</v>
      </c>
      <c r="W2516" s="175" t="n">
        <v>0.0178</v>
      </c>
      <c r="X2516" s="172" t="inlineStr">
        <is>
          <t>信银理财有限责任公司</t>
        </is>
      </c>
      <c r="Y2516" s="191" t="n">
        <v>2.6</v>
      </c>
    </row>
    <row r="2517">
      <c r="A2517" s="172" t="n">
        <v>136</v>
      </c>
      <c r="B2517" s="172" t="inlineStr">
        <is>
          <t>8月</t>
        </is>
      </c>
      <c r="C2517" s="172" t="inlineStr">
        <is>
          <t>消金</t>
        </is>
      </c>
      <c r="D2517" s="172" t="inlineStr">
        <is>
          <t>赊销白条</t>
        </is>
      </c>
      <c r="E2517" s="172" t="inlineStr">
        <is>
          <t>26东裕9号三期</t>
        </is>
      </c>
      <c r="F2517" s="172" t="inlineStr">
        <is>
          <t>银行间</t>
        </is>
      </c>
      <c r="G2517" s="172" t="inlineStr">
        <is>
          <t>兴业证券</t>
        </is>
      </c>
      <c r="H2517" s="172" t="inlineStr">
        <is>
          <t>国开证券/招商证券/中信建投/国泰海通</t>
        </is>
      </c>
      <c r="I2517" s="172" t="inlineStr">
        <is>
          <t>杭州北分</t>
        </is>
      </c>
      <c r="J2517" s="172" t="n">
        <v>10</v>
      </c>
      <c r="K2517" s="172" t="inlineStr">
        <is>
          <t>22+2</t>
        </is>
      </c>
      <c r="L2517" s="208" t="n">
        <v>46260</v>
      </c>
      <c r="M2517" s="175" t="n">
        <v>0.014825</v>
      </c>
      <c r="N2517" s="176" t="n">
        <v>0.0201</v>
      </c>
      <c r="O2517" s="172" t="n">
        <v>2.13</v>
      </c>
      <c r="P2517" s="172" t="inlineStr">
        <is>
          <t>优先A</t>
        </is>
      </c>
      <c r="Q2517" s="175" t="n">
        <v>0.87</v>
      </c>
      <c r="R2517" s="192" t="n">
        <v>8.699999999999999</v>
      </c>
      <c r="S2517" s="172" t="inlineStr">
        <is>
          <t>AAA</t>
        </is>
      </c>
      <c r="T2517" s="175" t="n">
        <v>0.0178</v>
      </c>
      <c r="U2517" s="172" t="n"/>
      <c r="V2517" s="172" t="n"/>
      <c r="W2517" s="175" t="n">
        <v>0.0178</v>
      </c>
      <c r="X2517" s="172" t="inlineStr">
        <is>
          <t>中国国际金融股份有限公司（自营）</t>
        </is>
      </c>
      <c r="Y2517" s="191" t="n">
        <v>1</v>
      </c>
    </row>
    <row r="2518">
      <c r="A2518" s="172" t="n">
        <v>136</v>
      </c>
      <c r="B2518" s="172" t="inlineStr">
        <is>
          <t>8月</t>
        </is>
      </c>
      <c r="C2518" s="172" t="inlineStr">
        <is>
          <t>消金</t>
        </is>
      </c>
      <c r="D2518" s="172" t="inlineStr">
        <is>
          <t>赊销白条</t>
        </is>
      </c>
      <c r="E2518" s="172" t="inlineStr">
        <is>
          <t>26东裕9号三期</t>
        </is>
      </c>
      <c r="F2518" s="172" t="inlineStr">
        <is>
          <t>银行间</t>
        </is>
      </c>
      <c r="G2518" s="172" t="inlineStr">
        <is>
          <t>兴业证券</t>
        </is>
      </c>
      <c r="H2518" s="172" t="inlineStr">
        <is>
          <t>国开证券/招商证券/中信建投/国泰海通</t>
        </is>
      </c>
      <c r="I2518" s="172" t="inlineStr">
        <is>
          <t>杭州北分</t>
        </is>
      </c>
      <c r="J2518" s="172" t="n">
        <v>10</v>
      </c>
      <c r="K2518" s="172" t="inlineStr">
        <is>
          <t>22+2</t>
        </is>
      </c>
      <c r="L2518" s="208" t="n">
        <v>46260</v>
      </c>
      <c r="M2518" s="175" t="n">
        <v>0.014825</v>
      </c>
      <c r="N2518" s="176" t="n">
        <v>0.0201</v>
      </c>
      <c r="O2518" s="172" t="n">
        <v>2.13</v>
      </c>
      <c r="P2518" s="172" t="inlineStr">
        <is>
          <t>优先A</t>
        </is>
      </c>
      <c r="Q2518" s="175" t="n">
        <v>0.87</v>
      </c>
      <c r="R2518" s="192" t="n">
        <v>8.699999999999999</v>
      </c>
      <c r="S2518" s="172" t="inlineStr">
        <is>
          <t>AAA</t>
        </is>
      </c>
      <c r="T2518" s="175" t="n">
        <v>0.0178</v>
      </c>
      <c r="U2518" s="172" t="n"/>
      <c r="V2518" s="172" t="n"/>
      <c r="W2518" s="175" t="n">
        <v>0.018</v>
      </c>
      <c r="X2518" s="172" t="inlineStr">
        <is>
          <t>兴业证券股份有限公司</t>
        </is>
      </c>
      <c r="Y2518" s="191" t="n">
        <v>1.5</v>
      </c>
    </row>
    <row r="2519">
      <c r="A2519" s="172" t="n">
        <v>136</v>
      </c>
      <c r="B2519" s="172" t="inlineStr">
        <is>
          <t>8月</t>
        </is>
      </c>
      <c r="C2519" s="172" t="inlineStr">
        <is>
          <t>消金</t>
        </is>
      </c>
      <c r="D2519" s="172" t="inlineStr">
        <is>
          <t>赊销白条</t>
        </is>
      </c>
      <c r="E2519" s="172" t="inlineStr">
        <is>
          <t>26东裕9号三期</t>
        </is>
      </c>
      <c r="F2519" s="172" t="inlineStr">
        <is>
          <t>银行间</t>
        </is>
      </c>
      <c r="G2519" s="172" t="inlineStr">
        <is>
          <t>兴业证券</t>
        </is>
      </c>
      <c r="H2519" s="172" t="inlineStr">
        <is>
          <t>国开证券/招商证券/中信建投/国泰海通</t>
        </is>
      </c>
      <c r="I2519" s="172" t="inlineStr">
        <is>
          <t>杭州北分</t>
        </is>
      </c>
      <c r="J2519" s="172" t="n">
        <v>10</v>
      </c>
      <c r="K2519" s="172" t="inlineStr">
        <is>
          <t>22+2</t>
        </is>
      </c>
      <c r="L2519" s="208" t="n">
        <v>46260</v>
      </c>
      <c r="M2519" s="175" t="n">
        <v>0.014825</v>
      </c>
      <c r="N2519" s="176" t="n">
        <v>0.0201</v>
      </c>
      <c r="O2519" s="172" t="n">
        <v>2.13</v>
      </c>
      <c r="P2519" s="172" t="inlineStr">
        <is>
          <t>优先A</t>
        </is>
      </c>
      <c r="Q2519" s="175" t="n">
        <v>0.87</v>
      </c>
      <c r="R2519" s="192" t="n">
        <v>8.699999999999999</v>
      </c>
      <c r="S2519" s="172" t="inlineStr">
        <is>
          <t>AAA</t>
        </is>
      </c>
      <c r="T2519" s="175" t="n">
        <v>0.0178</v>
      </c>
      <c r="U2519" s="172" t="n"/>
      <c r="V2519" s="172" t="n"/>
      <c r="W2519" s="175" t="n">
        <v>0.018</v>
      </c>
      <c r="X2519" s="172" t="inlineStr">
        <is>
          <t>招商证券股份有限公司</t>
        </is>
      </c>
      <c r="Y2519" s="191" t="n">
        <v>1.5</v>
      </c>
    </row>
    <row r="2520">
      <c r="A2520" s="172" t="n">
        <v>136</v>
      </c>
      <c r="B2520" s="172" t="inlineStr">
        <is>
          <t>8月</t>
        </is>
      </c>
      <c r="C2520" s="172" t="inlineStr">
        <is>
          <t>消金</t>
        </is>
      </c>
      <c r="D2520" s="172" t="inlineStr">
        <is>
          <t>赊销白条</t>
        </is>
      </c>
      <c r="E2520" s="172" t="inlineStr">
        <is>
          <t>26东裕9号三期</t>
        </is>
      </c>
      <c r="F2520" s="172" t="inlineStr">
        <is>
          <t>银行间</t>
        </is>
      </c>
      <c r="G2520" s="172" t="inlineStr">
        <is>
          <t>兴业证券</t>
        </is>
      </c>
      <c r="H2520" s="172" t="inlineStr">
        <is>
          <t>国开证券/招商证券/中信建投/国泰海通</t>
        </is>
      </c>
      <c r="I2520" s="172" t="inlineStr">
        <is>
          <t>杭州北分</t>
        </is>
      </c>
      <c r="J2520" s="172" t="n">
        <v>10</v>
      </c>
      <c r="K2520" s="172" t="inlineStr">
        <is>
          <t>22+2</t>
        </is>
      </c>
      <c r="L2520" s="208" t="n">
        <v>46260</v>
      </c>
      <c r="M2520" s="175" t="n">
        <v>0.014825</v>
      </c>
      <c r="N2520" s="176" t="n">
        <v>0.0201</v>
      </c>
      <c r="O2520" s="172" t="n">
        <v>2.13</v>
      </c>
      <c r="P2520" s="172" t="inlineStr">
        <is>
          <t>优先A</t>
        </is>
      </c>
      <c r="Q2520" s="175" t="n">
        <v>0.87</v>
      </c>
      <c r="R2520" s="192" t="n">
        <v>8.699999999999999</v>
      </c>
      <c r="S2520" s="172" t="inlineStr">
        <is>
          <t>AAA</t>
        </is>
      </c>
      <c r="T2520" s="175" t="n">
        <v>0.0178</v>
      </c>
      <c r="U2520" s="172" t="n"/>
      <c r="V2520" s="172" t="n"/>
      <c r="W2520" s="175" t="n">
        <v>0.018</v>
      </c>
      <c r="X2520" s="172" t="inlineStr">
        <is>
          <t>国泰海通证券股份有限公司</t>
        </is>
      </c>
      <c r="Y2520" s="191" t="n">
        <v>1.5</v>
      </c>
    </row>
    <row r="2521">
      <c r="A2521" s="172" t="n">
        <v>136</v>
      </c>
      <c r="B2521" s="172" t="inlineStr">
        <is>
          <t>8月</t>
        </is>
      </c>
      <c r="C2521" s="172" t="inlineStr">
        <is>
          <t>消金</t>
        </is>
      </c>
      <c r="D2521" s="172" t="inlineStr">
        <is>
          <t>赊销白条</t>
        </is>
      </c>
      <c r="E2521" s="172" t="inlineStr">
        <is>
          <t>26东裕9号三期</t>
        </is>
      </c>
      <c r="F2521" s="172" t="inlineStr">
        <is>
          <t>银行间</t>
        </is>
      </c>
      <c r="G2521" s="172" t="inlineStr">
        <is>
          <t>兴业证券</t>
        </is>
      </c>
      <c r="H2521" s="172" t="inlineStr">
        <is>
          <t>国开证券/招商证券/中信建投/国泰海通</t>
        </is>
      </c>
      <c r="I2521" s="172" t="inlineStr">
        <is>
          <t>杭州北分</t>
        </is>
      </c>
      <c r="J2521" s="172" t="n">
        <v>10</v>
      </c>
      <c r="K2521" s="172" t="inlineStr">
        <is>
          <t>22+2</t>
        </is>
      </c>
      <c r="L2521" s="208" t="n">
        <v>46260</v>
      </c>
      <c r="M2521" s="175" t="n">
        <v>0.014825</v>
      </c>
      <c r="N2521" s="176" t="n">
        <v>0.0201</v>
      </c>
      <c r="O2521" s="172" t="n">
        <v>2.13</v>
      </c>
      <c r="P2521" s="172" t="inlineStr">
        <is>
          <t>优先A</t>
        </is>
      </c>
      <c r="Q2521" s="175" t="n">
        <v>0.87</v>
      </c>
      <c r="R2521" s="192" t="n">
        <v>8.699999999999999</v>
      </c>
      <c r="S2521" s="172" t="inlineStr">
        <is>
          <t>AAA</t>
        </is>
      </c>
      <c r="T2521" s="175" t="n">
        <v>0.0178</v>
      </c>
      <c r="U2521" s="172" t="n"/>
      <c r="V2521" s="172" t="n"/>
      <c r="W2521" s="175" t="n">
        <v>0.018</v>
      </c>
      <c r="X2521" s="172" t="inlineStr">
        <is>
          <t>中信建投证券股份有限公司</t>
        </is>
      </c>
      <c r="Y2521" s="191" t="n">
        <v>1.5</v>
      </c>
    </row>
    <row r="2522">
      <c r="A2522" s="172" t="n">
        <v>136</v>
      </c>
      <c r="B2522" s="172" t="inlineStr">
        <is>
          <t>8月</t>
        </is>
      </c>
      <c r="C2522" s="172" t="inlineStr">
        <is>
          <t>消金</t>
        </is>
      </c>
      <c r="D2522" s="172" t="inlineStr">
        <is>
          <t>赊销白条</t>
        </is>
      </c>
      <c r="E2522" s="172" t="inlineStr">
        <is>
          <t>26东裕9号三期</t>
        </is>
      </c>
      <c r="F2522" s="172" t="inlineStr">
        <is>
          <t>银行间</t>
        </is>
      </c>
      <c r="G2522" s="172" t="inlineStr">
        <is>
          <t>兴业证券</t>
        </is>
      </c>
      <c r="H2522" s="172" t="inlineStr">
        <is>
          <t>国开证券/招商证券/中信建投/国泰海通</t>
        </is>
      </c>
      <c r="I2522" s="172" t="inlineStr">
        <is>
          <t>杭州北分</t>
        </is>
      </c>
      <c r="J2522" s="172" t="n">
        <v>10</v>
      </c>
      <c r="K2522" s="172" t="inlineStr">
        <is>
          <t>22+2</t>
        </is>
      </c>
      <c r="L2522" s="208" t="n">
        <v>46260</v>
      </c>
      <c r="M2522" s="175" t="n">
        <v>0.014825</v>
      </c>
      <c r="N2522" s="176" t="n">
        <v>0.0201</v>
      </c>
      <c r="O2522" s="172" t="n">
        <v>2.13</v>
      </c>
      <c r="P2522" s="172" t="inlineStr">
        <is>
          <t>优先A</t>
        </is>
      </c>
      <c r="Q2522" s="175" t="n">
        <v>0.87</v>
      </c>
      <c r="R2522" s="192" t="n">
        <v>8.699999999999999</v>
      </c>
      <c r="S2522" s="172" t="inlineStr">
        <is>
          <t>AAA</t>
        </is>
      </c>
      <c r="T2522" s="175" t="n">
        <v>0.0178</v>
      </c>
      <c r="U2522" s="172" t="n"/>
      <c r="V2522" s="172" t="n"/>
      <c r="W2522" s="175" t="n">
        <v>0.018</v>
      </c>
      <c r="X2522" s="172" t="inlineStr">
        <is>
          <t>申万宏源证券有限公司</t>
        </is>
      </c>
      <c r="Y2522" s="191" t="n">
        <v>0.5</v>
      </c>
    </row>
    <row r="2523">
      <c r="A2523" s="172" t="n">
        <v>136</v>
      </c>
      <c r="B2523" s="172" t="inlineStr">
        <is>
          <t>8月</t>
        </is>
      </c>
      <c r="C2523" s="172" t="inlineStr">
        <is>
          <t>消金</t>
        </is>
      </c>
      <c r="D2523" s="172" t="inlineStr">
        <is>
          <t>赊销白条</t>
        </is>
      </c>
      <c r="E2523" s="172" t="inlineStr">
        <is>
          <t>26东裕9号三期</t>
        </is>
      </c>
      <c r="F2523" s="172" t="inlineStr">
        <is>
          <t>银行间</t>
        </is>
      </c>
      <c r="G2523" s="172" t="inlineStr">
        <is>
          <t>兴业证券</t>
        </is>
      </c>
      <c r="H2523" s="172" t="inlineStr">
        <is>
          <t>国开证券/招商证券/中信建投/国泰海通</t>
        </is>
      </c>
      <c r="I2523" s="172" t="inlineStr">
        <is>
          <t>杭州北分</t>
        </is>
      </c>
      <c r="J2523" s="172" t="n">
        <v>10</v>
      </c>
      <c r="K2523" s="172" t="inlineStr">
        <is>
          <t>22+2</t>
        </is>
      </c>
      <c r="L2523" s="208" t="n">
        <v>46260</v>
      </c>
      <c r="M2523" s="175" t="n">
        <v>0.014825</v>
      </c>
      <c r="N2523" s="176" t="n">
        <v>0.0201</v>
      </c>
      <c r="O2523" s="172" t="n">
        <v>2.13</v>
      </c>
      <c r="P2523" s="172" t="inlineStr">
        <is>
          <t>优先A</t>
        </is>
      </c>
      <c r="Q2523" s="175" t="n">
        <v>0.87</v>
      </c>
      <c r="R2523" s="192" t="n">
        <v>8.699999999999999</v>
      </c>
      <c r="S2523" s="172" t="inlineStr">
        <is>
          <t>AAA</t>
        </is>
      </c>
      <c r="T2523" s="175" t="n">
        <v>0.0178</v>
      </c>
      <c r="U2523" s="172" t="n"/>
      <c r="V2523" s="172" t="n"/>
      <c r="W2523" s="175" t="n">
        <v>0.018</v>
      </c>
      <c r="X2523" s="172" t="inlineStr">
        <is>
          <t>兴银理财有限责任公司</t>
        </is>
      </c>
      <c r="Y2523" s="191" t="n">
        <v>0.2</v>
      </c>
    </row>
    <row r="2524">
      <c r="A2524" s="172" t="n">
        <v>136</v>
      </c>
      <c r="B2524" s="172" t="inlineStr">
        <is>
          <t>8月</t>
        </is>
      </c>
      <c r="C2524" s="172" t="inlineStr">
        <is>
          <t>消金</t>
        </is>
      </c>
      <c r="D2524" s="172" t="inlineStr">
        <is>
          <t>赊销白条</t>
        </is>
      </c>
      <c r="E2524" s="172" t="inlineStr">
        <is>
          <t>26东裕9号三期</t>
        </is>
      </c>
      <c r="F2524" s="172" t="inlineStr">
        <is>
          <t>银行间</t>
        </is>
      </c>
      <c r="G2524" s="172" t="inlineStr">
        <is>
          <t>兴业证券</t>
        </is>
      </c>
      <c r="H2524" s="172" t="inlineStr">
        <is>
          <t>国开证券/招商证券/中信建投/国泰海通</t>
        </is>
      </c>
      <c r="I2524" s="172" t="inlineStr">
        <is>
          <t>杭州北分</t>
        </is>
      </c>
      <c r="J2524" s="172" t="n">
        <v>10</v>
      </c>
      <c r="K2524" s="172" t="inlineStr">
        <is>
          <t>22+2</t>
        </is>
      </c>
      <c r="L2524" s="208" t="n">
        <v>46260</v>
      </c>
      <c r="M2524" s="175" t="n">
        <v>0.014825</v>
      </c>
      <c r="N2524" s="176" t="n">
        <v>0.0201</v>
      </c>
      <c r="O2524" s="172" t="n">
        <v>2.13</v>
      </c>
      <c r="P2524" s="172" t="inlineStr">
        <is>
          <t>优先A</t>
        </is>
      </c>
      <c r="Q2524" s="175" t="n">
        <v>0.87</v>
      </c>
      <c r="R2524" s="192" t="n">
        <v>8.699999999999999</v>
      </c>
      <c r="S2524" s="172" t="inlineStr">
        <is>
          <t>AAA</t>
        </is>
      </c>
      <c r="T2524" s="175" t="n">
        <v>0.0178</v>
      </c>
      <c r="U2524" s="172" t="n"/>
      <c r="V2524" s="172" t="n"/>
      <c r="W2524" s="175" t="n">
        <v>0.018</v>
      </c>
      <c r="X2524" s="172" t="inlineStr">
        <is>
          <t>国开证券股份有限公司</t>
        </is>
      </c>
      <c r="Y2524" s="191" t="n">
        <v>1</v>
      </c>
    </row>
    <row r="2525">
      <c r="A2525" s="172" t="n">
        <v>136</v>
      </c>
      <c r="B2525" s="172" t="inlineStr">
        <is>
          <t>8月</t>
        </is>
      </c>
      <c r="C2525" s="172" t="inlineStr">
        <is>
          <t>消金</t>
        </is>
      </c>
      <c r="D2525" s="172" t="inlineStr">
        <is>
          <t>赊销白条</t>
        </is>
      </c>
      <c r="E2525" s="172" t="inlineStr">
        <is>
          <t>26东裕9号三期</t>
        </is>
      </c>
      <c r="F2525" s="172" t="inlineStr">
        <is>
          <t>银行间</t>
        </is>
      </c>
      <c r="G2525" s="172" t="inlineStr">
        <is>
          <t>兴业证券</t>
        </is>
      </c>
      <c r="H2525" s="172" t="inlineStr">
        <is>
          <t>国开证券/招商证券/中信建投/国泰海通</t>
        </is>
      </c>
      <c r="I2525" s="172" t="inlineStr">
        <is>
          <t>杭州北分</t>
        </is>
      </c>
      <c r="J2525" s="172" t="n">
        <v>10</v>
      </c>
      <c r="K2525" s="172" t="inlineStr">
        <is>
          <t>22+2</t>
        </is>
      </c>
      <c r="L2525" s="208" t="n">
        <v>46260</v>
      </c>
      <c r="M2525" s="175" t="n">
        <v>0.014825</v>
      </c>
      <c r="N2525" s="176" t="n">
        <v>0.0201</v>
      </c>
      <c r="O2525" s="172" t="n">
        <v>2.13</v>
      </c>
      <c r="P2525" s="172" t="inlineStr">
        <is>
          <t>优先A</t>
        </is>
      </c>
      <c r="Q2525" s="175" t="n">
        <v>0.87</v>
      </c>
      <c r="R2525" s="192" t="n">
        <v>8.699999999999999</v>
      </c>
      <c r="S2525" s="172" t="inlineStr">
        <is>
          <t>AAA</t>
        </is>
      </c>
      <c r="T2525" s="175" t="n">
        <v>0.0178</v>
      </c>
      <c r="U2525" s="172" t="n"/>
      <c r="V2525" s="172" t="n"/>
      <c r="W2525" s="175" t="n">
        <v>0.02</v>
      </c>
      <c r="X2525" s="172" t="inlineStr">
        <is>
          <t>中国国际金融股份有限公司（投顾）</t>
        </is>
      </c>
      <c r="Y2525" s="191" t="n">
        <v>0.5</v>
      </c>
    </row>
    <row r="2526">
      <c r="A2526" s="172" t="n">
        <v>136</v>
      </c>
      <c r="B2526" s="172" t="inlineStr">
        <is>
          <t>8月</t>
        </is>
      </c>
      <c r="C2526" s="172" t="inlineStr">
        <is>
          <t>消金</t>
        </is>
      </c>
      <c r="D2526" s="172" t="inlineStr">
        <is>
          <t>赊销白条</t>
        </is>
      </c>
      <c r="E2526" s="172" t="inlineStr">
        <is>
          <t>26东裕9号三期</t>
        </is>
      </c>
      <c r="F2526" s="172" t="inlineStr">
        <is>
          <t>银行间</t>
        </is>
      </c>
      <c r="G2526" s="172" t="inlineStr">
        <is>
          <t>兴业证券</t>
        </is>
      </c>
      <c r="H2526" s="172" t="inlineStr">
        <is>
          <t>国开证券/招商证券/中信建投/国泰海通</t>
        </is>
      </c>
      <c r="I2526" s="172" t="inlineStr">
        <is>
          <t>杭州北分</t>
        </is>
      </c>
      <c r="J2526" s="172" t="n">
        <v>10</v>
      </c>
      <c r="K2526" s="172" t="inlineStr">
        <is>
          <t>22+2</t>
        </is>
      </c>
      <c r="L2526" s="208" t="n">
        <v>46260</v>
      </c>
      <c r="M2526" s="175" t="n">
        <v>0.014825</v>
      </c>
      <c r="N2526" s="176" t="n">
        <v>0.0201</v>
      </c>
      <c r="O2526" s="172" t="n">
        <v>2.13</v>
      </c>
      <c r="P2526" s="172" t="inlineStr">
        <is>
          <t>优先A</t>
        </is>
      </c>
      <c r="Q2526" s="175" t="n">
        <v>0.87</v>
      </c>
      <c r="R2526" s="192" t="n">
        <v>8.699999999999999</v>
      </c>
      <c r="S2526" s="172" t="inlineStr">
        <is>
          <t>AAA</t>
        </is>
      </c>
      <c r="T2526" s="175" t="n">
        <v>0.0178</v>
      </c>
      <c r="U2526" s="172" t="n"/>
      <c r="V2526" s="172" t="n"/>
      <c r="W2526" s="175" t="n">
        <v>0.024</v>
      </c>
      <c r="X2526" s="172" t="inlineStr">
        <is>
          <t>国信证券股份有限公司</t>
        </is>
      </c>
      <c r="Y2526" s="191" t="n">
        <v>0.5</v>
      </c>
    </row>
    <row r="2527">
      <c r="A2527" s="172" t="n">
        <v>136</v>
      </c>
      <c r="B2527" s="173" t="inlineStr">
        <is>
          <t>8月</t>
        </is>
      </c>
      <c r="C2527" s="173" t="inlineStr">
        <is>
          <t>消金</t>
        </is>
      </c>
      <c r="D2527" s="173" t="inlineStr">
        <is>
          <t>赊销白条</t>
        </is>
      </c>
      <c r="E2527" s="173" t="inlineStr">
        <is>
          <t>26东裕9号三期</t>
        </is>
      </c>
      <c r="F2527" s="173" t="inlineStr">
        <is>
          <t>银行间</t>
        </is>
      </c>
      <c r="G2527" s="173" t="inlineStr">
        <is>
          <t>兴业证券</t>
        </is>
      </c>
      <c r="H2527" s="173" t="inlineStr">
        <is>
          <t>国开证券/招商证券/中信建投/国泰海通</t>
        </is>
      </c>
      <c r="I2527" s="173" t="inlineStr">
        <is>
          <t>杭州北分</t>
        </is>
      </c>
      <c r="J2527" s="172" t="n">
        <v>10</v>
      </c>
      <c r="K2527" s="173" t="inlineStr">
        <is>
          <t>22+2</t>
        </is>
      </c>
      <c r="L2527" s="202" t="n">
        <v>46260</v>
      </c>
      <c r="M2527" s="175" t="n">
        <v>0.014825</v>
      </c>
      <c r="N2527" s="176" t="n">
        <v>0.0201</v>
      </c>
      <c r="O2527" s="191" t="n">
        <v>2.13</v>
      </c>
      <c r="P2527" s="177" t="inlineStr">
        <is>
          <t>优先B</t>
        </is>
      </c>
      <c r="Q2527" s="178" t="n">
        <v>0.04</v>
      </c>
      <c r="R2527" s="179" t="n">
        <v>0.4</v>
      </c>
      <c r="S2527" s="177" t="inlineStr">
        <is>
          <t>AA+</t>
        </is>
      </c>
      <c r="T2527" s="178" t="n">
        <v>0.0188</v>
      </c>
      <c r="U2527" s="177" t="inlineStr">
        <is>
          <t>招银理财</t>
        </is>
      </c>
      <c r="V2527" s="192" t="n">
        <v>0.12</v>
      </c>
      <c r="W2527" s="175" t="n">
        <v>0.017</v>
      </c>
      <c r="X2527" s="172" t="inlineStr">
        <is>
          <t>招银理财有限责任公司</t>
        </is>
      </c>
      <c r="Y2527" s="191" t="n">
        <v>0.12</v>
      </c>
    </row>
    <row r="2528">
      <c r="A2528" s="172" t="n">
        <v>136</v>
      </c>
      <c r="B2528" s="173" t="inlineStr">
        <is>
          <t>8月</t>
        </is>
      </c>
      <c r="C2528" s="173" t="inlineStr">
        <is>
          <t>消金</t>
        </is>
      </c>
      <c r="D2528" s="173" t="inlineStr">
        <is>
          <t>赊销白条</t>
        </is>
      </c>
      <c r="E2528" s="173" t="inlineStr">
        <is>
          <t>26东裕9号三期</t>
        </is>
      </c>
      <c r="F2528" s="173" t="inlineStr">
        <is>
          <t>银行间</t>
        </is>
      </c>
      <c r="G2528" s="173" t="inlineStr">
        <is>
          <t>兴业证券</t>
        </is>
      </c>
      <c r="H2528" s="173" t="inlineStr">
        <is>
          <t>国开证券/招商证券/中信建投/国泰海通</t>
        </is>
      </c>
      <c r="I2528" s="173" t="inlineStr">
        <is>
          <t>杭州北分</t>
        </is>
      </c>
      <c r="J2528" s="172" t="n">
        <v>10</v>
      </c>
      <c r="K2528" s="173" t="inlineStr">
        <is>
          <t>22+2</t>
        </is>
      </c>
      <c r="L2528" s="202" t="n">
        <v>46260</v>
      </c>
      <c r="M2528" s="175" t="n">
        <v>0.014825</v>
      </c>
      <c r="N2528" s="176" t="n">
        <v>0.0201</v>
      </c>
      <c r="O2528" s="191" t="n">
        <v>2.13</v>
      </c>
      <c r="P2528" s="172" t="inlineStr">
        <is>
          <t>优先B</t>
        </is>
      </c>
      <c r="Q2528" s="178" t="n">
        <v>0.04</v>
      </c>
      <c r="R2528" s="179" t="n">
        <v>0.4</v>
      </c>
      <c r="S2528" s="177" t="inlineStr">
        <is>
          <t>AA+</t>
        </is>
      </c>
      <c r="T2528" s="178" t="n">
        <v>0.0188</v>
      </c>
      <c r="U2528" s="177" t="inlineStr">
        <is>
          <t>建信信托</t>
        </is>
      </c>
      <c r="V2528" s="192" t="n">
        <v>0.28</v>
      </c>
      <c r="W2528" s="175" t="n">
        <v>0.0188</v>
      </c>
      <c r="X2528" s="172" t="inlineStr">
        <is>
          <t>建信信托有限责任公司</t>
        </is>
      </c>
      <c r="Y2528" s="191" t="n">
        <v>0.3</v>
      </c>
    </row>
    <row r="2529">
      <c r="A2529" s="172" t="n">
        <v>136</v>
      </c>
      <c r="B2529" s="173" t="inlineStr">
        <is>
          <t>8月</t>
        </is>
      </c>
      <c r="C2529" s="173" t="inlineStr">
        <is>
          <t>消金</t>
        </is>
      </c>
      <c r="D2529" s="173" t="inlineStr">
        <is>
          <t>赊销白条</t>
        </is>
      </c>
      <c r="E2529" s="173" t="inlineStr">
        <is>
          <t>26东裕9号三期</t>
        </is>
      </c>
      <c r="F2529" s="173" t="inlineStr">
        <is>
          <t>银行间</t>
        </is>
      </c>
      <c r="G2529" s="173" t="inlineStr">
        <is>
          <t>兴业证券</t>
        </is>
      </c>
      <c r="H2529" s="173" t="inlineStr">
        <is>
          <t>国开证券/招商证券/中信建投/国泰海通</t>
        </is>
      </c>
      <c r="I2529" s="173" t="inlineStr">
        <is>
          <t>杭州北分</t>
        </is>
      </c>
      <c r="J2529" s="172" t="n">
        <v>10</v>
      </c>
      <c r="K2529" s="173" t="inlineStr">
        <is>
          <t>22+2</t>
        </is>
      </c>
      <c r="L2529" s="202" t="n">
        <v>46260</v>
      </c>
      <c r="M2529" s="175" t="n">
        <v>0.014825</v>
      </c>
      <c r="N2529" s="176" t="n">
        <v>0.0201</v>
      </c>
      <c r="O2529" s="191" t="n">
        <v>2.13</v>
      </c>
      <c r="P2529" s="177" t="inlineStr">
        <is>
          <t>中间级</t>
        </is>
      </c>
      <c r="Q2529" s="178" t="n">
        <v>0.04</v>
      </c>
      <c r="R2529" s="179" t="n">
        <v>0.4</v>
      </c>
      <c r="S2529" s="177" t="inlineStr">
        <is>
          <t>A+</t>
        </is>
      </c>
      <c r="T2529" s="178" t="n">
        <v>0.032</v>
      </c>
      <c r="U2529" s="177" t="inlineStr">
        <is>
          <t>国泰海通自营</t>
        </is>
      </c>
      <c r="V2529" s="192" t="n">
        <v>0.06</v>
      </c>
      <c r="W2529" s="172" t="n"/>
      <c r="X2529" s="172" t="n"/>
      <c r="Y2529" s="172" t="n"/>
    </row>
    <row r="2530">
      <c r="A2530" s="172" t="n">
        <v>136</v>
      </c>
      <c r="B2530" s="173" t="inlineStr">
        <is>
          <t>8月</t>
        </is>
      </c>
      <c r="C2530" s="173" t="inlineStr">
        <is>
          <t>消金</t>
        </is>
      </c>
      <c r="D2530" s="173" t="inlineStr">
        <is>
          <t>赊销白条</t>
        </is>
      </c>
      <c r="E2530" s="173" t="inlineStr">
        <is>
          <t>26东裕9号三期</t>
        </is>
      </c>
      <c r="F2530" s="173" t="inlineStr">
        <is>
          <t>银行间</t>
        </is>
      </c>
      <c r="G2530" s="173" t="inlineStr">
        <is>
          <t>兴业证券</t>
        </is>
      </c>
      <c r="H2530" s="173" t="inlineStr">
        <is>
          <t>国开证券/招商证券/中信建投/国泰海通</t>
        </is>
      </c>
      <c r="I2530" s="173" t="inlineStr">
        <is>
          <t>杭州北分</t>
        </is>
      </c>
      <c r="J2530" s="172" t="n">
        <v>10</v>
      </c>
      <c r="K2530" s="173" t="inlineStr">
        <is>
          <t>22+2</t>
        </is>
      </c>
      <c r="L2530" s="202" t="n">
        <v>46260</v>
      </c>
      <c r="M2530" s="175" t="n">
        <v>0.014825</v>
      </c>
      <c r="N2530" s="176" t="n">
        <v>0.0201</v>
      </c>
      <c r="O2530" s="191" t="n">
        <v>2.13</v>
      </c>
      <c r="P2530" s="172" t="inlineStr">
        <is>
          <t>中间级</t>
        </is>
      </c>
      <c r="Q2530" s="178" t="n">
        <v>0.04</v>
      </c>
      <c r="R2530" s="179" t="n">
        <v>0.4</v>
      </c>
      <c r="S2530" s="177" t="inlineStr">
        <is>
          <t>A+</t>
        </is>
      </c>
      <c r="T2530" s="178" t="n">
        <v>0.032</v>
      </c>
      <c r="U2530" s="177" t="inlineStr">
        <is>
          <t>平安理财</t>
        </is>
      </c>
      <c r="V2530" s="195" t="n">
        <v>0.075</v>
      </c>
      <c r="W2530" s="172" t="n"/>
      <c r="X2530" s="172" t="n"/>
      <c r="Y2530" s="172" t="n"/>
    </row>
    <row r="2531">
      <c r="A2531" s="172" t="n">
        <v>136</v>
      </c>
      <c r="B2531" s="173" t="inlineStr">
        <is>
          <t>8月</t>
        </is>
      </c>
      <c r="C2531" s="173" t="inlineStr">
        <is>
          <t>消金</t>
        </is>
      </c>
      <c r="D2531" s="173" t="inlineStr">
        <is>
          <t>赊销白条</t>
        </is>
      </c>
      <c r="E2531" s="173" t="inlineStr">
        <is>
          <t>26东裕9号三期</t>
        </is>
      </c>
      <c r="F2531" s="173" t="inlineStr">
        <is>
          <t>银行间</t>
        </is>
      </c>
      <c r="G2531" s="173" t="inlineStr">
        <is>
          <t>兴业证券</t>
        </is>
      </c>
      <c r="H2531" s="173" t="inlineStr">
        <is>
          <t>国开证券/招商证券/中信建投/国泰海通</t>
        </is>
      </c>
      <c r="I2531" s="173" t="inlineStr">
        <is>
          <t>杭州北分</t>
        </is>
      </c>
      <c r="J2531" s="172" t="n">
        <v>10</v>
      </c>
      <c r="K2531" s="173" t="inlineStr">
        <is>
          <t>22+2</t>
        </is>
      </c>
      <c r="L2531" s="202" t="n">
        <v>46260</v>
      </c>
      <c r="M2531" s="175" t="n">
        <v>0.014825</v>
      </c>
      <c r="N2531" s="176" t="n">
        <v>0.0201</v>
      </c>
      <c r="O2531" s="191" t="n">
        <v>2.13</v>
      </c>
      <c r="P2531" s="172" t="inlineStr">
        <is>
          <t>中间级</t>
        </is>
      </c>
      <c r="Q2531" s="178" t="n">
        <v>0.04</v>
      </c>
      <c r="R2531" s="179" t="n">
        <v>0.4</v>
      </c>
      <c r="S2531" s="177" t="inlineStr">
        <is>
          <t>A+</t>
        </is>
      </c>
      <c r="T2531" s="178" t="n">
        <v>0.032</v>
      </c>
      <c r="U2531" s="177" t="inlineStr">
        <is>
          <t>招银理财</t>
        </is>
      </c>
      <c r="V2531" s="192" t="n">
        <v>0.12</v>
      </c>
      <c r="W2531" s="172" t="n"/>
      <c r="X2531" s="172" t="n"/>
      <c r="Y2531" s="172" t="n"/>
    </row>
    <row r="2532">
      <c r="A2532" s="172" t="n">
        <v>136</v>
      </c>
      <c r="B2532" s="173" t="inlineStr">
        <is>
          <t>8月</t>
        </is>
      </c>
      <c r="C2532" s="173" t="inlineStr">
        <is>
          <t>消金</t>
        </is>
      </c>
      <c r="D2532" s="173" t="inlineStr">
        <is>
          <t>赊销白条</t>
        </is>
      </c>
      <c r="E2532" s="173" t="inlineStr">
        <is>
          <t>26东裕9号三期</t>
        </is>
      </c>
      <c r="F2532" s="173" t="inlineStr">
        <is>
          <t>银行间</t>
        </is>
      </c>
      <c r="G2532" s="173" t="inlineStr">
        <is>
          <t>兴业证券</t>
        </is>
      </c>
      <c r="H2532" s="173" t="inlineStr">
        <is>
          <t>国开证券/招商证券/中信建投/国泰海通</t>
        </is>
      </c>
      <c r="I2532" s="173" t="inlineStr">
        <is>
          <t>杭州北分</t>
        </is>
      </c>
      <c r="J2532" s="172" t="n">
        <v>10</v>
      </c>
      <c r="K2532" s="173" t="inlineStr">
        <is>
          <t>22+2</t>
        </is>
      </c>
      <c r="L2532" s="202" t="n">
        <v>46260</v>
      </c>
      <c r="M2532" s="175" t="n">
        <v>0.014825</v>
      </c>
      <c r="N2532" s="176" t="n">
        <v>0.0201</v>
      </c>
      <c r="O2532" s="191" t="n">
        <v>2.13</v>
      </c>
      <c r="P2532" s="172" t="inlineStr">
        <is>
          <t>中间级</t>
        </is>
      </c>
      <c r="Q2532" s="178" t="n">
        <v>0.04</v>
      </c>
      <c r="R2532" s="179" t="n">
        <v>0.4</v>
      </c>
      <c r="S2532" s="177" t="inlineStr">
        <is>
          <t>A+</t>
        </is>
      </c>
      <c r="T2532" s="178" t="n">
        <v>0.032</v>
      </c>
      <c r="U2532" s="177" t="inlineStr">
        <is>
          <t>中金自营</t>
        </is>
      </c>
      <c r="V2532" s="192" t="n">
        <v>0.1</v>
      </c>
      <c r="W2532" s="172" t="n"/>
      <c r="X2532" s="172" t="n"/>
      <c r="Y2532" s="172" t="n"/>
    </row>
    <row r="2533">
      <c r="A2533" s="172" t="n">
        <v>136</v>
      </c>
      <c r="B2533" s="173" t="inlineStr">
        <is>
          <t>8月</t>
        </is>
      </c>
      <c r="C2533" s="173" t="inlineStr">
        <is>
          <t>消金</t>
        </is>
      </c>
      <c r="D2533" s="173" t="inlineStr">
        <is>
          <t>赊销白条</t>
        </is>
      </c>
      <c r="E2533" s="173" t="inlineStr">
        <is>
          <t>26东裕9号三期</t>
        </is>
      </c>
      <c r="F2533" s="173" t="inlineStr">
        <is>
          <t>银行间</t>
        </is>
      </c>
      <c r="G2533" s="173" t="inlineStr">
        <is>
          <t>兴业证券</t>
        </is>
      </c>
      <c r="H2533" s="173" t="inlineStr">
        <is>
          <t>国开证券/招商证券/中信建投/国泰海通</t>
        </is>
      </c>
      <c r="I2533" s="173" t="inlineStr">
        <is>
          <t>杭州北分</t>
        </is>
      </c>
      <c r="J2533" s="172" t="n">
        <v>10</v>
      </c>
      <c r="K2533" s="173" t="inlineStr">
        <is>
          <t>22+2</t>
        </is>
      </c>
      <c r="L2533" s="202" t="n">
        <v>46260</v>
      </c>
      <c r="M2533" s="175" t="n">
        <v>0.014825</v>
      </c>
      <c r="N2533" s="176" t="n">
        <v>0.0201</v>
      </c>
      <c r="O2533" s="191" t="n">
        <v>2.13</v>
      </c>
      <c r="P2533" s="172" t="inlineStr">
        <is>
          <t>中间级</t>
        </is>
      </c>
      <c r="Q2533" s="178" t="n">
        <v>0.04</v>
      </c>
      <c r="R2533" s="179" t="n">
        <v>0.4</v>
      </c>
      <c r="S2533" s="177" t="inlineStr">
        <is>
          <t>A+</t>
        </is>
      </c>
      <c r="T2533" s="178" t="n">
        <v>0.032</v>
      </c>
      <c r="U2533" s="177" t="inlineStr">
        <is>
          <t>建信信托</t>
        </is>
      </c>
      <c r="V2533" s="195" t="n">
        <v>0.045</v>
      </c>
      <c r="W2533" s="172" t="n"/>
      <c r="X2533" s="172" t="n"/>
      <c r="Y2533" s="172" t="n"/>
    </row>
    <row r="2534">
      <c r="A2534" s="172" t="n">
        <v>136</v>
      </c>
      <c r="B2534" s="173" t="inlineStr">
        <is>
          <t>8月</t>
        </is>
      </c>
      <c r="C2534" s="173" t="inlineStr">
        <is>
          <t>消金</t>
        </is>
      </c>
      <c r="D2534" s="173" t="inlineStr">
        <is>
          <t>赊销白条</t>
        </is>
      </c>
      <c r="E2534" s="173" t="inlineStr">
        <is>
          <t>26东裕9号三期</t>
        </is>
      </c>
      <c r="F2534" s="173" t="inlineStr">
        <is>
          <t>银行间</t>
        </is>
      </c>
      <c r="G2534" s="173" t="inlineStr">
        <is>
          <t>兴业证券</t>
        </is>
      </c>
      <c r="H2534" s="173" t="inlineStr">
        <is>
          <t>国开证券/招商证券/中信建投/国泰海通</t>
        </is>
      </c>
      <c r="I2534" s="173" t="inlineStr">
        <is>
          <t>杭州北分</t>
        </is>
      </c>
      <c r="J2534" s="172" t="n">
        <v>10</v>
      </c>
      <c r="K2534" s="173" t="inlineStr">
        <is>
          <t>22+2</t>
        </is>
      </c>
      <c r="L2534" s="202" t="n">
        <v>46260</v>
      </c>
      <c r="M2534" s="175" t="n">
        <v>0.014825</v>
      </c>
      <c r="N2534" s="176" t="n">
        <v>0.0201</v>
      </c>
      <c r="O2534" s="191" t="n">
        <v>2.13</v>
      </c>
      <c r="P2534" s="177" t="inlineStr">
        <is>
          <t>次级</t>
        </is>
      </c>
      <c r="Q2534" s="178" t="n">
        <v>0.05</v>
      </c>
      <c r="R2534" s="179" t="n">
        <v>0.5</v>
      </c>
      <c r="S2534" s="177" t="inlineStr">
        <is>
          <t>无</t>
        </is>
      </c>
      <c r="T2534" s="178" t="n">
        <v>0.045</v>
      </c>
      <c r="U2534" s="177" t="inlineStr">
        <is>
          <t>申万宏源自营</t>
        </is>
      </c>
      <c r="V2534" s="192" t="n">
        <v>0.08</v>
      </c>
      <c r="W2534" s="172" t="n"/>
      <c r="X2534" s="172" t="n"/>
      <c r="Y2534" s="172" t="n"/>
    </row>
    <row r="2535">
      <c r="A2535" s="172" t="n">
        <v>136</v>
      </c>
      <c r="B2535" s="173" t="inlineStr">
        <is>
          <t>8月</t>
        </is>
      </c>
      <c r="C2535" s="173" t="inlineStr">
        <is>
          <t>消金</t>
        </is>
      </c>
      <c r="D2535" s="173" t="inlineStr">
        <is>
          <t>赊销白条</t>
        </is>
      </c>
      <c r="E2535" s="173" t="inlineStr">
        <is>
          <t>26东裕9号三期</t>
        </is>
      </c>
      <c r="F2535" s="173" t="inlineStr">
        <is>
          <t>银行间</t>
        </is>
      </c>
      <c r="G2535" s="173" t="inlineStr">
        <is>
          <t>兴业证券</t>
        </is>
      </c>
      <c r="H2535" s="173" t="inlineStr">
        <is>
          <t>国开证券/招商证券/中信建投/国泰海通</t>
        </is>
      </c>
      <c r="I2535" s="173" t="inlineStr">
        <is>
          <t>杭州北分</t>
        </is>
      </c>
      <c r="J2535" s="172" t="n">
        <v>10</v>
      </c>
      <c r="K2535" s="173" t="inlineStr">
        <is>
          <t>22+2</t>
        </is>
      </c>
      <c r="L2535" s="202" t="n">
        <v>46260</v>
      </c>
      <c r="M2535" s="175" t="n">
        <v>0.014825</v>
      </c>
      <c r="N2535" s="176" t="n">
        <v>0.0201</v>
      </c>
      <c r="O2535" s="191" t="n">
        <v>2.13</v>
      </c>
      <c r="P2535" s="172" t="inlineStr">
        <is>
          <t>次级</t>
        </is>
      </c>
      <c r="Q2535" s="178" t="n">
        <v>0.05</v>
      </c>
      <c r="R2535" s="179" t="n">
        <v>0.5</v>
      </c>
      <c r="S2535" s="177" t="inlineStr">
        <is>
          <t>无</t>
        </is>
      </c>
      <c r="T2535" s="178" t="n">
        <v>0.045</v>
      </c>
      <c r="U2535" s="177" t="inlineStr">
        <is>
          <t>易方达基金</t>
        </is>
      </c>
      <c r="V2535" s="192" t="n">
        <v>0.12</v>
      </c>
      <c r="W2535" s="172" t="n"/>
      <c r="X2535" s="172" t="n"/>
      <c r="Y2535" s="172" t="n"/>
    </row>
    <row r="2536">
      <c r="A2536" s="172" t="n">
        <v>136</v>
      </c>
      <c r="B2536" s="173" t="inlineStr">
        <is>
          <t>8月</t>
        </is>
      </c>
      <c r="C2536" s="173" t="inlineStr">
        <is>
          <t>消金</t>
        </is>
      </c>
      <c r="D2536" s="173" t="inlineStr">
        <is>
          <t>赊销白条</t>
        </is>
      </c>
      <c r="E2536" s="173" t="inlineStr">
        <is>
          <t>26东裕9号三期</t>
        </is>
      </c>
      <c r="F2536" s="173" t="inlineStr">
        <is>
          <t>银行间</t>
        </is>
      </c>
      <c r="G2536" s="173" t="inlineStr">
        <is>
          <t>兴业证券</t>
        </is>
      </c>
      <c r="H2536" s="173" t="inlineStr">
        <is>
          <t>国开证券/招商证券/中信建投/国泰海通</t>
        </is>
      </c>
      <c r="I2536" s="173" t="inlineStr">
        <is>
          <t>杭州北分</t>
        </is>
      </c>
      <c r="J2536" s="172" t="n">
        <v>10</v>
      </c>
      <c r="K2536" s="173" t="inlineStr">
        <is>
          <t>22+2</t>
        </is>
      </c>
      <c r="L2536" s="202" t="n">
        <v>46260</v>
      </c>
      <c r="M2536" s="175" t="n">
        <v>0.014825</v>
      </c>
      <c r="N2536" s="176" t="n">
        <v>0.0201</v>
      </c>
      <c r="O2536" s="191" t="n">
        <v>2.13</v>
      </c>
      <c r="P2536" s="172" t="inlineStr">
        <is>
          <t>次级</t>
        </is>
      </c>
      <c r="Q2536" s="178" t="n">
        <v>0.05</v>
      </c>
      <c r="R2536" s="179" t="n">
        <v>0.5</v>
      </c>
      <c r="S2536" s="177" t="inlineStr">
        <is>
          <t>无</t>
        </is>
      </c>
      <c r="T2536" s="178" t="n">
        <v>0.045</v>
      </c>
      <c r="U2536" s="177" t="inlineStr">
        <is>
          <t>中信证券自营</t>
        </is>
      </c>
      <c r="V2536" s="192" t="n">
        <v>0.1</v>
      </c>
      <c r="W2536" s="172" t="n"/>
      <c r="X2536" s="172" t="n"/>
      <c r="Y2536" s="172" t="n"/>
    </row>
    <row r="2537">
      <c r="A2537" s="172" t="n">
        <v>136</v>
      </c>
      <c r="B2537" s="173" t="inlineStr">
        <is>
          <t>8月</t>
        </is>
      </c>
      <c r="C2537" s="173" t="inlineStr">
        <is>
          <t>消金</t>
        </is>
      </c>
      <c r="D2537" s="173" t="inlineStr">
        <is>
          <t>赊销白条</t>
        </is>
      </c>
      <c r="E2537" s="173" t="inlineStr">
        <is>
          <t>26东裕9号三期</t>
        </is>
      </c>
      <c r="F2537" s="173" t="inlineStr">
        <is>
          <t>银行间</t>
        </is>
      </c>
      <c r="G2537" s="173" t="inlineStr">
        <is>
          <t>兴业证券</t>
        </is>
      </c>
      <c r="H2537" s="173" t="inlineStr">
        <is>
          <t>国开证券/招商证券/中信建投/国泰海通</t>
        </is>
      </c>
      <c r="I2537" s="173" t="inlineStr">
        <is>
          <t>杭州北分</t>
        </is>
      </c>
      <c r="J2537" s="172" t="n">
        <v>10</v>
      </c>
      <c r="K2537" s="173" t="inlineStr">
        <is>
          <t>22+2</t>
        </is>
      </c>
      <c r="L2537" s="202" t="n">
        <v>46260</v>
      </c>
      <c r="M2537" s="175" t="n">
        <v>0.014825</v>
      </c>
      <c r="N2537" s="176" t="n">
        <v>0.0201</v>
      </c>
      <c r="O2537" s="191" t="n">
        <v>2.13</v>
      </c>
      <c r="P2537" s="172" t="inlineStr">
        <is>
          <t>次级</t>
        </is>
      </c>
      <c r="Q2537" s="178" t="n">
        <v>0.05</v>
      </c>
      <c r="R2537" s="179" t="n">
        <v>0.5</v>
      </c>
      <c r="S2537" s="177" t="inlineStr">
        <is>
          <t>无</t>
        </is>
      </c>
      <c r="T2537" s="178" t="n">
        <v>0.045</v>
      </c>
      <c r="U2537" s="177" t="inlineStr">
        <is>
          <t>利曦基金</t>
        </is>
      </c>
      <c r="V2537" s="192" t="n">
        <v>0.2</v>
      </c>
      <c r="W2537" s="172" t="n"/>
      <c r="X2537" s="172" t="n"/>
      <c r="Y2537" s="172" t="n"/>
    </row>
    <row r="2538">
      <c r="A2538" s="172" t="n">
        <v>137</v>
      </c>
      <c r="B2538" s="173" t="inlineStr">
        <is>
          <t>8月</t>
        </is>
      </c>
      <c r="C2538" s="173" t="inlineStr">
        <is>
          <t>消金</t>
        </is>
      </c>
      <c r="D2538" s="173" t="inlineStr">
        <is>
          <t>金条&amp;白取混发</t>
        </is>
      </c>
      <c r="E2538" s="173" t="inlineStr">
        <is>
          <t>耘睿28-3</t>
        </is>
      </c>
      <c r="F2538" s="173" t="inlineStr">
        <is>
          <t>上交所</t>
        </is>
      </c>
      <c r="G2538" s="173" t="inlineStr">
        <is>
          <t>财通资管</t>
        </is>
      </c>
      <c r="H2538" s="173" t="inlineStr">
        <is>
          <t>光大证券</t>
        </is>
      </c>
      <c r="I2538" s="173" t="inlineStr">
        <is>
          <t>民生北分</t>
        </is>
      </c>
      <c r="J2538" s="172" t="n">
        <v>10</v>
      </c>
      <c r="K2538" s="173" t="inlineStr">
        <is>
          <t>22+24</t>
        </is>
      </c>
      <c r="L2538" s="202" t="n">
        <v>46260</v>
      </c>
      <c r="M2538" s="175" t="n">
        <v>0.0148</v>
      </c>
      <c r="N2538" s="176" t="n">
        <v>0.02259</v>
      </c>
      <c r="O2538" s="172" t="n">
        <v>1.93</v>
      </c>
      <c r="P2538" s="177" t="inlineStr">
        <is>
          <t>优先A</t>
        </is>
      </c>
      <c r="Q2538" s="178" t="n">
        <v>0.9</v>
      </c>
      <c r="R2538" s="179" t="n">
        <v>9</v>
      </c>
      <c r="S2538" s="177" t="inlineStr">
        <is>
          <t>AAA</t>
        </is>
      </c>
      <c r="T2538" s="178" t="n">
        <v>0.018</v>
      </c>
      <c r="U2538" s="177" t="inlineStr">
        <is>
          <t>工银理财</t>
        </is>
      </c>
      <c r="V2538" s="192" t="n">
        <v>0.9</v>
      </c>
      <c r="W2538" s="175" t="n">
        <v>0.0175</v>
      </c>
      <c r="X2538" s="172" t="inlineStr">
        <is>
          <t>工银理财</t>
        </is>
      </c>
      <c r="Y2538" s="191" t="n">
        <v>0.5</v>
      </c>
    </row>
    <row r="2539">
      <c r="A2539" s="172" t="n">
        <v>137</v>
      </c>
      <c r="B2539" s="172" t="inlineStr">
        <is>
          <t>8月</t>
        </is>
      </c>
      <c r="C2539" s="172" t="inlineStr">
        <is>
          <t>消金</t>
        </is>
      </c>
      <c r="D2539" s="172" t="inlineStr">
        <is>
          <t>金条&amp;白取混发</t>
        </is>
      </c>
      <c r="E2539" s="172" t="inlineStr">
        <is>
          <t>耘睿28-3</t>
        </is>
      </c>
      <c r="F2539" s="172" t="inlineStr">
        <is>
          <t>上交所</t>
        </is>
      </c>
      <c r="G2539" s="172" t="inlineStr">
        <is>
          <t>财通资管</t>
        </is>
      </c>
      <c r="H2539" s="172" t="inlineStr">
        <is>
          <t>光大证券</t>
        </is>
      </c>
      <c r="I2539" s="172" t="inlineStr">
        <is>
          <t>民生北分</t>
        </is>
      </c>
      <c r="J2539" s="172" t="n">
        <v>10</v>
      </c>
      <c r="K2539" s="172" t="inlineStr">
        <is>
          <t>22+24</t>
        </is>
      </c>
      <c r="L2539" s="208" t="n">
        <v>46260</v>
      </c>
      <c r="M2539" s="175" t="n">
        <v>0.0148</v>
      </c>
      <c r="N2539" s="176" t="n">
        <v>0.02259</v>
      </c>
      <c r="O2539" s="172" t="n">
        <v>1.93</v>
      </c>
      <c r="P2539" s="172" t="inlineStr">
        <is>
          <t>优先A</t>
        </is>
      </c>
      <c r="Q2539" s="175" t="n">
        <v>0.9</v>
      </c>
      <c r="R2539" s="192" t="n">
        <v>9</v>
      </c>
      <c r="S2539" s="172" t="inlineStr">
        <is>
          <t>AAA</t>
        </is>
      </c>
      <c r="T2539" s="175" t="n">
        <v>0.018</v>
      </c>
      <c r="U2539" s="172" t="n"/>
      <c r="V2539" s="172" t="n"/>
      <c r="W2539" s="175" t="n">
        <v>0.018</v>
      </c>
      <c r="X2539" s="172" t="inlineStr">
        <is>
          <t>工银理财</t>
        </is>
      </c>
      <c r="Y2539" s="191" t="n">
        <v>0.5</v>
      </c>
    </row>
    <row r="2540">
      <c r="A2540" s="172" t="n">
        <v>137</v>
      </c>
      <c r="B2540" s="172" t="inlineStr">
        <is>
          <t>8月</t>
        </is>
      </c>
      <c r="C2540" s="172" t="inlineStr">
        <is>
          <t>消金</t>
        </is>
      </c>
      <c r="D2540" s="172" t="inlineStr">
        <is>
          <t>金条&amp;白取混发</t>
        </is>
      </c>
      <c r="E2540" s="172" t="inlineStr">
        <is>
          <t>耘睿28-3</t>
        </is>
      </c>
      <c r="F2540" s="172" t="inlineStr">
        <is>
          <t>上交所</t>
        </is>
      </c>
      <c r="G2540" s="172" t="inlineStr">
        <is>
          <t>财通资管</t>
        </is>
      </c>
      <c r="H2540" s="172" t="inlineStr">
        <is>
          <t>光大证券</t>
        </is>
      </c>
      <c r="I2540" s="172" t="inlineStr">
        <is>
          <t>民生北分</t>
        </is>
      </c>
      <c r="J2540" s="172" t="n">
        <v>10</v>
      </c>
      <c r="K2540" s="172" t="inlineStr">
        <is>
          <t>22+24</t>
        </is>
      </c>
      <c r="L2540" s="208" t="n">
        <v>46260</v>
      </c>
      <c r="M2540" s="175" t="n">
        <v>0.0148</v>
      </c>
      <c r="N2540" s="176" t="n">
        <v>0.02259</v>
      </c>
      <c r="O2540" s="172" t="n">
        <v>1.93</v>
      </c>
      <c r="P2540" s="172" t="inlineStr">
        <is>
          <t>优先A</t>
        </is>
      </c>
      <c r="Q2540" s="175" t="n">
        <v>0.9</v>
      </c>
      <c r="R2540" s="192" t="n">
        <v>9</v>
      </c>
      <c r="S2540" s="172" t="inlineStr">
        <is>
          <t>AAA</t>
        </is>
      </c>
      <c r="T2540" s="175" t="n">
        <v>0.018</v>
      </c>
      <c r="U2540" s="172" t="n"/>
      <c r="V2540" s="172" t="n"/>
      <c r="W2540" s="175" t="n">
        <v>0.0185</v>
      </c>
      <c r="X2540" s="172" t="inlineStr">
        <is>
          <t>工银理财</t>
        </is>
      </c>
      <c r="Y2540" s="191" t="n">
        <v>0.5</v>
      </c>
    </row>
    <row r="2541">
      <c r="A2541" s="172" t="n">
        <v>137</v>
      </c>
      <c r="B2541" s="173" t="inlineStr">
        <is>
          <t>8月</t>
        </is>
      </c>
      <c r="C2541" s="173" t="inlineStr">
        <is>
          <t>消金</t>
        </is>
      </c>
      <c r="D2541" s="173" t="inlineStr">
        <is>
          <t>金条&amp;白取混发</t>
        </is>
      </c>
      <c r="E2541" s="173" t="inlineStr">
        <is>
          <t>耘睿28-3</t>
        </is>
      </c>
      <c r="F2541" s="173" t="inlineStr">
        <is>
          <t>上交所</t>
        </is>
      </c>
      <c r="G2541" s="173" t="inlineStr">
        <is>
          <t>财通资管</t>
        </is>
      </c>
      <c r="H2541" s="173" t="inlineStr">
        <is>
          <t>光大证券</t>
        </is>
      </c>
      <c r="I2541" s="173" t="inlineStr">
        <is>
          <t>民生北分</t>
        </is>
      </c>
      <c r="J2541" s="172" t="n">
        <v>10</v>
      </c>
      <c r="K2541" s="173" t="inlineStr">
        <is>
          <t>22+24</t>
        </is>
      </c>
      <c r="L2541" s="202" t="n">
        <v>46260</v>
      </c>
      <c r="M2541" s="175" t="n">
        <v>0.0148</v>
      </c>
      <c r="N2541" s="176" t="n">
        <v>0.02259</v>
      </c>
      <c r="O2541" s="172" t="n">
        <v>1.93</v>
      </c>
      <c r="P2541" s="172" t="inlineStr">
        <is>
          <t>优先A</t>
        </is>
      </c>
      <c r="Q2541" s="178" t="n">
        <v>0.9</v>
      </c>
      <c r="R2541" s="179" t="n">
        <v>9</v>
      </c>
      <c r="S2541" s="177" t="inlineStr">
        <is>
          <t>AAA</t>
        </is>
      </c>
      <c r="T2541" s="178" t="n">
        <v>0.018</v>
      </c>
      <c r="U2541" s="177" t="inlineStr">
        <is>
          <t>易方达基金</t>
        </is>
      </c>
      <c r="V2541" s="192" t="n">
        <v>4.4</v>
      </c>
      <c r="W2541" s="175" t="n">
        <v>0.0176</v>
      </c>
      <c r="X2541" s="172" t="inlineStr">
        <is>
          <t>易方达</t>
        </is>
      </c>
      <c r="Y2541" s="191" t="n">
        <v>0.9</v>
      </c>
    </row>
    <row r="2542">
      <c r="A2542" s="172" t="n">
        <v>137</v>
      </c>
      <c r="B2542" s="172" t="inlineStr">
        <is>
          <t>8月</t>
        </is>
      </c>
      <c r="C2542" s="172" t="inlineStr">
        <is>
          <t>消金</t>
        </is>
      </c>
      <c r="D2542" s="172" t="inlineStr">
        <is>
          <t>金条&amp;白取混发</t>
        </is>
      </c>
      <c r="E2542" s="172" t="inlineStr">
        <is>
          <t>耘睿28-3</t>
        </is>
      </c>
      <c r="F2542" s="172" t="inlineStr">
        <is>
          <t>上交所</t>
        </is>
      </c>
      <c r="G2542" s="172" t="inlineStr">
        <is>
          <t>财通资管</t>
        </is>
      </c>
      <c r="H2542" s="172" t="inlineStr">
        <is>
          <t>光大证券</t>
        </is>
      </c>
      <c r="I2542" s="172" t="inlineStr">
        <is>
          <t>民生北分</t>
        </is>
      </c>
      <c r="J2542" s="172" t="n">
        <v>10</v>
      </c>
      <c r="K2542" s="172" t="inlineStr">
        <is>
          <t>22+24</t>
        </is>
      </c>
      <c r="L2542" s="208" t="n">
        <v>46260</v>
      </c>
      <c r="M2542" s="175" t="n">
        <v>0.0148</v>
      </c>
      <c r="N2542" s="176" t="n">
        <v>0.02259</v>
      </c>
      <c r="O2542" s="172" t="n">
        <v>1.93</v>
      </c>
      <c r="P2542" s="172" t="inlineStr">
        <is>
          <t>优先A</t>
        </is>
      </c>
      <c r="Q2542" s="175" t="n">
        <v>0.9</v>
      </c>
      <c r="R2542" s="192" t="n">
        <v>9</v>
      </c>
      <c r="S2542" s="172" t="inlineStr">
        <is>
          <t>AAA</t>
        </is>
      </c>
      <c r="T2542" s="175" t="n">
        <v>0.018</v>
      </c>
      <c r="U2542" s="172" t="n"/>
      <c r="V2542" s="172" t="n"/>
      <c r="W2542" s="175" t="n">
        <v>0.0179</v>
      </c>
      <c r="X2542" s="172" t="inlineStr">
        <is>
          <t>易方达</t>
        </is>
      </c>
      <c r="Y2542" s="191" t="n">
        <v>2.8</v>
      </c>
    </row>
    <row r="2543">
      <c r="A2543" s="172" t="n">
        <v>137</v>
      </c>
      <c r="B2543" s="172" t="inlineStr">
        <is>
          <t>8月</t>
        </is>
      </c>
      <c r="C2543" s="172" t="inlineStr">
        <is>
          <t>消金</t>
        </is>
      </c>
      <c r="D2543" s="172" t="inlineStr">
        <is>
          <t>金条&amp;白取混发</t>
        </is>
      </c>
      <c r="E2543" s="172" t="inlineStr">
        <is>
          <t>耘睿28-3</t>
        </is>
      </c>
      <c r="F2543" s="172" t="inlineStr">
        <is>
          <t>上交所</t>
        </is>
      </c>
      <c r="G2543" s="172" t="inlineStr">
        <is>
          <t>财通资管</t>
        </is>
      </c>
      <c r="H2543" s="172" t="inlineStr">
        <is>
          <t>光大证券</t>
        </is>
      </c>
      <c r="I2543" s="172" t="inlineStr">
        <is>
          <t>民生北分</t>
        </is>
      </c>
      <c r="J2543" s="172" t="n">
        <v>10</v>
      </c>
      <c r="K2543" s="172" t="inlineStr">
        <is>
          <t>22+24</t>
        </is>
      </c>
      <c r="L2543" s="208" t="n">
        <v>46260</v>
      </c>
      <c r="M2543" s="175" t="n">
        <v>0.0148</v>
      </c>
      <c r="N2543" s="176" t="n">
        <v>0.02259</v>
      </c>
      <c r="O2543" s="172" t="n">
        <v>1.93</v>
      </c>
      <c r="P2543" s="172" t="inlineStr">
        <is>
          <t>优先A</t>
        </is>
      </c>
      <c r="Q2543" s="175" t="n">
        <v>0.9</v>
      </c>
      <c r="R2543" s="192" t="n">
        <v>9</v>
      </c>
      <c r="S2543" s="172" t="inlineStr">
        <is>
          <t>AAA</t>
        </is>
      </c>
      <c r="T2543" s="175" t="n">
        <v>0.018</v>
      </c>
      <c r="U2543" s="172" t="n"/>
      <c r="V2543" s="172" t="n"/>
      <c r="W2543" s="175" t="n">
        <v>0.018</v>
      </c>
      <c r="X2543" s="172" t="inlineStr">
        <is>
          <t>易方达</t>
        </is>
      </c>
      <c r="Y2543" s="191" t="n">
        <v>0.9</v>
      </c>
    </row>
    <row r="2544">
      <c r="A2544" s="172" t="n">
        <v>137</v>
      </c>
      <c r="B2544" s="173" t="inlineStr">
        <is>
          <t>8月</t>
        </is>
      </c>
      <c r="C2544" s="173" t="inlineStr">
        <is>
          <t>消金</t>
        </is>
      </c>
      <c r="D2544" s="173" t="inlineStr">
        <is>
          <t>金条&amp;白取混发</t>
        </is>
      </c>
      <c r="E2544" s="173" t="inlineStr">
        <is>
          <t>耘睿28-3</t>
        </is>
      </c>
      <c r="F2544" s="173" t="inlineStr">
        <is>
          <t>上交所</t>
        </is>
      </c>
      <c r="G2544" s="173" t="inlineStr">
        <is>
          <t>财通资管</t>
        </is>
      </c>
      <c r="H2544" s="173" t="inlineStr">
        <is>
          <t>光大证券</t>
        </is>
      </c>
      <c r="I2544" s="173" t="inlineStr">
        <is>
          <t>民生北分</t>
        </is>
      </c>
      <c r="J2544" s="172" t="n">
        <v>10</v>
      </c>
      <c r="K2544" s="173" t="inlineStr">
        <is>
          <t>22+24</t>
        </is>
      </c>
      <c r="L2544" s="202" t="n">
        <v>46260</v>
      </c>
      <c r="M2544" s="175" t="n">
        <v>0.0148</v>
      </c>
      <c r="N2544" s="176" t="n">
        <v>0.02259</v>
      </c>
      <c r="O2544" s="172" t="n">
        <v>1.93</v>
      </c>
      <c r="P2544" s="172" t="inlineStr">
        <is>
          <t>优先A</t>
        </is>
      </c>
      <c r="Q2544" s="178" t="n">
        <v>0.9</v>
      </c>
      <c r="R2544" s="179" t="n">
        <v>9</v>
      </c>
      <c r="S2544" s="177" t="inlineStr">
        <is>
          <t>AAA</t>
        </is>
      </c>
      <c r="T2544" s="178" t="n">
        <v>0.018</v>
      </c>
      <c r="U2544" s="177" t="inlineStr">
        <is>
          <t>兴银理财</t>
        </is>
      </c>
      <c r="V2544" s="192" t="n">
        <v>0.2</v>
      </c>
      <c r="W2544" s="175" t="n">
        <v>0.018</v>
      </c>
      <c r="X2544" s="172" t="inlineStr">
        <is>
          <t>兴银理财</t>
        </is>
      </c>
      <c r="Y2544" s="191" t="n">
        <v>0.2</v>
      </c>
    </row>
    <row r="2545">
      <c r="A2545" s="172" t="n">
        <v>137</v>
      </c>
      <c r="B2545" s="173" t="inlineStr">
        <is>
          <t>8月</t>
        </is>
      </c>
      <c r="C2545" s="173" t="inlineStr">
        <is>
          <t>消金</t>
        </is>
      </c>
      <c r="D2545" s="173" t="inlineStr">
        <is>
          <t>金条&amp;白取混发</t>
        </is>
      </c>
      <c r="E2545" s="173" t="inlineStr">
        <is>
          <t>耘睿28-3</t>
        </is>
      </c>
      <c r="F2545" s="173" t="inlineStr">
        <is>
          <t>上交所</t>
        </is>
      </c>
      <c r="G2545" s="173" t="inlineStr">
        <is>
          <t>财通资管</t>
        </is>
      </c>
      <c r="H2545" s="173" t="inlineStr">
        <is>
          <t>光大证券</t>
        </is>
      </c>
      <c r="I2545" s="173" t="inlineStr">
        <is>
          <t>民生北分</t>
        </is>
      </c>
      <c r="J2545" s="172" t="n">
        <v>10</v>
      </c>
      <c r="K2545" s="173" t="inlineStr">
        <is>
          <t>22+24</t>
        </is>
      </c>
      <c r="L2545" s="202" t="n">
        <v>46260</v>
      </c>
      <c r="M2545" s="175" t="n">
        <v>0.0148</v>
      </c>
      <c r="N2545" s="176" t="n">
        <v>0.02259</v>
      </c>
      <c r="O2545" s="172" t="n">
        <v>1.93</v>
      </c>
      <c r="P2545" s="172" t="inlineStr">
        <is>
          <t>优先A</t>
        </is>
      </c>
      <c r="Q2545" s="178" t="n">
        <v>0.9</v>
      </c>
      <c r="R2545" s="179" t="n">
        <v>9</v>
      </c>
      <c r="S2545" s="177" t="inlineStr">
        <is>
          <t>AAA</t>
        </is>
      </c>
      <c r="T2545" s="178" t="n">
        <v>0.018</v>
      </c>
      <c r="U2545" s="177" t="inlineStr">
        <is>
          <t>信银理财</t>
        </is>
      </c>
      <c r="V2545" s="192" t="n">
        <v>2.4</v>
      </c>
      <c r="W2545" s="175" t="n">
        <v>0.0179</v>
      </c>
      <c r="X2545" s="172" t="inlineStr">
        <is>
          <t>信银理财</t>
        </is>
      </c>
      <c r="Y2545" s="191" t="n">
        <v>1.5</v>
      </c>
    </row>
    <row r="2546">
      <c r="A2546" s="172" t="n">
        <v>137</v>
      </c>
      <c r="B2546" s="172" t="inlineStr">
        <is>
          <t>8月</t>
        </is>
      </c>
      <c r="C2546" s="172" t="inlineStr">
        <is>
          <t>消金</t>
        </is>
      </c>
      <c r="D2546" s="172" t="inlineStr">
        <is>
          <t>金条&amp;白取混发</t>
        </is>
      </c>
      <c r="E2546" s="172" t="inlineStr">
        <is>
          <t>耘睿28-3</t>
        </is>
      </c>
      <c r="F2546" s="172" t="inlineStr">
        <is>
          <t>上交所</t>
        </is>
      </c>
      <c r="G2546" s="172" t="inlineStr">
        <is>
          <t>财通资管</t>
        </is>
      </c>
      <c r="H2546" s="172" t="inlineStr">
        <is>
          <t>光大证券</t>
        </is>
      </c>
      <c r="I2546" s="172" t="inlineStr">
        <is>
          <t>民生北分</t>
        </is>
      </c>
      <c r="J2546" s="172" t="n">
        <v>10</v>
      </c>
      <c r="K2546" s="172" t="inlineStr">
        <is>
          <t>22+24</t>
        </is>
      </c>
      <c r="L2546" s="208" t="n">
        <v>46260</v>
      </c>
      <c r="M2546" s="175" t="n">
        <v>0.0148</v>
      </c>
      <c r="N2546" s="176" t="n">
        <v>0.02259</v>
      </c>
      <c r="O2546" s="172" t="n">
        <v>1.93</v>
      </c>
      <c r="P2546" s="172" t="inlineStr">
        <is>
          <t>优先A</t>
        </is>
      </c>
      <c r="Q2546" s="175" t="n">
        <v>0.9</v>
      </c>
      <c r="R2546" s="192" t="n">
        <v>9</v>
      </c>
      <c r="S2546" s="172" t="inlineStr">
        <is>
          <t>AAA</t>
        </is>
      </c>
      <c r="T2546" s="175" t="n">
        <v>0.018</v>
      </c>
      <c r="U2546" s="172" t="n"/>
      <c r="V2546" s="172" t="n"/>
      <c r="W2546" s="175" t="n">
        <v>0.018</v>
      </c>
      <c r="X2546" s="172" t="inlineStr">
        <is>
          <t>信银理财</t>
        </is>
      </c>
      <c r="Y2546" s="191" t="n">
        <v>1.2</v>
      </c>
    </row>
    <row r="2547">
      <c r="A2547" s="172" t="n">
        <v>137</v>
      </c>
      <c r="B2547" s="173" t="inlineStr">
        <is>
          <t>8月</t>
        </is>
      </c>
      <c r="C2547" s="173" t="inlineStr">
        <is>
          <t>消金</t>
        </is>
      </c>
      <c r="D2547" s="173" t="inlineStr">
        <is>
          <t>金条&amp;白取混发</t>
        </is>
      </c>
      <c r="E2547" s="173" t="inlineStr">
        <is>
          <t>耘睿28-3</t>
        </is>
      </c>
      <c r="F2547" s="173" t="inlineStr">
        <is>
          <t>上交所</t>
        </is>
      </c>
      <c r="G2547" s="173" t="inlineStr">
        <is>
          <t>财通资管</t>
        </is>
      </c>
      <c r="H2547" s="173" t="inlineStr">
        <is>
          <t>光大证券</t>
        </is>
      </c>
      <c r="I2547" s="173" t="inlineStr">
        <is>
          <t>民生北分</t>
        </is>
      </c>
      <c r="J2547" s="172" t="n">
        <v>10</v>
      </c>
      <c r="K2547" s="173" t="inlineStr">
        <is>
          <t>22+24</t>
        </is>
      </c>
      <c r="L2547" s="202" t="n">
        <v>46260</v>
      </c>
      <c r="M2547" s="175" t="n">
        <v>0.0148</v>
      </c>
      <c r="N2547" s="176" t="n">
        <v>0.02259</v>
      </c>
      <c r="O2547" s="172" t="n">
        <v>1.93</v>
      </c>
      <c r="P2547" s="172" t="inlineStr">
        <is>
          <t>优先A</t>
        </is>
      </c>
      <c r="Q2547" s="178" t="n">
        <v>0.9</v>
      </c>
      <c r="R2547" s="179" t="n">
        <v>9</v>
      </c>
      <c r="S2547" s="177" t="inlineStr">
        <is>
          <t>AAA</t>
        </is>
      </c>
      <c r="T2547" s="178" t="n">
        <v>0.018</v>
      </c>
      <c r="U2547" s="177" t="inlineStr">
        <is>
          <t>华夏基金</t>
        </is>
      </c>
      <c r="V2547" s="192" t="n">
        <v>0.1</v>
      </c>
      <c r="W2547" s="175" t="n">
        <v>0.018</v>
      </c>
      <c r="X2547" s="172" t="inlineStr">
        <is>
          <t>华夏基金</t>
        </is>
      </c>
      <c r="Y2547" s="191" t="n">
        <v>1</v>
      </c>
    </row>
    <row r="2548">
      <c r="A2548" s="172" t="n">
        <v>137</v>
      </c>
      <c r="B2548" s="173" t="inlineStr">
        <is>
          <t>8月</t>
        </is>
      </c>
      <c r="C2548" s="173" t="inlineStr">
        <is>
          <t>消金</t>
        </is>
      </c>
      <c r="D2548" s="173" t="inlineStr">
        <is>
          <t>金条&amp;白取混发</t>
        </is>
      </c>
      <c r="E2548" s="173" t="inlineStr">
        <is>
          <t>耘睿28-3</t>
        </is>
      </c>
      <c r="F2548" s="173" t="inlineStr">
        <is>
          <t>上交所</t>
        </is>
      </c>
      <c r="G2548" s="173" t="inlineStr">
        <is>
          <t>财通资管</t>
        </is>
      </c>
      <c r="H2548" s="173" t="inlineStr">
        <is>
          <t>光大证券</t>
        </is>
      </c>
      <c r="I2548" s="173" t="inlineStr">
        <is>
          <t>民生北分</t>
        </is>
      </c>
      <c r="J2548" s="172" t="n">
        <v>10</v>
      </c>
      <c r="K2548" s="173" t="inlineStr">
        <is>
          <t>22+24</t>
        </is>
      </c>
      <c r="L2548" s="202" t="n">
        <v>46260</v>
      </c>
      <c r="M2548" s="175" t="n">
        <v>0.0148</v>
      </c>
      <c r="N2548" s="176" t="n">
        <v>0.02259</v>
      </c>
      <c r="O2548" s="172" t="n">
        <v>1.93</v>
      </c>
      <c r="P2548" s="172" t="inlineStr">
        <is>
          <t>优先A</t>
        </is>
      </c>
      <c r="Q2548" s="178" t="n">
        <v>0.9</v>
      </c>
      <c r="R2548" s="179" t="n">
        <v>9</v>
      </c>
      <c r="S2548" s="177" t="inlineStr">
        <is>
          <t>AAA</t>
        </is>
      </c>
      <c r="T2548" s="178" t="n">
        <v>0.018</v>
      </c>
      <c r="U2548" s="177" t="inlineStr">
        <is>
          <t>华夏基金</t>
        </is>
      </c>
      <c r="V2548" s="192" t="n">
        <v>0.7</v>
      </c>
      <c r="W2548" s="172" t="n"/>
      <c r="X2548" s="172" t="n"/>
      <c r="Y2548" s="172" t="n"/>
    </row>
    <row r="2549">
      <c r="A2549" s="172" t="n">
        <v>137</v>
      </c>
      <c r="B2549" s="173" t="inlineStr">
        <is>
          <t>8月</t>
        </is>
      </c>
      <c r="C2549" s="173" t="inlineStr">
        <is>
          <t>消金</t>
        </is>
      </c>
      <c r="D2549" s="173" t="inlineStr">
        <is>
          <t>金条&amp;白取混发</t>
        </is>
      </c>
      <c r="E2549" s="173" t="inlineStr">
        <is>
          <t>耘睿28-3</t>
        </is>
      </c>
      <c r="F2549" s="173" t="inlineStr">
        <is>
          <t>上交所</t>
        </is>
      </c>
      <c r="G2549" s="173" t="inlineStr">
        <is>
          <t>财通资管</t>
        </is>
      </c>
      <c r="H2549" s="173" t="inlineStr">
        <is>
          <t>光大证券</t>
        </is>
      </c>
      <c r="I2549" s="173" t="inlineStr">
        <is>
          <t>民生北分</t>
        </is>
      </c>
      <c r="J2549" s="172" t="n">
        <v>10</v>
      </c>
      <c r="K2549" s="173" t="inlineStr">
        <is>
          <t>22+24</t>
        </is>
      </c>
      <c r="L2549" s="202" t="n">
        <v>46260</v>
      </c>
      <c r="M2549" s="175" t="n">
        <v>0.0148</v>
      </c>
      <c r="N2549" s="176" t="n">
        <v>0.02259</v>
      </c>
      <c r="O2549" s="172" t="n">
        <v>1.93</v>
      </c>
      <c r="P2549" s="172" t="inlineStr">
        <is>
          <t>优先A</t>
        </is>
      </c>
      <c r="Q2549" s="178" t="n">
        <v>0.9</v>
      </c>
      <c r="R2549" s="179" t="n">
        <v>9</v>
      </c>
      <c r="S2549" s="177" t="inlineStr">
        <is>
          <t>AAA</t>
        </is>
      </c>
      <c r="T2549" s="178" t="n">
        <v>0.018</v>
      </c>
      <c r="U2549" s="177" t="inlineStr">
        <is>
          <t>中金自营</t>
        </is>
      </c>
      <c r="V2549" s="192" t="n">
        <v>0.3</v>
      </c>
      <c r="W2549" s="175" t="n">
        <v>0.018</v>
      </c>
      <c r="X2549" s="172" t="inlineStr">
        <is>
          <t>中金自营</t>
        </is>
      </c>
      <c r="Y2549" s="191" t="n">
        <v>0.5</v>
      </c>
    </row>
    <row r="2550">
      <c r="A2550" s="172" t="n">
        <v>137</v>
      </c>
      <c r="B2550" s="172" t="inlineStr">
        <is>
          <t>8月</t>
        </is>
      </c>
      <c r="C2550" s="172" t="inlineStr">
        <is>
          <t>消金</t>
        </is>
      </c>
      <c r="D2550" s="172" t="inlineStr">
        <is>
          <t>金条&amp;白取混发</t>
        </is>
      </c>
      <c r="E2550" s="172" t="inlineStr">
        <is>
          <t>耘睿28-3</t>
        </is>
      </c>
      <c r="F2550" s="172" t="inlineStr">
        <is>
          <t>上交所</t>
        </is>
      </c>
      <c r="G2550" s="172" t="inlineStr">
        <is>
          <t>财通资管</t>
        </is>
      </c>
      <c r="H2550" s="172" t="inlineStr">
        <is>
          <t>光大证券</t>
        </is>
      </c>
      <c r="I2550" s="172" t="inlineStr">
        <is>
          <t>民生北分</t>
        </is>
      </c>
      <c r="J2550" s="172" t="n">
        <v>10</v>
      </c>
      <c r="K2550" s="172" t="inlineStr">
        <is>
          <t>22+24</t>
        </is>
      </c>
      <c r="L2550" s="208" t="n">
        <v>46260</v>
      </c>
      <c r="M2550" s="175" t="n">
        <v>0.0148</v>
      </c>
      <c r="N2550" s="176" t="n">
        <v>0.02259</v>
      </c>
      <c r="O2550" s="172" t="n">
        <v>1.93</v>
      </c>
      <c r="P2550" s="172" t="inlineStr">
        <is>
          <t>优先A</t>
        </is>
      </c>
      <c r="Q2550" s="175" t="n">
        <v>0.9</v>
      </c>
      <c r="R2550" s="192" t="n">
        <v>9</v>
      </c>
      <c r="S2550" s="172" t="inlineStr">
        <is>
          <t>AAA</t>
        </is>
      </c>
      <c r="T2550" s="175" t="n">
        <v>0.018</v>
      </c>
      <c r="U2550" s="172" t="n"/>
      <c r="V2550" s="172" t="n"/>
      <c r="W2550" s="175" t="n">
        <v>0.0183</v>
      </c>
      <c r="X2550" s="172" t="inlineStr">
        <is>
          <t>中金自营</t>
        </is>
      </c>
      <c r="Y2550" s="191" t="n">
        <v>0.5</v>
      </c>
    </row>
    <row r="2551">
      <c r="A2551" s="172" t="n">
        <v>137</v>
      </c>
      <c r="B2551" s="172" t="inlineStr">
        <is>
          <t>8月</t>
        </is>
      </c>
      <c r="C2551" s="172" t="inlineStr">
        <is>
          <t>消金</t>
        </is>
      </c>
      <c r="D2551" s="172" t="inlineStr">
        <is>
          <t>金条&amp;白取混发</t>
        </is>
      </c>
      <c r="E2551" s="172" t="inlineStr">
        <is>
          <t>耘睿28-3</t>
        </is>
      </c>
      <c r="F2551" s="172" t="inlineStr">
        <is>
          <t>上交所</t>
        </is>
      </c>
      <c r="G2551" s="172" t="inlineStr">
        <is>
          <t>财通资管</t>
        </is>
      </c>
      <c r="H2551" s="172" t="inlineStr">
        <is>
          <t>光大证券</t>
        </is>
      </c>
      <c r="I2551" s="172" t="inlineStr">
        <is>
          <t>民生北分</t>
        </is>
      </c>
      <c r="J2551" s="172" t="n">
        <v>10</v>
      </c>
      <c r="K2551" s="172" t="inlineStr">
        <is>
          <t>22+24</t>
        </is>
      </c>
      <c r="L2551" s="208" t="n">
        <v>46260</v>
      </c>
      <c r="M2551" s="175" t="n">
        <v>0.0148</v>
      </c>
      <c r="N2551" s="176" t="n">
        <v>0.02259</v>
      </c>
      <c r="O2551" s="172" t="n">
        <v>1.93</v>
      </c>
      <c r="P2551" s="172" t="inlineStr">
        <is>
          <t>优先A</t>
        </is>
      </c>
      <c r="Q2551" s="175" t="n">
        <v>0.9</v>
      </c>
      <c r="R2551" s="192" t="n">
        <v>9</v>
      </c>
      <c r="S2551" s="172" t="inlineStr">
        <is>
          <t>AAA</t>
        </is>
      </c>
      <c r="T2551" s="175" t="n">
        <v>0.018</v>
      </c>
      <c r="U2551" s="172" t="n"/>
      <c r="V2551" s="172" t="n"/>
      <c r="W2551" s="175" t="n">
        <v>0.0183</v>
      </c>
      <c r="X2551" s="172" t="inlineStr">
        <is>
          <t>中信证券自营</t>
        </is>
      </c>
      <c r="Y2551" s="191" t="n">
        <v>1</v>
      </c>
    </row>
    <row r="2552">
      <c r="A2552" s="172" t="n">
        <v>137</v>
      </c>
      <c r="B2552" s="172" t="inlineStr">
        <is>
          <t>8月</t>
        </is>
      </c>
      <c r="C2552" s="172" t="inlineStr">
        <is>
          <t>消金</t>
        </is>
      </c>
      <c r="D2552" s="172" t="inlineStr">
        <is>
          <t>金条&amp;白取混发</t>
        </is>
      </c>
      <c r="E2552" s="172" t="inlineStr">
        <is>
          <t>耘睿28-3</t>
        </is>
      </c>
      <c r="F2552" s="172" t="inlineStr">
        <is>
          <t>上交所</t>
        </is>
      </c>
      <c r="G2552" s="172" t="inlineStr">
        <is>
          <t>财通资管</t>
        </is>
      </c>
      <c r="H2552" s="172" t="inlineStr">
        <is>
          <t>光大证券</t>
        </is>
      </c>
      <c r="I2552" s="172" t="inlineStr">
        <is>
          <t>民生北分</t>
        </is>
      </c>
      <c r="J2552" s="172" t="n">
        <v>10</v>
      </c>
      <c r="K2552" s="172" t="inlineStr">
        <is>
          <t>22+24</t>
        </is>
      </c>
      <c r="L2552" s="208" t="n">
        <v>46260</v>
      </c>
      <c r="M2552" s="175" t="n">
        <v>0.0148</v>
      </c>
      <c r="N2552" s="176" t="n">
        <v>0.02259</v>
      </c>
      <c r="O2552" s="172" t="n">
        <v>1.93</v>
      </c>
      <c r="P2552" s="172" t="inlineStr">
        <is>
          <t>优先A</t>
        </is>
      </c>
      <c r="Q2552" s="175" t="n">
        <v>0.9</v>
      </c>
      <c r="R2552" s="192" t="n">
        <v>9</v>
      </c>
      <c r="S2552" s="172" t="inlineStr">
        <is>
          <t>AAA</t>
        </is>
      </c>
      <c r="T2552" s="175" t="n">
        <v>0.018</v>
      </c>
      <c r="U2552" s="172" t="n"/>
      <c r="V2552" s="172" t="n"/>
      <c r="W2552" s="175" t="n">
        <v>0.0185</v>
      </c>
      <c r="X2552" s="172" t="inlineStr">
        <is>
          <t>申万宏源自营</t>
        </is>
      </c>
      <c r="Y2552" s="191" t="n">
        <v>0.5</v>
      </c>
    </row>
    <row r="2553">
      <c r="A2553" s="172" t="n">
        <v>137</v>
      </c>
      <c r="B2553" s="172" t="inlineStr">
        <is>
          <t>8月</t>
        </is>
      </c>
      <c r="C2553" s="172" t="inlineStr">
        <is>
          <t>消金</t>
        </is>
      </c>
      <c r="D2553" s="172" t="inlineStr">
        <is>
          <t>金条&amp;白取混发</t>
        </is>
      </c>
      <c r="E2553" s="172" t="inlineStr">
        <is>
          <t>耘睿28-3</t>
        </is>
      </c>
      <c r="F2553" s="172" t="inlineStr">
        <is>
          <t>上交所</t>
        </is>
      </c>
      <c r="G2553" s="172" t="inlineStr">
        <is>
          <t>财通资管</t>
        </is>
      </c>
      <c r="H2553" s="172" t="inlineStr">
        <is>
          <t>光大证券</t>
        </is>
      </c>
      <c r="I2553" s="172" t="inlineStr">
        <is>
          <t>民生北分</t>
        </is>
      </c>
      <c r="J2553" s="172" t="n">
        <v>10</v>
      </c>
      <c r="K2553" s="172" t="inlineStr">
        <is>
          <t>22+24</t>
        </is>
      </c>
      <c r="L2553" s="208" t="n">
        <v>46260</v>
      </c>
      <c r="M2553" s="175" t="n">
        <v>0.0148</v>
      </c>
      <c r="N2553" s="176" t="n">
        <v>0.02259</v>
      </c>
      <c r="O2553" s="172" t="n">
        <v>1.93</v>
      </c>
      <c r="P2553" s="172" t="inlineStr">
        <is>
          <t>优先A</t>
        </is>
      </c>
      <c r="Q2553" s="175" t="n">
        <v>0.9</v>
      </c>
      <c r="R2553" s="192" t="n">
        <v>9</v>
      </c>
      <c r="S2553" s="172" t="inlineStr">
        <is>
          <t>AAA</t>
        </is>
      </c>
      <c r="T2553" s="175" t="n">
        <v>0.018</v>
      </c>
      <c r="U2553" s="172" t="n"/>
      <c r="V2553" s="172" t="n"/>
      <c r="W2553" s="175" t="n">
        <v>0.0185</v>
      </c>
      <c r="X2553" s="172" t="inlineStr">
        <is>
          <t>利曦基金</t>
        </is>
      </c>
      <c r="Y2553" s="191" t="n">
        <v>2</v>
      </c>
    </row>
    <row r="2554">
      <c r="A2554" s="172" t="n">
        <v>137</v>
      </c>
      <c r="B2554" s="172" t="inlineStr">
        <is>
          <t>8月</t>
        </is>
      </c>
      <c r="C2554" s="172" t="inlineStr">
        <is>
          <t>消金</t>
        </is>
      </c>
      <c r="D2554" s="172" t="inlineStr">
        <is>
          <t>金条&amp;白取混发</t>
        </is>
      </c>
      <c r="E2554" s="172" t="inlineStr">
        <is>
          <t>耘睿28-3</t>
        </is>
      </c>
      <c r="F2554" s="172" t="inlineStr">
        <is>
          <t>上交所</t>
        </is>
      </c>
      <c r="G2554" s="172" t="inlineStr">
        <is>
          <t>财通资管</t>
        </is>
      </c>
      <c r="H2554" s="172" t="inlineStr">
        <is>
          <t>光大证券</t>
        </is>
      </c>
      <c r="I2554" s="172" t="inlineStr">
        <is>
          <t>民生北分</t>
        </is>
      </c>
      <c r="J2554" s="172" t="n">
        <v>10</v>
      </c>
      <c r="K2554" s="172" t="inlineStr">
        <is>
          <t>22+24</t>
        </is>
      </c>
      <c r="L2554" s="208" t="n">
        <v>46260</v>
      </c>
      <c r="M2554" s="175" t="n">
        <v>0.0148</v>
      </c>
      <c r="N2554" s="176" t="n">
        <v>0.02259</v>
      </c>
      <c r="O2554" s="172" t="n">
        <v>1.93</v>
      </c>
      <c r="P2554" s="172" t="inlineStr">
        <is>
          <t>优先A</t>
        </is>
      </c>
      <c r="Q2554" s="175" t="n">
        <v>0.9</v>
      </c>
      <c r="R2554" s="192" t="n">
        <v>9</v>
      </c>
      <c r="S2554" s="172" t="inlineStr">
        <is>
          <t>AAA</t>
        </is>
      </c>
      <c r="T2554" s="175" t="n">
        <v>0.018</v>
      </c>
      <c r="U2554" s="172" t="n"/>
      <c r="V2554" s="172" t="n"/>
      <c r="W2554" s="175" t="n">
        <v>0.0185</v>
      </c>
      <c r="X2554" s="172" t="inlineStr">
        <is>
          <t>中金投顾</t>
        </is>
      </c>
      <c r="Y2554" s="191" t="n">
        <v>0.5</v>
      </c>
    </row>
    <row r="2555">
      <c r="A2555" s="172" t="n">
        <v>137</v>
      </c>
      <c r="B2555" s="172" t="inlineStr">
        <is>
          <t>8月</t>
        </is>
      </c>
      <c r="C2555" s="172" t="inlineStr">
        <is>
          <t>消金</t>
        </is>
      </c>
      <c r="D2555" s="172" t="inlineStr">
        <is>
          <t>金条&amp;白取混发</t>
        </is>
      </c>
      <c r="E2555" s="172" t="inlineStr">
        <is>
          <t>耘睿28-3</t>
        </is>
      </c>
      <c r="F2555" s="172" t="inlineStr">
        <is>
          <t>上交所</t>
        </is>
      </c>
      <c r="G2555" s="172" t="inlineStr">
        <is>
          <t>财通资管</t>
        </is>
      </c>
      <c r="H2555" s="172" t="inlineStr">
        <is>
          <t>光大证券</t>
        </is>
      </c>
      <c r="I2555" s="172" t="inlineStr">
        <is>
          <t>民生北分</t>
        </is>
      </c>
      <c r="J2555" s="172" t="n">
        <v>10</v>
      </c>
      <c r="K2555" s="172" t="inlineStr">
        <is>
          <t>22+24</t>
        </is>
      </c>
      <c r="L2555" s="208" t="n">
        <v>46260</v>
      </c>
      <c r="M2555" s="175" t="n">
        <v>0.0148</v>
      </c>
      <c r="N2555" s="176" t="n">
        <v>0.02259</v>
      </c>
      <c r="O2555" s="172" t="n">
        <v>1.93</v>
      </c>
      <c r="P2555" s="172" t="inlineStr">
        <is>
          <t>优先A</t>
        </is>
      </c>
      <c r="Q2555" s="175" t="n">
        <v>0.9</v>
      </c>
      <c r="R2555" s="192" t="n">
        <v>9</v>
      </c>
      <c r="S2555" s="172" t="inlineStr">
        <is>
          <t>AAA</t>
        </is>
      </c>
      <c r="T2555" s="175" t="n">
        <v>0.018</v>
      </c>
      <c r="U2555" s="172" t="n"/>
      <c r="V2555" s="172" t="n"/>
      <c r="W2555" s="175" t="n">
        <v>0.0185</v>
      </c>
      <c r="X2555" s="172" t="inlineStr">
        <is>
          <t>国信证券</t>
        </is>
      </c>
      <c r="Y2555" s="191" t="n">
        <v>0.5</v>
      </c>
    </row>
    <row r="2556">
      <c r="A2556" s="172" t="n">
        <v>137</v>
      </c>
      <c r="B2556" s="172" t="inlineStr">
        <is>
          <t>8月</t>
        </is>
      </c>
      <c r="C2556" s="172" t="inlineStr">
        <is>
          <t>消金</t>
        </is>
      </c>
      <c r="D2556" s="172" t="inlineStr">
        <is>
          <t>金条&amp;白取混发</t>
        </is>
      </c>
      <c r="E2556" s="172" t="inlineStr">
        <is>
          <t>耘睿28-3</t>
        </is>
      </c>
      <c r="F2556" s="172" t="inlineStr">
        <is>
          <t>上交所</t>
        </is>
      </c>
      <c r="G2556" s="172" t="inlineStr">
        <is>
          <t>财通资管</t>
        </is>
      </c>
      <c r="H2556" s="172" t="inlineStr">
        <is>
          <t>光大证券</t>
        </is>
      </c>
      <c r="I2556" s="172" t="inlineStr">
        <is>
          <t>民生北分</t>
        </is>
      </c>
      <c r="J2556" s="172" t="n">
        <v>10</v>
      </c>
      <c r="K2556" s="172" t="inlineStr">
        <is>
          <t>22+24</t>
        </is>
      </c>
      <c r="L2556" s="208" t="n">
        <v>46260</v>
      </c>
      <c r="M2556" s="175" t="n">
        <v>0.0148</v>
      </c>
      <c r="N2556" s="176" t="n">
        <v>0.02259</v>
      </c>
      <c r="O2556" s="172" t="n">
        <v>1.93</v>
      </c>
      <c r="P2556" s="172" t="inlineStr">
        <is>
          <t>优先A</t>
        </is>
      </c>
      <c r="Q2556" s="175" t="n">
        <v>0.9</v>
      </c>
      <c r="R2556" s="192" t="n">
        <v>9</v>
      </c>
      <c r="S2556" s="172" t="inlineStr">
        <is>
          <t>AAA</t>
        </is>
      </c>
      <c r="T2556" s="175" t="n">
        <v>0.018</v>
      </c>
      <c r="U2556" s="172" t="n"/>
      <c r="V2556" s="172" t="n"/>
      <c r="W2556" s="175" t="n">
        <v>0.0185</v>
      </c>
      <c r="X2556" s="172" t="inlineStr">
        <is>
          <t>国泰海通</t>
        </is>
      </c>
      <c r="Y2556" s="191" t="n">
        <v>0.5</v>
      </c>
    </row>
    <row r="2557">
      <c r="A2557" s="172" t="n">
        <v>137</v>
      </c>
      <c r="B2557" s="172" t="inlineStr">
        <is>
          <t>8月</t>
        </is>
      </c>
      <c r="C2557" s="172" t="inlineStr">
        <is>
          <t>消金</t>
        </is>
      </c>
      <c r="D2557" s="172" t="inlineStr">
        <is>
          <t>金条&amp;白取混发</t>
        </is>
      </c>
      <c r="E2557" s="172" t="inlineStr">
        <is>
          <t>耘睿28-3</t>
        </is>
      </c>
      <c r="F2557" s="172" t="inlineStr">
        <is>
          <t>上交所</t>
        </is>
      </c>
      <c r="G2557" s="172" t="inlineStr">
        <is>
          <t>财通资管</t>
        </is>
      </c>
      <c r="H2557" s="172" t="inlineStr">
        <is>
          <t>光大证券</t>
        </is>
      </c>
      <c r="I2557" s="172" t="inlineStr">
        <is>
          <t>民生北分</t>
        </is>
      </c>
      <c r="J2557" s="172" t="n">
        <v>10</v>
      </c>
      <c r="K2557" s="172" t="inlineStr">
        <is>
          <t>22+24</t>
        </is>
      </c>
      <c r="L2557" s="208" t="n">
        <v>46260</v>
      </c>
      <c r="M2557" s="175" t="n">
        <v>0.0148</v>
      </c>
      <c r="N2557" s="176" t="n">
        <v>0.02259</v>
      </c>
      <c r="O2557" s="172" t="n">
        <v>1.93</v>
      </c>
      <c r="P2557" s="172" t="inlineStr">
        <is>
          <t>优先A</t>
        </is>
      </c>
      <c r="Q2557" s="175" t="n">
        <v>0.9</v>
      </c>
      <c r="R2557" s="192" t="n">
        <v>9</v>
      </c>
      <c r="S2557" s="172" t="inlineStr">
        <is>
          <t>AAA</t>
        </is>
      </c>
      <c r="T2557" s="175" t="n">
        <v>0.018</v>
      </c>
      <c r="U2557" s="172" t="n"/>
      <c r="V2557" s="172" t="n"/>
      <c r="W2557" s="175" t="n">
        <v>0.0185</v>
      </c>
      <c r="X2557" s="172" t="inlineStr">
        <is>
          <t>光大证券</t>
        </is>
      </c>
      <c r="Y2557" s="191" t="n">
        <v>1.4</v>
      </c>
    </row>
    <row r="2558">
      <c r="A2558" s="172" t="n">
        <v>137</v>
      </c>
      <c r="B2558" s="173" t="inlineStr">
        <is>
          <t>8月</t>
        </is>
      </c>
      <c r="C2558" s="173" t="inlineStr">
        <is>
          <t>消金</t>
        </is>
      </c>
      <c r="D2558" s="173" t="inlineStr">
        <is>
          <t>金条&amp;白取混发</t>
        </is>
      </c>
      <c r="E2558" s="173" t="inlineStr">
        <is>
          <t>耘睿28-3</t>
        </is>
      </c>
      <c r="F2558" s="173" t="inlineStr">
        <is>
          <t>上交所</t>
        </is>
      </c>
      <c r="G2558" s="173" t="inlineStr">
        <is>
          <t>财通资管</t>
        </is>
      </c>
      <c r="H2558" s="173" t="inlineStr">
        <is>
          <t>光大证券</t>
        </is>
      </c>
      <c r="I2558" s="173" t="inlineStr">
        <is>
          <t>民生北分</t>
        </is>
      </c>
      <c r="J2558" s="172" t="n">
        <v>10</v>
      </c>
      <c r="K2558" s="173" t="inlineStr">
        <is>
          <t>22+24</t>
        </is>
      </c>
      <c r="L2558" s="202" t="n">
        <v>46260</v>
      </c>
      <c r="M2558" s="175" t="n">
        <v>0.0148</v>
      </c>
      <c r="N2558" s="176" t="n">
        <v>0.02259</v>
      </c>
      <c r="O2558" s="172" t="n">
        <v>1.93</v>
      </c>
      <c r="P2558" s="177" t="inlineStr">
        <is>
          <t>优先B</t>
        </is>
      </c>
      <c r="Q2558" s="178" t="n">
        <v>0.03</v>
      </c>
      <c r="R2558" s="179" t="n">
        <v>0.3</v>
      </c>
      <c r="S2558" s="177" t="inlineStr">
        <is>
          <t>AA+</t>
        </is>
      </c>
      <c r="T2558" s="178" t="n">
        <v>0.0192</v>
      </c>
      <c r="U2558" s="177" t="inlineStr">
        <is>
          <t>中信投顾</t>
        </is>
      </c>
      <c r="V2558" s="192" t="n">
        <v>0.09</v>
      </c>
      <c r="W2558" s="175" t="n">
        <v>0.019</v>
      </c>
      <c r="X2558" s="172" t="inlineStr">
        <is>
          <t>中信投顾</t>
        </is>
      </c>
      <c r="Y2558" s="191" t="n">
        <v>0.09</v>
      </c>
    </row>
    <row r="2559">
      <c r="A2559" s="172" t="n">
        <v>137</v>
      </c>
      <c r="B2559" s="173" t="inlineStr">
        <is>
          <t>8月</t>
        </is>
      </c>
      <c r="C2559" s="173" t="inlineStr">
        <is>
          <t>消金</t>
        </is>
      </c>
      <c r="D2559" s="173" t="inlineStr">
        <is>
          <t>金条&amp;白取混发</t>
        </is>
      </c>
      <c r="E2559" s="173" t="inlineStr">
        <is>
          <t>耘睿28-3</t>
        </is>
      </c>
      <c r="F2559" s="173" t="inlineStr">
        <is>
          <t>上交所</t>
        </is>
      </c>
      <c r="G2559" s="173" t="inlineStr">
        <is>
          <t>财通资管</t>
        </is>
      </c>
      <c r="H2559" s="173" t="inlineStr">
        <is>
          <t>光大证券</t>
        </is>
      </c>
      <c r="I2559" s="173" t="inlineStr">
        <is>
          <t>民生北分</t>
        </is>
      </c>
      <c r="J2559" s="172" t="n">
        <v>10</v>
      </c>
      <c r="K2559" s="173" t="inlineStr">
        <is>
          <t>22+24</t>
        </is>
      </c>
      <c r="L2559" s="202" t="n">
        <v>46260</v>
      </c>
      <c r="M2559" s="175" t="n">
        <v>0.0148</v>
      </c>
      <c r="N2559" s="176" t="n">
        <v>0.02259</v>
      </c>
      <c r="O2559" s="172" t="n">
        <v>1.93</v>
      </c>
      <c r="P2559" s="172" t="inlineStr">
        <is>
          <t>优先B</t>
        </is>
      </c>
      <c r="Q2559" s="178" t="n">
        <v>0.03</v>
      </c>
      <c r="R2559" s="179" t="n">
        <v>0.3</v>
      </c>
      <c r="S2559" s="177" t="inlineStr">
        <is>
          <t>AA+</t>
        </is>
      </c>
      <c r="T2559" s="178" t="n">
        <v>0.0192</v>
      </c>
      <c r="U2559" s="177" t="inlineStr">
        <is>
          <t>中信证券自营</t>
        </is>
      </c>
      <c r="V2559" s="192" t="n">
        <v>0.21</v>
      </c>
      <c r="W2559" s="175" t="n">
        <v>0.0192</v>
      </c>
      <c r="X2559" s="172" t="inlineStr">
        <is>
          <t>中信证券自营</t>
        </is>
      </c>
      <c r="Y2559" s="191" t="n">
        <v>0.3</v>
      </c>
    </row>
    <row r="2560">
      <c r="A2560" s="172" t="n">
        <v>137</v>
      </c>
      <c r="B2560" s="172" t="inlineStr">
        <is>
          <t>8月</t>
        </is>
      </c>
      <c r="C2560" s="172" t="inlineStr">
        <is>
          <t>消金</t>
        </is>
      </c>
      <c r="D2560" s="172" t="inlineStr">
        <is>
          <t>金条&amp;白取混发</t>
        </is>
      </c>
      <c r="E2560" s="172" t="inlineStr">
        <is>
          <t>耘睿28-3</t>
        </is>
      </c>
      <c r="F2560" s="172" t="inlineStr">
        <is>
          <t>上交所</t>
        </is>
      </c>
      <c r="G2560" s="172" t="inlineStr">
        <is>
          <t>财通资管</t>
        </is>
      </c>
      <c r="H2560" s="172" t="inlineStr">
        <is>
          <t>光大证券</t>
        </is>
      </c>
      <c r="I2560" s="172" t="inlineStr">
        <is>
          <t>民生北分</t>
        </is>
      </c>
      <c r="J2560" s="172" t="n">
        <v>10</v>
      </c>
      <c r="K2560" s="172" t="inlineStr">
        <is>
          <t>22+24</t>
        </is>
      </c>
      <c r="L2560" s="208" t="n">
        <v>46260</v>
      </c>
      <c r="M2560" s="175" t="n">
        <v>0.0148</v>
      </c>
      <c r="N2560" s="176" t="n">
        <v>0.02259</v>
      </c>
      <c r="O2560" s="172" t="n">
        <v>1.93</v>
      </c>
      <c r="P2560" s="172" t="inlineStr">
        <is>
          <t>优先B</t>
        </is>
      </c>
      <c r="Q2560" s="175" t="n">
        <v>0.03</v>
      </c>
      <c r="R2560" s="192" t="n">
        <v>0.3</v>
      </c>
      <c r="S2560" s="172" t="inlineStr">
        <is>
          <t>AA+</t>
        </is>
      </c>
      <c r="T2560" s="175" t="n">
        <v>0.0192</v>
      </c>
      <c r="U2560" s="172" t="n"/>
      <c r="V2560" s="172" t="n"/>
      <c r="W2560" s="175" t="n">
        <v>0.0193</v>
      </c>
      <c r="X2560" s="172" t="inlineStr">
        <is>
          <t>中金自营</t>
        </is>
      </c>
      <c r="Y2560" s="191" t="n">
        <v>0.2</v>
      </c>
    </row>
    <row r="2561">
      <c r="A2561" s="172" t="n">
        <v>137</v>
      </c>
      <c r="B2561" s="172" t="inlineStr">
        <is>
          <t>8月</t>
        </is>
      </c>
      <c r="C2561" s="172" t="inlineStr">
        <is>
          <t>消金</t>
        </is>
      </c>
      <c r="D2561" s="172" t="inlineStr">
        <is>
          <t>金条&amp;白取混发</t>
        </is>
      </c>
      <c r="E2561" s="172" t="inlineStr">
        <is>
          <t>耘睿28-3</t>
        </is>
      </c>
      <c r="F2561" s="172" t="inlineStr">
        <is>
          <t>上交所</t>
        </is>
      </c>
      <c r="G2561" s="172" t="inlineStr">
        <is>
          <t>财通资管</t>
        </is>
      </c>
      <c r="H2561" s="172" t="inlineStr">
        <is>
          <t>光大证券</t>
        </is>
      </c>
      <c r="I2561" s="172" t="inlineStr">
        <is>
          <t>民生北分</t>
        </is>
      </c>
      <c r="J2561" s="172" t="n">
        <v>10</v>
      </c>
      <c r="K2561" s="172" t="inlineStr">
        <is>
          <t>22+24</t>
        </is>
      </c>
      <c r="L2561" s="208" t="n">
        <v>46260</v>
      </c>
      <c r="M2561" s="175" t="n">
        <v>0.0148</v>
      </c>
      <c r="N2561" s="176" t="n">
        <v>0.02259</v>
      </c>
      <c r="O2561" s="172" t="n">
        <v>1.93</v>
      </c>
      <c r="P2561" s="172" t="inlineStr">
        <is>
          <t>优先B</t>
        </is>
      </c>
      <c r="Q2561" s="175" t="n">
        <v>0.03</v>
      </c>
      <c r="R2561" s="192" t="n">
        <v>0.3</v>
      </c>
      <c r="S2561" s="172" t="inlineStr">
        <is>
          <t>AA+</t>
        </is>
      </c>
      <c r="T2561" s="175" t="n">
        <v>0.0192</v>
      </c>
      <c r="U2561" s="172" t="n"/>
      <c r="V2561" s="172" t="n"/>
      <c r="W2561" s="175" t="n">
        <v>0.0195</v>
      </c>
      <c r="X2561" s="172" t="inlineStr">
        <is>
          <t>财通资管</t>
        </is>
      </c>
      <c r="Y2561" s="191" t="n">
        <v>0.04</v>
      </c>
    </row>
    <row r="2562">
      <c r="A2562" s="172" t="n">
        <v>137</v>
      </c>
      <c r="B2562" s="173" t="inlineStr">
        <is>
          <t>8月</t>
        </is>
      </c>
      <c r="C2562" s="173" t="inlineStr">
        <is>
          <t>消金</t>
        </is>
      </c>
      <c r="D2562" s="173" t="inlineStr">
        <is>
          <t>金条&amp;白取混发</t>
        </is>
      </c>
      <c r="E2562" s="173" t="inlineStr">
        <is>
          <t>耘睿28-3</t>
        </is>
      </c>
      <c r="F2562" s="173" t="inlineStr">
        <is>
          <t>上交所</t>
        </is>
      </c>
      <c r="G2562" s="173" t="inlineStr">
        <is>
          <t>财通资管</t>
        </is>
      </c>
      <c r="H2562" s="173" t="inlineStr">
        <is>
          <t>光大证券</t>
        </is>
      </c>
      <c r="I2562" s="173" t="inlineStr">
        <is>
          <t>民生北分</t>
        </is>
      </c>
      <c r="J2562" s="172" t="n">
        <v>10</v>
      </c>
      <c r="K2562" s="173" t="inlineStr">
        <is>
          <t>22+24</t>
        </is>
      </c>
      <c r="L2562" s="202" t="n">
        <v>46260</v>
      </c>
      <c r="M2562" s="175" t="n">
        <v>0.0148</v>
      </c>
      <c r="N2562" s="176" t="n">
        <v>0.02259</v>
      </c>
      <c r="O2562" s="172" t="n">
        <v>1.93</v>
      </c>
      <c r="P2562" s="177" t="inlineStr">
        <is>
          <t>中间级</t>
        </is>
      </c>
      <c r="Q2562" s="178" t="n">
        <v>0.02</v>
      </c>
      <c r="R2562" s="179" t="n">
        <v>0.2</v>
      </c>
      <c r="S2562" s="177" t="inlineStr">
        <is>
          <t>AA-</t>
        </is>
      </c>
      <c r="T2562" s="178" t="n">
        <v>0.032</v>
      </c>
      <c r="U2562" s="177" t="inlineStr">
        <is>
          <t>中金投顾</t>
        </is>
      </c>
      <c r="V2562" s="192" t="n">
        <v>0.1</v>
      </c>
      <c r="W2562" s="172" t="n"/>
      <c r="X2562" s="172" t="n"/>
      <c r="Y2562" s="172" t="n"/>
    </row>
    <row r="2563">
      <c r="A2563" s="172" t="n">
        <v>137</v>
      </c>
      <c r="B2563" s="173" t="inlineStr">
        <is>
          <t>8月</t>
        </is>
      </c>
      <c r="C2563" s="173" t="inlineStr">
        <is>
          <t>消金</t>
        </is>
      </c>
      <c r="D2563" s="173" t="inlineStr">
        <is>
          <t>金条&amp;白取混发</t>
        </is>
      </c>
      <c r="E2563" s="173" t="inlineStr">
        <is>
          <t>耘睿28-3</t>
        </is>
      </c>
      <c r="F2563" s="173" t="inlineStr">
        <is>
          <t>上交所</t>
        </is>
      </c>
      <c r="G2563" s="173" t="inlineStr">
        <is>
          <t>财通资管</t>
        </is>
      </c>
      <c r="H2563" s="173" t="inlineStr">
        <is>
          <t>光大证券</t>
        </is>
      </c>
      <c r="I2563" s="173" t="inlineStr">
        <is>
          <t>民生北分</t>
        </is>
      </c>
      <c r="J2563" s="172" t="n">
        <v>10</v>
      </c>
      <c r="K2563" s="173" t="inlineStr">
        <is>
          <t>22+24</t>
        </is>
      </c>
      <c r="L2563" s="202" t="n">
        <v>46260</v>
      </c>
      <c r="M2563" s="175" t="n">
        <v>0.0148</v>
      </c>
      <c r="N2563" s="176" t="n">
        <v>0.02259</v>
      </c>
      <c r="O2563" s="172" t="n">
        <v>1.93</v>
      </c>
      <c r="P2563" s="172" t="inlineStr">
        <is>
          <t>中间级</t>
        </is>
      </c>
      <c r="Q2563" s="178" t="n">
        <v>0.02</v>
      </c>
      <c r="R2563" s="179" t="n">
        <v>0.2</v>
      </c>
      <c r="S2563" s="177" t="inlineStr">
        <is>
          <t>AA-</t>
        </is>
      </c>
      <c r="T2563" s="178" t="n">
        <v>0.032</v>
      </c>
      <c r="U2563" s="177" t="inlineStr">
        <is>
          <t>中信自营</t>
        </is>
      </c>
      <c r="V2563" s="192" t="n">
        <v>0.1</v>
      </c>
      <c r="W2563" s="172" t="n"/>
      <c r="X2563" s="172" t="n"/>
      <c r="Y2563" s="172" t="n"/>
    </row>
    <row r="2564">
      <c r="A2564" s="172" t="n">
        <v>137</v>
      </c>
      <c r="B2564" s="173" t="inlineStr">
        <is>
          <t>8月</t>
        </is>
      </c>
      <c r="C2564" s="173" t="inlineStr">
        <is>
          <t>消金</t>
        </is>
      </c>
      <c r="D2564" s="173" t="inlineStr">
        <is>
          <t>金条&amp;白取混发</t>
        </is>
      </c>
      <c r="E2564" s="173" t="inlineStr">
        <is>
          <t>耘睿28-3</t>
        </is>
      </c>
      <c r="F2564" s="173" t="inlineStr">
        <is>
          <t>上交所</t>
        </is>
      </c>
      <c r="G2564" s="173" t="inlineStr">
        <is>
          <t>财通资管</t>
        </is>
      </c>
      <c r="H2564" s="173" t="inlineStr">
        <is>
          <t>光大证券</t>
        </is>
      </c>
      <c r="I2564" s="173" t="inlineStr">
        <is>
          <t>民生北分</t>
        </is>
      </c>
      <c r="J2564" s="172" t="n">
        <v>10</v>
      </c>
      <c r="K2564" s="173" t="inlineStr">
        <is>
          <t>22+24</t>
        </is>
      </c>
      <c r="L2564" s="202" t="n">
        <v>46260</v>
      </c>
      <c r="M2564" s="175" t="n">
        <v>0.0148</v>
      </c>
      <c r="N2564" s="176" t="n">
        <v>0.02259</v>
      </c>
      <c r="O2564" s="172" t="n">
        <v>1.93</v>
      </c>
      <c r="P2564" s="177" t="inlineStr">
        <is>
          <t>受益权</t>
        </is>
      </c>
      <c r="Q2564" s="178" t="n">
        <v>0.05</v>
      </c>
      <c r="R2564" s="179" t="n">
        <v>0.5</v>
      </c>
      <c r="S2564" s="177" t="inlineStr">
        <is>
          <t>无</t>
        </is>
      </c>
      <c r="T2564" s="178" t="n">
        <v>0.0495</v>
      </c>
      <c r="U2564" s="177" t="inlineStr">
        <is>
          <t>西部证券</t>
        </is>
      </c>
      <c r="V2564" s="192" t="n">
        <v>0.25</v>
      </c>
      <c r="W2564" s="172" t="n"/>
      <c r="X2564" s="172" t="n"/>
      <c r="Y2564" s="172" t="n"/>
    </row>
    <row r="2565">
      <c r="A2565" s="172" t="n">
        <v>137</v>
      </c>
      <c r="B2565" s="173" t="inlineStr">
        <is>
          <t>8月</t>
        </is>
      </c>
      <c r="C2565" s="173" t="inlineStr">
        <is>
          <t>消金</t>
        </is>
      </c>
      <c r="D2565" s="173" t="inlineStr">
        <is>
          <t>金条&amp;白取混发</t>
        </is>
      </c>
      <c r="E2565" s="173" t="inlineStr">
        <is>
          <t>耘睿28-3</t>
        </is>
      </c>
      <c r="F2565" s="173" t="inlineStr">
        <is>
          <t>上交所</t>
        </is>
      </c>
      <c r="G2565" s="173" t="inlineStr">
        <is>
          <t>财通资管</t>
        </is>
      </c>
      <c r="H2565" s="173" t="inlineStr">
        <is>
          <t>光大证券</t>
        </is>
      </c>
      <c r="I2565" s="173" t="inlineStr">
        <is>
          <t>民生北分</t>
        </is>
      </c>
      <c r="J2565" s="172" t="n">
        <v>10</v>
      </c>
      <c r="K2565" s="173" t="inlineStr">
        <is>
          <t>22+24</t>
        </is>
      </c>
      <c r="L2565" s="202" t="n">
        <v>46260</v>
      </c>
      <c r="M2565" s="175" t="n">
        <v>0.0148</v>
      </c>
      <c r="N2565" s="176" t="n">
        <v>0.02259</v>
      </c>
      <c r="O2565" s="172" t="n">
        <v>1.93</v>
      </c>
      <c r="P2565" s="172" t="inlineStr">
        <is>
          <t>受益权</t>
        </is>
      </c>
      <c r="Q2565" s="178" t="n">
        <v>0.05</v>
      </c>
      <c r="R2565" s="179" t="n">
        <v>0.5</v>
      </c>
      <c r="S2565" s="177" t="inlineStr">
        <is>
          <t>无</t>
        </is>
      </c>
      <c r="T2565" s="178" t="n">
        <v>0.0495</v>
      </c>
      <c r="U2565" s="177" t="inlineStr">
        <is>
          <t>国泰海通自营</t>
        </is>
      </c>
      <c r="V2565" s="192" t="n">
        <v>0.25</v>
      </c>
      <c r="W2565" s="172" t="n"/>
      <c r="X2565" s="172" t="n"/>
      <c r="Y2565" s="172" t="n"/>
    </row>
    <row r="2566">
      <c r="A2566" s="172" t="n">
        <v>138</v>
      </c>
      <c r="B2566" s="172" t="inlineStr">
        <is>
          <t>8月</t>
        </is>
      </c>
      <c r="C2566" s="172" t="inlineStr">
        <is>
          <t>企金</t>
        </is>
      </c>
      <c r="D2566" s="172" t="inlineStr">
        <is>
          <t>保理</t>
        </is>
      </c>
      <c r="E2566" s="172" t="inlineStr">
        <is>
          <t>京诚16-3</t>
        </is>
      </c>
      <c r="F2566" s="172" t="inlineStr">
        <is>
          <t>上交所</t>
        </is>
      </c>
      <c r="G2566" s="172" t="inlineStr">
        <is>
          <t>财通资管</t>
        </is>
      </c>
      <c r="H2566" s="172" t="inlineStr">
        <is>
          <t>国泰海通</t>
        </is>
      </c>
      <c r="I2566" s="172" t="inlineStr">
        <is>
          <t>民生北分</t>
        </is>
      </c>
      <c r="J2566" s="172" t="n">
        <v>10</v>
      </c>
      <c r="K2566" s="172" t="inlineStr">
        <is>
          <t>3+3</t>
        </is>
      </c>
      <c r="L2566" s="202" t="n">
        <v>46265</v>
      </c>
      <c r="M2566" s="175" t="n">
        <v>0.0148</v>
      </c>
      <c r="N2566" s="176" t="n">
        <v>0.0169</v>
      </c>
      <c r="O2566" s="191" t="n">
        <v>2.32</v>
      </c>
      <c r="P2566" s="172" t="inlineStr">
        <is>
          <t>优先级</t>
        </is>
      </c>
      <c r="Q2566" s="175" t="n">
        <v>0.99</v>
      </c>
      <c r="R2566" s="192">
        <f>J1654*Q1654</f>
        <v/>
      </c>
      <c r="S2566" s="172" t="inlineStr">
        <is>
          <t>AAA</t>
        </is>
      </c>
      <c r="T2566" s="175" t="n">
        <v>0.0154</v>
      </c>
      <c r="U2566" s="172" t="inlineStr">
        <is>
          <t>平安理财</t>
        </is>
      </c>
      <c r="V2566" s="191" t="n">
        <v>0.41</v>
      </c>
      <c r="W2566" s="175" t="n">
        <v>0.015</v>
      </c>
      <c r="X2566" s="172" t="inlineStr">
        <is>
          <t>平安理财</t>
        </is>
      </c>
      <c r="Y2566" s="191" t="n">
        <v>0.41</v>
      </c>
    </row>
    <row r="2567">
      <c r="A2567" s="172" t="n">
        <v>138</v>
      </c>
      <c r="B2567" s="172" t="inlineStr">
        <is>
          <t>8月</t>
        </is>
      </c>
      <c r="C2567" s="172" t="inlineStr">
        <is>
          <t>企金</t>
        </is>
      </c>
      <c r="D2567" s="172" t="inlineStr">
        <is>
          <t>保理</t>
        </is>
      </c>
      <c r="E2567" s="172" t="inlineStr">
        <is>
          <t>京诚16-3</t>
        </is>
      </c>
      <c r="F2567" s="172" t="inlineStr">
        <is>
          <t>上交所</t>
        </is>
      </c>
      <c r="G2567" s="172" t="inlineStr">
        <is>
          <t>财通资管</t>
        </is>
      </c>
      <c r="H2567" s="172" t="inlineStr">
        <is>
          <t>国泰海通</t>
        </is>
      </c>
      <c r="I2567" s="172" t="inlineStr">
        <is>
          <t>民生北分</t>
        </is>
      </c>
      <c r="J2567" s="172" t="n">
        <v>10</v>
      </c>
      <c r="K2567" s="172" t="inlineStr">
        <is>
          <t>3+3</t>
        </is>
      </c>
      <c r="L2567" s="202" t="n">
        <v>46265</v>
      </c>
      <c r="M2567" s="175" t="n">
        <v>0.0148</v>
      </c>
      <c r="N2567" s="176" t="n">
        <v>0.0169</v>
      </c>
      <c r="O2567" s="191" t="n">
        <v>2.32</v>
      </c>
      <c r="P2567" s="172" t="inlineStr">
        <is>
          <t>优先级</t>
        </is>
      </c>
      <c r="Q2567" s="175" t="n">
        <v>0.99</v>
      </c>
      <c r="R2567" s="192">
        <f>J1654*Q1654</f>
        <v/>
      </c>
      <c r="S2567" s="172" t="inlineStr">
        <is>
          <t>AAA</t>
        </is>
      </c>
      <c r="T2567" s="175" t="n">
        <v>0.0154</v>
      </c>
      <c r="U2567" s="172" t="inlineStr">
        <is>
          <t>民生理财</t>
        </is>
      </c>
      <c r="V2567" s="191" t="n">
        <v>2.97</v>
      </c>
      <c r="W2567" s="175" t="n">
        <v>0.015</v>
      </c>
      <c r="X2567" s="172" t="inlineStr">
        <is>
          <t>民生理财</t>
        </is>
      </c>
      <c r="Y2567" s="191" t="n">
        <v>2.97</v>
      </c>
    </row>
    <row r="2568">
      <c r="A2568" s="172" t="n">
        <v>138</v>
      </c>
      <c r="B2568" s="172" t="inlineStr">
        <is>
          <t>8月</t>
        </is>
      </c>
      <c r="C2568" s="172" t="inlineStr">
        <is>
          <t>企金</t>
        </is>
      </c>
      <c r="D2568" s="172" t="inlineStr">
        <is>
          <t>保理</t>
        </is>
      </c>
      <c r="E2568" s="172" t="inlineStr">
        <is>
          <t>京诚16-3</t>
        </is>
      </c>
      <c r="F2568" s="172" t="inlineStr">
        <is>
          <t>上交所</t>
        </is>
      </c>
      <c r="G2568" s="172" t="inlineStr">
        <is>
          <t>财通资管</t>
        </is>
      </c>
      <c r="H2568" s="172" t="inlineStr">
        <is>
          <t>国泰海通</t>
        </is>
      </c>
      <c r="I2568" s="172" t="inlineStr">
        <is>
          <t>民生北分</t>
        </is>
      </c>
      <c r="J2568" s="172" t="n">
        <v>10</v>
      </c>
      <c r="K2568" s="172" t="inlineStr">
        <is>
          <t>3+3</t>
        </is>
      </c>
      <c r="L2568" s="202" t="n">
        <v>46265</v>
      </c>
      <c r="M2568" s="175" t="n">
        <v>0.0148</v>
      </c>
      <c r="N2568" s="176" t="n">
        <v>0.0169</v>
      </c>
      <c r="O2568" s="191" t="n">
        <v>2.32</v>
      </c>
      <c r="P2568" s="172" t="inlineStr">
        <is>
          <t>优先级</t>
        </is>
      </c>
      <c r="Q2568" s="175" t="n">
        <v>0.99</v>
      </c>
      <c r="R2568" s="192">
        <f>J1654*Q1654</f>
        <v/>
      </c>
      <c r="S2568" s="172" t="inlineStr">
        <is>
          <t>AAA</t>
        </is>
      </c>
      <c r="T2568" s="175" t="n">
        <v>0.0154</v>
      </c>
      <c r="U2568" s="172" t="inlineStr">
        <is>
          <t>招银理财</t>
        </is>
      </c>
      <c r="V2568" s="191" t="n">
        <v>1</v>
      </c>
      <c r="W2568" s="175" t="n">
        <v>0.0154</v>
      </c>
      <c r="X2568" s="172" t="inlineStr">
        <is>
          <t>招银理财</t>
        </is>
      </c>
      <c r="Y2568" s="191" t="n">
        <v>1</v>
      </c>
    </row>
    <row r="2569">
      <c r="A2569" s="172" t="n">
        <v>138</v>
      </c>
      <c r="B2569" s="172" t="inlineStr">
        <is>
          <t>8月</t>
        </is>
      </c>
      <c r="C2569" s="172" t="inlineStr">
        <is>
          <t>企金</t>
        </is>
      </c>
      <c r="D2569" s="172" t="inlineStr">
        <is>
          <t>保理</t>
        </is>
      </c>
      <c r="E2569" s="172" t="inlineStr">
        <is>
          <t>京诚16-3</t>
        </is>
      </c>
      <c r="F2569" s="172" t="inlineStr">
        <is>
          <t>上交所</t>
        </is>
      </c>
      <c r="G2569" s="172" t="inlineStr">
        <is>
          <t>财通资管</t>
        </is>
      </c>
      <c r="H2569" s="172" t="inlineStr">
        <is>
          <t>国泰海通</t>
        </is>
      </c>
      <c r="I2569" s="172" t="inlineStr">
        <is>
          <t>民生北分</t>
        </is>
      </c>
      <c r="J2569" s="172" t="n">
        <v>10</v>
      </c>
      <c r="K2569" s="172" t="inlineStr">
        <is>
          <t>3+3</t>
        </is>
      </c>
      <c r="L2569" s="202" t="n">
        <v>46265</v>
      </c>
      <c r="M2569" s="175" t="n">
        <v>0.0148</v>
      </c>
      <c r="N2569" s="176" t="n">
        <v>0.0169</v>
      </c>
      <c r="O2569" s="191" t="n">
        <v>2.32</v>
      </c>
      <c r="P2569" s="172" t="inlineStr">
        <is>
          <t>优先级</t>
        </is>
      </c>
      <c r="Q2569" s="175" t="n">
        <v>0.99</v>
      </c>
      <c r="R2569" s="192">
        <f>J1654*Q1654</f>
        <v/>
      </c>
      <c r="S2569" s="172" t="inlineStr">
        <is>
          <t>AAA</t>
        </is>
      </c>
      <c r="T2569" s="175" t="n">
        <v>0.0154</v>
      </c>
      <c r="U2569" s="172" t="inlineStr">
        <is>
          <t>中银理财</t>
        </is>
      </c>
      <c r="V2569" s="191" t="n">
        <v>2.9</v>
      </c>
      <c r="W2569" s="175" t="n">
        <v>0.0154</v>
      </c>
      <c r="X2569" s="172" t="inlineStr">
        <is>
          <t>中银理财</t>
        </is>
      </c>
      <c r="Y2569" s="191" t="n">
        <v>2.9</v>
      </c>
    </row>
    <row r="2570">
      <c r="A2570" s="172" t="n">
        <v>138</v>
      </c>
      <c r="B2570" s="172" t="inlineStr">
        <is>
          <t>8月</t>
        </is>
      </c>
      <c r="C2570" s="172" t="inlineStr">
        <is>
          <t>企金</t>
        </is>
      </c>
      <c r="D2570" s="172" t="inlineStr">
        <is>
          <t>保理</t>
        </is>
      </c>
      <c r="E2570" s="172" t="inlineStr">
        <is>
          <t>京诚16-3</t>
        </is>
      </c>
      <c r="F2570" s="172" t="inlineStr">
        <is>
          <t>上交所</t>
        </is>
      </c>
      <c r="G2570" s="172" t="inlineStr">
        <is>
          <t>财通资管</t>
        </is>
      </c>
      <c r="H2570" s="172" t="inlineStr">
        <is>
          <t>国泰海通</t>
        </is>
      </c>
      <c r="I2570" s="172" t="inlineStr">
        <is>
          <t>民生北分</t>
        </is>
      </c>
      <c r="J2570" s="172" t="n">
        <v>10</v>
      </c>
      <c r="K2570" s="172" t="inlineStr">
        <is>
          <t>3+3</t>
        </is>
      </c>
      <c r="L2570" s="202" t="n">
        <v>46265</v>
      </c>
      <c r="M2570" s="175" t="n">
        <v>0.0148</v>
      </c>
      <c r="N2570" s="176" t="n">
        <v>0.0169</v>
      </c>
      <c r="O2570" s="191" t="n">
        <v>2.32</v>
      </c>
      <c r="P2570" s="172" t="inlineStr">
        <is>
          <t>优先级</t>
        </is>
      </c>
      <c r="Q2570" s="175" t="n">
        <v>0.99</v>
      </c>
      <c r="R2570" s="192">
        <f>J1654*Q1654</f>
        <v/>
      </c>
      <c r="S2570" s="172" t="inlineStr">
        <is>
          <t>AAA</t>
        </is>
      </c>
      <c r="T2570" s="175" t="n">
        <v>0.0154</v>
      </c>
      <c r="U2570" s="172" t="inlineStr">
        <is>
          <t>光大理财</t>
        </is>
      </c>
      <c r="V2570" s="191" t="n">
        <v>2</v>
      </c>
      <c r="W2570" s="175" t="n">
        <v>0.0154</v>
      </c>
      <c r="X2570" s="172" t="inlineStr">
        <is>
          <t>光大理财</t>
        </is>
      </c>
      <c r="Y2570" s="191" t="n">
        <v>2</v>
      </c>
    </row>
    <row r="2571">
      <c r="A2571" s="172" t="n">
        <v>138</v>
      </c>
      <c r="B2571" s="172" t="inlineStr">
        <is>
          <t>8月</t>
        </is>
      </c>
      <c r="C2571" s="172" t="inlineStr">
        <is>
          <t>企金</t>
        </is>
      </c>
      <c r="D2571" s="172" t="inlineStr">
        <is>
          <t>保理</t>
        </is>
      </c>
      <c r="E2571" s="172" t="inlineStr">
        <is>
          <t>京诚16-3</t>
        </is>
      </c>
      <c r="F2571" s="172" t="inlineStr">
        <is>
          <t>上交所</t>
        </is>
      </c>
      <c r="G2571" s="172" t="inlineStr">
        <is>
          <t>财通资管</t>
        </is>
      </c>
      <c r="H2571" s="172" t="inlineStr">
        <is>
          <t>国泰海通</t>
        </is>
      </c>
      <c r="I2571" s="172" t="inlineStr">
        <is>
          <t>民生北分</t>
        </is>
      </c>
      <c r="J2571" s="172" t="n">
        <v>10</v>
      </c>
      <c r="K2571" s="172" t="inlineStr">
        <is>
          <t>3+3</t>
        </is>
      </c>
      <c r="L2571" s="202" t="n">
        <v>46265</v>
      </c>
      <c r="M2571" s="175" t="n">
        <v>0.0148</v>
      </c>
      <c r="N2571" s="176" t="n">
        <v>0.0169</v>
      </c>
      <c r="O2571" s="191" t="n">
        <v>2.32</v>
      </c>
      <c r="P2571" s="172" t="inlineStr">
        <is>
          <t>优先级</t>
        </is>
      </c>
      <c r="Q2571" s="175" t="n">
        <v>0.99</v>
      </c>
      <c r="R2571" s="192">
        <f>J1654*Q1654</f>
        <v/>
      </c>
      <c r="S2571" s="172" t="inlineStr">
        <is>
          <t>AAA</t>
        </is>
      </c>
      <c r="T2571" s="175" t="n">
        <v>0.0154</v>
      </c>
      <c r="U2571" s="172" t="inlineStr">
        <is>
          <t>兴银理财</t>
        </is>
      </c>
      <c r="V2571" s="191" t="n">
        <v>0.5</v>
      </c>
      <c r="W2571" s="175" t="n">
        <v>0.0154</v>
      </c>
      <c r="X2571" s="172" t="inlineStr">
        <is>
          <t>兴银理财</t>
        </is>
      </c>
      <c r="Y2571" s="191" t="n">
        <v>0.5</v>
      </c>
    </row>
    <row r="2572">
      <c r="A2572" s="172" t="n">
        <v>138</v>
      </c>
      <c r="B2572" s="172" t="inlineStr">
        <is>
          <t>8月</t>
        </is>
      </c>
      <c r="C2572" s="172" t="inlineStr">
        <is>
          <t>企金</t>
        </is>
      </c>
      <c r="D2572" s="172" t="inlineStr">
        <is>
          <t>保理</t>
        </is>
      </c>
      <c r="E2572" s="172" t="inlineStr">
        <is>
          <t>京诚16-3</t>
        </is>
      </c>
      <c r="F2572" s="172" t="inlineStr">
        <is>
          <t>上交所</t>
        </is>
      </c>
      <c r="G2572" s="172" t="inlineStr">
        <is>
          <t>财通资管</t>
        </is>
      </c>
      <c r="H2572" s="172" t="inlineStr">
        <is>
          <t>国泰海通</t>
        </is>
      </c>
      <c r="I2572" s="172" t="inlineStr">
        <is>
          <t>民生北分</t>
        </is>
      </c>
      <c r="J2572" s="172" t="n">
        <v>10</v>
      </c>
      <c r="K2572" s="172" t="inlineStr">
        <is>
          <t>3+3</t>
        </is>
      </c>
      <c r="L2572" s="208" t="n">
        <v>46265</v>
      </c>
      <c r="M2572" s="175" t="n">
        <v>0.0148</v>
      </c>
      <c r="N2572" s="176" t="n">
        <v>0.0169</v>
      </c>
      <c r="O2572" s="172" t="n">
        <v>2.32</v>
      </c>
      <c r="P2572" s="172" t="inlineStr">
        <is>
          <t>优先级</t>
        </is>
      </c>
      <c r="Q2572" s="175" t="n">
        <v>0.99</v>
      </c>
      <c r="R2572" s="172">
        <f>J1654*Q1654</f>
        <v/>
      </c>
      <c r="S2572" s="172" t="inlineStr">
        <is>
          <t>AAA</t>
        </is>
      </c>
      <c r="T2572" s="175" t="n">
        <v>0.0154</v>
      </c>
      <c r="U2572" s="172" t="n"/>
      <c r="V2572" s="172" t="n"/>
      <c r="W2572" s="175" t="n">
        <v>0.0157</v>
      </c>
      <c r="X2572" s="172" t="inlineStr">
        <is>
          <t>兴银理财</t>
        </is>
      </c>
      <c r="Y2572" s="191" t="n">
        <v>1.48</v>
      </c>
    </row>
    <row r="2573">
      <c r="A2573" s="172" t="n">
        <v>138</v>
      </c>
      <c r="B2573" s="172" t="inlineStr">
        <is>
          <t>8月</t>
        </is>
      </c>
      <c r="C2573" s="172" t="inlineStr">
        <is>
          <t>企金</t>
        </is>
      </c>
      <c r="D2573" s="172" t="inlineStr">
        <is>
          <t>保理</t>
        </is>
      </c>
      <c r="E2573" s="172" t="inlineStr">
        <is>
          <t>京诚16-3</t>
        </is>
      </c>
      <c r="F2573" s="172" t="inlineStr">
        <is>
          <t>上交所</t>
        </is>
      </c>
      <c r="G2573" s="172" t="inlineStr">
        <is>
          <t>财通资管</t>
        </is>
      </c>
      <c r="H2573" s="172" t="inlineStr">
        <is>
          <t>国泰海通</t>
        </is>
      </c>
      <c r="I2573" s="172" t="inlineStr">
        <is>
          <t>民生北分</t>
        </is>
      </c>
      <c r="J2573" s="172" t="n">
        <v>10</v>
      </c>
      <c r="K2573" s="172" t="inlineStr">
        <is>
          <t>3+3</t>
        </is>
      </c>
      <c r="L2573" s="202" t="n">
        <v>46265</v>
      </c>
      <c r="M2573" s="175" t="n">
        <v>0.0148</v>
      </c>
      <c r="N2573" s="176" t="n">
        <v>0.0169</v>
      </c>
      <c r="O2573" s="191" t="n">
        <v>2.32</v>
      </c>
      <c r="P2573" s="172" t="inlineStr">
        <is>
          <t>优先级</t>
        </is>
      </c>
      <c r="Q2573" s="175" t="n">
        <v>0.99</v>
      </c>
      <c r="R2573" s="192">
        <f>J1654*Q1654</f>
        <v/>
      </c>
      <c r="S2573" s="172" t="inlineStr">
        <is>
          <t>AAA</t>
        </is>
      </c>
      <c r="T2573" s="175" t="n">
        <v>0.0154</v>
      </c>
      <c r="U2573" s="172" t="inlineStr">
        <is>
          <t>利曦基金</t>
        </is>
      </c>
      <c r="V2573" s="191" t="n">
        <v>0.12</v>
      </c>
      <c r="W2573" s="175" t="n">
        <v>0.0154</v>
      </c>
      <c r="X2573" s="172" t="inlineStr">
        <is>
          <t>利曦基金</t>
        </is>
      </c>
      <c r="Y2573" s="191" t="n">
        <v>0.12</v>
      </c>
    </row>
    <row r="2574">
      <c r="A2574" s="172" t="n">
        <v>138</v>
      </c>
      <c r="B2574" s="172" t="inlineStr">
        <is>
          <t>8月</t>
        </is>
      </c>
      <c r="C2574" s="172" t="inlineStr">
        <is>
          <t>企金</t>
        </is>
      </c>
      <c r="D2574" s="172" t="inlineStr">
        <is>
          <t>保理</t>
        </is>
      </c>
      <c r="E2574" s="172" t="inlineStr">
        <is>
          <t>京诚16-3</t>
        </is>
      </c>
      <c r="F2574" s="172" t="inlineStr">
        <is>
          <t>上交所</t>
        </is>
      </c>
      <c r="G2574" s="172" t="inlineStr">
        <is>
          <t>财通资管</t>
        </is>
      </c>
      <c r="H2574" s="172" t="inlineStr">
        <is>
          <t>国泰海通</t>
        </is>
      </c>
      <c r="I2574" s="172" t="inlineStr">
        <is>
          <t>民生北分</t>
        </is>
      </c>
      <c r="J2574" s="172" t="n">
        <v>10</v>
      </c>
      <c r="K2574" s="172" t="inlineStr">
        <is>
          <t>3+3</t>
        </is>
      </c>
      <c r="L2574" s="208" t="n">
        <v>46265</v>
      </c>
      <c r="M2574" s="175" t="n">
        <v>0.0148</v>
      </c>
      <c r="N2574" s="176" t="n">
        <v>0.0169</v>
      </c>
      <c r="O2574" s="172" t="n">
        <v>2.32</v>
      </c>
      <c r="P2574" s="172" t="inlineStr">
        <is>
          <t>优先级</t>
        </is>
      </c>
      <c r="Q2574" s="175" t="n">
        <v>0.99</v>
      </c>
      <c r="R2574" s="172">
        <f>J1654*Q1654</f>
        <v/>
      </c>
      <c r="S2574" s="172" t="inlineStr">
        <is>
          <t>AAA</t>
        </is>
      </c>
      <c r="T2574" s="175" t="n">
        <v>0.0154</v>
      </c>
      <c r="U2574" s="172" t="n"/>
      <c r="V2574" s="172" t="n"/>
      <c r="W2574" s="175" t="n">
        <v>0.0165</v>
      </c>
      <c r="X2574" s="172" t="inlineStr">
        <is>
          <t>利曦基金</t>
        </is>
      </c>
      <c r="Y2574" s="191" t="n">
        <v>1.88</v>
      </c>
    </row>
    <row r="2575">
      <c r="A2575" s="172" t="n">
        <v>138</v>
      </c>
      <c r="B2575" s="172" t="inlineStr">
        <is>
          <t>8月</t>
        </is>
      </c>
      <c r="C2575" s="172" t="inlineStr">
        <is>
          <t>企金</t>
        </is>
      </c>
      <c r="D2575" s="172" t="inlineStr">
        <is>
          <t>保理</t>
        </is>
      </c>
      <c r="E2575" s="172" t="inlineStr">
        <is>
          <t>京诚16-3</t>
        </is>
      </c>
      <c r="F2575" s="172" t="inlineStr">
        <is>
          <t>上交所</t>
        </is>
      </c>
      <c r="G2575" s="172" t="inlineStr">
        <is>
          <t>财通资管</t>
        </is>
      </c>
      <c r="H2575" s="172" t="inlineStr">
        <is>
          <t>国泰海通</t>
        </is>
      </c>
      <c r="I2575" s="172" t="inlineStr">
        <is>
          <t>民生北分</t>
        </is>
      </c>
      <c r="J2575" s="172" t="n">
        <v>10</v>
      </c>
      <c r="K2575" s="172" t="inlineStr">
        <is>
          <t>3+3</t>
        </is>
      </c>
      <c r="L2575" s="208" t="n">
        <v>46265</v>
      </c>
      <c r="M2575" s="175" t="n">
        <v>0.0148</v>
      </c>
      <c r="N2575" s="176" t="n">
        <v>0.0169</v>
      </c>
      <c r="O2575" s="172" t="n">
        <v>2.32</v>
      </c>
      <c r="P2575" s="172" t="inlineStr">
        <is>
          <t>优先级</t>
        </is>
      </c>
      <c r="Q2575" s="175" t="n">
        <v>0.99</v>
      </c>
      <c r="R2575" s="172">
        <f>J1654*Q1654</f>
        <v/>
      </c>
      <c r="S2575" s="172" t="inlineStr">
        <is>
          <t>AAA</t>
        </is>
      </c>
      <c r="T2575" s="175" t="n">
        <v>0.0154</v>
      </c>
      <c r="U2575" s="172" t="n"/>
      <c r="V2575" s="172" t="n"/>
      <c r="W2575" s="175" t="n">
        <v>0.0155</v>
      </c>
      <c r="X2575" s="172" t="inlineStr">
        <is>
          <t>浦银理财</t>
        </is>
      </c>
      <c r="Y2575" s="191" t="n">
        <v>0.84</v>
      </c>
    </row>
    <row r="2576">
      <c r="A2576" s="172" t="n">
        <v>138</v>
      </c>
      <c r="B2576" s="172" t="inlineStr">
        <is>
          <t>8月</t>
        </is>
      </c>
      <c r="C2576" s="172" t="inlineStr">
        <is>
          <t>企金</t>
        </is>
      </c>
      <c r="D2576" s="172" t="inlineStr">
        <is>
          <t>保理</t>
        </is>
      </c>
      <c r="E2576" s="172" t="inlineStr">
        <is>
          <t>京诚16-3</t>
        </is>
      </c>
      <c r="F2576" s="172" t="inlineStr">
        <is>
          <t>上交所</t>
        </is>
      </c>
      <c r="G2576" s="172" t="inlineStr">
        <is>
          <t>财通资管</t>
        </is>
      </c>
      <c r="H2576" s="172" t="inlineStr">
        <is>
          <t>国泰海通</t>
        </is>
      </c>
      <c r="I2576" s="172" t="inlineStr">
        <is>
          <t>民生北分</t>
        </is>
      </c>
      <c r="J2576" s="172" t="n">
        <v>10</v>
      </c>
      <c r="K2576" s="172" t="inlineStr">
        <is>
          <t>3+3</t>
        </is>
      </c>
      <c r="L2576" s="208" t="n">
        <v>46265</v>
      </c>
      <c r="M2576" s="175" t="n">
        <v>0.0148</v>
      </c>
      <c r="N2576" s="176" t="n">
        <v>0.0169</v>
      </c>
      <c r="O2576" s="172" t="n">
        <v>2.32</v>
      </c>
      <c r="P2576" s="172" t="inlineStr">
        <is>
          <t>优先级</t>
        </is>
      </c>
      <c r="Q2576" s="175" t="n">
        <v>0.99</v>
      </c>
      <c r="R2576" s="172">
        <f>J1654*Q1654</f>
        <v/>
      </c>
      <c r="S2576" s="172" t="inlineStr">
        <is>
          <t>AAA</t>
        </is>
      </c>
      <c r="T2576" s="175" t="n">
        <v>0.0154</v>
      </c>
      <c r="U2576" s="172" t="n"/>
      <c r="V2576" s="172" t="n"/>
      <c r="W2576" s="175" t="n">
        <v>0.0158</v>
      </c>
      <c r="X2576" s="172" t="inlineStr">
        <is>
          <t>浦银理财</t>
        </is>
      </c>
      <c r="Y2576" s="191" t="n">
        <v>0.3</v>
      </c>
    </row>
    <row r="2577">
      <c r="A2577" s="172" t="n">
        <v>138</v>
      </c>
      <c r="B2577" s="172" t="inlineStr">
        <is>
          <t>8月</t>
        </is>
      </c>
      <c r="C2577" s="172" t="inlineStr">
        <is>
          <t>企金</t>
        </is>
      </c>
      <c r="D2577" s="172" t="inlineStr">
        <is>
          <t>保理</t>
        </is>
      </c>
      <c r="E2577" s="172" t="inlineStr">
        <is>
          <t>京诚16-3</t>
        </is>
      </c>
      <c r="F2577" s="172" t="inlineStr">
        <is>
          <t>上交所</t>
        </is>
      </c>
      <c r="G2577" s="172" t="inlineStr">
        <is>
          <t>财通资管</t>
        </is>
      </c>
      <c r="H2577" s="172" t="inlineStr">
        <is>
          <t>国泰海通</t>
        </is>
      </c>
      <c r="I2577" s="172" t="inlineStr">
        <is>
          <t>民生北分</t>
        </is>
      </c>
      <c r="J2577" s="172" t="n">
        <v>10</v>
      </c>
      <c r="K2577" s="172" t="inlineStr">
        <is>
          <t>3+3</t>
        </is>
      </c>
      <c r="L2577" s="208" t="n">
        <v>46265</v>
      </c>
      <c r="M2577" s="175" t="n">
        <v>0.0148</v>
      </c>
      <c r="N2577" s="176" t="n">
        <v>0.0169</v>
      </c>
      <c r="O2577" s="172" t="n">
        <v>2.32</v>
      </c>
      <c r="P2577" s="172" t="inlineStr">
        <is>
          <t>优先级</t>
        </is>
      </c>
      <c r="Q2577" s="175" t="n">
        <v>0.99</v>
      </c>
      <c r="R2577" s="172">
        <f>J1654*Q1654</f>
        <v/>
      </c>
      <c r="S2577" s="172" t="inlineStr">
        <is>
          <t>AAA</t>
        </is>
      </c>
      <c r="T2577" s="175" t="n">
        <v>0.0154</v>
      </c>
      <c r="U2577" s="172" t="n"/>
      <c r="V2577" s="172" t="n"/>
      <c r="W2577" s="175" t="n">
        <v>0.016</v>
      </c>
      <c r="X2577" s="172" t="inlineStr">
        <is>
          <t>浦银理财</t>
        </is>
      </c>
      <c r="Y2577" s="191" t="n">
        <v>1.62</v>
      </c>
    </row>
    <row r="2578">
      <c r="A2578" s="172" t="n">
        <v>138</v>
      </c>
      <c r="B2578" s="172" t="inlineStr">
        <is>
          <t>8月</t>
        </is>
      </c>
      <c r="C2578" s="172" t="inlineStr">
        <is>
          <t>企金</t>
        </is>
      </c>
      <c r="D2578" s="172" t="inlineStr">
        <is>
          <t>保理</t>
        </is>
      </c>
      <c r="E2578" s="172" t="inlineStr">
        <is>
          <t>京诚16-3</t>
        </is>
      </c>
      <c r="F2578" s="172" t="inlineStr">
        <is>
          <t>上交所</t>
        </is>
      </c>
      <c r="G2578" s="172" t="inlineStr">
        <is>
          <t>财通资管</t>
        </is>
      </c>
      <c r="H2578" s="172" t="inlineStr">
        <is>
          <t>国泰海通</t>
        </is>
      </c>
      <c r="I2578" s="172" t="inlineStr">
        <is>
          <t>民生北分</t>
        </is>
      </c>
      <c r="J2578" s="172" t="n">
        <v>10</v>
      </c>
      <c r="K2578" s="172" t="inlineStr">
        <is>
          <t>3+3</t>
        </is>
      </c>
      <c r="L2578" s="208" t="n">
        <v>46265</v>
      </c>
      <c r="M2578" s="175" t="n">
        <v>0.0148</v>
      </c>
      <c r="N2578" s="176" t="n">
        <v>0.0169</v>
      </c>
      <c r="O2578" s="172" t="n">
        <v>2.32</v>
      </c>
      <c r="P2578" s="172" t="inlineStr">
        <is>
          <t>优先级</t>
        </is>
      </c>
      <c r="Q2578" s="175" t="n">
        <v>0.99</v>
      </c>
      <c r="R2578" s="172">
        <f>J1654*Q1654</f>
        <v/>
      </c>
      <c r="S2578" s="172" t="inlineStr">
        <is>
          <t>AAA</t>
        </is>
      </c>
      <c r="T2578" s="175" t="n">
        <v>0.0154</v>
      </c>
      <c r="U2578" s="172" t="n"/>
      <c r="V2578" s="172" t="n"/>
      <c r="W2578" s="175" t="n">
        <v>0.0155</v>
      </c>
      <c r="X2578" s="172" t="inlineStr">
        <is>
          <t>中邮理财</t>
        </is>
      </c>
      <c r="Y2578" s="191" t="n">
        <v>2.97</v>
      </c>
    </row>
    <row r="2579">
      <c r="A2579" s="172" t="n">
        <v>138</v>
      </c>
      <c r="B2579" s="172" t="inlineStr">
        <is>
          <t>8月</t>
        </is>
      </c>
      <c r="C2579" s="172" t="inlineStr">
        <is>
          <t>企金</t>
        </is>
      </c>
      <c r="D2579" s="172" t="inlineStr">
        <is>
          <t>保理</t>
        </is>
      </c>
      <c r="E2579" s="172" t="inlineStr">
        <is>
          <t>京诚16-3</t>
        </is>
      </c>
      <c r="F2579" s="172" t="inlineStr">
        <is>
          <t>上交所</t>
        </is>
      </c>
      <c r="G2579" s="172" t="inlineStr">
        <is>
          <t>财通资管</t>
        </is>
      </c>
      <c r="H2579" s="172" t="inlineStr">
        <is>
          <t>国泰海通</t>
        </is>
      </c>
      <c r="I2579" s="172" t="inlineStr">
        <is>
          <t>民生北分</t>
        </is>
      </c>
      <c r="J2579" s="172" t="n">
        <v>10</v>
      </c>
      <c r="K2579" s="172" t="inlineStr">
        <is>
          <t>3+3</t>
        </is>
      </c>
      <c r="L2579" s="208" t="n">
        <v>46265</v>
      </c>
      <c r="M2579" s="175" t="n">
        <v>0.0148</v>
      </c>
      <c r="N2579" s="176" t="n">
        <v>0.0169</v>
      </c>
      <c r="O2579" s="172" t="n">
        <v>2.32</v>
      </c>
      <c r="P2579" s="172" t="inlineStr">
        <is>
          <t>优先级</t>
        </is>
      </c>
      <c r="Q2579" s="175" t="n">
        <v>0.99</v>
      </c>
      <c r="R2579" s="172">
        <f>J1654*Q1654</f>
        <v/>
      </c>
      <c r="S2579" s="172" t="inlineStr">
        <is>
          <t>AAA</t>
        </is>
      </c>
      <c r="T2579" s="175" t="n">
        <v>0.0154</v>
      </c>
      <c r="U2579" s="172" t="n"/>
      <c r="V2579" s="172" t="n"/>
      <c r="W2579" s="175" t="n">
        <v>0.016</v>
      </c>
      <c r="X2579" s="172" t="inlineStr">
        <is>
          <t>建信理财</t>
        </is>
      </c>
      <c r="Y2579" s="191" t="n">
        <v>0.9</v>
      </c>
    </row>
    <row r="2580">
      <c r="A2580" s="172" t="n">
        <v>138</v>
      </c>
      <c r="B2580" s="172" t="inlineStr">
        <is>
          <t>8月</t>
        </is>
      </c>
      <c r="C2580" s="172" t="inlineStr">
        <is>
          <t>企金</t>
        </is>
      </c>
      <c r="D2580" s="172" t="inlineStr">
        <is>
          <t>保理</t>
        </is>
      </c>
      <c r="E2580" s="172" t="inlineStr">
        <is>
          <t>京诚16-3</t>
        </is>
      </c>
      <c r="F2580" s="172" t="inlineStr">
        <is>
          <t>上交所</t>
        </is>
      </c>
      <c r="G2580" s="172" t="inlineStr">
        <is>
          <t>财通资管</t>
        </is>
      </c>
      <c r="H2580" s="172" t="inlineStr">
        <is>
          <t>国泰海通</t>
        </is>
      </c>
      <c r="I2580" s="172" t="inlineStr">
        <is>
          <t>民生北分</t>
        </is>
      </c>
      <c r="J2580" s="172" t="n">
        <v>10</v>
      </c>
      <c r="K2580" s="172" t="inlineStr">
        <is>
          <t>3+3</t>
        </is>
      </c>
      <c r="L2580" s="208" t="n">
        <v>46265</v>
      </c>
      <c r="M2580" s="175" t="n">
        <v>0.0148</v>
      </c>
      <c r="N2580" s="176" t="n">
        <v>0.0169</v>
      </c>
      <c r="O2580" s="172" t="n">
        <v>2.32</v>
      </c>
      <c r="P2580" s="172" t="inlineStr">
        <is>
          <t>优先级</t>
        </is>
      </c>
      <c r="Q2580" s="175" t="n">
        <v>0.99</v>
      </c>
      <c r="R2580" s="172">
        <f>J1654*Q1654</f>
        <v/>
      </c>
      <c r="S2580" s="172" t="inlineStr">
        <is>
          <t>AAA</t>
        </is>
      </c>
      <c r="T2580" s="175" t="n">
        <v>0.0154</v>
      </c>
      <c r="U2580" s="172" t="n"/>
      <c r="V2580" s="172" t="n"/>
      <c r="W2580" s="175" t="n">
        <v>0.0165</v>
      </c>
      <c r="X2580" s="172" t="inlineStr">
        <is>
          <t>财通资管</t>
        </is>
      </c>
      <c r="Y2580" s="191" t="n">
        <v>1.5</v>
      </c>
    </row>
    <row r="2581">
      <c r="A2581" s="172" t="n">
        <v>138</v>
      </c>
      <c r="B2581" s="172" t="inlineStr">
        <is>
          <t>8月</t>
        </is>
      </c>
      <c r="C2581" s="172" t="inlineStr">
        <is>
          <t>企金</t>
        </is>
      </c>
      <c r="D2581" s="172" t="inlineStr">
        <is>
          <t>保理</t>
        </is>
      </c>
      <c r="E2581" s="172" t="inlineStr">
        <is>
          <t>京诚16-3</t>
        </is>
      </c>
      <c r="F2581" s="172" t="inlineStr">
        <is>
          <t>上交所</t>
        </is>
      </c>
      <c r="G2581" s="172" t="inlineStr">
        <is>
          <t>财通资管</t>
        </is>
      </c>
      <c r="H2581" s="172" t="inlineStr">
        <is>
          <t>国泰海通</t>
        </is>
      </c>
      <c r="I2581" s="172" t="inlineStr">
        <is>
          <t>民生北分</t>
        </is>
      </c>
      <c r="J2581" s="172" t="n">
        <v>10</v>
      </c>
      <c r="K2581" s="172" t="inlineStr">
        <is>
          <t>3+3</t>
        </is>
      </c>
      <c r="L2581" s="208" t="n">
        <v>46265</v>
      </c>
      <c r="M2581" s="175" t="n">
        <v>0.0148</v>
      </c>
      <c r="N2581" s="176" t="n">
        <v>0.0169</v>
      </c>
      <c r="O2581" s="172" t="n">
        <v>2.32</v>
      </c>
      <c r="P2581" s="172" t="inlineStr">
        <is>
          <t>优先级</t>
        </is>
      </c>
      <c r="Q2581" s="175" t="n">
        <v>0.99</v>
      </c>
      <c r="R2581" s="172">
        <f>J1654*Q1654</f>
        <v/>
      </c>
      <c r="S2581" s="172" t="inlineStr">
        <is>
          <t>AAA</t>
        </is>
      </c>
      <c r="T2581" s="175" t="n">
        <v>0.0154</v>
      </c>
      <c r="U2581" s="172" t="n"/>
      <c r="V2581" s="172" t="n"/>
      <c r="W2581" s="175" t="n">
        <v>0.0165</v>
      </c>
      <c r="X2581" s="172" t="inlineStr">
        <is>
          <t>国泰海通</t>
        </is>
      </c>
      <c r="Y2581" s="191" t="n">
        <v>1.5</v>
      </c>
    </row>
    <row r="2582">
      <c r="A2582" s="172" t="n">
        <v>138</v>
      </c>
      <c r="B2582" s="172" t="inlineStr">
        <is>
          <t>8月</t>
        </is>
      </c>
      <c r="C2582" s="172" t="inlineStr">
        <is>
          <t>企金</t>
        </is>
      </c>
      <c r="D2582" s="172" t="inlineStr">
        <is>
          <t>保理</t>
        </is>
      </c>
      <c r="E2582" s="172" t="inlineStr">
        <is>
          <t>京诚16-3</t>
        </is>
      </c>
      <c r="F2582" s="172" t="inlineStr">
        <is>
          <t>上交所</t>
        </is>
      </c>
      <c r="G2582" s="172" t="inlineStr">
        <is>
          <t>财通资管</t>
        </is>
      </c>
      <c r="H2582" s="172" t="inlineStr">
        <is>
          <t>国泰海通</t>
        </is>
      </c>
      <c r="I2582" s="172" t="inlineStr">
        <is>
          <t>民生北分</t>
        </is>
      </c>
      <c r="J2582" s="172" t="n">
        <v>10</v>
      </c>
      <c r="K2582" s="172" t="inlineStr">
        <is>
          <t>3+3</t>
        </is>
      </c>
      <c r="L2582" s="202" t="n">
        <v>46265</v>
      </c>
      <c r="M2582" s="175" t="n">
        <v>0.0148</v>
      </c>
      <c r="N2582" s="176" t="n">
        <v>0.0169</v>
      </c>
      <c r="O2582" s="191" t="n">
        <v>2.32</v>
      </c>
      <c r="P2582" s="172" t="inlineStr">
        <is>
          <t>次级</t>
        </is>
      </c>
      <c r="Q2582" s="175" t="n">
        <v>0.01</v>
      </c>
      <c r="R2582" s="192">
        <f>J1654*Q1661</f>
        <v/>
      </c>
      <c r="S2582" s="175" t="inlineStr">
        <is>
          <t>无</t>
        </is>
      </c>
      <c r="T2582" s="175" t="n">
        <v>0.043</v>
      </c>
      <c r="U2582" s="172" t="inlineStr">
        <is>
          <t>利曦基金</t>
        </is>
      </c>
      <c r="V2582" s="191" t="n">
        <v>0.1</v>
      </c>
      <c r="W2582" s="172" t="n"/>
      <c r="X2582" s="172" t="n"/>
      <c r="Y2582" s="172" t="n"/>
    </row>
    <row r="2583">
      <c r="A2583" s="172" t="n">
        <v>139</v>
      </c>
      <c r="B2583" s="173" t="inlineStr">
        <is>
          <t>9月</t>
        </is>
      </c>
      <c r="C2583" s="173" t="inlineStr">
        <is>
          <t>消金</t>
        </is>
      </c>
      <c r="D2583" s="173" t="inlineStr">
        <is>
          <t>金条&amp;白取混发</t>
        </is>
      </c>
      <c r="E2583" s="173" t="inlineStr">
        <is>
          <t>耘睿28-4</t>
        </is>
      </c>
      <c r="F2583" s="173" t="inlineStr">
        <is>
          <t>上交所</t>
        </is>
      </c>
      <c r="G2583" s="173" t="inlineStr">
        <is>
          <t>招商证券</t>
        </is>
      </c>
      <c r="H2583" s="173" t="inlineStr">
        <is>
          <t>国信证券</t>
        </is>
      </c>
      <c r="I2583" s="173" t="inlineStr">
        <is>
          <t>邮储北分</t>
        </is>
      </c>
      <c r="J2583" s="172" t="n">
        <v>10</v>
      </c>
      <c r="K2583" s="173" t="inlineStr">
        <is>
          <t>22+24</t>
        </is>
      </c>
      <c r="L2583" s="202" t="n">
        <v>46266</v>
      </c>
      <c r="M2583" s="175" t="n">
        <v>0.0148</v>
      </c>
      <c r="N2583" s="176" t="n">
        <v>0.02258</v>
      </c>
      <c r="O2583" s="172" t="n">
        <v>1.3</v>
      </c>
      <c r="P2583" s="177" t="inlineStr">
        <is>
          <t>优先A</t>
        </is>
      </c>
      <c r="Q2583" s="178" t="n">
        <v>0.9</v>
      </c>
      <c r="R2583" s="179" t="n">
        <v>9</v>
      </c>
      <c r="S2583" s="177" t="inlineStr">
        <is>
          <t>AAA</t>
        </is>
      </c>
      <c r="T2583" s="178" t="n">
        <v>0.018</v>
      </c>
      <c r="U2583" s="177" t="inlineStr">
        <is>
          <t>中金自营</t>
        </is>
      </c>
      <c r="V2583" s="192" t="n">
        <v>0.36</v>
      </c>
      <c r="W2583" s="172" t="n"/>
      <c r="X2583" s="172" t="n"/>
      <c r="Y2583" s="172" t="n"/>
    </row>
    <row r="2584">
      <c r="A2584" s="172" t="n">
        <v>139</v>
      </c>
      <c r="B2584" s="173" t="inlineStr">
        <is>
          <t>9月</t>
        </is>
      </c>
      <c r="C2584" s="173" t="inlineStr">
        <is>
          <t>消金</t>
        </is>
      </c>
      <c r="D2584" s="173" t="inlineStr">
        <is>
          <t>金条&amp;白取混发</t>
        </is>
      </c>
      <c r="E2584" s="173" t="inlineStr">
        <is>
          <t>耘睿28-4</t>
        </is>
      </c>
      <c r="F2584" s="173" t="inlineStr">
        <is>
          <t>上交所</t>
        </is>
      </c>
      <c r="G2584" s="173" t="inlineStr">
        <is>
          <t>招商证券</t>
        </is>
      </c>
      <c r="H2584" s="173" t="inlineStr">
        <is>
          <t>国信证券</t>
        </is>
      </c>
      <c r="I2584" s="173" t="inlineStr">
        <is>
          <t>邮储北分</t>
        </is>
      </c>
      <c r="J2584" s="172" t="n">
        <v>10</v>
      </c>
      <c r="K2584" s="173" t="inlineStr">
        <is>
          <t>22+24</t>
        </is>
      </c>
      <c r="L2584" s="202" t="n">
        <v>46266</v>
      </c>
      <c r="M2584" s="175" t="n">
        <v>0.0148</v>
      </c>
      <c r="N2584" s="176" t="n">
        <v>0.02258</v>
      </c>
      <c r="O2584" s="172" t="n">
        <v>1.3</v>
      </c>
      <c r="P2584" s="172" t="inlineStr">
        <is>
          <t>优先A</t>
        </is>
      </c>
      <c r="Q2584" s="178" t="n">
        <v>0.9</v>
      </c>
      <c r="R2584" s="179" t="n">
        <v>9</v>
      </c>
      <c r="S2584" s="177" t="inlineStr">
        <is>
          <t>AAA</t>
        </is>
      </c>
      <c r="T2584" s="178" t="n">
        <v>0.018</v>
      </c>
      <c r="U2584" s="177" t="inlineStr">
        <is>
          <t>易方达基金</t>
        </is>
      </c>
      <c r="V2584" s="192" t="n">
        <v>4.4</v>
      </c>
      <c r="W2584" s="175" t="n">
        <v>0.018</v>
      </c>
      <c r="X2584" s="172" t="inlineStr">
        <is>
          <t>易方达基金</t>
        </is>
      </c>
      <c r="Y2584" s="191" t="n">
        <v>4.5</v>
      </c>
    </row>
    <row r="2585">
      <c r="A2585" s="172" t="n">
        <v>139</v>
      </c>
      <c r="B2585" s="173" t="inlineStr">
        <is>
          <t>9月</t>
        </is>
      </c>
      <c r="C2585" s="173" t="inlineStr">
        <is>
          <t>消金</t>
        </is>
      </c>
      <c r="D2585" s="173" t="inlineStr">
        <is>
          <t>金条&amp;白取混发</t>
        </is>
      </c>
      <c r="E2585" s="173" t="inlineStr">
        <is>
          <t>耘睿28-4</t>
        </is>
      </c>
      <c r="F2585" s="173" t="inlineStr">
        <is>
          <t>上交所</t>
        </is>
      </c>
      <c r="G2585" s="173" t="inlineStr">
        <is>
          <t>招商证券</t>
        </is>
      </c>
      <c r="H2585" s="173" t="inlineStr">
        <is>
          <t>国信证券</t>
        </is>
      </c>
      <c r="I2585" s="173" t="inlineStr">
        <is>
          <t>邮储北分</t>
        </is>
      </c>
      <c r="J2585" s="172" t="n">
        <v>10</v>
      </c>
      <c r="K2585" s="173" t="inlineStr">
        <is>
          <t>22+24</t>
        </is>
      </c>
      <c r="L2585" s="202" t="n">
        <v>46266</v>
      </c>
      <c r="M2585" s="175" t="n">
        <v>0.0148</v>
      </c>
      <c r="N2585" s="176" t="n">
        <v>0.02258</v>
      </c>
      <c r="O2585" s="172" t="n">
        <v>1.3</v>
      </c>
      <c r="P2585" s="172" t="inlineStr">
        <is>
          <t>优先A</t>
        </is>
      </c>
      <c r="Q2585" s="178" t="n">
        <v>0.9</v>
      </c>
      <c r="R2585" s="179" t="n">
        <v>9</v>
      </c>
      <c r="S2585" s="177" t="inlineStr">
        <is>
          <t>AAA</t>
        </is>
      </c>
      <c r="T2585" s="178" t="n">
        <v>0.018</v>
      </c>
      <c r="U2585" s="177" t="inlineStr">
        <is>
          <t>中信证券投顾</t>
        </is>
      </c>
      <c r="V2585" s="192" t="n">
        <v>0.29</v>
      </c>
      <c r="W2585" s="175" t="n">
        <v>0.018</v>
      </c>
      <c r="X2585" s="172" t="inlineStr">
        <is>
          <t>中信证券投顾</t>
        </is>
      </c>
      <c r="Y2585" s="191" t="n">
        <v>0.3</v>
      </c>
    </row>
    <row r="2586">
      <c r="A2586" s="172" t="n">
        <v>139</v>
      </c>
      <c r="B2586" s="172" t="inlineStr">
        <is>
          <t>9月</t>
        </is>
      </c>
      <c r="C2586" s="172" t="inlineStr">
        <is>
          <t>消金</t>
        </is>
      </c>
      <c r="D2586" s="172" t="inlineStr">
        <is>
          <t>金条&amp;白取混发</t>
        </is>
      </c>
      <c r="E2586" s="172" t="inlineStr">
        <is>
          <t>耘睿28-4</t>
        </is>
      </c>
      <c r="F2586" s="172" t="inlineStr">
        <is>
          <t>上交所</t>
        </is>
      </c>
      <c r="G2586" s="172" t="inlineStr">
        <is>
          <t>招商证券</t>
        </is>
      </c>
      <c r="H2586" s="172" t="inlineStr">
        <is>
          <t>国信证券</t>
        </is>
      </c>
      <c r="I2586" s="172" t="inlineStr">
        <is>
          <t>邮储北分</t>
        </is>
      </c>
      <c r="J2586" s="172" t="n">
        <v>10</v>
      </c>
      <c r="K2586" s="172" t="inlineStr">
        <is>
          <t>22+24</t>
        </is>
      </c>
      <c r="L2586" s="208" t="n">
        <v>46266</v>
      </c>
      <c r="M2586" s="175" t="n">
        <v>0.0148</v>
      </c>
      <c r="N2586" s="176" t="n">
        <v>0.02258</v>
      </c>
      <c r="O2586" s="172" t="n">
        <v>1.3</v>
      </c>
      <c r="P2586" s="172" t="inlineStr">
        <is>
          <t>优先A</t>
        </is>
      </c>
      <c r="Q2586" s="175" t="n">
        <v>0.9</v>
      </c>
      <c r="R2586" s="192" t="n">
        <v>9</v>
      </c>
      <c r="S2586" s="172" t="inlineStr">
        <is>
          <t>AAA</t>
        </is>
      </c>
      <c r="T2586" s="175" t="n">
        <v>0.018</v>
      </c>
      <c r="U2586" s="172" t="n"/>
      <c r="V2586" s="172" t="n"/>
      <c r="W2586" s="175" t="n">
        <v>0.0182</v>
      </c>
      <c r="X2586" s="172" t="inlineStr">
        <is>
          <t>中信证券投顾</t>
        </is>
      </c>
      <c r="Y2586" s="191" t="n">
        <v>0.2</v>
      </c>
    </row>
    <row r="2587">
      <c r="A2587" s="172" t="n">
        <v>139</v>
      </c>
      <c r="B2587" s="172" t="inlineStr">
        <is>
          <t>9月</t>
        </is>
      </c>
      <c r="C2587" s="172" t="inlineStr">
        <is>
          <t>消金</t>
        </is>
      </c>
      <c r="D2587" s="172" t="inlineStr">
        <is>
          <t>金条&amp;白取混发</t>
        </is>
      </c>
      <c r="E2587" s="172" t="inlineStr">
        <is>
          <t>耘睿28-4</t>
        </is>
      </c>
      <c r="F2587" s="172" t="inlineStr">
        <is>
          <t>上交所</t>
        </is>
      </c>
      <c r="G2587" s="172" t="inlineStr">
        <is>
          <t>招商证券</t>
        </is>
      </c>
      <c r="H2587" s="172" t="inlineStr">
        <is>
          <t>国信证券</t>
        </is>
      </c>
      <c r="I2587" s="172" t="inlineStr">
        <is>
          <t>邮储北分</t>
        </is>
      </c>
      <c r="J2587" s="172" t="n">
        <v>10</v>
      </c>
      <c r="K2587" s="172" t="inlineStr">
        <is>
          <t>22+24</t>
        </is>
      </c>
      <c r="L2587" s="208" t="n">
        <v>46266</v>
      </c>
      <c r="M2587" s="175" t="n">
        <v>0.0148</v>
      </c>
      <c r="N2587" s="176" t="n">
        <v>0.02258</v>
      </c>
      <c r="O2587" s="172" t="n">
        <v>1.3</v>
      </c>
      <c r="P2587" s="172" t="inlineStr">
        <is>
          <t>优先A</t>
        </is>
      </c>
      <c r="Q2587" s="175" t="n">
        <v>0.9</v>
      </c>
      <c r="R2587" s="192" t="n">
        <v>9</v>
      </c>
      <c r="S2587" s="172" t="inlineStr">
        <is>
          <t>AAA</t>
        </is>
      </c>
      <c r="T2587" s="175" t="n">
        <v>0.018</v>
      </c>
      <c r="U2587" s="172" t="n"/>
      <c r="V2587" s="172" t="n"/>
      <c r="W2587" s="175" t="n">
        <v>0.0183</v>
      </c>
      <c r="X2587" s="172" t="inlineStr">
        <is>
          <t>中信证券投顾</t>
        </is>
      </c>
      <c r="Y2587" s="191" t="n">
        <v>0.3</v>
      </c>
    </row>
    <row r="2588">
      <c r="A2588" s="172" t="n">
        <v>139</v>
      </c>
      <c r="B2588" s="172" t="inlineStr">
        <is>
          <t>9月</t>
        </is>
      </c>
      <c r="C2588" s="172" t="inlineStr">
        <is>
          <t>消金</t>
        </is>
      </c>
      <c r="D2588" s="172" t="inlineStr">
        <is>
          <t>金条&amp;白取混发</t>
        </is>
      </c>
      <c r="E2588" s="172" t="inlineStr">
        <is>
          <t>耘睿28-4</t>
        </is>
      </c>
      <c r="F2588" s="172" t="inlineStr">
        <is>
          <t>上交所</t>
        </is>
      </c>
      <c r="G2588" s="172" t="inlineStr">
        <is>
          <t>招商证券</t>
        </is>
      </c>
      <c r="H2588" s="172" t="inlineStr">
        <is>
          <t>国信证券</t>
        </is>
      </c>
      <c r="I2588" s="172" t="inlineStr">
        <is>
          <t>邮储北分</t>
        </is>
      </c>
      <c r="J2588" s="172" t="n">
        <v>10</v>
      </c>
      <c r="K2588" s="172" t="inlineStr">
        <is>
          <t>22+24</t>
        </is>
      </c>
      <c r="L2588" s="208" t="n">
        <v>46266</v>
      </c>
      <c r="M2588" s="175" t="n">
        <v>0.0148</v>
      </c>
      <c r="N2588" s="176" t="n">
        <v>0.02258</v>
      </c>
      <c r="O2588" s="172" t="n">
        <v>1.3</v>
      </c>
      <c r="P2588" s="172" t="inlineStr">
        <is>
          <t>优先A</t>
        </is>
      </c>
      <c r="Q2588" s="175" t="n">
        <v>0.9</v>
      </c>
      <c r="R2588" s="192" t="n">
        <v>9</v>
      </c>
      <c r="S2588" s="172" t="inlineStr">
        <is>
          <t>AAA</t>
        </is>
      </c>
      <c r="T2588" s="175" t="n">
        <v>0.018</v>
      </c>
      <c r="U2588" s="172" t="n"/>
      <c r="V2588" s="172" t="n"/>
      <c r="W2588" s="175" t="n">
        <v>0.025</v>
      </c>
      <c r="X2588" s="172" t="inlineStr">
        <is>
          <t>中信证券投顾</t>
        </is>
      </c>
      <c r="Y2588" s="191" t="n">
        <v>1</v>
      </c>
    </row>
    <row r="2589">
      <c r="A2589" s="172" t="n">
        <v>139</v>
      </c>
      <c r="B2589" s="173" t="inlineStr">
        <is>
          <t>9月</t>
        </is>
      </c>
      <c r="C2589" s="173" t="inlineStr">
        <is>
          <t>消金</t>
        </is>
      </c>
      <c r="D2589" s="173" t="inlineStr">
        <is>
          <t>金条&amp;白取混发</t>
        </is>
      </c>
      <c r="E2589" s="173" t="inlineStr">
        <is>
          <t>耘睿28-4</t>
        </is>
      </c>
      <c r="F2589" s="173" t="inlineStr">
        <is>
          <t>上交所</t>
        </is>
      </c>
      <c r="G2589" s="173" t="inlineStr">
        <is>
          <t>招商证券</t>
        </is>
      </c>
      <c r="H2589" s="173" t="inlineStr">
        <is>
          <t>国信证券</t>
        </is>
      </c>
      <c r="I2589" s="173" t="inlineStr">
        <is>
          <t>邮储北分</t>
        </is>
      </c>
      <c r="J2589" s="172" t="n">
        <v>10</v>
      </c>
      <c r="K2589" s="173" t="inlineStr">
        <is>
          <t>22+24</t>
        </is>
      </c>
      <c r="L2589" s="202" t="n">
        <v>46266</v>
      </c>
      <c r="M2589" s="175" t="n">
        <v>0.0148</v>
      </c>
      <c r="N2589" s="176" t="n">
        <v>0.02258</v>
      </c>
      <c r="O2589" s="172" t="n">
        <v>1.3</v>
      </c>
      <c r="P2589" s="172" t="inlineStr">
        <is>
          <t>优先A</t>
        </is>
      </c>
      <c r="Q2589" s="178" t="n">
        <v>0.9</v>
      </c>
      <c r="R2589" s="179" t="n">
        <v>9</v>
      </c>
      <c r="S2589" s="177" t="inlineStr">
        <is>
          <t>AAA</t>
        </is>
      </c>
      <c r="T2589" s="178" t="n">
        <v>0.018</v>
      </c>
      <c r="U2589" s="177" t="inlineStr">
        <is>
          <t>信银理财</t>
        </is>
      </c>
      <c r="V2589" s="192" t="n">
        <v>2.65</v>
      </c>
      <c r="W2589" s="175" t="n">
        <v>0.018</v>
      </c>
      <c r="X2589" s="172" t="inlineStr">
        <is>
          <t>信银理财</t>
        </is>
      </c>
      <c r="Y2589" s="191" t="n">
        <v>2.7</v>
      </c>
    </row>
    <row r="2590">
      <c r="A2590" s="172" t="n">
        <v>139</v>
      </c>
      <c r="B2590" s="173" t="inlineStr">
        <is>
          <t>9月</t>
        </is>
      </c>
      <c r="C2590" s="173" t="inlineStr">
        <is>
          <t>消金</t>
        </is>
      </c>
      <c r="D2590" s="173" t="inlineStr">
        <is>
          <t>金条&amp;白取混发</t>
        </is>
      </c>
      <c r="E2590" s="173" t="inlineStr">
        <is>
          <t>耘睿28-4</t>
        </is>
      </c>
      <c r="F2590" s="173" t="inlineStr">
        <is>
          <t>上交所</t>
        </is>
      </c>
      <c r="G2590" s="173" t="inlineStr">
        <is>
          <t>招商证券</t>
        </is>
      </c>
      <c r="H2590" s="173" t="inlineStr">
        <is>
          <t>国信证券</t>
        </is>
      </c>
      <c r="I2590" s="173" t="inlineStr">
        <is>
          <t>邮储北分</t>
        </is>
      </c>
      <c r="J2590" s="172" t="n">
        <v>10</v>
      </c>
      <c r="K2590" s="173" t="inlineStr">
        <is>
          <t>22+24</t>
        </is>
      </c>
      <c r="L2590" s="202" t="n">
        <v>46266</v>
      </c>
      <c r="M2590" s="175" t="n">
        <v>0.0148</v>
      </c>
      <c r="N2590" s="176" t="n">
        <v>0.02258</v>
      </c>
      <c r="O2590" s="172" t="n">
        <v>1.3</v>
      </c>
      <c r="P2590" s="172" t="inlineStr">
        <is>
          <t>优先A</t>
        </is>
      </c>
      <c r="Q2590" s="178" t="n">
        <v>0.9</v>
      </c>
      <c r="R2590" s="179" t="n">
        <v>9</v>
      </c>
      <c r="S2590" s="177" t="inlineStr">
        <is>
          <t>AAA</t>
        </is>
      </c>
      <c r="T2590" s="178" t="n">
        <v>0.018</v>
      </c>
      <c r="U2590" s="177" t="inlineStr">
        <is>
          <t>华夏基金</t>
        </is>
      </c>
      <c r="V2590" s="192" t="n">
        <v>1.3</v>
      </c>
      <c r="W2590" s="175" t="n">
        <v>0.018</v>
      </c>
      <c r="X2590" s="172" t="inlineStr">
        <is>
          <t>华夏基金</t>
        </is>
      </c>
      <c r="Y2590" s="191" t="n">
        <v>1.3</v>
      </c>
    </row>
    <row r="2591">
      <c r="A2591" s="172" t="n">
        <v>139</v>
      </c>
      <c r="B2591" s="172" t="inlineStr">
        <is>
          <t>9月</t>
        </is>
      </c>
      <c r="C2591" s="172" t="inlineStr">
        <is>
          <t>消金</t>
        </is>
      </c>
      <c r="D2591" s="172" t="inlineStr">
        <is>
          <t>金条&amp;白取混发</t>
        </is>
      </c>
      <c r="E2591" s="172" t="inlineStr">
        <is>
          <t>耘睿28-4</t>
        </is>
      </c>
      <c r="F2591" s="172" t="inlineStr">
        <is>
          <t>上交所</t>
        </is>
      </c>
      <c r="G2591" s="172" t="inlineStr">
        <is>
          <t>招商证券</t>
        </is>
      </c>
      <c r="H2591" s="172" t="inlineStr">
        <is>
          <t>国信证券</t>
        </is>
      </c>
      <c r="I2591" s="172" t="inlineStr">
        <is>
          <t>邮储北分</t>
        </is>
      </c>
      <c r="J2591" s="172" t="n">
        <v>10</v>
      </c>
      <c r="K2591" s="172" t="inlineStr">
        <is>
          <t>22+24</t>
        </is>
      </c>
      <c r="L2591" s="208" t="n">
        <v>46266</v>
      </c>
      <c r="M2591" s="175" t="n">
        <v>0.0148</v>
      </c>
      <c r="N2591" s="176" t="n">
        <v>0.02258</v>
      </c>
      <c r="O2591" s="172" t="n">
        <v>1.3</v>
      </c>
      <c r="P2591" s="172" t="inlineStr">
        <is>
          <t>优先A</t>
        </is>
      </c>
      <c r="Q2591" s="175" t="n">
        <v>0.9</v>
      </c>
      <c r="R2591" s="192" t="n">
        <v>9</v>
      </c>
      <c r="S2591" s="172" t="inlineStr">
        <is>
          <t>AAA</t>
        </is>
      </c>
      <c r="T2591" s="175" t="n">
        <v>0.018</v>
      </c>
      <c r="U2591" s="172" t="n"/>
      <c r="V2591" s="172" t="n"/>
      <c r="W2591" s="175" t="n">
        <v>0.018</v>
      </c>
      <c r="X2591" s="172" t="inlineStr">
        <is>
          <t>中金公司自营</t>
        </is>
      </c>
      <c r="Y2591" s="191" t="n">
        <v>0.4</v>
      </c>
    </row>
    <row r="2592">
      <c r="A2592" s="172" t="n">
        <v>139</v>
      </c>
      <c r="B2592" s="172" t="inlineStr">
        <is>
          <t>9月</t>
        </is>
      </c>
      <c r="C2592" s="172" t="inlineStr">
        <is>
          <t>消金</t>
        </is>
      </c>
      <c r="D2592" s="172" t="inlineStr">
        <is>
          <t>金条&amp;白取混发</t>
        </is>
      </c>
      <c r="E2592" s="172" t="inlineStr">
        <is>
          <t>耘睿28-4</t>
        </is>
      </c>
      <c r="F2592" s="172" t="inlineStr">
        <is>
          <t>上交所</t>
        </is>
      </c>
      <c r="G2592" s="172" t="inlineStr">
        <is>
          <t>招商证券</t>
        </is>
      </c>
      <c r="H2592" s="172" t="inlineStr">
        <is>
          <t>国信证券</t>
        </is>
      </c>
      <c r="I2592" s="172" t="inlineStr">
        <is>
          <t>邮储北分</t>
        </is>
      </c>
      <c r="J2592" s="172" t="n">
        <v>10</v>
      </c>
      <c r="K2592" s="172" t="inlineStr">
        <is>
          <t>22+24</t>
        </is>
      </c>
      <c r="L2592" s="208" t="n">
        <v>46266</v>
      </c>
      <c r="M2592" s="175" t="n">
        <v>0.0148</v>
      </c>
      <c r="N2592" s="176" t="n">
        <v>0.02258</v>
      </c>
      <c r="O2592" s="172" t="n">
        <v>1.3</v>
      </c>
      <c r="P2592" s="172" t="inlineStr">
        <is>
          <t>优先A</t>
        </is>
      </c>
      <c r="Q2592" s="175" t="n">
        <v>0.9</v>
      </c>
      <c r="R2592" s="192" t="n">
        <v>9</v>
      </c>
      <c r="S2592" s="172" t="inlineStr">
        <is>
          <t>AAA</t>
        </is>
      </c>
      <c r="T2592" s="175" t="n">
        <v>0.018</v>
      </c>
      <c r="U2592" s="172" t="n"/>
      <c r="V2592" s="172" t="n"/>
      <c r="W2592" s="175" t="n">
        <v>0.0183</v>
      </c>
      <c r="X2592" s="172" t="inlineStr">
        <is>
          <t>中金公司自营</t>
        </is>
      </c>
      <c r="Y2592" s="191" t="n">
        <v>0.4</v>
      </c>
    </row>
    <row r="2593">
      <c r="A2593" s="172" t="n">
        <v>139</v>
      </c>
      <c r="B2593" s="172" t="inlineStr">
        <is>
          <t>9月</t>
        </is>
      </c>
      <c r="C2593" s="172" t="inlineStr">
        <is>
          <t>消金</t>
        </is>
      </c>
      <c r="D2593" s="172" t="inlineStr">
        <is>
          <t>金条&amp;白取混发</t>
        </is>
      </c>
      <c r="E2593" s="172" t="inlineStr">
        <is>
          <t>耘睿28-4</t>
        </is>
      </c>
      <c r="F2593" s="172" t="inlineStr">
        <is>
          <t>上交所</t>
        </is>
      </c>
      <c r="G2593" s="172" t="inlineStr">
        <is>
          <t>招商证券</t>
        </is>
      </c>
      <c r="H2593" s="172" t="inlineStr">
        <is>
          <t>国信证券</t>
        </is>
      </c>
      <c r="I2593" s="172" t="inlineStr">
        <is>
          <t>邮储北分</t>
        </is>
      </c>
      <c r="J2593" s="172" t="n">
        <v>10</v>
      </c>
      <c r="K2593" s="172" t="inlineStr">
        <is>
          <t>22+24</t>
        </is>
      </c>
      <c r="L2593" s="208" t="n">
        <v>46266</v>
      </c>
      <c r="M2593" s="175" t="n">
        <v>0.0148</v>
      </c>
      <c r="N2593" s="176" t="n">
        <v>0.02258</v>
      </c>
      <c r="O2593" s="172" t="n">
        <v>1.3</v>
      </c>
      <c r="P2593" s="172" t="inlineStr">
        <is>
          <t>优先A</t>
        </is>
      </c>
      <c r="Q2593" s="175" t="n">
        <v>0.9</v>
      </c>
      <c r="R2593" s="192" t="n">
        <v>9</v>
      </c>
      <c r="S2593" s="172" t="inlineStr">
        <is>
          <t>AAA</t>
        </is>
      </c>
      <c r="T2593" s="175" t="n">
        <v>0.018</v>
      </c>
      <c r="U2593" s="172" t="n"/>
      <c r="V2593" s="172" t="n"/>
      <c r="W2593" s="175" t="n">
        <v>0.0184</v>
      </c>
      <c r="X2593" s="172" t="inlineStr">
        <is>
          <t>宝武财务</t>
        </is>
      </c>
      <c r="Y2593" s="191" t="n">
        <v>0.4</v>
      </c>
    </row>
    <row r="2594">
      <c r="A2594" s="172" t="n">
        <v>139</v>
      </c>
      <c r="B2594" s="173" t="inlineStr">
        <is>
          <t>9月</t>
        </is>
      </c>
      <c r="C2594" s="173" t="inlineStr">
        <is>
          <t>消金</t>
        </is>
      </c>
      <c r="D2594" s="173" t="inlineStr">
        <is>
          <t>金条&amp;白取混发</t>
        </is>
      </c>
      <c r="E2594" s="173" t="inlineStr">
        <is>
          <t>耘睿28-4</t>
        </is>
      </c>
      <c r="F2594" s="173" t="inlineStr">
        <is>
          <t>上交所</t>
        </is>
      </c>
      <c r="G2594" s="173" t="inlineStr">
        <is>
          <t>招商证券</t>
        </is>
      </c>
      <c r="H2594" s="173" t="inlineStr">
        <is>
          <t>国信证券</t>
        </is>
      </c>
      <c r="I2594" s="173" t="inlineStr">
        <is>
          <t>邮储北分</t>
        </is>
      </c>
      <c r="J2594" s="172" t="n">
        <v>10</v>
      </c>
      <c r="K2594" s="173" t="inlineStr">
        <is>
          <t>22+24</t>
        </is>
      </c>
      <c r="L2594" s="202" t="n">
        <v>46266</v>
      </c>
      <c r="M2594" s="175" t="n">
        <v>0.0148</v>
      </c>
      <c r="N2594" s="176" t="n">
        <v>0.02258</v>
      </c>
      <c r="O2594" s="172" t="n">
        <v>1.3</v>
      </c>
      <c r="P2594" s="177" t="inlineStr">
        <is>
          <t>优先B</t>
        </is>
      </c>
      <c r="Q2594" s="178" t="n">
        <v>0.03</v>
      </c>
      <c r="R2594" s="179" t="n">
        <v>0.3</v>
      </c>
      <c r="S2594" s="177" t="inlineStr">
        <is>
          <t>AA+</t>
        </is>
      </c>
      <c r="T2594" s="178" t="n">
        <v>0.019</v>
      </c>
      <c r="U2594" s="177" t="inlineStr">
        <is>
          <t>招商证券投行</t>
        </is>
      </c>
      <c r="V2594" s="192" t="n">
        <v>0.05</v>
      </c>
      <c r="W2594" s="175" t="n">
        <v>0.019</v>
      </c>
      <c r="X2594" s="172" t="inlineStr">
        <is>
          <t>招商证券</t>
        </is>
      </c>
      <c r="Y2594" s="191" t="n">
        <v>0.05</v>
      </c>
    </row>
    <row r="2595">
      <c r="A2595" s="172" t="n">
        <v>139</v>
      </c>
      <c r="B2595" s="173" t="inlineStr">
        <is>
          <t>9月</t>
        </is>
      </c>
      <c r="C2595" s="173" t="inlineStr">
        <is>
          <t>消金</t>
        </is>
      </c>
      <c r="D2595" s="173" t="inlineStr">
        <is>
          <t>金条&amp;白取混发</t>
        </is>
      </c>
      <c r="E2595" s="173" t="inlineStr">
        <is>
          <t>耘睿28-4</t>
        </is>
      </c>
      <c r="F2595" s="173" t="inlineStr">
        <is>
          <t>上交所</t>
        </is>
      </c>
      <c r="G2595" s="173" t="inlineStr">
        <is>
          <t>招商证券</t>
        </is>
      </c>
      <c r="H2595" s="173" t="inlineStr">
        <is>
          <t>国信证券</t>
        </is>
      </c>
      <c r="I2595" s="173" t="inlineStr">
        <is>
          <t>邮储北分</t>
        </is>
      </c>
      <c r="J2595" s="172" t="n">
        <v>10</v>
      </c>
      <c r="K2595" s="173" t="inlineStr">
        <is>
          <t>22+24</t>
        </is>
      </c>
      <c r="L2595" s="202" t="n">
        <v>46266</v>
      </c>
      <c r="M2595" s="175" t="n">
        <v>0.0148</v>
      </c>
      <c r="N2595" s="176" t="n">
        <v>0.02258</v>
      </c>
      <c r="O2595" s="172" t="n">
        <v>1.3</v>
      </c>
      <c r="P2595" s="172" t="inlineStr">
        <is>
          <t>优先B</t>
        </is>
      </c>
      <c r="Q2595" s="178" t="n">
        <v>0.03</v>
      </c>
      <c r="R2595" s="179" t="n">
        <v>0.3</v>
      </c>
      <c r="S2595" s="177" t="inlineStr">
        <is>
          <t>AA+</t>
        </is>
      </c>
      <c r="T2595" s="178" t="n">
        <v>0.019</v>
      </c>
      <c r="U2595" s="177" t="inlineStr">
        <is>
          <t>中金自营</t>
        </is>
      </c>
      <c r="V2595" s="192" t="n">
        <v>0.2</v>
      </c>
      <c r="W2595" s="172" t="n"/>
      <c r="X2595" s="172" t="n"/>
      <c r="Y2595" s="172" t="n"/>
    </row>
    <row r="2596">
      <c r="A2596" s="172" t="n">
        <v>139</v>
      </c>
      <c r="B2596" s="173" t="inlineStr">
        <is>
          <t>9月</t>
        </is>
      </c>
      <c r="C2596" s="173" t="inlineStr">
        <is>
          <t>消金</t>
        </is>
      </c>
      <c r="D2596" s="173" t="inlineStr">
        <is>
          <t>金条&amp;白取混发</t>
        </is>
      </c>
      <c r="E2596" s="173" t="inlineStr">
        <is>
          <t>耘睿28-4</t>
        </is>
      </c>
      <c r="F2596" s="173" t="inlineStr">
        <is>
          <t>上交所</t>
        </is>
      </c>
      <c r="G2596" s="173" t="inlineStr">
        <is>
          <t>招商证券</t>
        </is>
      </c>
      <c r="H2596" s="173" t="inlineStr">
        <is>
          <t>国信证券</t>
        </is>
      </c>
      <c r="I2596" s="173" t="inlineStr">
        <is>
          <t>邮储北分</t>
        </is>
      </c>
      <c r="J2596" s="172" t="n">
        <v>10</v>
      </c>
      <c r="K2596" s="173" t="inlineStr">
        <is>
          <t>22+24</t>
        </is>
      </c>
      <c r="L2596" s="202" t="n">
        <v>46266</v>
      </c>
      <c r="M2596" s="175" t="n">
        <v>0.0148</v>
      </c>
      <c r="N2596" s="176" t="n">
        <v>0.02258</v>
      </c>
      <c r="O2596" s="172" t="n">
        <v>1.3</v>
      </c>
      <c r="P2596" s="172" t="inlineStr">
        <is>
          <t>优先B</t>
        </is>
      </c>
      <c r="Q2596" s="178" t="n">
        <v>0.03</v>
      </c>
      <c r="R2596" s="179" t="n">
        <v>0.3</v>
      </c>
      <c r="S2596" s="177" t="inlineStr">
        <is>
          <t>AA+</t>
        </is>
      </c>
      <c r="T2596" s="178" t="n">
        <v>0.019</v>
      </c>
      <c r="U2596" s="177" t="inlineStr">
        <is>
          <t>国信证券投行</t>
        </is>
      </c>
      <c r="V2596" s="192" t="n">
        <v>0.05</v>
      </c>
      <c r="W2596" s="175" t="n">
        <v>0.019</v>
      </c>
      <c r="X2596" s="172" t="inlineStr">
        <is>
          <t>国信证券</t>
        </is>
      </c>
      <c r="Y2596" s="191" t="n">
        <v>0.05</v>
      </c>
    </row>
    <row r="2597">
      <c r="A2597" s="172" t="n">
        <v>139</v>
      </c>
      <c r="B2597" s="172" t="inlineStr">
        <is>
          <t>9月</t>
        </is>
      </c>
      <c r="C2597" s="172" t="inlineStr">
        <is>
          <t>消金</t>
        </is>
      </c>
      <c r="D2597" s="172" t="inlineStr">
        <is>
          <t>金条&amp;白取混发</t>
        </is>
      </c>
      <c r="E2597" s="172" t="inlineStr">
        <is>
          <t>耘睿28-4</t>
        </is>
      </c>
      <c r="F2597" s="172" t="inlineStr">
        <is>
          <t>上交所</t>
        </is>
      </c>
      <c r="G2597" s="172" t="inlineStr">
        <is>
          <t>招商证券</t>
        </is>
      </c>
      <c r="H2597" s="172" t="inlineStr">
        <is>
          <t>国信证券</t>
        </is>
      </c>
      <c r="I2597" s="172" t="inlineStr">
        <is>
          <t>邮储北分</t>
        </is>
      </c>
      <c r="J2597" s="172" t="n">
        <v>10</v>
      </c>
      <c r="K2597" s="172" t="inlineStr">
        <is>
          <t>22+24</t>
        </is>
      </c>
      <c r="L2597" s="208" t="n">
        <v>46266</v>
      </c>
      <c r="M2597" s="175" t="n">
        <v>0.0148</v>
      </c>
      <c r="N2597" s="176" t="n">
        <v>0.02258</v>
      </c>
      <c r="O2597" s="172" t="n">
        <v>1.3</v>
      </c>
      <c r="P2597" s="172" t="inlineStr">
        <is>
          <t>优先B</t>
        </is>
      </c>
      <c r="Q2597" s="175" t="n">
        <v>0.03</v>
      </c>
      <c r="R2597" s="192" t="n">
        <v>0.3</v>
      </c>
      <c r="S2597" s="172" t="inlineStr">
        <is>
          <t>AA+</t>
        </is>
      </c>
      <c r="T2597" s="175" t="n">
        <v>0.019</v>
      </c>
      <c r="U2597" s="172" t="n"/>
      <c r="V2597" s="172" t="n"/>
      <c r="W2597" s="175" t="n">
        <v>0.019</v>
      </c>
      <c r="X2597" s="172" t="inlineStr">
        <is>
          <t>中金公司自营</t>
        </is>
      </c>
      <c r="Y2597" s="191" t="n">
        <v>0.2</v>
      </c>
    </row>
    <row r="2598">
      <c r="A2598" s="172" t="n">
        <v>139</v>
      </c>
      <c r="B2598" s="172" t="inlineStr">
        <is>
          <t>9月</t>
        </is>
      </c>
      <c r="C2598" s="172" t="inlineStr">
        <is>
          <t>消金</t>
        </is>
      </c>
      <c r="D2598" s="172" t="inlineStr">
        <is>
          <t>金条&amp;白取混发</t>
        </is>
      </c>
      <c r="E2598" s="172" t="inlineStr">
        <is>
          <t>耘睿28-4</t>
        </is>
      </c>
      <c r="F2598" s="172" t="inlineStr">
        <is>
          <t>上交所</t>
        </is>
      </c>
      <c r="G2598" s="172" t="inlineStr">
        <is>
          <t>招商证券</t>
        </is>
      </c>
      <c r="H2598" s="172" t="inlineStr">
        <is>
          <t>国信证券</t>
        </is>
      </c>
      <c r="I2598" s="172" t="inlineStr">
        <is>
          <t>邮储北分</t>
        </is>
      </c>
      <c r="J2598" s="172" t="n">
        <v>10</v>
      </c>
      <c r="K2598" s="172" t="inlineStr">
        <is>
          <t>22+24</t>
        </is>
      </c>
      <c r="L2598" s="208" t="n">
        <v>46266</v>
      </c>
      <c r="M2598" s="175" t="n">
        <v>0.0148</v>
      </c>
      <c r="N2598" s="176" t="n">
        <v>0.02258</v>
      </c>
      <c r="O2598" s="172" t="n">
        <v>1.3</v>
      </c>
      <c r="P2598" s="172" t="inlineStr">
        <is>
          <t>优先B</t>
        </is>
      </c>
      <c r="Q2598" s="175" t="n">
        <v>0.03</v>
      </c>
      <c r="R2598" s="192" t="n">
        <v>0.3</v>
      </c>
      <c r="S2598" s="172" t="inlineStr">
        <is>
          <t>AA+</t>
        </is>
      </c>
      <c r="T2598" s="175" t="n">
        <v>0.019</v>
      </c>
      <c r="U2598" s="172" t="n"/>
      <c r="V2598" s="172" t="n"/>
      <c r="W2598" s="175" t="n">
        <v>0.0198</v>
      </c>
      <c r="X2598" s="172" t="inlineStr">
        <is>
          <t>中信证券</t>
        </is>
      </c>
      <c r="Y2598" s="191" t="n">
        <v>0.3</v>
      </c>
    </row>
    <row r="2599">
      <c r="A2599" s="172" t="n">
        <v>139</v>
      </c>
      <c r="B2599" s="173" t="inlineStr">
        <is>
          <t>9月</t>
        </is>
      </c>
      <c r="C2599" s="173" t="inlineStr">
        <is>
          <t>消金</t>
        </is>
      </c>
      <c r="D2599" s="173" t="inlineStr">
        <is>
          <t>金条&amp;白取混发</t>
        </is>
      </c>
      <c r="E2599" s="173" t="inlineStr">
        <is>
          <t>耘睿28-4</t>
        </is>
      </c>
      <c r="F2599" s="173" t="inlineStr">
        <is>
          <t>上交所</t>
        </is>
      </c>
      <c r="G2599" s="173" t="inlineStr">
        <is>
          <t>招商证券</t>
        </is>
      </c>
      <c r="H2599" s="173" t="inlineStr">
        <is>
          <t>国信证券</t>
        </is>
      </c>
      <c r="I2599" s="173" t="inlineStr">
        <is>
          <t>邮储北分</t>
        </is>
      </c>
      <c r="J2599" s="172" t="n">
        <v>10</v>
      </c>
      <c r="K2599" s="173" t="inlineStr">
        <is>
          <t>22+24</t>
        </is>
      </c>
      <c r="L2599" s="202" t="n">
        <v>46266</v>
      </c>
      <c r="M2599" s="175" t="n">
        <v>0.0148</v>
      </c>
      <c r="N2599" s="176" t="n">
        <v>0.02258</v>
      </c>
      <c r="O2599" s="172" t="n">
        <v>1.3</v>
      </c>
      <c r="P2599" s="177" t="inlineStr">
        <is>
          <t>中间级</t>
        </is>
      </c>
      <c r="Q2599" s="178" t="n">
        <v>0.02</v>
      </c>
      <c r="R2599" s="179" t="n">
        <v>0.2</v>
      </c>
      <c r="S2599" s="177" t="inlineStr">
        <is>
          <t>AA-</t>
        </is>
      </c>
      <c r="T2599" s="178" t="n">
        <v>0.032</v>
      </c>
      <c r="U2599" s="177" t="inlineStr">
        <is>
          <t>中信证券投顾</t>
        </is>
      </c>
      <c r="V2599" s="192" t="n">
        <v>0.1</v>
      </c>
      <c r="W2599" s="172" t="n"/>
      <c r="X2599" s="172" t="n"/>
      <c r="Y2599" s="172" t="n"/>
    </row>
    <row r="2600">
      <c r="A2600" s="172" t="n">
        <v>139</v>
      </c>
      <c r="B2600" s="173" t="inlineStr">
        <is>
          <t>9月</t>
        </is>
      </c>
      <c r="C2600" s="173" t="inlineStr">
        <is>
          <t>消金</t>
        </is>
      </c>
      <c r="D2600" s="173" t="inlineStr">
        <is>
          <t>金条&amp;白取混发</t>
        </is>
      </c>
      <c r="E2600" s="173" t="inlineStr">
        <is>
          <t>耘睿28-4</t>
        </is>
      </c>
      <c r="F2600" s="173" t="inlineStr">
        <is>
          <t>上交所</t>
        </is>
      </c>
      <c r="G2600" s="173" t="inlineStr">
        <is>
          <t>招商证券</t>
        </is>
      </c>
      <c r="H2600" s="173" t="inlineStr">
        <is>
          <t>国信证券</t>
        </is>
      </c>
      <c r="I2600" s="173" t="inlineStr">
        <is>
          <t>邮储北分</t>
        </is>
      </c>
      <c r="J2600" s="172" t="n">
        <v>10</v>
      </c>
      <c r="K2600" s="173" t="inlineStr">
        <is>
          <t>22+24</t>
        </is>
      </c>
      <c r="L2600" s="202" t="n">
        <v>46266</v>
      </c>
      <c r="M2600" s="175" t="n">
        <v>0.0148</v>
      </c>
      <c r="N2600" s="176" t="n">
        <v>0.02258</v>
      </c>
      <c r="O2600" s="172" t="n">
        <v>1.3</v>
      </c>
      <c r="P2600" s="172" t="inlineStr">
        <is>
          <t>中间级</t>
        </is>
      </c>
      <c r="Q2600" s="178" t="n">
        <v>0.02</v>
      </c>
      <c r="R2600" s="179" t="n">
        <v>0.2</v>
      </c>
      <c r="S2600" s="177" t="inlineStr">
        <is>
          <t>AA-</t>
        </is>
      </c>
      <c r="T2600" s="178" t="n">
        <v>0.032</v>
      </c>
      <c r="U2600" s="177" t="inlineStr">
        <is>
          <t>中金自营</t>
        </is>
      </c>
      <c r="V2600" s="192" t="n">
        <v>0.1</v>
      </c>
      <c r="W2600" s="172" t="n"/>
      <c r="X2600" s="172" t="n"/>
      <c r="Y2600" s="172" t="n"/>
    </row>
    <row r="2601">
      <c r="A2601" s="172" t="n">
        <v>139</v>
      </c>
      <c r="B2601" s="173" t="inlineStr">
        <is>
          <t>9月</t>
        </is>
      </c>
      <c r="C2601" s="173" t="inlineStr">
        <is>
          <t>消金</t>
        </is>
      </c>
      <c r="D2601" s="173" t="inlineStr">
        <is>
          <t>金条&amp;白取混发</t>
        </is>
      </c>
      <c r="E2601" s="173" t="inlineStr">
        <is>
          <t>耘睿28-4</t>
        </is>
      </c>
      <c r="F2601" s="173" t="inlineStr">
        <is>
          <t>上交所</t>
        </is>
      </c>
      <c r="G2601" s="173" t="inlineStr">
        <is>
          <t>招商证券</t>
        </is>
      </c>
      <c r="H2601" s="173" t="inlineStr">
        <is>
          <t>国信证券</t>
        </is>
      </c>
      <c r="I2601" s="173" t="inlineStr">
        <is>
          <t>邮储北分</t>
        </is>
      </c>
      <c r="J2601" s="172" t="n">
        <v>10</v>
      </c>
      <c r="K2601" s="173" t="inlineStr">
        <is>
          <t>22+24</t>
        </is>
      </c>
      <c r="L2601" s="202" t="n">
        <v>46266</v>
      </c>
      <c r="M2601" s="175" t="n">
        <v>0.0148</v>
      </c>
      <c r="N2601" s="176" t="n">
        <v>0.02258</v>
      </c>
      <c r="O2601" s="172" t="n">
        <v>1.3</v>
      </c>
      <c r="P2601" s="177" t="inlineStr">
        <is>
          <t>受益权</t>
        </is>
      </c>
      <c r="Q2601" s="178" t="n">
        <v>0.05</v>
      </c>
      <c r="R2601" s="179" t="n">
        <v>0.5</v>
      </c>
      <c r="S2601" s="177" t="inlineStr">
        <is>
          <t>无</t>
        </is>
      </c>
      <c r="T2601" s="178" t="n">
        <v>0.0495</v>
      </c>
      <c r="U2601" s="177" t="inlineStr">
        <is>
          <t>中金投顾</t>
        </is>
      </c>
      <c r="V2601" s="192" t="n">
        <v>0.4</v>
      </c>
      <c r="W2601" s="172" t="n"/>
      <c r="X2601" s="172" t="n"/>
      <c r="Y2601" s="172" t="n"/>
    </row>
    <row r="2602">
      <c r="A2602" s="172" t="n">
        <v>139</v>
      </c>
      <c r="B2602" s="173" t="inlineStr">
        <is>
          <t>9月</t>
        </is>
      </c>
      <c r="C2602" s="173" t="inlineStr">
        <is>
          <t>消金</t>
        </is>
      </c>
      <c r="D2602" s="173" t="inlineStr">
        <is>
          <t>金条&amp;白取混发</t>
        </is>
      </c>
      <c r="E2602" s="173" t="inlineStr">
        <is>
          <t>耘睿28-4</t>
        </is>
      </c>
      <c r="F2602" s="173" t="inlineStr">
        <is>
          <t>上交所</t>
        </is>
      </c>
      <c r="G2602" s="173" t="inlineStr">
        <is>
          <t>招商证券</t>
        </is>
      </c>
      <c r="H2602" s="173" t="inlineStr">
        <is>
          <t>国信证券</t>
        </is>
      </c>
      <c r="I2602" s="173" t="inlineStr">
        <is>
          <t>邮储北分</t>
        </is>
      </c>
      <c r="J2602" s="172" t="n">
        <v>10</v>
      </c>
      <c r="K2602" s="173" t="inlineStr">
        <is>
          <t>22+24</t>
        </is>
      </c>
      <c r="L2602" s="202" t="n">
        <v>46266</v>
      </c>
      <c r="M2602" s="175" t="n">
        <v>0.0148</v>
      </c>
      <c r="N2602" s="176" t="n">
        <v>0.02258</v>
      </c>
      <c r="O2602" s="172" t="n">
        <v>1.3</v>
      </c>
      <c r="P2602" s="172" t="inlineStr">
        <is>
          <t>受益权</t>
        </is>
      </c>
      <c r="Q2602" s="178" t="n">
        <v>0.05</v>
      </c>
      <c r="R2602" s="179" t="n">
        <v>0.5</v>
      </c>
      <c r="S2602" s="177" t="inlineStr">
        <is>
          <t>无</t>
        </is>
      </c>
      <c r="T2602" s="178" t="n">
        <v>0.0495</v>
      </c>
      <c r="U2602" s="177" t="inlineStr">
        <is>
          <t>中信建投衍生品</t>
        </is>
      </c>
      <c r="V2602" s="192" t="n">
        <v>0.1</v>
      </c>
      <c r="W2602" s="172" t="n"/>
      <c r="X2602" s="172" t="n"/>
      <c r="Y2602" s="172" t="n"/>
    </row>
    <row r="2603">
      <c r="A2603" s="172" t="n">
        <v>140</v>
      </c>
      <c r="B2603" s="173" t="inlineStr">
        <is>
          <t>9月</t>
        </is>
      </c>
      <c r="C2603" s="173" t="inlineStr">
        <is>
          <t>消金</t>
        </is>
      </c>
      <c r="D2603" s="173" t="inlineStr">
        <is>
          <t>金条&amp;白取混发</t>
        </is>
      </c>
      <c r="E2603" s="173" t="inlineStr">
        <is>
          <t>2026东樾4号3期（东樾4-5）</t>
        </is>
      </c>
      <c r="F2603" s="173" t="inlineStr">
        <is>
          <t>银行间</t>
        </is>
      </c>
      <c r="G2603" s="173" t="inlineStr">
        <is>
          <t>招商证券</t>
        </is>
      </c>
      <c r="H2603" s="173" t="inlineStr">
        <is>
          <t>国信证券/光大证券/中信证券</t>
        </is>
      </c>
      <c r="I2603" s="173" t="inlineStr">
        <is>
          <t>工银天分</t>
        </is>
      </c>
      <c r="J2603" s="172" t="n">
        <v>10</v>
      </c>
      <c r="K2603" s="173" t="inlineStr">
        <is>
          <t>22+24</t>
        </is>
      </c>
      <c r="L2603" s="202" t="n">
        <v>46266</v>
      </c>
      <c r="M2603" s="175" t="n">
        <v>0.0148</v>
      </c>
      <c r="N2603" s="176" t="n">
        <v>0.02273</v>
      </c>
      <c r="O2603" s="172" t="n">
        <v>1.82</v>
      </c>
      <c r="P2603" s="177" t="inlineStr">
        <is>
          <t>优先A</t>
        </is>
      </c>
      <c r="Q2603" s="178" t="n">
        <v>0.87</v>
      </c>
      <c r="R2603" s="179" t="n">
        <v>9</v>
      </c>
      <c r="S2603" s="177" t="inlineStr">
        <is>
          <t>AAA</t>
        </is>
      </c>
      <c r="T2603" s="178" t="n">
        <v>0.018</v>
      </c>
      <c r="U2603" s="177" t="inlineStr">
        <is>
          <t>建信信托</t>
        </is>
      </c>
      <c r="V2603" s="192" t="n">
        <v>0.5</v>
      </c>
      <c r="W2603" s="175" t="n">
        <v>0.018</v>
      </c>
      <c r="X2603" s="172" t="inlineStr">
        <is>
          <t>建信信托</t>
        </is>
      </c>
      <c r="Y2603" s="191" t="n">
        <v>0.5</v>
      </c>
    </row>
    <row r="2604">
      <c r="A2604" s="172" t="n">
        <v>140</v>
      </c>
      <c r="B2604" s="172" t="inlineStr">
        <is>
          <t>9月</t>
        </is>
      </c>
      <c r="C2604" s="172" t="inlineStr">
        <is>
          <t>消金</t>
        </is>
      </c>
      <c r="D2604" s="172" t="inlineStr">
        <is>
          <t>金条&amp;白取混发</t>
        </is>
      </c>
      <c r="E2604" s="172" t="inlineStr">
        <is>
          <t>2026东樾4号3期（东樾4-5）</t>
        </is>
      </c>
      <c r="F2604" s="172" t="inlineStr">
        <is>
          <t>银行间</t>
        </is>
      </c>
      <c r="G2604" s="172" t="inlineStr">
        <is>
          <t>招商证券</t>
        </is>
      </c>
      <c r="H2604" s="172" t="inlineStr">
        <is>
          <t>国信证券/光大证券/中信证券</t>
        </is>
      </c>
      <c r="I2604" s="172" t="inlineStr">
        <is>
          <t>工银天分</t>
        </is>
      </c>
      <c r="J2604" s="172" t="n">
        <v>10</v>
      </c>
      <c r="K2604" s="172" t="inlineStr">
        <is>
          <t>22+24</t>
        </is>
      </c>
      <c r="L2604" s="208" t="n">
        <v>46266</v>
      </c>
      <c r="M2604" s="175" t="n">
        <v>0.0148</v>
      </c>
      <c r="N2604" s="176" t="n">
        <v>0.02273</v>
      </c>
      <c r="O2604" s="172" t="n">
        <v>1.82</v>
      </c>
      <c r="P2604" s="172" t="inlineStr">
        <is>
          <t>优先A</t>
        </is>
      </c>
      <c r="Q2604" s="175" t="n">
        <v>0.87</v>
      </c>
      <c r="R2604" s="192" t="n">
        <v>9</v>
      </c>
      <c r="S2604" s="172" t="inlineStr">
        <is>
          <t>AAA</t>
        </is>
      </c>
      <c r="T2604" s="175" t="n">
        <v>0.018</v>
      </c>
      <c r="U2604" s="172" t="n"/>
      <c r="V2604" s="172" t="n"/>
      <c r="W2604" s="175" t="n">
        <v>0.0185</v>
      </c>
      <c r="X2604" s="172" t="inlineStr">
        <is>
          <t>建信信托</t>
        </is>
      </c>
      <c r="Y2604" s="191" t="n">
        <v>0.5</v>
      </c>
    </row>
    <row r="2605">
      <c r="A2605" s="172" t="n">
        <v>140</v>
      </c>
      <c r="B2605" s="173" t="inlineStr">
        <is>
          <t>9月</t>
        </is>
      </c>
      <c r="C2605" s="173" t="inlineStr">
        <is>
          <t>消金</t>
        </is>
      </c>
      <c r="D2605" s="173" t="inlineStr">
        <is>
          <t>金条&amp;白取混发</t>
        </is>
      </c>
      <c r="E2605" s="173" t="inlineStr">
        <is>
          <t>2026东樾4号3期（东樾4-5）</t>
        </is>
      </c>
      <c r="F2605" s="173" t="inlineStr">
        <is>
          <t>银行间</t>
        </is>
      </c>
      <c r="G2605" s="173" t="inlineStr">
        <is>
          <t>招商证券</t>
        </is>
      </c>
      <c r="H2605" s="173" t="inlineStr">
        <is>
          <t>国信证券/光大证券/中信证券</t>
        </is>
      </c>
      <c r="I2605" s="173" t="inlineStr">
        <is>
          <t>工银天分</t>
        </is>
      </c>
      <c r="J2605" s="172" t="n">
        <v>10</v>
      </c>
      <c r="K2605" s="173" t="inlineStr">
        <is>
          <t>22+24</t>
        </is>
      </c>
      <c r="L2605" s="202" t="n">
        <v>46266</v>
      </c>
      <c r="M2605" s="175" t="n">
        <v>0.0148</v>
      </c>
      <c r="N2605" s="176" t="n">
        <v>0.02273</v>
      </c>
      <c r="O2605" s="172" t="n">
        <v>1.82</v>
      </c>
      <c r="P2605" s="172" t="inlineStr">
        <is>
          <t>优先A</t>
        </is>
      </c>
      <c r="Q2605" s="178" t="n">
        <v>0.87</v>
      </c>
      <c r="R2605" s="179" t="n">
        <v>9</v>
      </c>
      <c r="S2605" s="177" t="inlineStr">
        <is>
          <t>AAA</t>
        </is>
      </c>
      <c r="T2605" s="178" t="n">
        <v>0.018</v>
      </c>
      <c r="U2605" s="177" t="inlineStr">
        <is>
          <t>平安证券投行</t>
        </is>
      </c>
      <c r="V2605" s="192" t="n">
        <v>0.29</v>
      </c>
      <c r="W2605" s="175" t="n">
        <v>0.018</v>
      </c>
      <c r="X2605" s="172" t="inlineStr">
        <is>
          <t>平安证券</t>
        </is>
      </c>
      <c r="Y2605" s="191" t="n">
        <v>0.3</v>
      </c>
    </row>
    <row r="2606">
      <c r="A2606" s="172" t="n">
        <v>140</v>
      </c>
      <c r="B2606" s="172" t="inlineStr">
        <is>
          <t>9月</t>
        </is>
      </c>
      <c r="C2606" s="172" t="inlineStr">
        <is>
          <t>消金</t>
        </is>
      </c>
      <c r="D2606" s="172" t="inlineStr">
        <is>
          <t>金条&amp;白取混发</t>
        </is>
      </c>
      <c r="E2606" s="172" t="inlineStr">
        <is>
          <t>2026东樾4号3期（东樾4-5）</t>
        </is>
      </c>
      <c r="F2606" s="172" t="inlineStr">
        <is>
          <t>银行间</t>
        </is>
      </c>
      <c r="G2606" s="172" t="inlineStr">
        <is>
          <t>招商证券</t>
        </is>
      </c>
      <c r="H2606" s="172" t="inlineStr">
        <is>
          <t>国信证券/光大证券/中信证券</t>
        </is>
      </c>
      <c r="I2606" s="172" t="inlineStr">
        <is>
          <t>工银天分</t>
        </is>
      </c>
      <c r="J2606" s="172" t="n">
        <v>10</v>
      </c>
      <c r="K2606" s="172" t="inlineStr">
        <is>
          <t>22+24</t>
        </is>
      </c>
      <c r="L2606" s="208" t="n">
        <v>46266</v>
      </c>
      <c r="M2606" s="175" t="n">
        <v>0.0148</v>
      </c>
      <c r="N2606" s="176" t="n">
        <v>0.02273</v>
      </c>
      <c r="O2606" s="172" t="n">
        <v>1.82</v>
      </c>
      <c r="P2606" s="172" t="inlineStr">
        <is>
          <t>优先A</t>
        </is>
      </c>
      <c r="Q2606" s="175" t="n">
        <v>0.87</v>
      </c>
      <c r="R2606" s="192" t="n">
        <v>9</v>
      </c>
      <c r="S2606" s="172" t="inlineStr">
        <is>
          <t>AAA</t>
        </is>
      </c>
      <c r="T2606" s="175" t="n">
        <v>0.018</v>
      </c>
      <c r="U2606" s="172" t="n"/>
      <c r="V2606" s="172" t="n"/>
      <c r="W2606" s="175" t="n">
        <v>0.0185</v>
      </c>
      <c r="X2606" s="172" t="inlineStr">
        <is>
          <t>平安证券</t>
        </is>
      </c>
      <c r="Y2606" s="191" t="n">
        <v>0.2</v>
      </c>
    </row>
    <row r="2607">
      <c r="A2607" s="172" t="n">
        <v>140</v>
      </c>
      <c r="B2607" s="173" t="inlineStr">
        <is>
          <t>9月</t>
        </is>
      </c>
      <c r="C2607" s="173" t="inlineStr">
        <is>
          <t>消金</t>
        </is>
      </c>
      <c r="D2607" s="173" t="inlineStr">
        <is>
          <t>金条&amp;白取混发</t>
        </is>
      </c>
      <c r="E2607" s="173" t="inlineStr">
        <is>
          <t>2026东樾4号3期（东樾4-5）</t>
        </is>
      </c>
      <c r="F2607" s="173" t="inlineStr">
        <is>
          <t>银行间</t>
        </is>
      </c>
      <c r="G2607" s="173" t="inlineStr">
        <is>
          <t>招商证券</t>
        </is>
      </c>
      <c r="H2607" s="173" t="inlineStr">
        <is>
          <t>国信证券/光大证券/中信证券</t>
        </is>
      </c>
      <c r="I2607" s="173" t="inlineStr">
        <is>
          <t>工银天分</t>
        </is>
      </c>
      <c r="J2607" s="172" t="n">
        <v>10</v>
      </c>
      <c r="K2607" s="173" t="inlineStr">
        <is>
          <t>22+24</t>
        </is>
      </c>
      <c r="L2607" s="202" t="n">
        <v>46266</v>
      </c>
      <c r="M2607" s="175" t="n">
        <v>0.0148</v>
      </c>
      <c r="N2607" s="176" t="n">
        <v>0.02273</v>
      </c>
      <c r="O2607" s="172" t="n">
        <v>1.82</v>
      </c>
      <c r="P2607" s="172" t="inlineStr">
        <is>
          <t>优先A</t>
        </is>
      </c>
      <c r="Q2607" s="178" t="n">
        <v>0.87</v>
      </c>
      <c r="R2607" s="179" t="n">
        <v>9</v>
      </c>
      <c r="S2607" s="177" t="inlineStr">
        <is>
          <t>AAA</t>
        </is>
      </c>
      <c r="T2607" s="178" t="n">
        <v>0.018</v>
      </c>
      <c r="U2607" s="177" t="inlineStr">
        <is>
          <t>信银理财</t>
        </is>
      </c>
      <c r="V2607" s="192" t="n">
        <v>2.61</v>
      </c>
      <c r="W2607" s="175" t="n">
        <v>0.0174</v>
      </c>
      <c r="X2607" s="172" t="inlineStr">
        <is>
          <t>信银理财</t>
        </is>
      </c>
      <c r="Y2607" s="191" t="n">
        <v>0.5</v>
      </c>
    </row>
    <row r="2608">
      <c r="A2608" s="172" t="n">
        <v>140</v>
      </c>
      <c r="B2608" s="172" t="inlineStr">
        <is>
          <t>9月</t>
        </is>
      </c>
      <c r="C2608" s="172" t="inlineStr">
        <is>
          <t>消金</t>
        </is>
      </c>
      <c r="D2608" s="172" t="inlineStr">
        <is>
          <t>金条&amp;白取混发</t>
        </is>
      </c>
      <c r="E2608" s="172" t="inlineStr">
        <is>
          <t>2026东樾4号3期（东樾4-5）</t>
        </is>
      </c>
      <c r="F2608" s="172" t="inlineStr">
        <is>
          <t>银行间</t>
        </is>
      </c>
      <c r="G2608" s="172" t="inlineStr">
        <is>
          <t>招商证券</t>
        </is>
      </c>
      <c r="H2608" s="172" t="inlineStr">
        <is>
          <t>国信证券/光大证券/中信证券</t>
        </is>
      </c>
      <c r="I2608" s="172" t="inlineStr">
        <is>
          <t>工银天分</t>
        </is>
      </c>
      <c r="J2608" s="172" t="n">
        <v>10</v>
      </c>
      <c r="K2608" s="172" t="inlineStr">
        <is>
          <t>22+24</t>
        </is>
      </c>
      <c r="L2608" s="208" t="n">
        <v>46266</v>
      </c>
      <c r="M2608" s="175" t="n">
        <v>0.0148</v>
      </c>
      <c r="N2608" s="176" t="n">
        <v>0.02273</v>
      </c>
      <c r="O2608" s="172" t="n">
        <v>1.82</v>
      </c>
      <c r="P2608" s="172" t="inlineStr">
        <is>
          <t>优先A</t>
        </is>
      </c>
      <c r="Q2608" s="175" t="n">
        <v>0.87</v>
      </c>
      <c r="R2608" s="192" t="n">
        <v>9</v>
      </c>
      <c r="S2608" s="172" t="inlineStr">
        <is>
          <t>AAA</t>
        </is>
      </c>
      <c r="T2608" s="175" t="n">
        <v>0.018</v>
      </c>
      <c r="U2608" s="172" t="n"/>
      <c r="V2608" s="172" t="n"/>
      <c r="W2608" s="175" t="n">
        <v>0.0176</v>
      </c>
      <c r="X2608" s="172" t="inlineStr">
        <is>
          <t>信银理财</t>
        </is>
      </c>
      <c r="Y2608" s="191" t="n">
        <v>0.5</v>
      </c>
    </row>
    <row r="2609">
      <c r="A2609" s="172" t="n">
        <v>140</v>
      </c>
      <c r="B2609" s="172" t="inlineStr">
        <is>
          <t>9月</t>
        </is>
      </c>
      <c r="C2609" s="172" t="inlineStr">
        <is>
          <t>消金</t>
        </is>
      </c>
      <c r="D2609" s="172" t="inlineStr">
        <is>
          <t>金条&amp;白取混发</t>
        </is>
      </c>
      <c r="E2609" s="172" t="inlineStr">
        <is>
          <t>2026东樾4号3期（东樾4-5）</t>
        </is>
      </c>
      <c r="F2609" s="172" t="inlineStr">
        <is>
          <t>银行间</t>
        </is>
      </c>
      <c r="G2609" s="172" t="inlineStr">
        <is>
          <t>招商证券</t>
        </is>
      </c>
      <c r="H2609" s="172" t="inlineStr">
        <is>
          <t>国信证券/光大证券/中信证券</t>
        </is>
      </c>
      <c r="I2609" s="172" t="inlineStr">
        <is>
          <t>工银天分</t>
        </is>
      </c>
      <c r="J2609" s="172" t="n">
        <v>10</v>
      </c>
      <c r="K2609" s="172" t="inlineStr">
        <is>
          <t>22+24</t>
        </is>
      </c>
      <c r="L2609" s="208" t="n">
        <v>46266</v>
      </c>
      <c r="M2609" s="175" t="n">
        <v>0.0148</v>
      </c>
      <c r="N2609" s="176" t="n">
        <v>0.02273</v>
      </c>
      <c r="O2609" s="172" t="n">
        <v>1.82</v>
      </c>
      <c r="P2609" s="172" t="inlineStr">
        <is>
          <t>优先A</t>
        </is>
      </c>
      <c r="Q2609" s="175" t="n">
        <v>0.87</v>
      </c>
      <c r="R2609" s="192" t="n">
        <v>9</v>
      </c>
      <c r="S2609" s="172" t="inlineStr">
        <is>
          <t>AAA</t>
        </is>
      </c>
      <c r="T2609" s="175" t="n">
        <v>0.018</v>
      </c>
      <c r="U2609" s="172" t="n"/>
      <c r="V2609" s="172" t="n"/>
      <c r="W2609" s="175" t="n">
        <v>0.0178</v>
      </c>
      <c r="X2609" s="172" t="inlineStr">
        <is>
          <t>信银理财</t>
        </is>
      </c>
      <c r="Y2609" s="191" t="n">
        <v>1.61</v>
      </c>
    </row>
    <row r="2610">
      <c r="A2610" s="172" t="n">
        <v>140</v>
      </c>
      <c r="B2610" s="173" t="inlineStr">
        <is>
          <t>9月</t>
        </is>
      </c>
      <c r="C2610" s="173" t="inlineStr">
        <is>
          <t>消金</t>
        </is>
      </c>
      <c r="D2610" s="173" t="inlineStr">
        <is>
          <t>金条&amp;白取混发</t>
        </is>
      </c>
      <c r="E2610" s="173" t="inlineStr">
        <is>
          <t>2026东樾4号3期（东樾4-5）</t>
        </is>
      </c>
      <c r="F2610" s="173" t="inlineStr">
        <is>
          <t>银行间</t>
        </is>
      </c>
      <c r="G2610" s="173" t="inlineStr">
        <is>
          <t>招商证券</t>
        </is>
      </c>
      <c r="H2610" s="173" t="inlineStr">
        <is>
          <t>国信证券/光大证券/中信证券</t>
        </is>
      </c>
      <c r="I2610" s="173" t="inlineStr">
        <is>
          <t>工银天分</t>
        </is>
      </c>
      <c r="J2610" s="172" t="n">
        <v>10</v>
      </c>
      <c r="K2610" s="173" t="inlineStr">
        <is>
          <t>22+24</t>
        </is>
      </c>
      <c r="L2610" s="202" t="n">
        <v>46266</v>
      </c>
      <c r="M2610" s="175" t="n">
        <v>0.0148</v>
      </c>
      <c r="N2610" s="176" t="n">
        <v>0.02273</v>
      </c>
      <c r="O2610" s="172" t="n">
        <v>1.82</v>
      </c>
      <c r="P2610" s="172" t="inlineStr">
        <is>
          <t>优先A</t>
        </is>
      </c>
      <c r="Q2610" s="178" t="n">
        <v>0.87</v>
      </c>
      <c r="R2610" s="179" t="n">
        <v>9</v>
      </c>
      <c r="S2610" s="177" t="inlineStr">
        <is>
          <t>AAA</t>
        </is>
      </c>
      <c r="T2610" s="178" t="n">
        <v>0.018</v>
      </c>
      <c r="U2610" s="177" t="inlineStr">
        <is>
          <t>易方达基金</t>
        </is>
      </c>
      <c r="V2610" s="192" t="n">
        <v>4.3</v>
      </c>
      <c r="W2610" s="175" t="n">
        <v>0.0177</v>
      </c>
      <c r="X2610" s="172" t="inlineStr">
        <is>
          <t>易方达基金</t>
        </is>
      </c>
      <c r="Y2610" s="191" t="n">
        <v>1.6</v>
      </c>
    </row>
    <row r="2611">
      <c r="A2611" s="172" t="n">
        <v>140</v>
      </c>
      <c r="B2611" s="172" t="inlineStr">
        <is>
          <t>9月</t>
        </is>
      </c>
      <c r="C2611" s="172" t="inlineStr">
        <is>
          <t>消金</t>
        </is>
      </c>
      <c r="D2611" s="172" t="inlineStr">
        <is>
          <t>金条&amp;白取混发</t>
        </is>
      </c>
      <c r="E2611" s="172" t="inlineStr">
        <is>
          <t>2026东樾4号3期（东樾4-5）</t>
        </is>
      </c>
      <c r="F2611" s="172" t="inlineStr">
        <is>
          <t>银行间</t>
        </is>
      </c>
      <c r="G2611" s="172" t="inlineStr">
        <is>
          <t>招商证券</t>
        </is>
      </c>
      <c r="H2611" s="172" t="inlineStr">
        <is>
          <t>国信证券/光大证券/中信证券</t>
        </is>
      </c>
      <c r="I2611" s="172" t="inlineStr">
        <is>
          <t>工银天分</t>
        </is>
      </c>
      <c r="J2611" s="172" t="n">
        <v>10</v>
      </c>
      <c r="K2611" s="172" t="inlineStr">
        <is>
          <t>22+24</t>
        </is>
      </c>
      <c r="L2611" s="208" t="n">
        <v>46266</v>
      </c>
      <c r="M2611" s="175" t="n">
        <v>0.0148</v>
      </c>
      <c r="N2611" s="176" t="n">
        <v>0.02273</v>
      </c>
      <c r="O2611" s="172" t="n">
        <v>1.82</v>
      </c>
      <c r="P2611" s="172" t="inlineStr">
        <is>
          <t>优先A</t>
        </is>
      </c>
      <c r="Q2611" s="175" t="n">
        <v>0.87</v>
      </c>
      <c r="R2611" s="192" t="n">
        <v>9</v>
      </c>
      <c r="S2611" s="172" t="inlineStr">
        <is>
          <t>AAA</t>
        </is>
      </c>
      <c r="T2611" s="175" t="n">
        <v>0.018</v>
      </c>
      <c r="U2611" s="172" t="n"/>
      <c r="V2611" s="172" t="n"/>
      <c r="W2611" s="175" t="n">
        <v>0.018</v>
      </c>
      <c r="X2611" s="172" t="inlineStr">
        <is>
          <t>易方达基金</t>
        </is>
      </c>
      <c r="Y2611" s="191" t="n">
        <v>2.7</v>
      </c>
    </row>
    <row r="2612">
      <c r="A2612" s="172" t="n">
        <v>140</v>
      </c>
      <c r="B2612" s="173" t="inlineStr">
        <is>
          <t>9月</t>
        </is>
      </c>
      <c r="C2612" s="173" t="inlineStr">
        <is>
          <t>消金</t>
        </is>
      </c>
      <c r="D2612" s="173" t="inlineStr">
        <is>
          <t>金条&amp;白取混发</t>
        </is>
      </c>
      <c r="E2612" s="173" t="inlineStr">
        <is>
          <t>2026东樾4号3期（东樾4-5）</t>
        </is>
      </c>
      <c r="F2612" s="173" t="inlineStr">
        <is>
          <t>银行间</t>
        </is>
      </c>
      <c r="G2612" s="173" t="inlineStr">
        <is>
          <t>招商证券</t>
        </is>
      </c>
      <c r="H2612" s="173" t="inlineStr">
        <is>
          <t>国信证券/光大证券/中信证券</t>
        </is>
      </c>
      <c r="I2612" s="173" t="inlineStr">
        <is>
          <t>工银天分</t>
        </is>
      </c>
      <c r="J2612" s="172" t="n">
        <v>10</v>
      </c>
      <c r="K2612" s="173" t="inlineStr">
        <is>
          <t>22+24</t>
        </is>
      </c>
      <c r="L2612" s="202" t="n">
        <v>46266</v>
      </c>
      <c r="M2612" s="175" t="n">
        <v>0.0148</v>
      </c>
      <c r="N2612" s="176" t="n">
        <v>0.02273</v>
      </c>
      <c r="O2612" s="172" t="n">
        <v>1.82</v>
      </c>
      <c r="P2612" s="172" t="inlineStr">
        <is>
          <t>优先A</t>
        </is>
      </c>
      <c r="Q2612" s="178" t="n">
        <v>0.87</v>
      </c>
      <c r="R2612" s="179" t="n">
        <v>9</v>
      </c>
      <c r="S2612" s="177" t="inlineStr">
        <is>
          <t>AAA</t>
        </is>
      </c>
      <c r="T2612" s="178" t="n">
        <v>0.018</v>
      </c>
      <c r="U2612" s="177" t="inlineStr">
        <is>
          <t>中金自营</t>
        </is>
      </c>
      <c r="V2612" s="192" t="n">
        <v>0.4</v>
      </c>
      <c r="W2612" s="175" t="n">
        <v>0.018</v>
      </c>
      <c r="X2612" s="172" t="inlineStr">
        <is>
          <t>中金自营</t>
        </is>
      </c>
      <c r="Y2612" s="191" t="n">
        <v>0.4</v>
      </c>
    </row>
    <row r="2613">
      <c r="A2613" s="172" t="n">
        <v>140</v>
      </c>
      <c r="B2613" s="172" t="inlineStr">
        <is>
          <t>9月</t>
        </is>
      </c>
      <c r="C2613" s="172" t="inlineStr">
        <is>
          <t>消金</t>
        </is>
      </c>
      <c r="D2613" s="172" t="inlineStr">
        <is>
          <t>金条&amp;白取混发</t>
        </is>
      </c>
      <c r="E2613" s="172" t="inlineStr">
        <is>
          <t>2026东樾4号3期（东樾4-5）</t>
        </is>
      </c>
      <c r="F2613" s="172" t="inlineStr">
        <is>
          <t>银行间</t>
        </is>
      </c>
      <c r="G2613" s="172" t="inlineStr">
        <is>
          <t>招商证券</t>
        </is>
      </c>
      <c r="H2613" s="172" t="inlineStr">
        <is>
          <t>国信证券/光大证券/中信证券</t>
        </is>
      </c>
      <c r="I2613" s="172" t="inlineStr">
        <is>
          <t>工银天分</t>
        </is>
      </c>
      <c r="J2613" s="172" t="n">
        <v>10</v>
      </c>
      <c r="K2613" s="172" t="inlineStr">
        <is>
          <t>22+24</t>
        </is>
      </c>
      <c r="L2613" s="208" t="n">
        <v>46266</v>
      </c>
      <c r="M2613" s="175" t="n">
        <v>0.0148</v>
      </c>
      <c r="N2613" s="176" t="n">
        <v>0.02273</v>
      </c>
      <c r="O2613" s="172" t="n">
        <v>1.82</v>
      </c>
      <c r="P2613" s="172" t="inlineStr">
        <is>
          <t>优先A</t>
        </is>
      </c>
      <c r="Q2613" s="175" t="n">
        <v>0.87</v>
      </c>
      <c r="R2613" s="192" t="n">
        <v>9</v>
      </c>
      <c r="S2613" s="172" t="inlineStr">
        <is>
          <t>AAA</t>
        </is>
      </c>
      <c r="T2613" s="175" t="n">
        <v>0.018</v>
      </c>
      <c r="U2613" s="172" t="n"/>
      <c r="V2613" s="172" t="n"/>
      <c r="W2613" s="175" t="n">
        <v>0.0183</v>
      </c>
      <c r="X2613" s="172" t="inlineStr">
        <is>
          <t>中金自营</t>
        </is>
      </c>
      <c r="Y2613" s="191" t="n">
        <v>0.4</v>
      </c>
    </row>
    <row r="2614">
      <c r="A2614" s="172" t="n">
        <v>140</v>
      </c>
      <c r="B2614" s="173" t="inlineStr">
        <is>
          <t>9月</t>
        </is>
      </c>
      <c r="C2614" s="173" t="inlineStr">
        <is>
          <t>消金</t>
        </is>
      </c>
      <c r="D2614" s="173" t="inlineStr">
        <is>
          <t>金条&amp;白取混发</t>
        </is>
      </c>
      <c r="E2614" s="173" t="inlineStr">
        <is>
          <t>2026东樾4号3期（东樾4-5）</t>
        </is>
      </c>
      <c r="F2614" s="173" t="inlineStr">
        <is>
          <t>银行间</t>
        </is>
      </c>
      <c r="G2614" s="173" t="inlineStr">
        <is>
          <t>招商证券</t>
        </is>
      </c>
      <c r="H2614" s="173" t="inlineStr">
        <is>
          <t>国信证券/光大证券/中信证券</t>
        </is>
      </c>
      <c r="I2614" s="173" t="inlineStr">
        <is>
          <t>工银天分</t>
        </is>
      </c>
      <c r="J2614" s="172" t="n">
        <v>10</v>
      </c>
      <c r="K2614" s="173" t="inlineStr">
        <is>
          <t>22+24</t>
        </is>
      </c>
      <c r="L2614" s="202" t="n">
        <v>46266</v>
      </c>
      <c r="M2614" s="175" t="n">
        <v>0.0148</v>
      </c>
      <c r="N2614" s="176" t="n">
        <v>0.02273</v>
      </c>
      <c r="O2614" s="172" t="n">
        <v>1.82</v>
      </c>
      <c r="P2614" s="172" t="inlineStr">
        <is>
          <t>优先A</t>
        </is>
      </c>
      <c r="Q2614" s="178" t="n">
        <v>0.87</v>
      </c>
      <c r="R2614" s="179" t="n">
        <v>9</v>
      </c>
      <c r="S2614" s="177" t="inlineStr">
        <is>
          <t>AAA</t>
        </is>
      </c>
      <c r="T2614" s="178" t="n">
        <v>0.018</v>
      </c>
      <c r="U2614" s="177" t="inlineStr">
        <is>
          <t>中信证券投顾</t>
        </is>
      </c>
      <c r="V2614" s="192" t="n">
        <v>0.6</v>
      </c>
      <c r="W2614" s="175" t="n">
        <v>0.018</v>
      </c>
      <c r="X2614" s="172" t="inlineStr">
        <is>
          <t>中信证券投顾</t>
        </is>
      </c>
      <c r="Y2614" s="191" t="n">
        <v>0.6</v>
      </c>
    </row>
    <row r="2615">
      <c r="A2615" s="172" t="n">
        <v>140</v>
      </c>
      <c r="B2615" s="172" t="inlineStr">
        <is>
          <t>9月</t>
        </is>
      </c>
      <c r="C2615" s="172" t="inlineStr">
        <is>
          <t>消金</t>
        </is>
      </c>
      <c r="D2615" s="172" t="inlineStr">
        <is>
          <t>金条&amp;白取混发</t>
        </is>
      </c>
      <c r="E2615" s="172" t="inlineStr">
        <is>
          <t>2026东樾4号3期（东樾4-5）</t>
        </is>
      </c>
      <c r="F2615" s="172" t="inlineStr">
        <is>
          <t>银行间</t>
        </is>
      </c>
      <c r="G2615" s="172" t="inlineStr">
        <is>
          <t>招商证券</t>
        </is>
      </c>
      <c r="H2615" s="172" t="inlineStr">
        <is>
          <t>国信证券/光大证券/中信证券</t>
        </is>
      </c>
      <c r="I2615" s="172" t="inlineStr">
        <is>
          <t>工银天分</t>
        </is>
      </c>
      <c r="J2615" s="172" t="n">
        <v>10</v>
      </c>
      <c r="K2615" s="172" t="inlineStr">
        <is>
          <t>22+24</t>
        </is>
      </c>
      <c r="L2615" s="208" t="n">
        <v>46266</v>
      </c>
      <c r="M2615" s="175" t="n">
        <v>0.0148</v>
      </c>
      <c r="N2615" s="176" t="n">
        <v>0.02273</v>
      </c>
      <c r="O2615" s="172" t="n">
        <v>1.82</v>
      </c>
      <c r="P2615" s="172" t="inlineStr">
        <is>
          <t>优先A</t>
        </is>
      </c>
      <c r="Q2615" s="175" t="n">
        <v>0.87</v>
      </c>
      <c r="R2615" s="192" t="n">
        <v>9</v>
      </c>
      <c r="S2615" s="172" t="inlineStr">
        <is>
          <t>AAA</t>
        </is>
      </c>
      <c r="T2615" s="175" t="n">
        <v>0.018</v>
      </c>
      <c r="U2615" s="172" t="n"/>
      <c r="V2615" s="172" t="n"/>
      <c r="W2615" s="175" t="n">
        <v>0.0184</v>
      </c>
      <c r="X2615" s="172" t="inlineStr">
        <is>
          <t>中信证券投顾</t>
        </is>
      </c>
      <c r="Y2615" s="191" t="n">
        <v>1</v>
      </c>
    </row>
    <row r="2616">
      <c r="A2616" s="172" t="n">
        <v>140</v>
      </c>
      <c r="B2616" s="172" t="inlineStr">
        <is>
          <t>9月</t>
        </is>
      </c>
      <c r="C2616" s="172" t="inlineStr">
        <is>
          <t>消金</t>
        </is>
      </c>
      <c r="D2616" s="172" t="inlineStr">
        <is>
          <t>金条&amp;白取混发</t>
        </is>
      </c>
      <c r="E2616" s="172" t="inlineStr">
        <is>
          <t>2026东樾4号3期（东樾4-5）</t>
        </is>
      </c>
      <c r="F2616" s="172" t="inlineStr">
        <is>
          <t>银行间</t>
        </is>
      </c>
      <c r="G2616" s="172" t="inlineStr">
        <is>
          <t>招商证券</t>
        </is>
      </c>
      <c r="H2616" s="172" t="inlineStr">
        <is>
          <t>国信证券/光大证券/中信证券</t>
        </is>
      </c>
      <c r="I2616" s="172" t="inlineStr">
        <is>
          <t>工银天分</t>
        </is>
      </c>
      <c r="J2616" s="172" t="n">
        <v>10</v>
      </c>
      <c r="K2616" s="172" t="inlineStr">
        <is>
          <t>22+24</t>
        </is>
      </c>
      <c r="L2616" s="208" t="n">
        <v>46266</v>
      </c>
      <c r="M2616" s="175" t="n">
        <v>0.0148</v>
      </c>
      <c r="N2616" s="176" t="n">
        <v>0.02273</v>
      </c>
      <c r="O2616" s="172" t="n">
        <v>1.82</v>
      </c>
      <c r="P2616" s="172" t="inlineStr">
        <is>
          <t>优先A</t>
        </is>
      </c>
      <c r="Q2616" s="175" t="n">
        <v>0.87</v>
      </c>
      <c r="R2616" s="192" t="n">
        <v>9</v>
      </c>
      <c r="S2616" s="172" t="inlineStr">
        <is>
          <t>AAA</t>
        </is>
      </c>
      <c r="T2616" s="175" t="n">
        <v>0.018</v>
      </c>
      <c r="U2616" s="172" t="n"/>
      <c r="V2616" s="172" t="n"/>
      <c r="W2616" s="175" t="n">
        <v>0.0185</v>
      </c>
      <c r="X2616" s="172" t="inlineStr">
        <is>
          <t>中信证券投顾</t>
        </is>
      </c>
      <c r="Y2616" s="191" t="n">
        <v>1</v>
      </c>
    </row>
    <row r="2617">
      <c r="A2617" s="172" t="n">
        <v>140</v>
      </c>
      <c r="B2617" s="172" t="inlineStr">
        <is>
          <t>9月</t>
        </is>
      </c>
      <c r="C2617" s="172" t="inlineStr">
        <is>
          <t>消金</t>
        </is>
      </c>
      <c r="D2617" s="172" t="inlineStr">
        <is>
          <t>金条&amp;白取混发</t>
        </is>
      </c>
      <c r="E2617" s="172" t="inlineStr">
        <is>
          <t>2026东樾4号3期（东樾4-5）</t>
        </is>
      </c>
      <c r="F2617" s="172" t="inlineStr">
        <is>
          <t>银行间</t>
        </is>
      </c>
      <c r="G2617" s="172" t="inlineStr">
        <is>
          <t>招商证券</t>
        </is>
      </c>
      <c r="H2617" s="172" t="inlineStr">
        <is>
          <t>国信证券/光大证券/中信证券</t>
        </is>
      </c>
      <c r="I2617" s="172" t="inlineStr">
        <is>
          <t>工银天分</t>
        </is>
      </c>
      <c r="J2617" s="172" t="n">
        <v>10</v>
      </c>
      <c r="K2617" s="172" t="inlineStr">
        <is>
          <t>22+24</t>
        </is>
      </c>
      <c r="L2617" s="208" t="n">
        <v>46266</v>
      </c>
      <c r="M2617" s="175" t="n">
        <v>0.0148</v>
      </c>
      <c r="N2617" s="176" t="n">
        <v>0.02273</v>
      </c>
      <c r="O2617" s="172" t="n">
        <v>1.82</v>
      </c>
      <c r="P2617" s="172" t="inlineStr">
        <is>
          <t>优先A</t>
        </is>
      </c>
      <c r="Q2617" s="175" t="n">
        <v>0.87</v>
      </c>
      <c r="R2617" s="192" t="n">
        <v>9</v>
      </c>
      <c r="S2617" s="172" t="inlineStr">
        <is>
          <t>AAA</t>
        </is>
      </c>
      <c r="T2617" s="175" t="n">
        <v>0.018</v>
      </c>
      <c r="U2617" s="172" t="n"/>
      <c r="V2617" s="172" t="n"/>
      <c r="W2617" s="175" t="n">
        <v>0.0184</v>
      </c>
      <c r="X2617" s="172" t="inlineStr">
        <is>
          <t>兴银理财-淳享1号</t>
        </is>
      </c>
      <c r="Y2617" s="191" t="n">
        <v>0.4</v>
      </c>
    </row>
    <row r="2618">
      <c r="A2618" s="172" t="n">
        <v>140</v>
      </c>
      <c r="B2618" s="172" t="inlineStr">
        <is>
          <t>9月</t>
        </is>
      </c>
      <c r="C2618" s="172" t="inlineStr">
        <is>
          <t>消金</t>
        </is>
      </c>
      <c r="D2618" s="172" t="inlineStr">
        <is>
          <t>金条&amp;白取混发</t>
        </is>
      </c>
      <c r="E2618" s="172" t="inlineStr">
        <is>
          <t>2026东樾4号3期（东樾4-5）</t>
        </is>
      </c>
      <c r="F2618" s="172" t="inlineStr">
        <is>
          <t>银行间</t>
        </is>
      </c>
      <c r="G2618" s="172" t="inlineStr">
        <is>
          <t>招商证券</t>
        </is>
      </c>
      <c r="H2618" s="172" t="inlineStr">
        <is>
          <t>国信证券/光大证券/中信证券</t>
        </is>
      </c>
      <c r="I2618" s="172" t="inlineStr">
        <is>
          <t>工银天分</t>
        </is>
      </c>
      <c r="J2618" s="172" t="n">
        <v>10</v>
      </c>
      <c r="K2618" s="172" t="inlineStr">
        <is>
          <t>22+24</t>
        </is>
      </c>
      <c r="L2618" s="208" t="n">
        <v>46266</v>
      </c>
      <c r="M2618" s="175" t="n">
        <v>0.0148</v>
      </c>
      <c r="N2618" s="176" t="n">
        <v>0.02273</v>
      </c>
      <c r="O2618" s="172" t="n">
        <v>1.82</v>
      </c>
      <c r="P2618" s="172" t="inlineStr">
        <is>
          <t>优先A</t>
        </is>
      </c>
      <c r="Q2618" s="175" t="n">
        <v>0.87</v>
      </c>
      <c r="R2618" s="192" t="n">
        <v>9</v>
      </c>
      <c r="S2618" s="172" t="inlineStr">
        <is>
          <t>AAA</t>
        </is>
      </c>
      <c r="T2618" s="175" t="n">
        <v>0.018</v>
      </c>
      <c r="U2618" s="172" t="n"/>
      <c r="V2618" s="172" t="n"/>
      <c r="W2618" s="175" t="n">
        <v>0.0185</v>
      </c>
      <c r="X2618" s="172" t="inlineStr">
        <is>
          <t>中信建投证券</t>
        </is>
      </c>
      <c r="Y2618" s="191" t="n">
        <v>1</v>
      </c>
    </row>
    <row r="2619">
      <c r="A2619" s="172" t="n">
        <v>140</v>
      </c>
      <c r="B2619" s="172" t="inlineStr">
        <is>
          <t>9月</t>
        </is>
      </c>
      <c r="C2619" s="172" t="inlineStr">
        <is>
          <t>消金</t>
        </is>
      </c>
      <c r="D2619" s="172" t="inlineStr">
        <is>
          <t>金条&amp;白取混发</t>
        </is>
      </c>
      <c r="E2619" s="172" t="inlineStr">
        <is>
          <t>2026东樾4号3期（东樾4-5）</t>
        </is>
      </c>
      <c r="F2619" s="172" t="inlineStr">
        <is>
          <t>银行间</t>
        </is>
      </c>
      <c r="G2619" s="172" t="inlineStr">
        <is>
          <t>招商证券</t>
        </is>
      </c>
      <c r="H2619" s="172" t="inlineStr">
        <is>
          <t>国信证券/光大证券/中信证券</t>
        </is>
      </c>
      <c r="I2619" s="172" t="inlineStr">
        <is>
          <t>工银天分</t>
        </is>
      </c>
      <c r="J2619" s="172" t="n">
        <v>10</v>
      </c>
      <c r="K2619" s="172" t="inlineStr">
        <is>
          <t>22+24</t>
        </is>
      </c>
      <c r="L2619" s="208" t="n">
        <v>46266</v>
      </c>
      <c r="M2619" s="175" t="n">
        <v>0.0148</v>
      </c>
      <c r="N2619" s="176" t="n">
        <v>0.02273</v>
      </c>
      <c r="O2619" s="172" t="n">
        <v>1.82</v>
      </c>
      <c r="P2619" s="172" t="inlineStr">
        <is>
          <t>优先A</t>
        </is>
      </c>
      <c r="Q2619" s="175" t="n">
        <v>0.87</v>
      </c>
      <c r="R2619" s="192" t="n">
        <v>9</v>
      </c>
      <c r="S2619" s="172" t="inlineStr">
        <is>
          <t>AAA</t>
        </is>
      </c>
      <c r="T2619" s="175" t="n">
        <v>0.018</v>
      </c>
      <c r="U2619" s="172" t="n"/>
      <c r="V2619" s="172" t="n"/>
      <c r="W2619" s="175" t="n">
        <v>0.0185</v>
      </c>
      <c r="X2619" s="172" t="inlineStr">
        <is>
          <t>光大证券</t>
        </is>
      </c>
      <c r="Y2619" s="191" t="n">
        <v>1</v>
      </c>
    </row>
    <row r="2620">
      <c r="A2620" s="172" t="n">
        <v>140</v>
      </c>
      <c r="B2620" s="172" t="inlineStr">
        <is>
          <t>9月</t>
        </is>
      </c>
      <c r="C2620" s="172" t="inlineStr">
        <is>
          <t>消金</t>
        </is>
      </c>
      <c r="D2620" s="172" t="inlineStr">
        <is>
          <t>金条&amp;白取混发</t>
        </is>
      </c>
      <c r="E2620" s="172" t="inlineStr">
        <is>
          <t>2026东樾4号3期（东樾4-5）</t>
        </is>
      </c>
      <c r="F2620" s="172" t="inlineStr">
        <is>
          <t>银行间</t>
        </is>
      </c>
      <c r="G2620" s="172" t="inlineStr">
        <is>
          <t>招商证券</t>
        </is>
      </c>
      <c r="H2620" s="172" t="inlineStr">
        <is>
          <t>国信证券/光大证券/中信证券</t>
        </is>
      </c>
      <c r="I2620" s="172" t="inlineStr">
        <is>
          <t>工银天分</t>
        </is>
      </c>
      <c r="J2620" s="172" t="n">
        <v>10</v>
      </c>
      <c r="K2620" s="172" t="inlineStr">
        <is>
          <t>22+24</t>
        </is>
      </c>
      <c r="L2620" s="208" t="n">
        <v>46266</v>
      </c>
      <c r="M2620" s="175" t="n">
        <v>0.0148</v>
      </c>
      <c r="N2620" s="176" t="n">
        <v>0.02273</v>
      </c>
      <c r="O2620" s="172" t="n">
        <v>1.82</v>
      </c>
      <c r="P2620" s="172" t="inlineStr">
        <is>
          <t>优先A</t>
        </is>
      </c>
      <c r="Q2620" s="175" t="n">
        <v>0.87</v>
      </c>
      <c r="R2620" s="192" t="n">
        <v>9</v>
      </c>
      <c r="S2620" s="172" t="inlineStr">
        <is>
          <t>AAA</t>
        </is>
      </c>
      <c r="T2620" s="175" t="n">
        <v>0.018</v>
      </c>
      <c r="U2620" s="172" t="n"/>
      <c r="V2620" s="172" t="n"/>
      <c r="W2620" s="175" t="n">
        <v>0.019</v>
      </c>
      <c r="X2620" s="172" t="inlineStr">
        <is>
          <t>兴银理财</t>
        </is>
      </c>
      <c r="Y2620" s="191" t="n">
        <v>0.296</v>
      </c>
    </row>
    <row r="2621">
      <c r="A2621" s="172" t="n">
        <v>140</v>
      </c>
      <c r="B2621" s="172" t="inlineStr">
        <is>
          <t>9月</t>
        </is>
      </c>
      <c r="C2621" s="172" t="inlineStr">
        <is>
          <t>消金</t>
        </is>
      </c>
      <c r="D2621" s="172" t="inlineStr">
        <is>
          <t>金条&amp;白取混发</t>
        </is>
      </c>
      <c r="E2621" s="172" t="inlineStr">
        <is>
          <t>2026东樾4号3期（东樾4-5）</t>
        </is>
      </c>
      <c r="F2621" s="172" t="inlineStr">
        <is>
          <t>银行间</t>
        </is>
      </c>
      <c r="G2621" s="172" t="inlineStr">
        <is>
          <t>招商证券</t>
        </is>
      </c>
      <c r="H2621" s="172" t="inlineStr">
        <is>
          <t>国信证券/光大证券/中信证券</t>
        </is>
      </c>
      <c r="I2621" s="172" t="inlineStr">
        <is>
          <t>工银天分</t>
        </is>
      </c>
      <c r="J2621" s="172" t="n">
        <v>10</v>
      </c>
      <c r="K2621" s="172" t="inlineStr">
        <is>
          <t>22+24</t>
        </is>
      </c>
      <c r="L2621" s="208" t="n">
        <v>46266</v>
      </c>
      <c r="M2621" s="175" t="n">
        <v>0.0148</v>
      </c>
      <c r="N2621" s="176" t="n">
        <v>0.02273</v>
      </c>
      <c r="O2621" s="172" t="n">
        <v>1.82</v>
      </c>
      <c r="P2621" s="172" t="inlineStr">
        <is>
          <t>优先A</t>
        </is>
      </c>
      <c r="Q2621" s="175" t="n">
        <v>0.87</v>
      </c>
      <c r="R2621" s="192" t="n">
        <v>9</v>
      </c>
      <c r="S2621" s="172" t="inlineStr">
        <is>
          <t>AAA</t>
        </is>
      </c>
      <c r="T2621" s="175" t="n">
        <v>0.018</v>
      </c>
      <c r="U2621" s="172" t="n"/>
      <c r="V2621" s="172" t="n"/>
      <c r="W2621" s="175" t="n">
        <v>0.02</v>
      </c>
      <c r="X2621" s="172" t="inlineStr">
        <is>
          <t>国信证券</t>
        </is>
      </c>
      <c r="Y2621" s="191" t="n">
        <v>1.3</v>
      </c>
    </row>
    <row r="2622">
      <c r="A2622" s="172" t="n">
        <v>140</v>
      </c>
      <c r="B2622" s="173" t="inlineStr">
        <is>
          <t>9月</t>
        </is>
      </c>
      <c r="C2622" s="173" t="inlineStr">
        <is>
          <t>消金</t>
        </is>
      </c>
      <c r="D2622" s="173" t="inlineStr">
        <is>
          <t>金条&amp;白取混发</t>
        </is>
      </c>
      <c r="E2622" s="173" t="inlineStr">
        <is>
          <t>2026东樾4号3期（东樾4-5）</t>
        </is>
      </c>
      <c r="F2622" s="173" t="inlineStr">
        <is>
          <t>银行间</t>
        </is>
      </c>
      <c r="G2622" s="173" t="inlineStr">
        <is>
          <t>招商证券</t>
        </is>
      </c>
      <c r="H2622" s="173" t="inlineStr">
        <is>
          <t>国信证券/光大证券/中信证券</t>
        </is>
      </c>
      <c r="I2622" s="173" t="inlineStr">
        <is>
          <t>工银天分</t>
        </is>
      </c>
      <c r="J2622" s="172" t="n">
        <v>10</v>
      </c>
      <c r="K2622" s="173" t="inlineStr">
        <is>
          <t>22+24</t>
        </is>
      </c>
      <c r="L2622" s="202" t="n">
        <v>46266</v>
      </c>
      <c r="M2622" s="175" t="n">
        <v>0.0148</v>
      </c>
      <c r="N2622" s="176" t="n">
        <v>0.02273</v>
      </c>
      <c r="O2622" s="172" t="n">
        <v>1.82</v>
      </c>
      <c r="P2622" s="177" t="inlineStr">
        <is>
          <t>优先B</t>
        </is>
      </c>
      <c r="Q2622" s="178" t="n">
        <v>0.04</v>
      </c>
      <c r="R2622" s="179" t="n">
        <v>0.3</v>
      </c>
      <c r="S2622" s="177" t="inlineStr">
        <is>
          <t>AA+</t>
        </is>
      </c>
      <c r="T2622" s="178" t="n">
        <v>0.019</v>
      </c>
      <c r="U2622" s="177" t="inlineStr">
        <is>
          <t>招商证券投行</t>
        </is>
      </c>
      <c r="V2622" s="192" t="n">
        <v>0.08</v>
      </c>
      <c r="W2622" s="175" t="n">
        <v>0.019</v>
      </c>
      <c r="X2622" s="172" t="inlineStr">
        <is>
          <t>招商证券</t>
        </is>
      </c>
      <c r="Y2622" s="191" t="n">
        <v>0.08</v>
      </c>
    </row>
    <row r="2623">
      <c r="A2623" s="172" t="n">
        <v>140</v>
      </c>
      <c r="B2623" s="173" t="inlineStr">
        <is>
          <t>9月</t>
        </is>
      </c>
      <c r="C2623" s="173" t="inlineStr">
        <is>
          <t>消金</t>
        </is>
      </c>
      <c r="D2623" s="173" t="inlineStr">
        <is>
          <t>金条&amp;白取混发</t>
        </is>
      </c>
      <c r="E2623" s="173" t="inlineStr">
        <is>
          <t>2026东樾4号3期（东樾4-5）</t>
        </is>
      </c>
      <c r="F2623" s="173" t="inlineStr">
        <is>
          <t>银行间</t>
        </is>
      </c>
      <c r="G2623" s="173" t="inlineStr">
        <is>
          <t>招商证券</t>
        </is>
      </c>
      <c r="H2623" s="173" t="inlineStr">
        <is>
          <t>国信证券/光大证券/中信证券</t>
        </is>
      </c>
      <c r="I2623" s="173" t="inlineStr">
        <is>
          <t>工银天分</t>
        </is>
      </c>
      <c r="J2623" s="172" t="n">
        <v>10</v>
      </c>
      <c r="K2623" s="173" t="inlineStr">
        <is>
          <t>22+24</t>
        </is>
      </c>
      <c r="L2623" s="202" t="n">
        <v>46266</v>
      </c>
      <c r="M2623" s="175" t="n">
        <v>0.0148</v>
      </c>
      <c r="N2623" s="176" t="n">
        <v>0.02273</v>
      </c>
      <c r="O2623" s="172" t="n">
        <v>1.82</v>
      </c>
      <c r="P2623" s="172" t="inlineStr">
        <is>
          <t>优先B</t>
        </is>
      </c>
      <c r="Q2623" s="178" t="n">
        <v>0.04</v>
      </c>
      <c r="R2623" s="179" t="n">
        <v>0.3</v>
      </c>
      <c r="S2623" s="177" t="inlineStr">
        <is>
          <t>AA+</t>
        </is>
      </c>
      <c r="T2623" s="178" t="n">
        <v>0.019</v>
      </c>
      <c r="U2623" s="177" t="inlineStr">
        <is>
          <t>中金自营</t>
        </is>
      </c>
      <c r="V2623" s="192" t="n">
        <v>0.2</v>
      </c>
      <c r="W2623" s="175" t="n">
        <v>0.019</v>
      </c>
      <c r="X2623" s="172" t="inlineStr">
        <is>
          <t>中金自营</t>
        </is>
      </c>
      <c r="Y2623" s="191" t="n">
        <v>0.2</v>
      </c>
    </row>
    <row r="2624">
      <c r="A2624" s="172" t="n">
        <v>140</v>
      </c>
      <c r="B2624" s="173" t="inlineStr">
        <is>
          <t>9月</t>
        </is>
      </c>
      <c r="C2624" s="173" t="inlineStr">
        <is>
          <t>消金</t>
        </is>
      </c>
      <c r="D2624" s="173" t="inlineStr">
        <is>
          <t>金条&amp;白取混发</t>
        </is>
      </c>
      <c r="E2624" s="173" t="inlineStr">
        <is>
          <t>2026东樾4号3期（东樾4-5）</t>
        </is>
      </c>
      <c r="F2624" s="173" t="inlineStr">
        <is>
          <t>银行间</t>
        </is>
      </c>
      <c r="G2624" s="173" t="inlineStr">
        <is>
          <t>招商证券</t>
        </is>
      </c>
      <c r="H2624" s="173" t="inlineStr">
        <is>
          <t>国信证券/光大证券/中信证券</t>
        </is>
      </c>
      <c r="I2624" s="173" t="inlineStr">
        <is>
          <t>工银天分</t>
        </is>
      </c>
      <c r="J2624" s="172" t="n">
        <v>10</v>
      </c>
      <c r="K2624" s="173" t="inlineStr">
        <is>
          <t>22+24</t>
        </is>
      </c>
      <c r="L2624" s="202" t="n">
        <v>46266</v>
      </c>
      <c r="M2624" s="175" t="n">
        <v>0.0148</v>
      </c>
      <c r="N2624" s="176" t="n">
        <v>0.02273</v>
      </c>
      <c r="O2624" s="172" t="n">
        <v>1.82</v>
      </c>
      <c r="P2624" s="172" t="inlineStr">
        <is>
          <t>优先B</t>
        </is>
      </c>
      <c r="Q2624" s="178" t="n">
        <v>0.04</v>
      </c>
      <c r="R2624" s="179" t="n">
        <v>0.3</v>
      </c>
      <c r="S2624" s="177" t="inlineStr">
        <is>
          <t>AA+</t>
        </is>
      </c>
      <c r="T2624" s="178" t="n">
        <v>0.019</v>
      </c>
      <c r="U2624" s="177" t="inlineStr">
        <is>
          <t>中信证券投顾</t>
        </is>
      </c>
      <c r="V2624" s="192" t="n">
        <v>0.12</v>
      </c>
      <c r="W2624" s="175" t="n">
        <v>0.019</v>
      </c>
      <c r="X2624" s="172" t="inlineStr">
        <is>
          <t>中信证券投顾</t>
        </is>
      </c>
      <c r="Y2624" s="191" t="n">
        <v>0.12</v>
      </c>
    </row>
    <row r="2625">
      <c r="A2625" s="172" t="n">
        <v>140</v>
      </c>
      <c r="B2625" s="172" t="inlineStr">
        <is>
          <t>9月</t>
        </is>
      </c>
      <c r="C2625" s="172" t="inlineStr">
        <is>
          <t>消金</t>
        </is>
      </c>
      <c r="D2625" s="172" t="inlineStr">
        <is>
          <t>金条&amp;白取混发</t>
        </is>
      </c>
      <c r="E2625" s="172" t="inlineStr">
        <is>
          <t>2026东樾4号3期（东樾4-5）</t>
        </is>
      </c>
      <c r="F2625" s="172" t="inlineStr">
        <is>
          <t>银行间</t>
        </is>
      </c>
      <c r="G2625" s="172" t="inlineStr">
        <is>
          <t>招商证券</t>
        </is>
      </c>
      <c r="H2625" s="172" t="inlineStr">
        <is>
          <t>国信证券/光大证券/中信证券</t>
        </is>
      </c>
      <c r="I2625" s="172" t="inlineStr">
        <is>
          <t>工银天分</t>
        </is>
      </c>
      <c r="J2625" s="172" t="n">
        <v>10</v>
      </c>
      <c r="K2625" s="172" t="inlineStr">
        <is>
          <t>22+24</t>
        </is>
      </c>
      <c r="L2625" s="208" t="n">
        <v>46266</v>
      </c>
      <c r="M2625" s="175" t="n">
        <v>0.0148</v>
      </c>
      <c r="N2625" s="176" t="n">
        <v>0.02273</v>
      </c>
      <c r="O2625" s="172" t="n">
        <v>1.82</v>
      </c>
      <c r="P2625" s="172" t="inlineStr">
        <is>
          <t>优先B</t>
        </is>
      </c>
      <c r="Q2625" s="175" t="n">
        <v>0.04</v>
      </c>
      <c r="R2625" s="192" t="n">
        <v>0.3</v>
      </c>
      <c r="S2625" s="172" t="inlineStr">
        <is>
          <t>AA+</t>
        </is>
      </c>
      <c r="T2625" s="175" t="n">
        <v>0.019</v>
      </c>
      <c r="U2625" s="172" t="n"/>
      <c r="V2625" s="172" t="n"/>
      <c r="W2625" s="175" t="n">
        <v>0.0195</v>
      </c>
      <c r="X2625" s="172" t="inlineStr">
        <is>
          <t>建信信托</t>
        </is>
      </c>
      <c r="Y2625" s="191" t="n">
        <v>0.2</v>
      </c>
    </row>
    <row r="2626">
      <c r="A2626" s="172" t="n">
        <v>140</v>
      </c>
      <c r="B2626" s="172" t="inlineStr">
        <is>
          <t>9月</t>
        </is>
      </c>
      <c r="C2626" s="172" t="inlineStr">
        <is>
          <t>消金</t>
        </is>
      </c>
      <c r="D2626" s="172" t="inlineStr">
        <is>
          <t>金条&amp;白取混发</t>
        </is>
      </c>
      <c r="E2626" s="172" t="inlineStr">
        <is>
          <t>2026东樾4号3期（东樾4-5）</t>
        </is>
      </c>
      <c r="F2626" s="172" t="inlineStr">
        <is>
          <t>银行间</t>
        </is>
      </c>
      <c r="G2626" s="172" t="inlineStr">
        <is>
          <t>招商证券</t>
        </is>
      </c>
      <c r="H2626" s="172" t="inlineStr">
        <is>
          <t>国信证券/光大证券/中信证券</t>
        </is>
      </c>
      <c r="I2626" s="172" t="inlineStr">
        <is>
          <t>工银天分</t>
        </is>
      </c>
      <c r="J2626" s="172" t="n">
        <v>10</v>
      </c>
      <c r="K2626" s="172" t="inlineStr">
        <is>
          <t>22+24</t>
        </is>
      </c>
      <c r="L2626" s="208" t="n">
        <v>46266</v>
      </c>
      <c r="M2626" s="175" t="n">
        <v>0.0148</v>
      </c>
      <c r="N2626" s="176" t="n">
        <v>0.02273</v>
      </c>
      <c r="O2626" s="172" t="n">
        <v>1.82</v>
      </c>
      <c r="P2626" s="172" t="inlineStr">
        <is>
          <t>优先B</t>
        </is>
      </c>
      <c r="Q2626" s="175" t="n">
        <v>0.04</v>
      </c>
      <c r="R2626" s="192" t="n">
        <v>0.3</v>
      </c>
      <c r="S2626" s="172" t="inlineStr">
        <is>
          <t>AA+</t>
        </is>
      </c>
      <c r="T2626" s="175" t="n">
        <v>0.019</v>
      </c>
      <c r="U2626" s="172" t="n"/>
      <c r="V2626" s="172" t="n"/>
      <c r="W2626" s="175" t="n">
        <v>0.0198</v>
      </c>
      <c r="X2626" s="172" t="inlineStr">
        <is>
          <t>中信证券自营</t>
        </is>
      </c>
      <c r="Y2626" s="191" t="n">
        <v>0.4</v>
      </c>
    </row>
    <row r="2627">
      <c r="A2627" s="172" t="n">
        <v>140</v>
      </c>
      <c r="B2627" s="173" t="inlineStr">
        <is>
          <t>9月</t>
        </is>
      </c>
      <c r="C2627" s="173" t="inlineStr">
        <is>
          <t>消金</t>
        </is>
      </c>
      <c r="D2627" s="173" t="inlineStr">
        <is>
          <t>金条&amp;白取混发</t>
        </is>
      </c>
      <c r="E2627" s="173" t="inlineStr">
        <is>
          <t>2026东樾4号3期（东樾4-5）</t>
        </is>
      </c>
      <c r="F2627" s="173" t="inlineStr">
        <is>
          <t>银行间</t>
        </is>
      </c>
      <c r="G2627" s="173" t="inlineStr">
        <is>
          <t>招商证券</t>
        </is>
      </c>
      <c r="H2627" s="173" t="inlineStr">
        <is>
          <t>国信证券/光大证券/中信证券</t>
        </is>
      </c>
      <c r="I2627" s="173" t="inlineStr">
        <is>
          <t>工银天分</t>
        </is>
      </c>
      <c r="J2627" s="172" t="n">
        <v>10</v>
      </c>
      <c r="K2627" s="173" t="inlineStr">
        <is>
          <t>22+24</t>
        </is>
      </c>
      <c r="L2627" s="202" t="n">
        <v>46266</v>
      </c>
      <c r="M2627" s="175" t="n">
        <v>0.0148</v>
      </c>
      <c r="N2627" s="176" t="n">
        <v>0.02273</v>
      </c>
      <c r="O2627" s="172" t="n">
        <v>1.82</v>
      </c>
      <c r="P2627" s="177" t="inlineStr">
        <is>
          <t>中间级</t>
        </is>
      </c>
      <c r="Q2627" s="178" t="n">
        <v>0.04</v>
      </c>
      <c r="R2627" s="179" t="n">
        <v>0.2</v>
      </c>
      <c r="S2627" s="177" t="inlineStr">
        <is>
          <t>AA-</t>
        </is>
      </c>
      <c r="T2627" s="178" t="n">
        <v>0.032</v>
      </c>
      <c r="U2627" s="177" t="inlineStr">
        <is>
          <t>建信信托</t>
        </is>
      </c>
      <c r="V2627" s="192" t="n">
        <v>0.2</v>
      </c>
      <c r="W2627" s="172" t="n"/>
      <c r="X2627" s="172" t="n"/>
      <c r="Y2627" s="172" t="n"/>
    </row>
    <row r="2628">
      <c r="A2628" s="172" t="n">
        <v>140</v>
      </c>
      <c r="B2628" s="173" t="inlineStr">
        <is>
          <t>9月</t>
        </is>
      </c>
      <c r="C2628" s="173" t="inlineStr">
        <is>
          <t>消金</t>
        </is>
      </c>
      <c r="D2628" s="173" t="inlineStr">
        <is>
          <t>金条&amp;白取混发</t>
        </is>
      </c>
      <c r="E2628" s="173" t="inlineStr">
        <is>
          <t>2026东樾4号3期（东樾4-5）</t>
        </is>
      </c>
      <c r="F2628" s="173" t="inlineStr">
        <is>
          <t>银行间</t>
        </is>
      </c>
      <c r="G2628" s="173" t="inlineStr">
        <is>
          <t>招商证券</t>
        </is>
      </c>
      <c r="H2628" s="173" t="inlineStr">
        <is>
          <t>国信证券/光大证券/中信证券</t>
        </is>
      </c>
      <c r="I2628" s="173" t="inlineStr">
        <is>
          <t>工银天分</t>
        </is>
      </c>
      <c r="J2628" s="172" t="n">
        <v>10</v>
      </c>
      <c r="K2628" s="173" t="inlineStr">
        <is>
          <t>22+24</t>
        </is>
      </c>
      <c r="L2628" s="202" t="n">
        <v>46266</v>
      </c>
      <c r="M2628" s="175" t="n">
        <v>0.0148</v>
      </c>
      <c r="N2628" s="176" t="n">
        <v>0.02273</v>
      </c>
      <c r="O2628" s="172" t="n">
        <v>1.82</v>
      </c>
      <c r="P2628" s="172" t="inlineStr">
        <is>
          <t>中间级</t>
        </is>
      </c>
      <c r="Q2628" s="178" t="n">
        <v>0.04</v>
      </c>
      <c r="R2628" s="179" t="n">
        <v>0.2</v>
      </c>
      <c r="S2628" s="177" t="inlineStr">
        <is>
          <t>AA-</t>
        </is>
      </c>
      <c r="T2628" s="178" t="n">
        <v>0.032</v>
      </c>
      <c r="U2628" s="177" t="inlineStr">
        <is>
          <t>利曦基金</t>
        </is>
      </c>
      <c r="V2628" s="192" t="n">
        <v>0.1</v>
      </c>
      <c r="W2628" s="172" t="n"/>
      <c r="X2628" s="172" t="n"/>
      <c r="Y2628" s="172" t="n"/>
    </row>
    <row r="2629">
      <c r="A2629" s="172" t="n">
        <v>140</v>
      </c>
      <c r="B2629" s="173" t="inlineStr">
        <is>
          <t>9月</t>
        </is>
      </c>
      <c r="C2629" s="173" t="inlineStr">
        <is>
          <t>消金</t>
        </is>
      </c>
      <c r="D2629" s="173" t="inlineStr">
        <is>
          <t>金条&amp;白取混发</t>
        </is>
      </c>
      <c r="E2629" s="173" t="inlineStr">
        <is>
          <t>2026东樾4号3期（东樾4-5）</t>
        </is>
      </c>
      <c r="F2629" s="173" t="inlineStr">
        <is>
          <t>银行间</t>
        </is>
      </c>
      <c r="G2629" s="173" t="inlineStr">
        <is>
          <t>招商证券</t>
        </is>
      </c>
      <c r="H2629" s="173" t="inlineStr">
        <is>
          <t>国信证券/光大证券/中信证券</t>
        </is>
      </c>
      <c r="I2629" s="173" t="inlineStr">
        <is>
          <t>工银天分</t>
        </is>
      </c>
      <c r="J2629" s="172" t="n">
        <v>10</v>
      </c>
      <c r="K2629" s="173" t="inlineStr">
        <is>
          <t>22+24</t>
        </is>
      </c>
      <c r="L2629" s="202" t="n">
        <v>46266</v>
      </c>
      <c r="M2629" s="175" t="n">
        <v>0.0148</v>
      </c>
      <c r="N2629" s="176" t="n">
        <v>0.02273</v>
      </c>
      <c r="O2629" s="172" t="n">
        <v>1.82</v>
      </c>
      <c r="P2629" s="172" t="inlineStr">
        <is>
          <t>中间级</t>
        </is>
      </c>
      <c r="Q2629" s="178" t="n">
        <v>0.04</v>
      </c>
      <c r="R2629" s="179" t="n">
        <v>0.2</v>
      </c>
      <c r="S2629" s="177" t="inlineStr">
        <is>
          <t>AA-</t>
        </is>
      </c>
      <c r="T2629" s="178" t="n">
        <v>0.032</v>
      </c>
      <c r="U2629" s="177" t="inlineStr">
        <is>
          <t>中信证券自营</t>
        </is>
      </c>
      <c r="V2629" s="192" t="n">
        <v>0.1</v>
      </c>
      <c r="W2629" s="172" t="n"/>
      <c r="X2629" s="172" t="n"/>
      <c r="Y2629" s="172" t="n"/>
    </row>
    <row r="2630">
      <c r="A2630" s="172" t="n">
        <v>140</v>
      </c>
      <c r="B2630" s="173" t="inlineStr">
        <is>
          <t>9月</t>
        </is>
      </c>
      <c r="C2630" s="173" t="inlineStr">
        <is>
          <t>消金</t>
        </is>
      </c>
      <c r="D2630" s="173" t="inlineStr">
        <is>
          <t>金条&amp;白取混发</t>
        </is>
      </c>
      <c r="E2630" s="173" t="inlineStr">
        <is>
          <t>2026东樾4号3期（东樾4-5）</t>
        </is>
      </c>
      <c r="F2630" s="173" t="inlineStr">
        <is>
          <t>银行间</t>
        </is>
      </c>
      <c r="G2630" s="173" t="inlineStr">
        <is>
          <t>招商证券</t>
        </is>
      </c>
      <c r="H2630" s="173" t="inlineStr">
        <is>
          <t>国信证券/光大证券/中信证券</t>
        </is>
      </c>
      <c r="I2630" s="173" t="inlineStr">
        <is>
          <t>工银天分</t>
        </is>
      </c>
      <c r="J2630" s="172" t="n">
        <v>10</v>
      </c>
      <c r="K2630" s="173" t="inlineStr">
        <is>
          <t>22+24</t>
        </is>
      </c>
      <c r="L2630" s="202" t="n">
        <v>46266</v>
      </c>
      <c r="M2630" s="175" t="n">
        <v>0.0148</v>
      </c>
      <c r="N2630" s="176" t="n">
        <v>0.02273</v>
      </c>
      <c r="O2630" s="172" t="n">
        <v>1.82</v>
      </c>
      <c r="P2630" s="177" t="inlineStr">
        <is>
          <t>受益权</t>
        </is>
      </c>
      <c r="Q2630" s="178" t="n">
        <v>0.05</v>
      </c>
      <c r="R2630" s="179" t="n">
        <v>0.5</v>
      </c>
      <c r="S2630" s="177" t="inlineStr">
        <is>
          <t>无</t>
        </is>
      </c>
      <c r="T2630" s="178" t="n">
        <v>0.0495</v>
      </c>
      <c r="U2630" s="177" t="inlineStr">
        <is>
          <t>中信建投投顾</t>
        </is>
      </c>
      <c r="V2630" s="192" t="n">
        <v>0.2</v>
      </c>
      <c r="W2630" s="172" t="n"/>
      <c r="X2630" s="172" t="n"/>
      <c r="Y2630" s="172" t="n"/>
    </row>
    <row r="2631">
      <c r="A2631" s="172" t="n">
        <v>140</v>
      </c>
      <c r="B2631" s="173" t="inlineStr">
        <is>
          <t>9月</t>
        </is>
      </c>
      <c r="C2631" s="173" t="inlineStr">
        <is>
          <t>消金</t>
        </is>
      </c>
      <c r="D2631" s="173" t="inlineStr">
        <is>
          <t>金条&amp;白取混发</t>
        </is>
      </c>
      <c r="E2631" s="173" t="inlineStr">
        <is>
          <t>2026东樾4号3期（东樾4-5）</t>
        </is>
      </c>
      <c r="F2631" s="173" t="inlineStr">
        <is>
          <t>银行间</t>
        </is>
      </c>
      <c r="G2631" s="173" t="inlineStr">
        <is>
          <t>招商证券</t>
        </is>
      </c>
      <c r="H2631" s="173" t="inlineStr">
        <is>
          <t>国信证券/光大证券/中信证券</t>
        </is>
      </c>
      <c r="I2631" s="173" t="inlineStr">
        <is>
          <t>工银天分</t>
        </is>
      </c>
      <c r="J2631" s="172" t="n">
        <v>10</v>
      </c>
      <c r="K2631" s="173" t="inlineStr">
        <is>
          <t>22+24</t>
        </is>
      </c>
      <c r="L2631" s="202" t="n">
        <v>46266</v>
      </c>
      <c r="M2631" s="175" t="n">
        <v>0.0148</v>
      </c>
      <c r="N2631" s="176" t="n">
        <v>0.02273</v>
      </c>
      <c r="O2631" s="172" t="n">
        <v>1.82</v>
      </c>
      <c r="P2631" s="172" t="inlineStr">
        <is>
          <t>受益权</t>
        </is>
      </c>
      <c r="Q2631" s="178" t="n">
        <v>0.05</v>
      </c>
      <c r="R2631" s="179" t="n">
        <v>0.5</v>
      </c>
      <c r="S2631" s="177" t="inlineStr">
        <is>
          <t>无</t>
        </is>
      </c>
      <c r="T2631" s="178" t="n">
        <v>0.0495</v>
      </c>
      <c r="U2631" s="177" t="inlineStr">
        <is>
          <t>国泰海通自营</t>
        </is>
      </c>
      <c r="V2631" s="192" t="n">
        <v>0.1</v>
      </c>
      <c r="W2631" s="172" t="n"/>
      <c r="X2631" s="172" t="n"/>
      <c r="Y2631" s="172" t="n"/>
    </row>
    <row r="2632">
      <c r="A2632" s="172" t="n">
        <v>140</v>
      </c>
      <c r="B2632" s="173" t="inlineStr">
        <is>
          <t>9月</t>
        </is>
      </c>
      <c r="C2632" s="173" t="inlineStr">
        <is>
          <t>消金</t>
        </is>
      </c>
      <c r="D2632" s="173" t="inlineStr">
        <is>
          <t>金条&amp;白取混发</t>
        </is>
      </c>
      <c r="E2632" s="173" t="inlineStr">
        <is>
          <t>2026东樾4号3期（东樾4-5）</t>
        </is>
      </c>
      <c r="F2632" s="173" t="inlineStr">
        <is>
          <t>银行间</t>
        </is>
      </c>
      <c r="G2632" s="173" t="inlineStr">
        <is>
          <t>招商证券</t>
        </is>
      </c>
      <c r="H2632" s="173" t="inlineStr">
        <is>
          <t>国信证券/光大证券/中信证券</t>
        </is>
      </c>
      <c r="I2632" s="173" t="inlineStr">
        <is>
          <t>工银天分</t>
        </is>
      </c>
      <c r="J2632" s="172" t="n">
        <v>10</v>
      </c>
      <c r="K2632" s="173" t="inlineStr">
        <is>
          <t>22+24</t>
        </is>
      </c>
      <c r="L2632" s="202" t="n">
        <v>46266</v>
      </c>
      <c r="M2632" s="175" t="n">
        <v>0.0148</v>
      </c>
      <c r="N2632" s="176" t="n">
        <v>0.02273</v>
      </c>
      <c r="O2632" s="172" t="n">
        <v>1.82</v>
      </c>
      <c r="P2632" s="172" t="inlineStr">
        <is>
          <t>受益权</t>
        </is>
      </c>
      <c r="Q2632" s="178" t="n">
        <v>0.05</v>
      </c>
      <c r="R2632" s="179" t="n">
        <v>0.5</v>
      </c>
      <c r="S2632" s="177" t="inlineStr">
        <is>
          <t>无</t>
        </is>
      </c>
      <c r="T2632" s="178" t="n">
        <v>0.0495</v>
      </c>
      <c r="U2632" s="177" t="inlineStr">
        <is>
          <t>中金投顾</t>
        </is>
      </c>
      <c r="V2632" s="192" t="n">
        <v>0.1</v>
      </c>
      <c r="W2632" s="172" t="n"/>
      <c r="X2632" s="172" t="n"/>
      <c r="Y2632" s="172" t="n"/>
    </row>
    <row r="2633">
      <c r="A2633" s="172" t="n">
        <v>140</v>
      </c>
      <c r="B2633" s="173" t="inlineStr">
        <is>
          <t>9月</t>
        </is>
      </c>
      <c r="C2633" s="173" t="inlineStr">
        <is>
          <t>消金</t>
        </is>
      </c>
      <c r="D2633" s="173" t="inlineStr">
        <is>
          <t>金条&amp;白取混发</t>
        </is>
      </c>
      <c r="E2633" s="173" t="inlineStr">
        <is>
          <t>2026东樾4号3期（东樾4-5）</t>
        </is>
      </c>
      <c r="F2633" s="173" t="inlineStr">
        <is>
          <t>银行间</t>
        </is>
      </c>
      <c r="G2633" s="173" t="inlineStr">
        <is>
          <t>招商证券</t>
        </is>
      </c>
      <c r="H2633" s="173" t="inlineStr">
        <is>
          <t>国信证券/光大证券/中信证券</t>
        </is>
      </c>
      <c r="I2633" s="173" t="inlineStr">
        <is>
          <t>工银天分</t>
        </is>
      </c>
      <c r="J2633" s="172" t="n">
        <v>10</v>
      </c>
      <c r="K2633" s="173" t="inlineStr">
        <is>
          <t>22+24</t>
        </is>
      </c>
      <c r="L2633" s="202" t="n">
        <v>46266</v>
      </c>
      <c r="M2633" s="175" t="n">
        <v>0.0148</v>
      </c>
      <c r="N2633" s="176" t="n">
        <v>0.02273</v>
      </c>
      <c r="O2633" s="172" t="n">
        <v>1.82</v>
      </c>
      <c r="P2633" s="172" t="inlineStr">
        <is>
          <t>受益权</t>
        </is>
      </c>
      <c r="Q2633" s="178" t="n">
        <v>0.05</v>
      </c>
      <c r="R2633" s="179" t="n">
        <v>0.5</v>
      </c>
      <c r="S2633" s="177" t="inlineStr">
        <is>
          <t>无</t>
        </is>
      </c>
      <c r="T2633" s="178" t="n">
        <v>0.0495</v>
      </c>
      <c r="U2633" s="177" t="inlineStr">
        <is>
          <t>西部证券自营</t>
        </is>
      </c>
      <c r="V2633" s="192" t="n">
        <v>0.1</v>
      </c>
      <c r="W2633" s="172" t="n"/>
      <c r="X2633" s="172" t="n"/>
      <c r="Y2633" s="172" t="n"/>
    </row>
    <row r="2634">
      <c r="A2634" s="172" t="n">
        <v>141</v>
      </c>
      <c r="B2634" s="173" t="inlineStr">
        <is>
          <t>9月</t>
        </is>
      </c>
      <c r="C2634" s="173" t="inlineStr">
        <is>
          <t>消金</t>
        </is>
      </c>
      <c r="D2634" s="173" t="inlineStr">
        <is>
          <t>金条&amp;白取混发</t>
        </is>
      </c>
      <c r="E2634" s="173" t="inlineStr">
        <is>
          <t>耘睿28-5</t>
        </is>
      </c>
      <c r="F2634" s="173" t="inlineStr">
        <is>
          <t>上交所</t>
        </is>
      </c>
      <c r="G2634" s="173" t="inlineStr">
        <is>
          <t>财通资管</t>
        </is>
      </c>
      <c r="H2634" s="173" t="inlineStr">
        <is>
          <t>首创证券</t>
        </is>
      </c>
      <c r="I2634" s="173" t="inlineStr">
        <is>
          <t>民生北分</t>
        </is>
      </c>
      <c r="J2634" s="172" t="n">
        <v>10</v>
      </c>
      <c r="K2634" s="173" t="inlineStr">
        <is>
          <t>22+24</t>
        </is>
      </c>
      <c r="L2634" s="202" t="n">
        <v>46268</v>
      </c>
      <c r="M2634" s="175" t="n">
        <v>0.0148</v>
      </c>
      <c r="N2634" s="176" t="n">
        <v>0.02241</v>
      </c>
      <c r="O2634" s="172" t="n">
        <v>2.28</v>
      </c>
      <c r="P2634" s="177" t="inlineStr">
        <is>
          <t>优先A</t>
        </is>
      </c>
      <c r="Q2634" s="178" t="n">
        <v>0.9</v>
      </c>
      <c r="R2634" s="179" t="n">
        <v>9</v>
      </c>
      <c r="S2634" s="177" t="inlineStr">
        <is>
          <t>AAA</t>
        </is>
      </c>
      <c r="T2634" s="178" t="n">
        <v>0.0178</v>
      </c>
      <c r="U2634" s="177" t="inlineStr">
        <is>
          <t>民生理财</t>
        </is>
      </c>
      <c r="V2634" s="192" t="n">
        <v>2.5</v>
      </c>
      <c r="W2634" s="175" t="n">
        <v>0.0174</v>
      </c>
      <c r="X2634" s="172" t="inlineStr">
        <is>
          <t>民生理财</t>
        </is>
      </c>
      <c r="Y2634" s="191" t="n">
        <v>2.7</v>
      </c>
    </row>
    <row r="2635">
      <c r="A2635" s="172" t="n">
        <v>141</v>
      </c>
      <c r="B2635" s="173" t="inlineStr">
        <is>
          <t>9月</t>
        </is>
      </c>
      <c r="C2635" s="173" t="inlineStr">
        <is>
          <t>消金</t>
        </is>
      </c>
      <c r="D2635" s="173" t="inlineStr">
        <is>
          <t>金条&amp;白取混发</t>
        </is>
      </c>
      <c r="E2635" s="173" t="inlineStr">
        <is>
          <t>耘睿28-5</t>
        </is>
      </c>
      <c r="F2635" s="173" t="inlineStr">
        <is>
          <t>上交所</t>
        </is>
      </c>
      <c r="G2635" s="173" t="inlineStr">
        <is>
          <t>财通资管</t>
        </is>
      </c>
      <c r="H2635" s="173" t="inlineStr">
        <is>
          <t>首创证券</t>
        </is>
      </c>
      <c r="I2635" s="173" t="inlineStr">
        <is>
          <t>民生北分</t>
        </is>
      </c>
      <c r="J2635" s="172" t="n">
        <v>10</v>
      </c>
      <c r="K2635" s="173" t="inlineStr">
        <is>
          <t>22+24</t>
        </is>
      </c>
      <c r="L2635" s="202" t="n">
        <v>46268</v>
      </c>
      <c r="M2635" s="175" t="n">
        <v>0.0148</v>
      </c>
      <c r="N2635" s="176" t="n">
        <v>0.02241</v>
      </c>
      <c r="O2635" s="172" t="n">
        <v>2.28</v>
      </c>
      <c r="P2635" s="172" t="inlineStr">
        <is>
          <t>优先A</t>
        </is>
      </c>
      <c r="Q2635" s="178" t="n">
        <v>0.9</v>
      </c>
      <c r="R2635" s="179" t="n">
        <v>9</v>
      </c>
      <c r="S2635" s="177" t="inlineStr">
        <is>
          <t>AAA</t>
        </is>
      </c>
      <c r="T2635" s="178" t="n">
        <v>0.0178</v>
      </c>
      <c r="U2635" s="177" t="inlineStr">
        <is>
          <t>易方达基金</t>
        </is>
      </c>
      <c r="V2635" s="192" t="n">
        <v>1.1</v>
      </c>
      <c r="W2635" s="175" t="n">
        <v>0.0176</v>
      </c>
      <c r="X2635" s="172" t="inlineStr">
        <is>
          <t>易方达</t>
        </is>
      </c>
      <c r="Y2635" s="191" t="n">
        <v>0.9</v>
      </c>
    </row>
    <row r="2636">
      <c r="A2636" s="172" t="n">
        <v>141</v>
      </c>
      <c r="B2636" s="172" t="inlineStr">
        <is>
          <t>9月</t>
        </is>
      </c>
      <c r="C2636" s="172" t="inlineStr">
        <is>
          <t>消金</t>
        </is>
      </c>
      <c r="D2636" s="172" t="inlineStr">
        <is>
          <t>金条&amp;白取混发</t>
        </is>
      </c>
      <c r="E2636" s="172" t="inlineStr">
        <is>
          <t>耘睿28-5</t>
        </is>
      </c>
      <c r="F2636" s="172" t="inlineStr">
        <is>
          <t>上交所</t>
        </is>
      </c>
      <c r="G2636" s="172" t="inlineStr">
        <is>
          <t>财通资管</t>
        </is>
      </c>
      <c r="H2636" s="172" t="inlineStr">
        <is>
          <t>首创证券</t>
        </is>
      </c>
      <c r="I2636" s="172" t="inlineStr">
        <is>
          <t>民生北分</t>
        </is>
      </c>
      <c r="J2636" s="172" t="n">
        <v>10</v>
      </c>
      <c r="K2636" s="172" t="inlineStr">
        <is>
          <t>22+24</t>
        </is>
      </c>
      <c r="L2636" s="208" t="n">
        <v>46268</v>
      </c>
      <c r="M2636" s="175" t="n">
        <v>0.0148</v>
      </c>
      <c r="N2636" s="176" t="n">
        <v>0.02241</v>
      </c>
      <c r="O2636" s="172" t="n">
        <v>2.28</v>
      </c>
      <c r="P2636" s="172" t="inlineStr">
        <is>
          <t>优先A</t>
        </is>
      </c>
      <c r="Q2636" s="175" t="n">
        <v>0.9</v>
      </c>
      <c r="R2636" s="192" t="n">
        <v>9</v>
      </c>
      <c r="S2636" s="172" t="inlineStr">
        <is>
          <t>AAA</t>
        </is>
      </c>
      <c r="T2636" s="175" t="n">
        <v>0.0178</v>
      </c>
      <c r="U2636" s="172" t="n"/>
      <c r="V2636" s="172" t="n"/>
      <c r="W2636" s="175" t="n">
        <v>0.0178</v>
      </c>
      <c r="X2636" s="172" t="inlineStr">
        <is>
          <t>易方达</t>
        </is>
      </c>
      <c r="Y2636" s="191" t="n">
        <v>0.3</v>
      </c>
    </row>
    <row r="2637">
      <c r="A2637" s="172" t="n">
        <v>141</v>
      </c>
      <c r="B2637" s="172" t="inlineStr">
        <is>
          <t>9月</t>
        </is>
      </c>
      <c r="C2637" s="172" t="inlineStr">
        <is>
          <t>消金</t>
        </is>
      </c>
      <c r="D2637" s="172" t="inlineStr">
        <is>
          <t>金条&amp;白取混发</t>
        </is>
      </c>
      <c r="E2637" s="172" t="inlineStr">
        <is>
          <t>耘睿28-5</t>
        </is>
      </c>
      <c r="F2637" s="172" t="inlineStr">
        <is>
          <t>上交所</t>
        </is>
      </c>
      <c r="G2637" s="172" t="inlineStr">
        <is>
          <t>财通资管</t>
        </is>
      </c>
      <c r="H2637" s="172" t="inlineStr">
        <is>
          <t>首创证券</t>
        </is>
      </c>
      <c r="I2637" s="172" t="inlineStr">
        <is>
          <t>民生北分</t>
        </is>
      </c>
      <c r="J2637" s="172" t="n">
        <v>10</v>
      </c>
      <c r="K2637" s="172" t="inlineStr">
        <is>
          <t>22+24</t>
        </is>
      </c>
      <c r="L2637" s="208" t="n">
        <v>46268</v>
      </c>
      <c r="M2637" s="175" t="n">
        <v>0.0148</v>
      </c>
      <c r="N2637" s="176" t="n">
        <v>0.02241</v>
      </c>
      <c r="O2637" s="172" t="n">
        <v>2.28</v>
      </c>
      <c r="P2637" s="172" t="inlineStr">
        <is>
          <t>优先A</t>
        </is>
      </c>
      <c r="Q2637" s="175" t="n">
        <v>0.9</v>
      </c>
      <c r="R2637" s="192" t="n">
        <v>9</v>
      </c>
      <c r="S2637" s="172" t="inlineStr">
        <is>
          <t>AAA</t>
        </is>
      </c>
      <c r="T2637" s="175" t="n">
        <v>0.0178</v>
      </c>
      <c r="U2637" s="172" t="n"/>
      <c r="V2637" s="172" t="n"/>
      <c r="W2637" s="175" t="n">
        <v>0.0179</v>
      </c>
      <c r="X2637" s="172" t="inlineStr">
        <is>
          <t>易方达</t>
        </is>
      </c>
      <c r="Y2637" s="191" t="n">
        <v>3.8</v>
      </c>
    </row>
    <row r="2638">
      <c r="A2638" s="172" t="n">
        <v>141</v>
      </c>
      <c r="B2638" s="173" t="inlineStr">
        <is>
          <t>9月</t>
        </is>
      </c>
      <c r="C2638" s="173" t="inlineStr">
        <is>
          <t>消金</t>
        </is>
      </c>
      <c r="D2638" s="173" t="inlineStr">
        <is>
          <t>金条&amp;白取混发</t>
        </is>
      </c>
      <c r="E2638" s="173" t="inlineStr">
        <is>
          <t>耘睿28-5</t>
        </is>
      </c>
      <c r="F2638" s="173" t="inlineStr">
        <is>
          <t>上交所</t>
        </is>
      </c>
      <c r="G2638" s="173" t="inlineStr">
        <is>
          <t>财通资管</t>
        </is>
      </c>
      <c r="H2638" s="173" t="inlineStr">
        <is>
          <t>首创证券</t>
        </is>
      </c>
      <c r="I2638" s="173" t="inlineStr">
        <is>
          <t>民生北分</t>
        </is>
      </c>
      <c r="J2638" s="172" t="n">
        <v>10</v>
      </c>
      <c r="K2638" s="173" t="inlineStr">
        <is>
          <t>22+24</t>
        </is>
      </c>
      <c r="L2638" s="202" t="n">
        <v>46268</v>
      </c>
      <c r="M2638" s="175" t="n">
        <v>0.0148</v>
      </c>
      <c r="N2638" s="176" t="n">
        <v>0.02241</v>
      </c>
      <c r="O2638" s="172" t="n">
        <v>2.28</v>
      </c>
      <c r="P2638" s="172" t="inlineStr">
        <is>
          <t>优先A</t>
        </is>
      </c>
      <c r="Q2638" s="178" t="n">
        <v>0.9</v>
      </c>
      <c r="R2638" s="179" t="n">
        <v>9</v>
      </c>
      <c r="S2638" s="177" t="inlineStr">
        <is>
          <t>AAA</t>
        </is>
      </c>
      <c r="T2638" s="178" t="n">
        <v>0.0178</v>
      </c>
      <c r="U2638" s="177" t="inlineStr">
        <is>
          <t>信银理财</t>
        </is>
      </c>
      <c r="V2638" s="192" t="n">
        <v>2.7</v>
      </c>
      <c r="W2638" s="175" t="n">
        <v>0.0176</v>
      </c>
      <c r="X2638" s="172" t="inlineStr">
        <is>
          <t>信银理财</t>
        </is>
      </c>
      <c r="Y2638" s="191" t="n">
        <v>2.7</v>
      </c>
    </row>
    <row r="2639">
      <c r="A2639" s="172" t="n">
        <v>141</v>
      </c>
      <c r="B2639" s="173" t="inlineStr">
        <is>
          <t>9月</t>
        </is>
      </c>
      <c r="C2639" s="173" t="inlineStr">
        <is>
          <t>消金</t>
        </is>
      </c>
      <c r="D2639" s="173" t="inlineStr">
        <is>
          <t>金条&amp;白取混发</t>
        </is>
      </c>
      <c r="E2639" s="173" t="inlineStr">
        <is>
          <t>耘睿28-5</t>
        </is>
      </c>
      <c r="F2639" s="173" t="inlineStr">
        <is>
          <t>上交所</t>
        </is>
      </c>
      <c r="G2639" s="173" t="inlineStr">
        <is>
          <t>财通资管</t>
        </is>
      </c>
      <c r="H2639" s="173" t="inlineStr">
        <is>
          <t>首创证券</t>
        </is>
      </c>
      <c r="I2639" s="173" t="inlineStr">
        <is>
          <t>民生北分</t>
        </is>
      </c>
      <c r="J2639" s="172" t="n">
        <v>10</v>
      </c>
      <c r="K2639" s="173" t="inlineStr">
        <is>
          <t>22+24</t>
        </is>
      </c>
      <c r="L2639" s="202" t="n">
        <v>46268</v>
      </c>
      <c r="M2639" s="175" t="n">
        <v>0.0148</v>
      </c>
      <c r="N2639" s="176" t="n">
        <v>0.02241</v>
      </c>
      <c r="O2639" s="172" t="n">
        <v>2.28</v>
      </c>
      <c r="P2639" s="172" t="inlineStr">
        <is>
          <t>优先A</t>
        </is>
      </c>
      <c r="Q2639" s="178" t="n">
        <v>0.9</v>
      </c>
      <c r="R2639" s="179" t="n">
        <v>9</v>
      </c>
      <c r="S2639" s="177" t="inlineStr">
        <is>
          <t>AAA</t>
        </is>
      </c>
      <c r="T2639" s="178" t="n">
        <v>0.0178</v>
      </c>
      <c r="U2639" s="177" t="inlineStr">
        <is>
          <t>石嘴山银行</t>
        </is>
      </c>
      <c r="V2639" s="192" t="n">
        <v>0.5</v>
      </c>
      <c r="W2639" s="175" t="n">
        <v>0.0178</v>
      </c>
      <c r="X2639" s="172" t="inlineStr">
        <is>
          <t>石嘴山银行</t>
        </is>
      </c>
      <c r="Y2639" s="191" t="n">
        <v>0.5</v>
      </c>
    </row>
    <row r="2640">
      <c r="A2640" s="172" t="n">
        <v>141</v>
      </c>
      <c r="B2640" s="173" t="inlineStr">
        <is>
          <t>9月</t>
        </is>
      </c>
      <c r="C2640" s="173" t="inlineStr">
        <is>
          <t>消金</t>
        </is>
      </c>
      <c r="D2640" s="173" t="inlineStr">
        <is>
          <t>金条&amp;白取混发</t>
        </is>
      </c>
      <c r="E2640" s="173" t="inlineStr">
        <is>
          <t>耘睿28-5</t>
        </is>
      </c>
      <c r="F2640" s="173" t="inlineStr">
        <is>
          <t>上交所</t>
        </is>
      </c>
      <c r="G2640" s="173" t="inlineStr">
        <is>
          <t>财通资管</t>
        </is>
      </c>
      <c r="H2640" s="173" t="inlineStr">
        <is>
          <t>首创证券</t>
        </is>
      </c>
      <c r="I2640" s="173" t="inlineStr">
        <is>
          <t>民生北分</t>
        </is>
      </c>
      <c r="J2640" s="172" t="n">
        <v>10</v>
      </c>
      <c r="K2640" s="173" t="inlineStr">
        <is>
          <t>22+24</t>
        </is>
      </c>
      <c r="L2640" s="202" t="n">
        <v>46268</v>
      </c>
      <c r="M2640" s="175" t="n">
        <v>0.0148</v>
      </c>
      <c r="N2640" s="176" t="n">
        <v>0.02241</v>
      </c>
      <c r="O2640" s="172" t="n">
        <v>2.28</v>
      </c>
      <c r="P2640" s="172" t="inlineStr">
        <is>
          <t>优先A</t>
        </is>
      </c>
      <c r="Q2640" s="178" t="n">
        <v>0.9</v>
      </c>
      <c r="R2640" s="179" t="n">
        <v>9</v>
      </c>
      <c r="S2640" s="177" t="inlineStr">
        <is>
          <t>AAA</t>
        </is>
      </c>
      <c r="T2640" s="178" t="n">
        <v>0.0178</v>
      </c>
      <c r="U2640" s="177" t="inlineStr">
        <is>
          <t>中信证券投顾</t>
        </is>
      </c>
      <c r="V2640" s="192" t="n">
        <v>0.2</v>
      </c>
      <c r="W2640" s="175" t="n">
        <v>0.0178</v>
      </c>
      <c r="X2640" s="172" t="inlineStr">
        <is>
          <t>中信证券投顾</t>
        </is>
      </c>
      <c r="Y2640" s="191" t="n">
        <v>0.3</v>
      </c>
    </row>
    <row r="2641">
      <c r="A2641" s="172" t="n">
        <v>141</v>
      </c>
      <c r="B2641" s="173" t="inlineStr">
        <is>
          <t>9月</t>
        </is>
      </c>
      <c r="C2641" s="173" t="inlineStr">
        <is>
          <t>消金</t>
        </is>
      </c>
      <c r="D2641" s="173" t="inlineStr">
        <is>
          <t>金条&amp;白取混发</t>
        </is>
      </c>
      <c r="E2641" s="173" t="inlineStr">
        <is>
          <t>耘睿28-5</t>
        </is>
      </c>
      <c r="F2641" s="173" t="inlineStr">
        <is>
          <t>上交所</t>
        </is>
      </c>
      <c r="G2641" s="173" t="inlineStr">
        <is>
          <t>财通资管</t>
        </is>
      </c>
      <c r="H2641" s="173" t="inlineStr">
        <is>
          <t>首创证券</t>
        </is>
      </c>
      <c r="I2641" s="173" t="inlineStr">
        <is>
          <t>民生北分</t>
        </is>
      </c>
      <c r="J2641" s="172" t="n">
        <v>10</v>
      </c>
      <c r="K2641" s="173" t="inlineStr">
        <is>
          <t>22+24</t>
        </is>
      </c>
      <c r="L2641" s="202" t="n">
        <v>46268</v>
      </c>
      <c r="M2641" s="175" t="n">
        <v>0.0148</v>
      </c>
      <c r="N2641" s="176" t="n">
        <v>0.02241</v>
      </c>
      <c r="O2641" s="172" t="n">
        <v>2.28</v>
      </c>
      <c r="P2641" s="172" t="inlineStr">
        <is>
          <t>优先A</t>
        </is>
      </c>
      <c r="Q2641" s="178" t="n">
        <v>0.9</v>
      </c>
      <c r="R2641" s="179" t="n">
        <v>9</v>
      </c>
      <c r="S2641" s="177" t="inlineStr">
        <is>
          <t>AAA</t>
        </is>
      </c>
      <c r="T2641" s="178" t="n">
        <v>0.0178</v>
      </c>
      <c r="U2641" s="177" t="inlineStr">
        <is>
          <t>华夏基金</t>
        </is>
      </c>
      <c r="V2641" s="192" t="n">
        <v>1</v>
      </c>
      <c r="W2641" s="175" t="n">
        <v>0.0178</v>
      </c>
      <c r="X2641" s="172" t="inlineStr">
        <is>
          <t>华夏基金</t>
        </is>
      </c>
      <c r="Y2641" s="191" t="n">
        <v>1.3</v>
      </c>
    </row>
    <row r="2642">
      <c r="A2642" s="172" t="n">
        <v>141</v>
      </c>
      <c r="B2642" s="173" t="inlineStr">
        <is>
          <t>9月</t>
        </is>
      </c>
      <c r="C2642" s="173" t="inlineStr">
        <is>
          <t>消金</t>
        </is>
      </c>
      <c r="D2642" s="173" t="inlineStr">
        <is>
          <t>金条&amp;白取混发</t>
        </is>
      </c>
      <c r="E2642" s="173" t="inlineStr">
        <is>
          <t>耘睿28-5</t>
        </is>
      </c>
      <c r="F2642" s="173" t="inlineStr">
        <is>
          <t>上交所</t>
        </is>
      </c>
      <c r="G2642" s="173" t="inlineStr">
        <is>
          <t>财通资管</t>
        </is>
      </c>
      <c r="H2642" s="173" t="inlineStr">
        <is>
          <t>首创证券</t>
        </is>
      </c>
      <c r="I2642" s="173" t="inlineStr">
        <is>
          <t>民生北分</t>
        </is>
      </c>
      <c r="J2642" s="172" t="n">
        <v>10</v>
      </c>
      <c r="K2642" s="173" t="inlineStr">
        <is>
          <t>22+24</t>
        </is>
      </c>
      <c r="L2642" s="202" t="n">
        <v>46268</v>
      </c>
      <c r="M2642" s="175" t="n">
        <v>0.0148</v>
      </c>
      <c r="N2642" s="176" t="n">
        <v>0.02241</v>
      </c>
      <c r="O2642" s="172" t="n">
        <v>2.28</v>
      </c>
      <c r="P2642" s="172" t="inlineStr">
        <is>
          <t>优先A</t>
        </is>
      </c>
      <c r="Q2642" s="178" t="n">
        <v>0.9</v>
      </c>
      <c r="R2642" s="179" t="n">
        <v>9</v>
      </c>
      <c r="S2642" s="177" t="inlineStr">
        <is>
          <t>AAA</t>
        </is>
      </c>
      <c r="T2642" s="178" t="n">
        <v>0.0178</v>
      </c>
      <c r="U2642" s="177" t="inlineStr">
        <is>
          <t>上银理财</t>
        </is>
      </c>
      <c r="V2642" s="192" t="n">
        <v>1</v>
      </c>
      <c r="W2642" s="175" t="n">
        <v>0.0178</v>
      </c>
      <c r="X2642" s="172" t="inlineStr">
        <is>
          <t>上银理财</t>
        </is>
      </c>
      <c r="Y2642" s="191" t="n">
        <v>1.4</v>
      </c>
    </row>
    <row r="2643">
      <c r="A2643" s="172" t="n">
        <v>141</v>
      </c>
      <c r="B2643" s="172" t="inlineStr">
        <is>
          <t>9月</t>
        </is>
      </c>
      <c r="C2643" s="172" t="inlineStr">
        <is>
          <t>消金</t>
        </is>
      </c>
      <c r="D2643" s="172" t="inlineStr">
        <is>
          <t>金条&amp;白取混发</t>
        </is>
      </c>
      <c r="E2643" s="172" t="inlineStr">
        <is>
          <t>耘睿28-5</t>
        </is>
      </c>
      <c r="F2643" s="172" t="inlineStr">
        <is>
          <t>上交所</t>
        </is>
      </c>
      <c r="G2643" s="172" t="inlineStr">
        <is>
          <t>财通资管</t>
        </is>
      </c>
      <c r="H2643" s="172" t="inlineStr">
        <is>
          <t>首创证券</t>
        </is>
      </c>
      <c r="I2643" s="172" t="inlineStr">
        <is>
          <t>民生北分</t>
        </is>
      </c>
      <c r="J2643" s="172" t="n">
        <v>10</v>
      </c>
      <c r="K2643" s="172" t="inlineStr">
        <is>
          <t>22+24</t>
        </is>
      </c>
      <c r="L2643" s="208" t="n">
        <v>46268</v>
      </c>
      <c r="M2643" s="175" t="n">
        <v>0.0148</v>
      </c>
      <c r="N2643" s="176" t="n">
        <v>0.02241</v>
      </c>
      <c r="O2643" s="172" t="n">
        <v>2.28</v>
      </c>
      <c r="P2643" s="172" t="inlineStr">
        <is>
          <t>优先A</t>
        </is>
      </c>
      <c r="Q2643" s="175" t="n">
        <v>0.9</v>
      </c>
      <c r="R2643" s="192" t="n">
        <v>9</v>
      </c>
      <c r="S2643" s="172" t="inlineStr">
        <is>
          <t>AAA</t>
        </is>
      </c>
      <c r="T2643" s="175" t="n">
        <v>0.0178</v>
      </c>
      <c r="U2643" s="172" t="n"/>
      <c r="V2643" s="172" t="n"/>
      <c r="W2643" s="175" t="n">
        <v>0.0185</v>
      </c>
      <c r="X2643" s="172" t="inlineStr">
        <is>
          <t>建投衍生品</t>
        </is>
      </c>
      <c r="Y2643" s="191" t="n">
        <v>1</v>
      </c>
    </row>
    <row r="2644">
      <c r="A2644" s="172" t="n">
        <v>141</v>
      </c>
      <c r="B2644" s="172" t="inlineStr">
        <is>
          <t>9月</t>
        </is>
      </c>
      <c r="C2644" s="172" t="inlineStr">
        <is>
          <t>消金</t>
        </is>
      </c>
      <c r="D2644" s="172" t="inlineStr">
        <is>
          <t>金条&amp;白取混发</t>
        </is>
      </c>
      <c r="E2644" s="172" t="inlineStr">
        <is>
          <t>耘睿28-5</t>
        </is>
      </c>
      <c r="F2644" s="172" t="inlineStr">
        <is>
          <t>上交所</t>
        </is>
      </c>
      <c r="G2644" s="172" t="inlineStr">
        <is>
          <t>财通资管</t>
        </is>
      </c>
      <c r="H2644" s="172" t="inlineStr">
        <is>
          <t>首创证券</t>
        </is>
      </c>
      <c r="I2644" s="172" t="inlineStr">
        <is>
          <t>民生北分</t>
        </is>
      </c>
      <c r="J2644" s="172" t="n">
        <v>10</v>
      </c>
      <c r="K2644" s="172" t="inlineStr">
        <is>
          <t>22+24</t>
        </is>
      </c>
      <c r="L2644" s="208" t="n">
        <v>46268</v>
      </c>
      <c r="M2644" s="175" t="n">
        <v>0.0148</v>
      </c>
      <c r="N2644" s="176" t="n">
        <v>0.02241</v>
      </c>
      <c r="O2644" s="172" t="n">
        <v>2.28</v>
      </c>
      <c r="P2644" s="172" t="inlineStr">
        <is>
          <t>优先A</t>
        </is>
      </c>
      <c r="Q2644" s="175" t="n">
        <v>0.9</v>
      </c>
      <c r="R2644" s="192" t="n">
        <v>9</v>
      </c>
      <c r="S2644" s="172" t="inlineStr">
        <is>
          <t>AAA</t>
        </is>
      </c>
      <c r="T2644" s="175" t="n">
        <v>0.0178</v>
      </c>
      <c r="U2644" s="172" t="n"/>
      <c r="V2644" s="172" t="n"/>
      <c r="W2644" s="175" t="n">
        <v>0.0185</v>
      </c>
      <c r="X2644" s="172" t="inlineStr">
        <is>
          <t>利曦基金</t>
        </is>
      </c>
      <c r="Y2644" s="191" t="n">
        <v>2</v>
      </c>
    </row>
    <row r="2645">
      <c r="A2645" s="172" t="n">
        <v>141</v>
      </c>
      <c r="B2645" s="172" t="inlineStr">
        <is>
          <t>9月</t>
        </is>
      </c>
      <c r="C2645" s="172" t="inlineStr">
        <is>
          <t>消金</t>
        </is>
      </c>
      <c r="D2645" s="172" t="inlineStr">
        <is>
          <t>金条&amp;白取混发</t>
        </is>
      </c>
      <c r="E2645" s="172" t="inlineStr">
        <is>
          <t>耘睿28-5</t>
        </is>
      </c>
      <c r="F2645" s="172" t="inlineStr">
        <is>
          <t>上交所</t>
        </is>
      </c>
      <c r="G2645" s="172" t="inlineStr">
        <is>
          <t>财通资管</t>
        </is>
      </c>
      <c r="H2645" s="172" t="inlineStr">
        <is>
          <t>首创证券</t>
        </is>
      </c>
      <c r="I2645" s="172" t="inlineStr">
        <is>
          <t>民生北分</t>
        </is>
      </c>
      <c r="J2645" s="172" t="n">
        <v>10</v>
      </c>
      <c r="K2645" s="172" t="inlineStr">
        <is>
          <t>22+24</t>
        </is>
      </c>
      <c r="L2645" s="208" t="n">
        <v>46268</v>
      </c>
      <c r="M2645" s="175" t="n">
        <v>0.0148</v>
      </c>
      <c r="N2645" s="176" t="n">
        <v>0.02241</v>
      </c>
      <c r="O2645" s="172" t="n">
        <v>2.28</v>
      </c>
      <c r="P2645" s="172" t="inlineStr">
        <is>
          <t>优先A</t>
        </is>
      </c>
      <c r="Q2645" s="175" t="n">
        <v>0.9</v>
      </c>
      <c r="R2645" s="192" t="n">
        <v>9</v>
      </c>
      <c r="S2645" s="172" t="inlineStr">
        <is>
          <t>AAA</t>
        </is>
      </c>
      <c r="T2645" s="175" t="n">
        <v>0.0178</v>
      </c>
      <c r="U2645" s="172" t="n"/>
      <c r="V2645" s="172" t="n"/>
      <c r="W2645" s="175" t="n">
        <v>0.0185</v>
      </c>
      <c r="X2645" s="172" t="inlineStr">
        <is>
          <t>财通资管</t>
        </is>
      </c>
      <c r="Y2645" s="191" t="n">
        <v>1.4</v>
      </c>
    </row>
    <row r="2646">
      <c r="A2646" s="172" t="n">
        <v>141</v>
      </c>
      <c r="B2646" s="172" t="inlineStr">
        <is>
          <t>9月</t>
        </is>
      </c>
      <c r="C2646" s="172" t="inlineStr">
        <is>
          <t>消金</t>
        </is>
      </c>
      <c r="D2646" s="172" t="inlineStr">
        <is>
          <t>金条&amp;白取混发</t>
        </is>
      </c>
      <c r="E2646" s="172" t="inlineStr">
        <is>
          <t>耘睿28-5</t>
        </is>
      </c>
      <c r="F2646" s="172" t="inlineStr">
        <is>
          <t>上交所</t>
        </is>
      </c>
      <c r="G2646" s="172" t="inlineStr">
        <is>
          <t>财通资管</t>
        </is>
      </c>
      <c r="H2646" s="172" t="inlineStr">
        <is>
          <t>首创证券</t>
        </is>
      </c>
      <c r="I2646" s="172" t="inlineStr">
        <is>
          <t>民生北分</t>
        </is>
      </c>
      <c r="J2646" s="172" t="n">
        <v>10</v>
      </c>
      <c r="K2646" s="172" t="inlineStr">
        <is>
          <t>22+24</t>
        </is>
      </c>
      <c r="L2646" s="208" t="n">
        <v>46268</v>
      </c>
      <c r="M2646" s="175" t="n">
        <v>0.0148</v>
      </c>
      <c r="N2646" s="176" t="n">
        <v>0.02241</v>
      </c>
      <c r="O2646" s="172" t="n">
        <v>2.28</v>
      </c>
      <c r="P2646" s="172" t="inlineStr">
        <is>
          <t>优先A</t>
        </is>
      </c>
      <c r="Q2646" s="175" t="n">
        <v>0.9</v>
      </c>
      <c r="R2646" s="192" t="n">
        <v>9</v>
      </c>
      <c r="S2646" s="172" t="inlineStr">
        <is>
          <t>AAA</t>
        </is>
      </c>
      <c r="T2646" s="175" t="n">
        <v>0.0178</v>
      </c>
      <c r="U2646" s="172" t="n"/>
      <c r="V2646" s="172" t="n"/>
      <c r="W2646" s="175" t="n">
        <v>0.025</v>
      </c>
      <c r="X2646" s="172" t="inlineStr">
        <is>
          <t>首创自营</t>
        </is>
      </c>
      <c r="Y2646" s="191" t="n">
        <v>0.9</v>
      </c>
    </row>
    <row r="2647">
      <c r="A2647" s="172" t="n">
        <v>141</v>
      </c>
      <c r="B2647" s="173" t="inlineStr">
        <is>
          <t>9月</t>
        </is>
      </c>
      <c r="C2647" s="173" t="inlineStr">
        <is>
          <t>消金</t>
        </is>
      </c>
      <c r="D2647" s="173" t="inlineStr">
        <is>
          <t>金条&amp;白取混发</t>
        </is>
      </c>
      <c r="E2647" s="173" t="inlineStr">
        <is>
          <t>耘睿28-5</t>
        </is>
      </c>
      <c r="F2647" s="173" t="inlineStr">
        <is>
          <t>上交所</t>
        </is>
      </c>
      <c r="G2647" s="173" t="inlineStr">
        <is>
          <t>财通资管</t>
        </is>
      </c>
      <c r="H2647" s="173" t="inlineStr">
        <is>
          <t>首创证券</t>
        </is>
      </c>
      <c r="I2647" s="173" t="inlineStr">
        <is>
          <t>民生北分</t>
        </is>
      </c>
      <c r="J2647" s="172" t="n">
        <v>10</v>
      </c>
      <c r="K2647" s="173" t="inlineStr">
        <is>
          <t>22+24</t>
        </is>
      </c>
      <c r="L2647" s="202" t="n">
        <v>46268</v>
      </c>
      <c r="M2647" s="175" t="n">
        <v>0.0148</v>
      </c>
      <c r="N2647" s="176" t="n">
        <v>0.02241</v>
      </c>
      <c r="O2647" s="172" t="n">
        <v>2.28</v>
      </c>
      <c r="P2647" s="177" t="inlineStr">
        <is>
          <t>优先B</t>
        </is>
      </c>
      <c r="Q2647" s="178" t="n">
        <v>0.03</v>
      </c>
      <c r="R2647" s="179" t="n">
        <v>0.3</v>
      </c>
      <c r="S2647" s="177" t="inlineStr">
        <is>
          <t>AA+</t>
        </is>
      </c>
      <c r="T2647" s="178" t="n">
        <v>0.0192</v>
      </c>
      <c r="U2647" s="177" t="inlineStr">
        <is>
          <t>民生理财</t>
        </is>
      </c>
      <c r="V2647" s="192" t="n">
        <v>0.09</v>
      </c>
      <c r="W2647" s="175" t="n">
        <v>0.0175</v>
      </c>
      <c r="X2647" s="172" t="inlineStr">
        <is>
          <t>民生理财</t>
        </is>
      </c>
      <c r="Y2647" s="191" t="n">
        <v>0.09</v>
      </c>
    </row>
    <row r="2648">
      <c r="A2648" s="172" t="n">
        <v>141</v>
      </c>
      <c r="B2648" s="173" t="inlineStr">
        <is>
          <t>9月</t>
        </is>
      </c>
      <c r="C2648" s="173" t="inlineStr">
        <is>
          <t>消金</t>
        </is>
      </c>
      <c r="D2648" s="173" t="inlineStr">
        <is>
          <t>金条&amp;白取混发</t>
        </is>
      </c>
      <c r="E2648" s="173" t="inlineStr">
        <is>
          <t>耘睿28-5</t>
        </is>
      </c>
      <c r="F2648" s="173" t="inlineStr">
        <is>
          <t>上交所</t>
        </is>
      </c>
      <c r="G2648" s="173" t="inlineStr">
        <is>
          <t>财通资管</t>
        </is>
      </c>
      <c r="H2648" s="173" t="inlineStr">
        <is>
          <t>首创证券</t>
        </is>
      </c>
      <c r="I2648" s="173" t="inlineStr">
        <is>
          <t>民生北分</t>
        </is>
      </c>
      <c r="J2648" s="172" t="n">
        <v>10</v>
      </c>
      <c r="K2648" s="173" t="inlineStr">
        <is>
          <t>22+24</t>
        </is>
      </c>
      <c r="L2648" s="202" t="n">
        <v>46268</v>
      </c>
      <c r="M2648" s="175" t="n">
        <v>0.0148</v>
      </c>
      <c r="N2648" s="176" t="n">
        <v>0.02241</v>
      </c>
      <c r="O2648" s="172" t="n">
        <v>2.28</v>
      </c>
      <c r="P2648" s="172" t="inlineStr">
        <is>
          <t>优先B</t>
        </is>
      </c>
      <c r="Q2648" s="178" t="n">
        <v>0.03</v>
      </c>
      <c r="R2648" s="179" t="n">
        <v>0.3</v>
      </c>
      <c r="S2648" s="177" t="inlineStr">
        <is>
          <t>AA+</t>
        </is>
      </c>
      <c r="T2648" s="178" t="n">
        <v>0.0192</v>
      </c>
      <c r="U2648" s="177" t="inlineStr">
        <is>
          <t>中金自营</t>
        </is>
      </c>
      <c r="V2648" s="192" t="n">
        <v>0.07000000000000001</v>
      </c>
      <c r="W2648" s="175" t="n">
        <v>0.0192</v>
      </c>
      <c r="X2648" s="172" t="inlineStr">
        <is>
          <t>中金自营</t>
        </is>
      </c>
      <c r="Y2648" s="191" t="n">
        <v>0.2</v>
      </c>
    </row>
    <row r="2649">
      <c r="A2649" s="172" t="n">
        <v>141</v>
      </c>
      <c r="B2649" s="173" t="inlineStr">
        <is>
          <t>9月</t>
        </is>
      </c>
      <c r="C2649" s="173" t="inlineStr">
        <is>
          <t>消金</t>
        </is>
      </c>
      <c r="D2649" s="173" t="inlineStr">
        <is>
          <t>金条&amp;白取混发</t>
        </is>
      </c>
      <c r="E2649" s="173" t="inlineStr">
        <is>
          <t>耘睿28-5</t>
        </is>
      </c>
      <c r="F2649" s="173" t="inlineStr">
        <is>
          <t>上交所</t>
        </is>
      </c>
      <c r="G2649" s="173" t="inlineStr">
        <is>
          <t>财通资管</t>
        </is>
      </c>
      <c r="H2649" s="173" t="inlineStr">
        <is>
          <t>首创证券</t>
        </is>
      </c>
      <c r="I2649" s="173" t="inlineStr">
        <is>
          <t>民生北分</t>
        </is>
      </c>
      <c r="J2649" s="172" t="n">
        <v>10</v>
      </c>
      <c r="K2649" s="173" t="inlineStr">
        <is>
          <t>22+24</t>
        </is>
      </c>
      <c r="L2649" s="202" t="n">
        <v>46268</v>
      </c>
      <c r="M2649" s="175" t="n">
        <v>0.0148</v>
      </c>
      <c r="N2649" s="176" t="n">
        <v>0.02241</v>
      </c>
      <c r="O2649" s="172" t="n">
        <v>2.28</v>
      </c>
      <c r="P2649" s="172" t="inlineStr">
        <is>
          <t>优先B</t>
        </is>
      </c>
      <c r="Q2649" s="178" t="n">
        <v>0.03</v>
      </c>
      <c r="R2649" s="179" t="n">
        <v>0.3</v>
      </c>
      <c r="S2649" s="177" t="inlineStr">
        <is>
          <t>AA+</t>
        </is>
      </c>
      <c r="T2649" s="178" t="n">
        <v>0.0192</v>
      </c>
      <c r="U2649" s="177" t="inlineStr">
        <is>
          <t>中信证券自营</t>
        </is>
      </c>
      <c r="V2649" s="192" t="n">
        <v>0.11</v>
      </c>
      <c r="W2649" s="175" t="n">
        <v>0.0192</v>
      </c>
      <c r="X2649" s="172" t="inlineStr">
        <is>
          <t>中信证券自营</t>
        </is>
      </c>
      <c r="Y2649" s="191" t="n">
        <v>0.3</v>
      </c>
    </row>
    <row r="2650">
      <c r="A2650" s="172" t="n">
        <v>141</v>
      </c>
      <c r="B2650" s="173" t="inlineStr">
        <is>
          <t>9月</t>
        </is>
      </c>
      <c r="C2650" s="173" t="inlineStr">
        <is>
          <t>消金</t>
        </is>
      </c>
      <c r="D2650" s="173" t="inlineStr">
        <is>
          <t>金条&amp;白取混发</t>
        </is>
      </c>
      <c r="E2650" s="173" t="inlineStr">
        <is>
          <t>耘睿28-5</t>
        </is>
      </c>
      <c r="F2650" s="173" t="inlineStr">
        <is>
          <t>上交所</t>
        </is>
      </c>
      <c r="G2650" s="173" t="inlineStr">
        <is>
          <t>财通资管</t>
        </is>
      </c>
      <c r="H2650" s="173" t="inlineStr">
        <is>
          <t>首创证券</t>
        </is>
      </c>
      <c r="I2650" s="173" t="inlineStr">
        <is>
          <t>民生北分</t>
        </is>
      </c>
      <c r="J2650" s="172" t="n">
        <v>10</v>
      </c>
      <c r="K2650" s="173" t="inlineStr">
        <is>
          <t>22+24</t>
        </is>
      </c>
      <c r="L2650" s="202" t="n">
        <v>46268</v>
      </c>
      <c r="M2650" s="175" t="n">
        <v>0.0148</v>
      </c>
      <c r="N2650" s="176" t="n">
        <v>0.02241</v>
      </c>
      <c r="O2650" s="172" t="n">
        <v>2.28</v>
      </c>
      <c r="P2650" s="172" t="inlineStr">
        <is>
          <t>优先B</t>
        </is>
      </c>
      <c r="Q2650" s="178" t="n">
        <v>0.03</v>
      </c>
      <c r="R2650" s="179" t="n">
        <v>0.3</v>
      </c>
      <c r="S2650" s="177" t="inlineStr">
        <is>
          <t>AA+</t>
        </is>
      </c>
      <c r="T2650" s="178" t="n">
        <v>0.0192</v>
      </c>
      <c r="U2650" s="177" t="inlineStr">
        <is>
          <t>中信证券投顾</t>
        </is>
      </c>
      <c r="V2650" s="192" t="n">
        <v>0.03</v>
      </c>
      <c r="W2650" s="175" t="n">
        <v>0.0192</v>
      </c>
      <c r="X2650" s="172" t="inlineStr">
        <is>
          <t>中信证券投顾</t>
        </is>
      </c>
      <c r="Y2650" s="191" t="n">
        <v>0.09</v>
      </c>
    </row>
    <row r="2651">
      <c r="A2651" s="172" t="n">
        <v>141</v>
      </c>
      <c r="B2651" s="172" t="inlineStr">
        <is>
          <t>9月</t>
        </is>
      </c>
      <c r="C2651" s="172" t="inlineStr">
        <is>
          <t>消金</t>
        </is>
      </c>
      <c r="D2651" s="172" t="inlineStr">
        <is>
          <t>金条&amp;白取混发</t>
        </is>
      </c>
      <c r="E2651" s="172" t="inlineStr">
        <is>
          <t>耘睿28-5</t>
        </is>
      </c>
      <c r="F2651" s="172" t="inlineStr">
        <is>
          <t>上交所</t>
        </is>
      </c>
      <c r="G2651" s="172" t="inlineStr">
        <is>
          <t>财通资管</t>
        </is>
      </c>
      <c r="H2651" s="172" t="inlineStr">
        <is>
          <t>首创证券</t>
        </is>
      </c>
      <c r="I2651" s="172" t="inlineStr">
        <is>
          <t>民生北分</t>
        </is>
      </c>
      <c r="J2651" s="172" t="n">
        <v>10</v>
      </c>
      <c r="K2651" s="172" t="inlineStr">
        <is>
          <t>22+24</t>
        </is>
      </c>
      <c r="L2651" s="208" t="n">
        <v>46268</v>
      </c>
      <c r="M2651" s="175" t="n">
        <v>0.0148</v>
      </c>
      <c r="N2651" s="176" t="n">
        <v>0.02241</v>
      </c>
      <c r="O2651" s="172" t="n">
        <v>2.28</v>
      </c>
      <c r="P2651" s="172" t="inlineStr">
        <is>
          <t>优先B</t>
        </is>
      </c>
      <c r="Q2651" s="175" t="n">
        <v>0.03</v>
      </c>
      <c r="R2651" s="192" t="n">
        <v>0.3</v>
      </c>
      <c r="S2651" s="172" t="inlineStr">
        <is>
          <t>AA+</t>
        </is>
      </c>
      <c r="T2651" s="175" t="n">
        <v>0.0192</v>
      </c>
      <c r="U2651" s="172" t="n"/>
      <c r="V2651" s="172" t="n"/>
      <c r="W2651" s="175" t="n">
        <v>0.027</v>
      </c>
      <c r="X2651" s="172" t="inlineStr">
        <is>
          <t>财通资管</t>
        </is>
      </c>
      <c r="Y2651" s="191" t="n">
        <v>0.1</v>
      </c>
    </row>
    <row r="2652">
      <c r="A2652" s="172" t="n">
        <v>141</v>
      </c>
      <c r="B2652" s="172" t="inlineStr">
        <is>
          <t>9月</t>
        </is>
      </c>
      <c r="C2652" s="172" t="inlineStr">
        <is>
          <t>消金</t>
        </is>
      </c>
      <c r="D2652" s="172" t="inlineStr">
        <is>
          <t>金条&amp;白取混发</t>
        </is>
      </c>
      <c r="E2652" s="172" t="inlineStr">
        <is>
          <t>耘睿28-5</t>
        </is>
      </c>
      <c r="F2652" s="172" t="inlineStr">
        <is>
          <t>上交所</t>
        </is>
      </c>
      <c r="G2652" s="172" t="inlineStr">
        <is>
          <t>财通资管</t>
        </is>
      </c>
      <c r="H2652" s="172" t="inlineStr">
        <is>
          <t>首创证券</t>
        </is>
      </c>
      <c r="I2652" s="172" t="inlineStr">
        <is>
          <t>民生北分</t>
        </is>
      </c>
      <c r="J2652" s="172" t="n">
        <v>10</v>
      </c>
      <c r="K2652" s="172" t="inlineStr">
        <is>
          <t>22+24</t>
        </is>
      </c>
      <c r="L2652" s="208" t="n">
        <v>46268</v>
      </c>
      <c r="M2652" s="175" t="n">
        <v>0.0148</v>
      </c>
      <c r="N2652" s="176" t="n">
        <v>0.02241</v>
      </c>
      <c r="O2652" s="172" t="n">
        <v>2.28</v>
      </c>
      <c r="P2652" s="172" t="inlineStr">
        <is>
          <t>优先B</t>
        </is>
      </c>
      <c r="Q2652" s="175" t="n">
        <v>0.03</v>
      </c>
      <c r="R2652" s="192" t="n">
        <v>0.3</v>
      </c>
      <c r="S2652" s="172" t="inlineStr">
        <is>
          <t>AA+</t>
        </is>
      </c>
      <c r="T2652" s="175" t="n">
        <v>0.0192</v>
      </c>
      <c r="U2652" s="172" t="n"/>
      <c r="V2652" s="172" t="n"/>
      <c r="W2652" s="175" t="n">
        <v>0.027</v>
      </c>
      <c r="X2652" s="172" t="inlineStr">
        <is>
          <t>首创自营</t>
        </is>
      </c>
      <c r="Y2652" s="191" t="n">
        <v>0.03</v>
      </c>
    </row>
    <row r="2653">
      <c r="A2653" s="172" t="n">
        <v>141</v>
      </c>
      <c r="B2653" s="173" t="inlineStr">
        <is>
          <t>9月</t>
        </is>
      </c>
      <c r="C2653" s="173" t="inlineStr">
        <is>
          <t>消金</t>
        </is>
      </c>
      <c r="D2653" s="173" t="inlineStr">
        <is>
          <t>金条&amp;白取混发</t>
        </is>
      </c>
      <c r="E2653" s="173" t="inlineStr">
        <is>
          <t>耘睿28-5</t>
        </is>
      </c>
      <c r="F2653" s="173" t="inlineStr">
        <is>
          <t>上交所</t>
        </is>
      </c>
      <c r="G2653" s="173" t="inlineStr">
        <is>
          <t>财通资管</t>
        </is>
      </c>
      <c r="H2653" s="173" t="inlineStr">
        <is>
          <t>首创证券</t>
        </is>
      </c>
      <c r="I2653" s="173" t="inlineStr">
        <is>
          <t>民生北分</t>
        </is>
      </c>
      <c r="J2653" s="172" t="n">
        <v>10</v>
      </c>
      <c r="K2653" s="173" t="inlineStr">
        <is>
          <t>22+24</t>
        </is>
      </c>
      <c r="L2653" s="202" t="n">
        <v>46268</v>
      </c>
      <c r="M2653" s="175" t="n">
        <v>0.0148</v>
      </c>
      <c r="N2653" s="176" t="n">
        <v>0.02241</v>
      </c>
      <c r="O2653" s="172" t="n">
        <v>2.28</v>
      </c>
      <c r="P2653" s="177" t="inlineStr">
        <is>
          <t>中间级</t>
        </is>
      </c>
      <c r="Q2653" s="178" t="n">
        <v>0.02</v>
      </c>
      <c r="R2653" s="179" t="n">
        <v>0.2</v>
      </c>
      <c r="S2653" s="177" t="inlineStr">
        <is>
          <t>AA-</t>
        </is>
      </c>
      <c r="T2653" s="178" t="n">
        <v>0.032</v>
      </c>
      <c r="U2653" s="177" t="inlineStr">
        <is>
          <t>中金财富</t>
        </is>
      </c>
      <c r="V2653" s="192" t="n">
        <v>0.1</v>
      </c>
      <c r="W2653" s="172" t="n"/>
      <c r="X2653" s="172" t="n"/>
      <c r="Y2653" s="172" t="n"/>
    </row>
    <row r="2654">
      <c r="A2654" s="172" t="n">
        <v>141</v>
      </c>
      <c r="B2654" s="173" t="inlineStr">
        <is>
          <t>9月</t>
        </is>
      </c>
      <c r="C2654" s="173" t="inlineStr">
        <is>
          <t>消金</t>
        </is>
      </c>
      <c r="D2654" s="173" t="inlineStr">
        <is>
          <t>金条&amp;白取混发</t>
        </is>
      </c>
      <c r="E2654" s="173" t="inlineStr">
        <is>
          <t>耘睿28-5</t>
        </is>
      </c>
      <c r="F2654" s="173" t="inlineStr">
        <is>
          <t>上交所</t>
        </is>
      </c>
      <c r="G2654" s="173" t="inlineStr">
        <is>
          <t>财通资管</t>
        </is>
      </c>
      <c r="H2654" s="173" t="inlineStr">
        <is>
          <t>首创证券</t>
        </is>
      </c>
      <c r="I2654" s="173" t="inlineStr">
        <is>
          <t>民生北分</t>
        </is>
      </c>
      <c r="J2654" s="172" t="n">
        <v>10</v>
      </c>
      <c r="K2654" s="173" t="inlineStr">
        <is>
          <t>22+24</t>
        </is>
      </c>
      <c r="L2654" s="202" t="n">
        <v>46268</v>
      </c>
      <c r="M2654" s="175" t="n">
        <v>0.0148</v>
      </c>
      <c r="N2654" s="176" t="n">
        <v>0.02241</v>
      </c>
      <c r="O2654" s="172" t="n">
        <v>2.28</v>
      </c>
      <c r="P2654" s="172" t="inlineStr">
        <is>
          <t>中间级</t>
        </is>
      </c>
      <c r="Q2654" s="178" t="n">
        <v>0.02</v>
      </c>
      <c r="R2654" s="179" t="n">
        <v>0.2</v>
      </c>
      <c r="S2654" s="177" t="inlineStr">
        <is>
          <t>AA-</t>
        </is>
      </c>
      <c r="T2654" s="178" t="n">
        <v>0.032</v>
      </c>
      <c r="U2654" s="177" t="inlineStr">
        <is>
          <t>中信证券自营</t>
        </is>
      </c>
      <c r="V2654" s="192" t="n">
        <v>0.1</v>
      </c>
      <c r="W2654" s="172" t="n"/>
      <c r="X2654" s="172" t="n"/>
      <c r="Y2654" s="172" t="n"/>
    </row>
    <row r="2655">
      <c r="A2655" s="172" t="n">
        <v>141</v>
      </c>
      <c r="B2655" s="173" t="inlineStr">
        <is>
          <t>9月</t>
        </is>
      </c>
      <c r="C2655" s="173" t="inlineStr">
        <is>
          <t>消金</t>
        </is>
      </c>
      <c r="D2655" s="173" t="inlineStr">
        <is>
          <t>金条&amp;白取混发</t>
        </is>
      </c>
      <c r="E2655" s="173" t="inlineStr">
        <is>
          <t>耘睿28-5</t>
        </is>
      </c>
      <c r="F2655" s="173" t="inlineStr">
        <is>
          <t>上交所</t>
        </is>
      </c>
      <c r="G2655" s="173" t="inlineStr">
        <is>
          <t>财通资管</t>
        </is>
      </c>
      <c r="H2655" s="173" t="inlineStr">
        <is>
          <t>首创证券</t>
        </is>
      </c>
      <c r="I2655" s="173" t="inlineStr">
        <is>
          <t>民生北分</t>
        </is>
      </c>
      <c r="J2655" s="172" t="n">
        <v>10</v>
      </c>
      <c r="K2655" s="173" t="inlineStr">
        <is>
          <t>22+24</t>
        </is>
      </c>
      <c r="L2655" s="202" t="n">
        <v>46268</v>
      </c>
      <c r="M2655" s="175" t="n">
        <v>0.0148</v>
      </c>
      <c r="N2655" s="176" t="n">
        <v>0.02241</v>
      </c>
      <c r="O2655" s="172" t="n">
        <v>2.28</v>
      </c>
      <c r="P2655" s="177" t="inlineStr">
        <is>
          <t>受益权</t>
        </is>
      </c>
      <c r="Q2655" s="178" t="n">
        <v>0.05</v>
      </c>
      <c r="R2655" s="179" t="n">
        <v>0.5</v>
      </c>
      <c r="S2655" s="177" t="inlineStr">
        <is>
          <t>无</t>
        </is>
      </c>
      <c r="T2655" s="178" t="n">
        <v>0.0495</v>
      </c>
      <c r="U2655" s="177" t="inlineStr">
        <is>
          <t>国信证券自营</t>
        </is>
      </c>
      <c r="V2655" s="192" t="n">
        <v>0.1</v>
      </c>
      <c r="W2655" s="172" t="n"/>
      <c r="X2655" s="172" t="n"/>
      <c r="Y2655" s="172" t="n"/>
    </row>
    <row r="2656">
      <c r="A2656" s="172" t="n">
        <v>141</v>
      </c>
      <c r="B2656" s="173" t="inlineStr">
        <is>
          <t>9月</t>
        </is>
      </c>
      <c r="C2656" s="173" t="inlineStr">
        <is>
          <t>消金</t>
        </is>
      </c>
      <c r="D2656" s="173" t="inlineStr">
        <is>
          <t>金条&amp;白取混发</t>
        </is>
      </c>
      <c r="E2656" s="173" t="inlineStr">
        <is>
          <t>耘睿28-5</t>
        </is>
      </c>
      <c r="F2656" s="173" t="inlineStr">
        <is>
          <t>上交所</t>
        </is>
      </c>
      <c r="G2656" s="173" t="inlineStr">
        <is>
          <t>财通资管</t>
        </is>
      </c>
      <c r="H2656" s="173" t="inlineStr">
        <is>
          <t>首创证券</t>
        </is>
      </c>
      <c r="I2656" s="173" t="inlineStr">
        <is>
          <t>民生北分</t>
        </is>
      </c>
      <c r="J2656" s="172" t="n">
        <v>10</v>
      </c>
      <c r="K2656" s="173" t="inlineStr">
        <is>
          <t>22+24</t>
        </is>
      </c>
      <c r="L2656" s="202" t="n">
        <v>46268</v>
      </c>
      <c r="M2656" s="175" t="n">
        <v>0.0148</v>
      </c>
      <c r="N2656" s="176" t="n">
        <v>0.02241</v>
      </c>
      <c r="O2656" s="172" t="n">
        <v>2.28</v>
      </c>
      <c r="P2656" s="172" t="inlineStr">
        <is>
          <t>受益权</t>
        </is>
      </c>
      <c r="Q2656" s="178" t="n">
        <v>0.05</v>
      </c>
      <c r="R2656" s="179" t="n">
        <v>0.5</v>
      </c>
      <c r="S2656" s="177" t="inlineStr">
        <is>
          <t>无</t>
        </is>
      </c>
      <c r="T2656" s="178" t="n">
        <v>0.0495</v>
      </c>
      <c r="U2656" s="177" t="inlineStr">
        <is>
          <t>朗姿韩亚</t>
        </is>
      </c>
      <c r="V2656" s="192" t="n">
        <v>0.2</v>
      </c>
      <c r="W2656" s="172" t="n"/>
      <c r="X2656" s="172" t="n"/>
      <c r="Y2656" s="172" t="n"/>
    </row>
    <row r="2657">
      <c r="A2657" s="172" t="n">
        <v>141</v>
      </c>
      <c r="B2657" s="173" t="inlineStr">
        <is>
          <t>9月</t>
        </is>
      </c>
      <c r="C2657" s="173" t="inlineStr">
        <is>
          <t>消金</t>
        </is>
      </c>
      <c r="D2657" s="173" t="inlineStr">
        <is>
          <t>金条&amp;白取混发</t>
        </is>
      </c>
      <c r="E2657" s="173" t="inlineStr">
        <is>
          <t>耘睿28-5</t>
        </is>
      </c>
      <c r="F2657" s="173" t="inlineStr">
        <is>
          <t>上交所</t>
        </is>
      </c>
      <c r="G2657" s="173" t="inlineStr">
        <is>
          <t>财通资管</t>
        </is>
      </c>
      <c r="H2657" s="173" t="inlineStr">
        <is>
          <t>首创证券</t>
        </is>
      </c>
      <c r="I2657" s="173" t="inlineStr">
        <is>
          <t>民生北分</t>
        </is>
      </c>
      <c r="J2657" s="172" t="n">
        <v>10</v>
      </c>
      <c r="K2657" s="173" t="inlineStr">
        <is>
          <t>22+24</t>
        </is>
      </c>
      <c r="L2657" s="202" t="n">
        <v>46268</v>
      </c>
      <c r="M2657" s="175" t="n">
        <v>0.0148</v>
      </c>
      <c r="N2657" s="176" t="n">
        <v>0.02241</v>
      </c>
      <c r="O2657" s="172" t="n">
        <v>2.28</v>
      </c>
      <c r="P2657" s="172" t="inlineStr">
        <is>
          <t>受益权</t>
        </is>
      </c>
      <c r="Q2657" s="178" t="n">
        <v>0.05</v>
      </c>
      <c r="R2657" s="179" t="n">
        <v>0.5</v>
      </c>
      <c r="S2657" s="177" t="inlineStr">
        <is>
          <t>无</t>
        </is>
      </c>
      <c r="T2657" s="178" t="n">
        <v>0.0495</v>
      </c>
      <c r="U2657" s="177" t="inlineStr">
        <is>
          <t>西部证券自营</t>
        </is>
      </c>
      <c r="V2657" s="192" t="n">
        <v>0.2</v>
      </c>
      <c r="W2657" s="172" t="n"/>
      <c r="X2657" s="172" t="n"/>
      <c r="Y2657" s="172" t="n"/>
    </row>
    <row r="2658">
      <c r="A2658" s="172" t="n">
        <v>142</v>
      </c>
      <c r="B2658" s="172" t="inlineStr">
        <is>
          <t>9月</t>
        </is>
      </c>
      <c r="C2658" s="172" t="inlineStr">
        <is>
          <t>企金</t>
        </is>
      </c>
      <c r="D2658" s="172" t="inlineStr">
        <is>
          <t>小贷企业主贷</t>
        </is>
      </c>
      <c r="E2658" s="172" t="inlineStr">
        <is>
          <t>盛赢4-5</t>
        </is>
      </c>
      <c r="F2658" s="172" t="inlineStr">
        <is>
          <t>上交所</t>
        </is>
      </c>
      <c r="G2658" s="172" t="inlineStr">
        <is>
          <t>财通资管</t>
        </is>
      </c>
      <c r="H2658" s="172" t="inlineStr">
        <is>
          <t>华福证券</t>
        </is>
      </c>
      <c r="I2658" s="172" t="inlineStr">
        <is>
          <t>招行北分</t>
        </is>
      </c>
      <c r="J2658" s="172" t="n">
        <v>8</v>
      </c>
      <c r="K2658" s="172" t="inlineStr">
        <is>
          <t>9+24</t>
        </is>
      </c>
      <c r="L2658" s="202" t="n">
        <v>46269</v>
      </c>
      <c r="M2658" s="175" t="n">
        <v>0.0148</v>
      </c>
      <c r="N2658" s="176" t="n">
        <v>0.0194</v>
      </c>
      <c r="O2658" s="191" t="n">
        <v>2.54</v>
      </c>
      <c r="P2658" s="172" t="inlineStr">
        <is>
          <t>优先A</t>
        </is>
      </c>
      <c r="Q2658" s="175" t="n">
        <v>0.83</v>
      </c>
      <c r="R2658" s="192">
        <f>J1706*Q1706</f>
        <v/>
      </c>
      <c r="S2658" s="172" t="inlineStr">
        <is>
          <t>AAA</t>
        </is>
      </c>
      <c r="T2658" s="175" t="n">
        <v>0.0165</v>
      </c>
      <c r="U2658" s="172" t="inlineStr">
        <is>
          <t>信银理财</t>
        </is>
      </c>
      <c r="V2658" s="191" t="n">
        <v>1.99</v>
      </c>
      <c r="W2658" s="175" t="n">
        <v>0.0156</v>
      </c>
      <c r="X2658" s="172" t="inlineStr">
        <is>
          <t>信银理财</t>
        </is>
      </c>
      <c r="Y2658" s="191" t="n">
        <v>1.4</v>
      </c>
    </row>
    <row r="2659">
      <c r="A2659" s="172" t="n">
        <v>142</v>
      </c>
      <c r="B2659" s="172" t="inlineStr">
        <is>
          <t>9月</t>
        </is>
      </c>
      <c r="C2659" s="172" t="inlineStr">
        <is>
          <t>企金</t>
        </is>
      </c>
      <c r="D2659" s="172" t="inlineStr">
        <is>
          <t>小贷企业主贷</t>
        </is>
      </c>
      <c r="E2659" s="172" t="inlineStr">
        <is>
          <t>盛赢4-5</t>
        </is>
      </c>
      <c r="F2659" s="172" t="inlineStr">
        <is>
          <t>上交所</t>
        </is>
      </c>
      <c r="G2659" s="172" t="inlineStr">
        <is>
          <t>财通资管</t>
        </is>
      </c>
      <c r="H2659" s="172" t="inlineStr">
        <is>
          <t>华福证券</t>
        </is>
      </c>
      <c r="I2659" s="172" t="inlineStr">
        <is>
          <t>招行北分</t>
        </is>
      </c>
      <c r="J2659" s="172" t="n">
        <v>8</v>
      </c>
      <c r="K2659" s="172" t="inlineStr">
        <is>
          <t>9+24</t>
        </is>
      </c>
      <c r="L2659" s="208" t="n">
        <v>46269</v>
      </c>
      <c r="M2659" s="175" t="n">
        <v>0.0148</v>
      </c>
      <c r="N2659" s="176" t="n">
        <v>0.0194</v>
      </c>
      <c r="O2659" s="172" t="n">
        <v>2.54</v>
      </c>
      <c r="P2659" s="172" t="inlineStr">
        <is>
          <t>优先A</t>
        </is>
      </c>
      <c r="Q2659" s="175" t="n">
        <v>0.83</v>
      </c>
      <c r="R2659" s="172">
        <f>J1706*Q1706</f>
        <v/>
      </c>
      <c r="S2659" s="172" t="inlineStr">
        <is>
          <t>AAA</t>
        </is>
      </c>
      <c r="T2659" s="175" t="n">
        <v>0.0165</v>
      </c>
      <c r="U2659" s="172" t="n"/>
      <c r="V2659" s="172" t="n"/>
      <c r="W2659" s="175" t="n">
        <v>0.016</v>
      </c>
      <c r="X2659" s="172" t="inlineStr">
        <is>
          <t>信银理财</t>
        </is>
      </c>
      <c r="Y2659" s="191" t="n">
        <v>0.59</v>
      </c>
    </row>
    <row r="2660">
      <c r="A2660" s="172" t="n">
        <v>142</v>
      </c>
      <c r="B2660" s="172" t="inlineStr">
        <is>
          <t>9月</t>
        </is>
      </c>
      <c r="C2660" s="172" t="inlineStr">
        <is>
          <t>企金</t>
        </is>
      </c>
      <c r="D2660" s="172" t="inlineStr">
        <is>
          <t>小贷企业主贷</t>
        </is>
      </c>
      <c r="E2660" s="172" t="inlineStr">
        <is>
          <t>盛赢4-5</t>
        </is>
      </c>
      <c r="F2660" s="172" t="inlineStr">
        <is>
          <t>上交所</t>
        </is>
      </c>
      <c r="G2660" s="172" t="inlineStr">
        <is>
          <t>财通资管</t>
        </is>
      </c>
      <c r="H2660" s="172" t="inlineStr">
        <is>
          <t>华福证券</t>
        </is>
      </c>
      <c r="I2660" s="172" t="inlineStr">
        <is>
          <t>招行北分</t>
        </is>
      </c>
      <c r="J2660" s="172" t="n">
        <v>8</v>
      </c>
      <c r="K2660" s="172" t="inlineStr">
        <is>
          <t>9+24</t>
        </is>
      </c>
      <c r="L2660" s="202" t="n">
        <v>46269</v>
      </c>
      <c r="M2660" s="175" t="n">
        <v>0.0148</v>
      </c>
      <c r="N2660" s="176" t="n">
        <v>0.0194</v>
      </c>
      <c r="O2660" s="191" t="n">
        <v>2.54</v>
      </c>
      <c r="P2660" s="172" t="inlineStr">
        <is>
          <t>优先A</t>
        </is>
      </c>
      <c r="Q2660" s="175" t="n">
        <v>0.83</v>
      </c>
      <c r="R2660" s="192">
        <f>J1706*Q1706</f>
        <v/>
      </c>
      <c r="S2660" s="172" t="inlineStr">
        <is>
          <t>AAA</t>
        </is>
      </c>
      <c r="T2660" s="175" t="n">
        <v>0.0165</v>
      </c>
      <c r="U2660" s="172" t="inlineStr">
        <is>
          <t>招银理财</t>
        </is>
      </c>
      <c r="V2660" s="191" t="n">
        <v>1.99</v>
      </c>
      <c r="W2660" s="175" t="n">
        <v>0.0156</v>
      </c>
      <c r="X2660" s="172" t="inlineStr">
        <is>
          <t>招银理财</t>
        </is>
      </c>
      <c r="Y2660" s="191" t="n">
        <v>1.99</v>
      </c>
    </row>
    <row r="2661">
      <c r="A2661" s="172" t="n">
        <v>142</v>
      </c>
      <c r="B2661" s="172" t="inlineStr">
        <is>
          <t>9月</t>
        </is>
      </c>
      <c r="C2661" s="172" t="inlineStr">
        <is>
          <t>企金</t>
        </is>
      </c>
      <c r="D2661" s="172" t="inlineStr">
        <is>
          <t>小贷企业主贷</t>
        </is>
      </c>
      <c r="E2661" s="172" t="inlineStr">
        <is>
          <t>盛赢4-5</t>
        </is>
      </c>
      <c r="F2661" s="172" t="inlineStr">
        <is>
          <t>上交所</t>
        </is>
      </c>
      <c r="G2661" s="172" t="inlineStr">
        <is>
          <t>财通资管</t>
        </is>
      </c>
      <c r="H2661" s="172" t="inlineStr">
        <is>
          <t>华福证券</t>
        </is>
      </c>
      <c r="I2661" s="172" t="inlineStr">
        <is>
          <t>招行北分</t>
        </is>
      </c>
      <c r="J2661" s="172" t="n">
        <v>8</v>
      </c>
      <c r="K2661" s="172" t="inlineStr">
        <is>
          <t>9+24</t>
        </is>
      </c>
      <c r="L2661" s="202" t="n">
        <v>46269</v>
      </c>
      <c r="M2661" s="175" t="n">
        <v>0.0148</v>
      </c>
      <c r="N2661" s="176" t="n">
        <v>0.0194</v>
      </c>
      <c r="O2661" s="191" t="n">
        <v>2.54</v>
      </c>
      <c r="P2661" s="172" t="inlineStr">
        <is>
          <t>优先A</t>
        </is>
      </c>
      <c r="Q2661" s="175" t="n">
        <v>0.83</v>
      </c>
      <c r="R2661" s="192">
        <f>J1706*Q1706</f>
        <v/>
      </c>
      <c r="S2661" s="172" t="inlineStr">
        <is>
          <t>AAA</t>
        </is>
      </c>
      <c r="T2661" s="175" t="n">
        <v>0.0165</v>
      </c>
      <c r="U2661" s="172" t="inlineStr">
        <is>
          <t>中邮理财</t>
        </is>
      </c>
      <c r="V2661" s="191" t="n">
        <v>1.5</v>
      </c>
      <c r="W2661" s="175" t="n">
        <v>0.0164</v>
      </c>
      <c r="X2661" s="172" t="inlineStr">
        <is>
          <t>中邮理财</t>
        </is>
      </c>
      <c r="Y2661" s="191" t="n">
        <v>1</v>
      </c>
    </row>
    <row r="2662">
      <c r="A2662" s="172" t="n">
        <v>142</v>
      </c>
      <c r="B2662" s="172" t="inlineStr">
        <is>
          <t>9月</t>
        </is>
      </c>
      <c r="C2662" s="172" t="inlineStr">
        <is>
          <t>企金</t>
        </is>
      </c>
      <c r="D2662" s="172" t="inlineStr">
        <is>
          <t>小贷企业主贷</t>
        </is>
      </c>
      <c r="E2662" s="172" t="inlineStr">
        <is>
          <t>盛赢4-5</t>
        </is>
      </c>
      <c r="F2662" s="172" t="inlineStr">
        <is>
          <t>上交所</t>
        </is>
      </c>
      <c r="G2662" s="172" t="inlineStr">
        <is>
          <t>财通资管</t>
        </is>
      </c>
      <c r="H2662" s="172" t="inlineStr">
        <is>
          <t>华福证券</t>
        </is>
      </c>
      <c r="I2662" s="172" t="inlineStr">
        <is>
          <t>招行北分</t>
        </is>
      </c>
      <c r="J2662" s="172" t="n">
        <v>8</v>
      </c>
      <c r="K2662" s="172" t="inlineStr">
        <is>
          <t>9+24</t>
        </is>
      </c>
      <c r="L2662" s="208" t="n">
        <v>46269</v>
      </c>
      <c r="M2662" s="175" t="n">
        <v>0.0148</v>
      </c>
      <c r="N2662" s="176" t="n">
        <v>0.0194</v>
      </c>
      <c r="O2662" s="172" t="n">
        <v>2.54</v>
      </c>
      <c r="P2662" s="172" t="inlineStr">
        <is>
          <t>优先A</t>
        </is>
      </c>
      <c r="Q2662" s="175" t="n">
        <v>0.83</v>
      </c>
      <c r="R2662" s="172">
        <f>J1706*Q1706</f>
        <v/>
      </c>
      <c r="S2662" s="172" t="inlineStr">
        <is>
          <t>AAA</t>
        </is>
      </c>
      <c r="T2662" s="175" t="n">
        <v>0.0165</v>
      </c>
      <c r="U2662" s="172" t="n"/>
      <c r="V2662" s="172" t="n"/>
      <c r="W2662" s="175" t="n">
        <v>0.0165</v>
      </c>
      <c r="X2662" s="172" t="inlineStr">
        <is>
          <t>中邮理财</t>
        </is>
      </c>
      <c r="Y2662" s="191" t="n">
        <v>0.992</v>
      </c>
    </row>
    <row r="2663">
      <c r="A2663" s="172" t="n">
        <v>142</v>
      </c>
      <c r="B2663" s="172" t="inlineStr">
        <is>
          <t>9月</t>
        </is>
      </c>
      <c r="C2663" s="172" t="inlineStr">
        <is>
          <t>企金</t>
        </is>
      </c>
      <c r="D2663" s="172" t="inlineStr">
        <is>
          <t>小贷企业主贷</t>
        </is>
      </c>
      <c r="E2663" s="172" t="inlineStr">
        <is>
          <t>盛赢4-5</t>
        </is>
      </c>
      <c r="F2663" s="172" t="inlineStr">
        <is>
          <t>上交所</t>
        </is>
      </c>
      <c r="G2663" s="172" t="inlineStr">
        <is>
          <t>财通资管</t>
        </is>
      </c>
      <c r="H2663" s="172" t="inlineStr">
        <is>
          <t>华福证券</t>
        </is>
      </c>
      <c r="I2663" s="172" t="inlineStr">
        <is>
          <t>招行北分</t>
        </is>
      </c>
      <c r="J2663" s="172" t="n">
        <v>8</v>
      </c>
      <c r="K2663" s="172" t="inlineStr">
        <is>
          <t>9+24</t>
        </is>
      </c>
      <c r="L2663" s="202" t="n">
        <v>46269</v>
      </c>
      <c r="M2663" s="175" t="n">
        <v>0.0148</v>
      </c>
      <c r="N2663" s="176" t="n">
        <v>0.0194</v>
      </c>
      <c r="O2663" s="191" t="n">
        <v>2.54</v>
      </c>
      <c r="P2663" s="172" t="inlineStr">
        <is>
          <t>优先A</t>
        </is>
      </c>
      <c r="Q2663" s="175" t="n">
        <v>0.83</v>
      </c>
      <c r="R2663" s="192">
        <f>J1706*Q1706</f>
        <v/>
      </c>
      <c r="S2663" s="172" t="inlineStr">
        <is>
          <t>AAA</t>
        </is>
      </c>
      <c r="T2663" s="175" t="n">
        <v>0.0165</v>
      </c>
      <c r="U2663" s="172" t="inlineStr">
        <is>
          <t>中信证券投顾</t>
        </is>
      </c>
      <c r="V2663" s="191" t="n">
        <v>0.4</v>
      </c>
      <c r="W2663" s="172" t="n"/>
      <c r="X2663" s="172" t="n"/>
      <c r="Y2663" s="172" t="n"/>
    </row>
    <row r="2664">
      <c r="A2664" s="172" t="n">
        <v>142</v>
      </c>
      <c r="B2664" s="172" t="inlineStr">
        <is>
          <t>9月</t>
        </is>
      </c>
      <c r="C2664" s="172" t="inlineStr">
        <is>
          <t>企金</t>
        </is>
      </c>
      <c r="D2664" s="172" t="inlineStr">
        <is>
          <t>小贷企业主贷</t>
        </is>
      </c>
      <c r="E2664" s="172" t="inlineStr">
        <is>
          <t>盛赢4-5</t>
        </is>
      </c>
      <c r="F2664" s="172" t="inlineStr">
        <is>
          <t>上交所</t>
        </is>
      </c>
      <c r="G2664" s="172" t="inlineStr">
        <is>
          <t>财通资管</t>
        </is>
      </c>
      <c r="H2664" s="172" t="inlineStr">
        <is>
          <t>华福证券</t>
        </is>
      </c>
      <c r="I2664" s="172" t="inlineStr">
        <is>
          <t>招行北分</t>
        </is>
      </c>
      <c r="J2664" s="172" t="n">
        <v>8</v>
      </c>
      <c r="K2664" s="172" t="inlineStr">
        <is>
          <t>9+24</t>
        </is>
      </c>
      <c r="L2664" s="202" t="n">
        <v>46269</v>
      </c>
      <c r="M2664" s="175" t="n">
        <v>0.0148</v>
      </c>
      <c r="N2664" s="176" t="n">
        <v>0.0194</v>
      </c>
      <c r="O2664" s="191" t="n">
        <v>2.54</v>
      </c>
      <c r="P2664" s="172" t="inlineStr">
        <is>
          <t>优先A</t>
        </is>
      </c>
      <c r="Q2664" s="175" t="n">
        <v>0.83</v>
      </c>
      <c r="R2664" s="192">
        <f>J1706*Q1706</f>
        <v/>
      </c>
      <c r="S2664" s="172" t="inlineStr">
        <is>
          <t>AAA</t>
        </is>
      </c>
      <c r="T2664" s="175" t="n">
        <v>0.0165</v>
      </c>
      <c r="U2664" s="172" t="inlineStr">
        <is>
          <t>上银基金</t>
        </is>
      </c>
      <c r="V2664" s="191" t="n">
        <v>0.42</v>
      </c>
      <c r="W2664" s="175" t="n">
        <v>0.0165</v>
      </c>
      <c r="X2664" s="172" t="inlineStr">
        <is>
          <t>上银基金</t>
        </is>
      </c>
      <c r="Y2664" s="191" t="n">
        <v>0.66</v>
      </c>
    </row>
    <row r="2665">
      <c r="A2665" s="172" t="n">
        <v>142</v>
      </c>
      <c r="B2665" s="172" t="inlineStr">
        <is>
          <t>9月</t>
        </is>
      </c>
      <c r="C2665" s="172" t="inlineStr">
        <is>
          <t>企金</t>
        </is>
      </c>
      <c r="D2665" s="172" t="inlineStr">
        <is>
          <t>小贷企业主贷</t>
        </is>
      </c>
      <c r="E2665" s="172" t="inlineStr">
        <is>
          <t>盛赢4-5</t>
        </is>
      </c>
      <c r="F2665" s="172" t="inlineStr">
        <is>
          <t>上交所</t>
        </is>
      </c>
      <c r="G2665" s="172" t="inlineStr">
        <is>
          <t>财通资管</t>
        </is>
      </c>
      <c r="H2665" s="172" t="inlineStr">
        <is>
          <t>华福证券</t>
        </is>
      </c>
      <c r="I2665" s="172" t="inlineStr">
        <is>
          <t>招行北分</t>
        </is>
      </c>
      <c r="J2665" s="172" t="n">
        <v>8</v>
      </c>
      <c r="K2665" s="172" t="inlineStr">
        <is>
          <t>9+24</t>
        </is>
      </c>
      <c r="L2665" s="202" t="n">
        <v>46269</v>
      </c>
      <c r="M2665" s="175" t="n">
        <v>0.0148</v>
      </c>
      <c r="N2665" s="176" t="n">
        <v>0.0194</v>
      </c>
      <c r="O2665" s="191" t="n">
        <v>2.54</v>
      </c>
      <c r="P2665" s="172" t="inlineStr">
        <is>
          <t>优先A</t>
        </is>
      </c>
      <c r="Q2665" s="175" t="n">
        <v>0.83</v>
      </c>
      <c r="R2665" s="192">
        <f>J1706*Q1706</f>
        <v/>
      </c>
      <c r="S2665" s="172" t="inlineStr">
        <is>
          <t>AAA</t>
        </is>
      </c>
      <c r="T2665" s="175" t="n">
        <v>0.0165</v>
      </c>
      <c r="U2665" s="172" t="inlineStr">
        <is>
          <t>盛际小贷</t>
        </is>
      </c>
      <c r="V2665" s="191" t="n">
        <v>0.34</v>
      </c>
      <c r="W2665" s="175" t="n">
        <v>0.01</v>
      </c>
      <c r="X2665" s="172" t="inlineStr">
        <is>
          <t>盛际小贷</t>
        </is>
      </c>
      <c r="Y2665" s="191" t="n">
        <v>0.34</v>
      </c>
    </row>
    <row r="2666">
      <c r="A2666" s="172" t="n">
        <v>142</v>
      </c>
      <c r="B2666" s="172" t="inlineStr">
        <is>
          <t>9月</t>
        </is>
      </c>
      <c r="C2666" s="172" t="inlineStr">
        <is>
          <t>企金</t>
        </is>
      </c>
      <c r="D2666" s="172" t="inlineStr">
        <is>
          <t>小贷企业主贷</t>
        </is>
      </c>
      <c r="E2666" s="172" t="inlineStr">
        <is>
          <t>盛赢4-5</t>
        </is>
      </c>
      <c r="F2666" s="172" t="inlineStr">
        <is>
          <t>上交所</t>
        </is>
      </c>
      <c r="G2666" s="172" t="inlineStr">
        <is>
          <t>财通资管</t>
        </is>
      </c>
      <c r="H2666" s="172" t="inlineStr">
        <is>
          <t>华福证券</t>
        </is>
      </c>
      <c r="I2666" s="172" t="inlineStr">
        <is>
          <t>招行北分</t>
        </is>
      </c>
      <c r="J2666" s="172" t="n">
        <v>8</v>
      </c>
      <c r="K2666" s="172" t="inlineStr">
        <is>
          <t>9+24</t>
        </is>
      </c>
      <c r="L2666" s="208" t="n">
        <v>46269</v>
      </c>
      <c r="M2666" s="175" t="n">
        <v>0.0148</v>
      </c>
      <c r="N2666" s="176" t="n">
        <v>0.0194</v>
      </c>
      <c r="O2666" s="172" t="n">
        <v>2.54</v>
      </c>
      <c r="P2666" s="172" t="inlineStr">
        <is>
          <t>优先A</t>
        </is>
      </c>
      <c r="Q2666" s="175" t="n">
        <v>0.83</v>
      </c>
      <c r="R2666" s="172">
        <f>J1706*Q1706</f>
        <v/>
      </c>
      <c r="S2666" s="172" t="inlineStr">
        <is>
          <t>AAA</t>
        </is>
      </c>
      <c r="T2666" s="175" t="n">
        <v>0.0165</v>
      </c>
      <c r="U2666" s="172" t="n"/>
      <c r="V2666" s="172" t="n"/>
      <c r="W2666" s="175" t="n">
        <v>0.0165</v>
      </c>
      <c r="X2666" s="172" t="inlineStr">
        <is>
          <t>中信投顾</t>
        </is>
      </c>
      <c r="Y2666" s="191" t="n">
        <v>0.8</v>
      </c>
    </row>
    <row r="2667">
      <c r="A2667" s="172" t="n">
        <v>142</v>
      </c>
      <c r="B2667" s="172" t="inlineStr">
        <is>
          <t>9月</t>
        </is>
      </c>
      <c r="C2667" s="172" t="inlineStr">
        <is>
          <t>企金</t>
        </is>
      </c>
      <c r="D2667" s="172" t="inlineStr">
        <is>
          <t>小贷企业主贷</t>
        </is>
      </c>
      <c r="E2667" s="172" t="inlineStr">
        <is>
          <t>盛赢4-5</t>
        </is>
      </c>
      <c r="F2667" s="172" t="inlineStr">
        <is>
          <t>上交所</t>
        </is>
      </c>
      <c r="G2667" s="172" t="inlineStr">
        <is>
          <t>财通资管</t>
        </is>
      </c>
      <c r="H2667" s="172" t="inlineStr">
        <is>
          <t>华福证券</t>
        </is>
      </c>
      <c r="I2667" s="172" t="inlineStr">
        <is>
          <t>招行北分</t>
        </is>
      </c>
      <c r="J2667" s="172" t="n">
        <v>8</v>
      </c>
      <c r="K2667" s="172" t="inlineStr">
        <is>
          <t>9+24</t>
        </is>
      </c>
      <c r="L2667" s="208" t="n">
        <v>46269</v>
      </c>
      <c r="M2667" s="175" t="n">
        <v>0.0148</v>
      </c>
      <c r="N2667" s="176" t="n">
        <v>0.0194</v>
      </c>
      <c r="O2667" s="172" t="n">
        <v>2.54</v>
      </c>
      <c r="P2667" s="172" t="inlineStr">
        <is>
          <t>优先A</t>
        </is>
      </c>
      <c r="Q2667" s="175" t="n">
        <v>0.83</v>
      </c>
      <c r="R2667" s="172">
        <f>J1706*Q1706</f>
        <v/>
      </c>
      <c r="S2667" s="172" t="inlineStr">
        <is>
          <t>AAA</t>
        </is>
      </c>
      <c r="T2667" s="175" t="n">
        <v>0.0165</v>
      </c>
      <c r="U2667" s="172" t="n"/>
      <c r="V2667" s="172" t="n"/>
      <c r="W2667" s="175" t="n">
        <v>0.0166</v>
      </c>
      <c r="X2667" s="172" t="inlineStr">
        <is>
          <t>中信投顾</t>
        </is>
      </c>
      <c r="Y2667" s="191" t="n">
        <v>0.7</v>
      </c>
    </row>
    <row r="2668">
      <c r="A2668" s="172" t="n">
        <v>142</v>
      </c>
      <c r="B2668" s="172" t="inlineStr">
        <is>
          <t>9月</t>
        </is>
      </c>
      <c r="C2668" s="172" t="inlineStr">
        <is>
          <t>企金</t>
        </is>
      </c>
      <c r="D2668" s="172" t="inlineStr">
        <is>
          <t>小贷企业主贷</t>
        </is>
      </c>
      <c r="E2668" s="172" t="inlineStr">
        <is>
          <t>盛赢4-5</t>
        </is>
      </c>
      <c r="F2668" s="172" t="inlineStr">
        <is>
          <t>上交所</t>
        </is>
      </c>
      <c r="G2668" s="172" t="inlineStr">
        <is>
          <t>财通资管</t>
        </is>
      </c>
      <c r="H2668" s="172" t="inlineStr">
        <is>
          <t>华福证券</t>
        </is>
      </c>
      <c r="I2668" s="172" t="inlineStr">
        <is>
          <t>招行北分</t>
        </is>
      </c>
      <c r="J2668" s="172" t="n">
        <v>8</v>
      </c>
      <c r="K2668" s="172" t="inlineStr">
        <is>
          <t>9+24</t>
        </is>
      </c>
      <c r="L2668" s="208" t="n">
        <v>46269</v>
      </c>
      <c r="M2668" s="175" t="n">
        <v>0.0148</v>
      </c>
      <c r="N2668" s="176" t="n">
        <v>0.0194</v>
      </c>
      <c r="O2668" s="172" t="n">
        <v>2.54</v>
      </c>
      <c r="P2668" s="172" t="inlineStr">
        <is>
          <t>优先A</t>
        </is>
      </c>
      <c r="Q2668" s="175" t="n">
        <v>0.83</v>
      </c>
      <c r="R2668" s="172">
        <f>J1706*Q1706</f>
        <v/>
      </c>
      <c r="S2668" s="172" t="inlineStr">
        <is>
          <t>AAA</t>
        </is>
      </c>
      <c r="T2668" s="175" t="n">
        <v>0.0165</v>
      </c>
      <c r="U2668" s="172" t="n"/>
      <c r="V2668" s="172" t="n"/>
      <c r="W2668" s="175" t="n">
        <v>0.0168</v>
      </c>
      <c r="X2668" s="172" t="inlineStr">
        <is>
          <t>易方达</t>
        </is>
      </c>
      <c r="Y2668" s="191" t="n">
        <v>0.6</v>
      </c>
    </row>
    <row r="2669">
      <c r="A2669" s="172" t="n">
        <v>142</v>
      </c>
      <c r="B2669" s="172" t="inlineStr">
        <is>
          <t>9月</t>
        </is>
      </c>
      <c r="C2669" s="172" t="inlineStr">
        <is>
          <t>企金</t>
        </is>
      </c>
      <c r="D2669" s="172" t="inlineStr">
        <is>
          <t>小贷企业主贷</t>
        </is>
      </c>
      <c r="E2669" s="172" t="inlineStr">
        <is>
          <t>盛赢4-5</t>
        </is>
      </c>
      <c r="F2669" s="172" t="inlineStr">
        <is>
          <t>上交所</t>
        </is>
      </c>
      <c r="G2669" s="172" t="inlineStr">
        <is>
          <t>财通资管</t>
        </is>
      </c>
      <c r="H2669" s="172" t="inlineStr">
        <is>
          <t>华福证券</t>
        </is>
      </c>
      <c r="I2669" s="172" t="inlineStr">
        <is>
          <t>招行北分</t>
        </is>
      </c>
      <c r="J2669" s="172" t="n">
        <v>8</v>
      </c>
      <c r="K2669" s="172" t="inlineStr">
        <is>
          <t>9+24</t>
        </is>
      </c>
      <c r="L2669" s="208" t="n">
        <v>46269</v>
      </c>
      <c r="M2669" s="175" t="n">
        <v>0.0148</v>
      </c>
      <c r="N2669" s="176" t="n">
        <v>0.0194</v>
      </c>
      <c r="O2669" s="172" t="n">
        <v>2.54</v>
      </c>
      <c r="P2669" s="172" t="inlineStr">
        <is>
          <t>优先A</t>
        </is>
      </c>
      <c r="Q2669" s="175" t="n">
        <v>0.83</v>
      </c>
      <c r="R2669" s="172">
        <f>J1706*Q1706</f>
        <v/>
      </c>
      <c r="S2669" s="172" t="inlineStr">
        <is>
          <t>AAA</t>
        </is>
      </c>
      <c r="T2669" s="175" t="n">
        <v>0.0165</v>
      </c>
      <c r="U2669" s="172" t="n"/>
      <c r="V2669" s="172" t="n"/>
      <c r="W2669" s="175" t="n">
        <v>0.017</v>
      </c>
      <c r="X2669" s="172" t="inlineStr">
        <is>
          <t>易方达</t>
        </is>
      </c>
      <c r="Y2669" s="191" t="n">
        <v>1.364</v>
      </c>
    </row>
    <row r="2670">
      <c r="A2670" s="172" t="n">
        <v>142</v>
      </c>
      <c r="B2670" s="172" t="inlineStr">
        <is>
          <t>9月</t>
        </is>
      </c>
      <c r="C2670" s="172" t="inlineStr">
        <is>
          <t>企金</t>
        </is>
      </c>
      <c r="D2670" s="172" t="inlineStr">
        <is>
          <t>小贷企业主贷</t>
        </is>
      </c>
      <c r="E2670" s="172" t="inlineStr">
        <is>
          <t>盛赢4-5</t>
        </is>
      </c>
      <c r="F2670" s="172" t="inlineStr">
        <is>
          <t>上交所</t>
        </is>
      </c>
      <c r="G2670" s="172" t="inlineStr">
        <is>
          <t>财通资管</t>
        </is>
      </c>
      <c r="H2670" s="172" t="inlineStr">
        <is>
          <t>华福证券</t>
        </is>
      </c>
      <c r="I2670" s="172" t="inlineStr">
        <is>
          <t>招行北分</t>
        </is>
      </c>
      <c r="J2670" s="172" t="n">
        <v>8</v>
      </c>
      <c r="K2670" s="172" t="inlineStr">
        <is>
          <t>9+24</t>
        </is>
      </c>
      <c r="L2670" s="208" t="n">
        <v>46269</v>
      </c>
      <c r="M2670" s="175" t="n">
        <v>0.0148</v>
      </c>
      <c r="N2670" s="176" t="n">
        <v>0.0194</v>
      </c>
      <c r="O2670" s="172" t="n">
        <v>2.54</v>
      </c>
      <c r="P2670" s="172" t="inlineStr">
        <is>
          <t>优先A</t>
        </is>
      </c>
      <c r="Q2670" s="175" t="n">
        <v>0.83</v>
      </c>
      <c r="R2670" s="172">
        <f>J1706*Q1706</f>
        <v/>
      </c>
      <c r="S2670" s="172" t="inlineStr">
        <is>
          <t>AAA</t>
        </is>
      </c>
      <c r="T2670" s="175" t="n">
        <v>0.0165</v>
      </c>
      <c r="U2670" s="172" t="n"/>
      <c r="V2670" s="172" t="n"/>
      <c r="W2670" s="175" t="n">
        <v>0.017</v>
      </c>
      <c r="X2670" s="172" t="inlineStr">
        <is>
          <t>利曦基金</t>
        </is>
      </c>
      <c r="Y2670" s="191" t="n">
        <v>2</v>
      </c>
    </row>
    <row r="2671">
      <c r="A2671" s="172" t="n">
        <v>142</v>
      </c>
      <c r="B2671" s="172" t="inlineStr">
        <is>
          <t>9月</t>
        </is>
      </c>
      <c r="C2671" s="172" t="inlineStr">
        <is>
          <t>企金</t>
        </is>
      </c>
      <c r="D2671" s="172" t="inlineStr">
        <is>
          <t>小贷企业主贷</t>
        </is>
      </c>
      <c r="E2671" s="172" t="inlineStr">
        <is>
          <t>盛赢4-5</t>
        </is>
      </c>
      <c r="F2671" s="172" t="inlineStr">
        <is>
          <t>上交所</t>
        </is>
      </c>
      <c r="G2671" s="172" t="inlineStr">
        <is>
          <t>财通资管</t>
        </is>
      </c>
      <c r="H2671" s="172" t="inlineStr">
        <is>
          <t>华福证券</t>
        </is>
      </c>
      <c r="I2671" s="172" t="inlineStr">
        <is>
          <t>招行北分</t>
        </is>
      </c>
      <c r="J2671" s="172" t="n">
        <v>8</v>
      </c>
      <c r="K2671" s="172" t="inlineStr">
        <is>
          <t>9+24</t>
        </is>
      </c>
      <c r="L2671" s="208" t="n">
        <v>46269</v>
      </c>
      <c r="M2671" s="175" t="n">
        <v>0.0148</v>
      </c>
      <c r="N2671" s="176" t="n">
        <v>0.0194</v>
      </c>
      <c r="O2671" s="172" t="n">
        <v>2.54</v>
      </c>
      <c r="P2671" s="172" t="inlineStr">
        <is>
          <t>优先A</t>
        </is>
      </c>
      <c r="Q2671" s="175" t="n">
        <v>0.83</v>
      </c>
      <c r="R2671" s="172">
        <f>J1706*Q1706</f>
        <v/>
      </c>
      <c r="S2671" s="172" t="inlineStr">
        <is>
          <t>AAA</t>
        </is>
      </c>
      <c r="T2671" s="175" t="n">
        <v>0.0165</v>
      </c>
      <c r="U2671" s="172" t="n"/>
      <c r="V2671" s="172" t="n"/>
      <c r="W2671" s="175" t="n">
        <v>0.0175</v>
      </c>
      <c r="X2671" s="172" t="inlineStr">
        <is>
          <t>财通资管</t>
        </is>
      </c>
      <c r="Y2671" s="191" t="n">
        <v>1.1</v>
      </c>
    </row>
    <row r="2672">
      <c r="A2672" s="172" t="n">
        <v>142</v>
      </c>
      <c r="B2672" s="172" t="inlineStr">
        <is>
          <t>9月</t>
        </is>
      </c>
      <c r="C2672" s="172" t="inlineStr">
        <is>
          <t>企金</t>
        </is>
      </c>
      <c r="D2672" s="172" t="inlineStr">
        <is>
          <t>小贷企业主贷</t>
        </is>
      </c>
      <c r="E2672" s="172" t="inlineStr">
        <is>
          <t>盛赢4-5</t>
        </is>
      </c>
      <c r="F2672" s="172" t="inlineStr">
        <is>
          <t>上交所</t>
        </is>
      </c>
      <c r="G2672" s="172" t="inlineStr">
        <is>
          <t>财通资管</t>
        </is>
      </c>
      <c r="H2672" s="172" t="inlineStr">
        <is>
          <t>华福证券</t>
        </is>
      </c>
      <c r="I2672" s="172" t="inlineStr">
        <is>
          <t>招行北分</t>
        </is>
      </c>
      <c r="J2672" s="172" t="n">
        <v>8</v>
      </c>
      <c r="K2672" s="172" t="inlineStr">
        <is>
          <t>9+24</t>
        </is>
      </c>
      <c r="L2672" s="208" t="n">
        <v>46269</v>
      </c>
      <c r="M2672" s="175" t="n">
        <v>0.0148</v>
      </c>
      <c r="N2672" s="176" t="n">
        <v>0.0194</v>
      </c>
      <c r="O2672" s="172" t="n">
        <v>2.54</v>
      </c>
      <c r="P2672" s="172" t="inlineStr">
        <is>
          <t>优先A</t>
        </is>
      </c>
      <c r="Q2672" s="175" t="n">
        <v>0.83</v>
      </c>
      <c r="R2672" s="172">
        <f>J1706*Q1706</f>
        <v/>
      </c>
      <c r="S2672" s="172" t="inlineStr">
        <is>
          <t>AAA</t>
        </is>
      </c>
      <c r="T2672" s="175" t="n">
        <v>0.0165</v>
      </c>
      <c r="U2672" s="172" t="n"/>
      <c r="V2672" s="172" t="n"/>
      <c r="W2672" s="175" t="n">
        <v>0.0175</v>
      </c>
      <c r="X2672" s="172" t="inlineStr">
        <is>
          <t>国信证券</t>
        </is>
      </c>
      <c r="Y2672" s="191" t="n">
        <v>0.5</v>
      </c>
    </row>
    <row r="2673">
      <c r="A2673" s="172" t="n">
        <v>142</v>
      </c>
      <c r="B2673" s="172" t="inlineStr">
        <is>
          <t>9月</t>
        </is>
      </c>
      <c r="C2673" s="172" t="inlineStr">
        <is>
          <t>企金</t>
        </is>
      </c>
      <c r="D2673" s="172" t="inlineStr">
        <is>
          <t>小贷企业主贷</t>
        </is>
      </c>
      <c r="E2673" s="172" t="inlineStr">
        <is>
          <t>盛赢4-5</t>
        </is>
      </c>
      <c r="F2673" s="172" t="inlineStr">
        <is>
          <t>上交所</t>
        </is>
      </c>
      <c r="G2673" s="172" t="inlineStr">
        <is>
          <t>财通资管</t>
        </is>
      </c>
      <c r="H2673" s="172" t="inlineStr">
        <is>
          <t>华福证券</t>
        </is>
      </c>
      <c r="I2673" s="172" t="inlineStr">
        <is>
          <t>招行北分</t>
        </is>
      </c>
      <c r="J2673" s="172" t="n">
        <v>8</v>
      </c>
      <c r="K2673" s="172" t="inlineStr">
        <is>
          <t>9+24</t>
        </is>
      </c>
      <c r="L2673" s="208" t="n">
        <v>46269</v>
      </c>
      <c r="M2673" s="175" t="n">
        <v>0.0148</v>
      </c>
      <c r="N2673" s="176" t="n">
        <v>0.0194</v>
      </c>
      <c r="O2673" s="172" t="n">
        <v>2.54</v>
      </c>
      <c r="P2673" s="172" t="inlineStr">
        <is>
          <t>优先A</t>
        </is>
      </c>
      <c r="Q2673" s="175" t="n">
        <v>0.83</v>
      </c>
      <c r="R2673" s="172">
        <f>J1706*Q1706</f>
        <v/>
      </c>
      <c r="S2673" s="172" t="inlineStr">
        <is>
          <t>AAA</t>
        </is>
      </c>
      <c r="T2673" s="175" t="n">
        <v>0.0165</v>
      </c>
      <c r="U2673" s="172" t="n"/>
      <c r="V2673" s="172" t="n"/>
      <c r="W2673" s="175" t="n">
        <v>0.0175</v>
      </c>
      <c r="X2673" s="172" t="inlineStr">
        <is>
          <t>首创证券</t>
        </is>
      </c>
      <c r="Y2673" s="191" t="n">
        <v>0.5</v>
      </c>
    </row>
    <row r="2674">
      <c r="A2674" s="172" t="n">
        <v>142</v>
      </c>
      <c r="B2674" s="172" t="inlineStr">
        <is>
          <t>9月</t>
        </is>
      </c>
      <c r="C2674" s="172" t="inlineStr">
        <is>
          <t>企金</t>
        </is>
      </c>
      <c r="D2674" s="172" t="inlineStr">
        <is>
          <t>小贷企业主贷</t>
        </is>
      </c>
      <c r="E2674" s="172" t="inlineStr">
        <is>
          <t>盛赢4-5</t>
        </is>
      </c>
      <c r="F2674" s="172" t="inlineStr">
        <is>
          <t>上交所</t>
        </is>
      </c>
      <c r="G2674" s="172" t="inlineStr">
        <is>
          <t>财通资管</t>
        </is>
      </c>
      <c r="H2674" s="172" t="inlineStr">
        <is>
          <t>华福证券</t>
        </is>
      </c>
      <c r="I2674" s="172" t="inlineStr">
        <is>
          <t>招行北分</t>
        </is>
      </c>
      <c r="J2674" s="172" t="n">
        <v>8</v>
      </c>
      <c r="K2674" s="172" t="inlineStr">
        <is>
          <t>9+24</t>
        </is>
      </c>
      <c r="L2674" s="208" t="n">
        <v>46269</v>
      </c>
      <c r="M2674" s="175" t="n">
        <v>0.0148</v>
      </c>
      <c r="N2674" s="176" t="n">
        <v>0.0194</v>
      </c>
      <c r="O2674" s="172" t="n">
        <v>2.54</v>
      </c>
      <c r="P2674" s="172" t="inlineStr">
        <is>
          <t>优先A</t>
        </is>
      </c>
      <c r="Q2674" s="175" t="n">
        <v>0.83</v>
      </c>
      <c r="R2674" s="172">
        <f>J1706*Q1706</f>
        <v/>
      </c>
      <c r="S2674" s="172" t="inlineStr">
        <is>
          <t>AAA</t>
        </is>
      </c>
      <c r="T2674" s="175" t="n">
        <v>0.0165</v>
      </c>
      <c r="U2674" s="172" t="n"/>
      <c r="V2674" s="172" t="n"/>
      <c r="W2674" s="175" t="n">
        <v>0.0175</v>
      </c>
      <c r="X2674" s="172" t="inlineStr">
        <is>
          <t>广银理财</t>
        </is>
      </c>
      <c r="Y2674" s="191" t="n">
        <v>1.8</v>
      </c>
    </row>
    <row r="2675">
      <c r="A2675" s="172" t="n">
        <v>142</v>
      </c>
      <c r="B2675" s="172" t="inlineStr">
        <is>
          <t>9月</t>
        </is>
      </c>
      <c r="C2675" s="172" t="inlineStr">
        <is>
          <t>企金</t>
        </is>
      </c>
      <c r="D2675" s="172" t="inlineStr">
        <is>
          <t>小贷企业主贷</t>
        </is>
      </c>
      <c r="E2675" s="172" t="inlineStr">
        <is>
          <t>盛赢4-5</t>
        </is>
      </c>
      <c r="F2675" s="172" t="inlineStr">
        <is>
          <t>上交所</t>
        </is>
      </c>
      <c r="G2675" s="172" t="inlineStr">
        <is>
          <t>财通资管</t>
        </is>
      </c>
      <c r="H2675" s="172" t="inlineStr">
        <is>
          <t>华福证券</t>
        </is>
      </c>
      <c r="I2675" s="172" t="inlineStr">
        <is>
          <t>招行北分</t>
        </is>
      </c>
      <c r="J2675" s="172" t="n">
        <v>8</v>
      </c>
      <c r="K2675" s="172" t="inlineStr">
        <is>
          <t>9+24</t>
        </is>
      </c>
      <c r="L2675" s="208" t="n">
        <v>46269</v>
      </c>
      <c r="M2675" s="175" t="n">
        <v>0.0148</v>
      </c>
      <c r="N2675" s="176" t="n">
        <v>0.0194</v>
      </c>
      <c r="O2675" s="172" t="n">
        <v>2.54</v>
      </c>
      <c r="P2675" s="172" t="inlineStr">
        <is>
          <t>优先A</t>
        </is>
      </c>
      <c r="Q2675" s="175" t="n">
        <v>0.83</v>
      </c>
      <c r="R2675" s="172">
        <f>J1706*Q1706</f>
        <v/>
      </c>
      <c r="S2675" s="172" t="inlineStr">
        <is>
          <t>AAA</t>
        </is>
      </c>
      <c r="T2675" s="175" t="n">
        <v>0.0165</v>
      </c>
      <c r="U2675" s="172" t="n"/>
      <c r="V2675" s="172" t="n"/>
      <c r="W2675" s="175" t="n">
        <v>0.0177</v>
      </c>
      <c r="X2675" s="172" t="inlineStr">
        <is>
          <t>建信信托</t>
        </is>
      </c>
      <c r="Y2675" s="191" t="n">
        <v>0.5</v>
      </c>
    </row>
    <row r="2676">
      <c r="A2676" s="172" t="n">
        <v>142</v>
      </c>
      <c r="B2676" s="172" t="inlineStr">
        <is>
          <t>9月</t>
        </is>
      </c>
      <c r="C2676" s="172" t="inlineStr">
        <is>
          <t>企金</t>
        </is>
      </c>
      <c r="D2676" s="172" t="inlineStr">
        <is>
          <t>小贷企业主贷</t>
        </is>
      </c>
      <c r="E2676" s="172" t="inlineStr">
        <is>
          <t>盛赢4-5</t>
        </is>
      </c>
      <c r="F2676" s="172" t="inlineStr">
        <is>
          <t>上交所</t>
        </is>
      </c>
      <c r="G2676" s="172" t="inlineStr">
        <is>
          <t>财通资管</t>
        </is>
      </c>
      <c r="H2676" s="172" t="inlineStr">
        <is>
          <t>华福证券</t>
        </is>
      </c>
      <c r="I2676" s="172" t="inlineStr">
        <is>
          <t>招行北分</t>
        </is>
      </c>
      <c r="J2676" s="172" t="n">
        <v>8</v>
      </c>
      <c r="K2676" s="172" t="inlineStr">
        <is>
          <t>9+24</t>
        </is>
      </c>
      <c r="L2676" s="208" t="n">
        <v>46269</v>
      </c>
      <c r="M2676" s="175" t="n">
        <v>0.0148</v>
      </c>
      <c r="N2676" s="176" t="n">
        <v>0.0194</v>
      </c>
      <c r="O2676" s="172" t="n">
        <v>2.54</v>
      </c>
      <c r="P2676" s="172" t="inlineStr">
        <is>
          <t>优先A</t>
        </is>
      </c>
      <c r="Q2676" s="175" t="n">
        <v>0.83</v>
      </c>
      <c r="R2676" s="172">
        <f>J1706*Q1706</f>
        <v/>
      </c>
      <c r="S2676" s="172" t="inlineStr">
        <is>
          <t>AAA</t>
        </is>
      </c>
      <c r="T2676" s="175" t="n">
        <v>0.0165</v>
      </c>
      <c r="U2676" s="172" t="n"/>
      <c r="V2676" s="172" t="n"/>
      <c r="W2676" s="175" t="n">
        <v>0.0185</v>
      </c>
      <c r="X2676" s="172" t="inlineStr">
        <is>
          <t>平安证券</t>
        </is>
      </c>
      <c r="Y2676" s="191" t="n">
        <v>0.5</v>
      </c>
    </row>
    <row r="2677">
      <c r="A2677" s="172" t="n">
        <v>142</v>
      </c>
      <c r="B2677" s="172" t="inlineStr">
        <is>
          <t>9月</t>
        </is>
      </c>
      <c r="C2677" s="172" t="inlineStr">
        <is>
          <t>企金</t>
        </is>
      </c>
      <c r="D2677" s="172" t="inlineStr">
        <is>
          <t>小贷企业主贷</t>
        </is>
      </c>
      <c r="E2677" s="172" t="inlineStr">
        <is>
          <t>盛赢4-5</t>
        </is>
      </c>
      <c r="F2677" s="172" t="inlineStr">
        <is>
          <t>上交所</t>
        </is>
      </c>
      <c r="G2677" s="172" t="inlineStr">
        <is>
          <t>财通资管</t>
        </is>
      </c>
      <c r="H2677" s="172" t="inlineStr">
        <is>
          <t>华福证券</t>
        </is>
      </c>
      <c r="I2677" s="172" t="inlineStr">
        <is>
          <t>招行北分</t>
        </is>
      </c>
      <c r="J2677" s="172" t="n">
        <v>8</v>
      </c>
      <c r="K2677" s="172" t="inlineStr">
        <is>
          <t>9+24</t>
        </is>
      </c>
      <c r="L2677" s="208" t="n">
        <v>46269</v>
      </c>
      <c r="M2677" s="175" t="n">
        <v>0.0148</v>
      </c>
      <c r="N2677" s="176" t="n">
        <v>0.0194</v>
      </c>
      <c r="O2677" s="172" t="n">
        <v>2.54</v>
      </c>
      <c r="P2677" s="172" t="inlineStr">
        <is>
          <t>优先A</t>
        </is>
      </c>
      <c r="Q2677" s="175" t="n">
        <v>0.83</v>
      </c>
      <c r="R2677" s="172">
        <f>J1706*Q1706</f>
        <v/>
      </c>
      <c r="S2677" s="172" t="inlineStr">
        <is>
          <t>AAA</t>
        </is>
      </c>
      <c r="T2677" s="175" t="n">
        <v>0.0165</v>
      </c>
      <c r="U2677" s="172" t="n"/>
      <c r="V2677" s="172" t="n"/>
      <c r="W2677" s="175" t="n">
        <v>0.024</v>
      </c>
      <c r="X2677" s="172" t="inlineStr">
        <is>
          <t>华福证券</t>
        </is>
      </c>
      <c r="Y2677" s="191" t="n">
        <v>0.5</v>
      </c>
    </row>
    <row r="2678">
      <c r="A2678" s="172" t="n">
        <v>142</v>
      </c>
      <c r="B2678" s="172" t="inlineStr">
        <is>
          <t>9月</t>
        </is>
      </c>
      <c r="C2678" s="172" t="inlineStr">
        <is>
          <t>企金</t>
        </is>
      </c>
      <c r="D2678" s="172" t="inlineStr">
        <is>
          <t>小贷企业主贷</t>
        </is>
      </c>
      <c r="E2678" s="172" t="inlineStr">
        <is>
          <t>盛赢4-5</t>
        </is>
      </c>
      <c r="F2678" s="172" t="inlineStr">
        <is>
          <t>上交所</t>
        </is>
      </c>
      <c r="G2678" s="172" t="inlineStr">
        <is>
          <t>财通资管</t>
        </is>
      </c>
      <c r="H2678" s="172" t="inlineStr">
        <is>
          <t>华福证券</t>
        </is>
      </c>
      <c r="I2678" s="172" t="inlineStr">
        <is>
          <t>招行北分</t>
        </is>
      </c>
      <c r="J2678" s="172" t="n">
        <v>8</v>
      </c>
      <c r="K2678" s="172" t="inlineStr">
        <is>
          <t>9+24</t>
        </is>
      </c>
      <c r="L2678" s="202" t="n">
        <v>46269</v>
      </c>
      <c r="M2678" s="175" t="n">
        <v>0.0148</v>
      </c>
      <c r="N2678" s="176" t="n">
        <v>0.0194</v>
      </c>
      <c r="O2678" s="191" t="n">
        <v>2.54</v>
      </c>
      <c r="P2678" s="172" t="inlineStr">
        <is>
          <t>优先B</t>
        </is>
      </c>
      <c r="Q2678" s="175" t="n">
        <v>0.05</v>
      </c>
      <c r="R2678" s="192">
        <f>J1706*Q1712</f>
        <v/>
      </c>
      <c r="S2678" s="175" t="inlineStr">
        <is>
          <t>AA+</t>
        </is>
      </c>
      <c r="T2678" s="175" t="n">
        <v>0.0185</v>
      </c>
      <c r="U2678" s="172" t="inlineStr">
        <is>
          <t>招银理财</t>
        </is>
      </c>
      <c r="V2678" s="191" t="n">
        <v>0.12</v>
      </c>
      <c r="W2678" s="175" t="n">
        <v>0.017</v>
      </c>
      <c r="X2678" s="172" t="inlineStr">
        <is>
          <t>招银理财</t>
        </is>
      </c>
      <c r="Y2678" s="191" t="n">
        <v>0.12</v>
      </c>
    </row>
    <row r="2679">
      <c r="A2679" s="172" t="n">
        <v>142</v>
      </c>
      <c r="B2679" s="172" t="inlineStr">
        <is>
          <t>9月</t>
        </is>
      </c>
      <c r="C2679" s="172" t="inlineStr">
        <is>
          <t>企金</t>
        </is>
      </c>
      <c r="D2679" s="172" t="inlineStr">
        <is>
          <t>小贷企业主贷</t>
        </is>
      </c>
      <c r="E2679" s="172" t="inlineStr">
        <is>
          <t>盛赢4-5</t>
        </is>
      </c>
      <c r="F2679" s="172" t="inlineStr">
        <is>
          <t>上交所</t>
        </is>
      </c>
      <c r="G2679" s="172" t="inlineStr">
        <is>
          <t>财通资管</t>
        </is>
      </c>
      <c r="H2679" s="172" t="inlineStr">
        <is>
          <t>华福证券</t>
        </is>
      </c>
      <c r="I2679" s="172" t="inlineStr">
        <is>
          <t>招行北分</t>
        </is>
      </c>
      <c r="J2679" s="172" t="n">
        <v>8</v>
      </c>
      <c r="K2679" s="172" t="inlineStr">
        <is>
          <t>9+24</t>
        </is>
      </c>
      <c r="L2679" s="202" t="n">
        <v>46269</v>
      </c>
      <c r="M2679" s="175" t="n">
        <v>0.0148</v>
      </c>
      <c r="N2679" s="176" t="n">
        <v>0.0194</v>
      </c>
      <c r="O2679" s="191" t="n">
        <v>2.54</v>
      </c>
      <c r="P2679" s="172" t="inlineStr">
        <is>
          <t>优先B</t>
        </is>
      </c>
      <c r="Q2679" s="175" t="n">
        <v>0.05</v>
      </c>
      <c r="R2679" s="192">
        <f>J1706*Q1712</f>
        <v/>
      </c>
      <c r="S2679" s="175" t="inlineStr">
        <is>
          <t>AA+</t>
        </is>
      </c>
      <c r="T2679" s="175" t="n">
        <v>0.0185</v>
      </c>
      <c r="U2679" s="172" t="inlineStr">
        <is>
          <t>申万投顾</t>
        </is>
      </c>
      <c r="V2679" s="191" t="n">
        <v>0.1</v>
      </c>
      <c r="W2679" s="175" t="n">
        <v>0.0183</v>
      </c>
      <c r="X2679" s="172" t="inlineStr">
        <is>
          <t>申万投顾</t>
        </is>
      </c>
      <c r="Y2679" s="191" t="n">
        <v>0.1</v>
      </c>
    </row>
    <row r="2680">
      <c r="A2680" s="172" t="n">
        <v>142</v>
      </c>
      <c r="B2680" s="172" t="inlineStr">
        <is>
          <t>9月</t>
        </is>
      </c>
      <c r="C2680" s="172" t="inlineStr">
        <is>
          <t>企金</t>
        </is>
      </c>
      <c r="D2680" s="172" t="inlineStr">
        <is>
          <t>小贷企业主贷</t>
        </is>
      </c>
      <c r="E2680" s="172" t="inlineStr">
        <is>
          <t>盛赢4-5</t>
        </is>
      </c>
      <c r="F2680" s="172" t="inlineStr">
        <is>
          <t>上交所</t>
        </is>
      </c>
      <c r="G2680" s="172" t="inlineStr">
        <is>
          <t>财通资管</t>
        </is>
      </c>
      <c r="H2680" s="172" t="inlineStr">
        <is>
          <t>华福证券</t>
        </is>
      </c>
      <c r="I2680" s="172" t="inlineStr">
        <is>
          <t>招行北分</t>
        </is>
      </c>
      <c r="J2680" s="172" t="n">
        <v>8</v>
      </c>
      <c r="K2680" s="172" t="inlineStr">
        <is>
          <t>9+24</t>
        </is>
      </c>
      <c r="L2680" s="202" t="n">
        <v>46269</v>
      </c>
      <c r="M2680" s="175" t="n">
        <v>0.0148</v>
      </c>
      <c r="N2680" s="176" t="n">
        <v>0.0194</v>
      </c>
      <c r="O2680" s="191" t="n">
        <v>2.54</v>
      </c>
      <c r="P2680" s="172" t="inlineStr">
        <is>
          <t>优先B</t>
        </is>
      </c>
      <c r="Q2680" s="175" t="n">
        <v>0.05</v>
      </c>
      <c r="R2680" s="192">
        <f>J1706*Q1712</f>
        <v/>
      </c>
      <c r="S2680" s="175" t="inlineStr">
        <is>
          <t>AA+</t>
        </is>
      </c>
      <c r="T2680" s="175" t="n">
        <v>0.0185</v>
      </c>
      <c r="U2680" s="172" t="inlineStr">
        <is>
          <t>中信证券投顾</t>
        </is>
      </c>
      <c r="V2680" s="191" t="n">
        <v>0.06</v>
      </c>
      <c r="W2680" s="175" t="n">
        <v>0.019</v>
      </c>
      <c r="X2680" s="172" t="inlineStr">
        <is>
          <t>中信证券</t>
        </is>
      </c>
      <c r="Y2680" s="191" t="n">
        <v>0.1</v>
      </c>
    </row>
    <row r="2681">
      <c r="A2681" s="172" t="n">
        <v>142</v>
      </c>
      <c r="B2681" s="172" t="inlineStr">
        <is>
          <t>9月</t>
        </is>
      </c>
      <c r="C2681" s="172" t="inlineStr">
        <is>
          <t>企金</t>
        </is>
      </c>
      <c r="D2681" s="172" t="inlineStr">
        <is>
          <t>小贷企业主贷</t>
        </is>
      </c>
      <c r="E2681" s="172" t="inlineStr">
        <is>
          <t>盛赢4-5</t>
        </is>
      </c>
      <c r="F2681" s="172" t="inlineStr">
        <is>
          <t>上交所</t>
        </is>
      </c>
      <c r="G2681" s="172" t="inlineStr">
        <is>
          <t>财通资管</t>
        </is>
      </c>
      <c r="H2681" s="172" t="inlineStr">
        <is>
          <t>华福证券</t>
        </is>
      </c>
      <c r="I2681" s="172" t="inlineStr">
        <is>
          <t>招行北分</t>
        </is>
      </c>
      <c r="J2681" s="172" t="n">
        <v>8</v>
      </c>
      <c r="K2681" s="172" t="inlineStr">
        <is>
          <t>9+24</t>
        </is>
      </c>
      <c r="L2681" s="202" t="n">
        <v>46269</v>
      </c>
      <c r="M2681" s="175" t="n">
        <v>0.0148</v>
      </c>
      <c r="N2681" s="176" t="n">
        <v>0.0194</v>
      </c>
      <c r="O2681" s="191" t="n">
        <v>2.54</v>
      </c>
      <c r="P2681" s="172" t="inlineStr">
        <is>
          <t>优先B</t>
        </is>
      </c>
      <c r="Q2681" s="175" t="n">
        <v>0.05</v>
      </c>
      <c r="R2681" s="192">
        <f>J1706*Q1712</f>
        <v/>
      </c>
      <c r="S2681" s="175" t="inlineStr">
        <is>
          <t>AA+</t>
        </is>
      </c>
      <c r="T2681" s="175" t="n">
        <v>0.0185</v>
      </c>
      <c r="U2681" s="172" t="inlineStr">
        <is>
          <t>利曦基金</t>
        </is>
      </c>
      <c r="V2681" s="191" t="n">
        <v>0.1</v>
      </c>
      <c r="W2681" s="175" t="n">
        <v>0.0185</v>
      </c>
      <c r="X2681" s="172" t="inlineStr">
        <is>
          <t>利曦基金</t>
        </is>
      </c>
      <c r="Y2681" s="191" t="n">
        <v>0.1</v>
      </c>
    </row>
    <row r="2682">
      <c r="A2682" s="172" t="n">
        <v>142</v>
      </c>
      <c r="B2682" s="172" t="inlineStr">
        <is>
          <t>9月</t>
        </is>
      </c>
      <c r="C2682" s="172" t="inlineStr">
        <is>
          <t>企金</t>
        </is>
      </c>
      <c r="D2682" s="172" t="inlineStr">
        <is>
          <t>小贷企业主贷</t>
        </is>
      </c>
      <c r="E2682" s="172" t="inlineStr">
        <is>
          <t>盛赢4-5</t>
        </is>
      </c>
      <c r="F2682" s="172" t="inlineStr">
        <is>
          <t>上交所</t>
        </is>
      </c>
      <c r="G2682" s="172" t="inlineStr">
        <is>
          <t>财通资管</t>
        </is>
      </c>
      <c r="H2682" s="172" t="inlineStr">
        <is>
          <t>华福证券</t>
        </is>
      </c>
      <c r="I2682" s="172" t="inlineStr">
        <is>
          <t>招行北分</t>
        </is>
      </c>
      <c r="J2682" s="172" t="n">
        <v>8</v>
      </c>
      <c r="K2682" s="172" t="inlineStr">
        <is>
          <t>9+24</t>
        </is>
      </c>
      <c r="L2682" s="202" t="n">
        <v>46269</v>
      </c>
      <c r="M2682" s="175" t="n">
        <v>0.0148</v>
      </c>
      <c r="N2682" s="176" t="n">
        <v>0.0194</v>
      </c>
      <c r="O2682" s="191" t="n">
        <v>2.54</v>
      </c>
      <c r="P2682" s="172" t="inlineStr">
        <is>
          <t>优先B</t>
        </is>
      </c>
      <c r="Q2682" s="175" t="n">
        <v>0.05</v>
      </c>
      <c r="R2682" s="192">
        <f>J1706*Q1712</f>
        <v/>
      </c>
      <c r="S2682" s="175" t="inlineStr">
        <is>
          <t>AA+</t>
        </is>
      </c>
      <c r="T2682" s="175" t="n">
        <v>0.0185</v>
      </c>
      <c r="U2682" s="172" t="inlineStr">
        <is>
          <t>盛际小贷</t>
        </is>
      </c>
      <c r="V2682" s="191" t="n">
        <v>0.02</v>
      </c>
      <c r="W2682" s="175" t="n">
        <v>0.01</v>
      </c>
      <c r="X2682" s="172" t="inlineStr">
        <is>
          <t>盛际小贷</t>
        </is>
      </c>
      <c r="Y2682" s="191" t="n">
        <v>0.02</v>
      </c>
    </row>
    <row r="2683">
      <c r="A2683" s="172" t="n">
        <v>142</v>
      </c>
      <c r="B2683" s="172" t="inlineStr">
        <is>
          <t>9月</t>
        </is>
      </c>
      <c r="C2683" s="172" t="inlineStr">
        <is>
          <t>企金</t>
        </is>
      </c>
      <c r="D2683" s="172" t="inlineStr">
        <is>
          <t>小贷企业主贷</t>
        </is>
      </c>
      <c r="E2683" s="172" t="inlineStr">
        <is>
          <t>盛赢4-5</t>
        </is>
      </c>
      <c r="F2683" s="172" t="inlineStr">
        <is>
          <t>上交所</t>
        </is>
      </c>
      <c r="G2683" s="172" t="inlineStr">
        <is>
          <t>财通资管</t>
        </is>
      </c>
      <c r="H2683" s="172" t="inlineStr">
        <is>
          <t>华福证券</t>
        </is>
      </c>
      <c r="I2683" s="172" t="inlineStr">
        <is>
          <t>招行北分</t>
        </is>
      </c>
      <c r="J2683" s="172" t="n">
        <v>8</v>
      </c>
      <c r="K2683" s="172" t="inlineStr">
        <is>
          <t>9+24</t>
        </is>
      </c>
      <c r="L2683" s="208" t="n">
        <v>46269</v>
      </c>
      <c r="M2683" s="175" t="n">
        <v>0.0148</v>
      </c>
      <c r="N2683" s="176" t="n">
        <v>0.0194</v>
      </c>
      <c r="O2683" s="172" t="n">
        <v>2.54</v>
      </c>
      <c r="P2683" s="172" t="inlineStr">
        <is>
          <t>优先B</t>
        </is>
      </c>
      <c r="Q2683" s="175" t="n">
        <v>0.05</v>
      </c>
      <c r="R2683" s="172">
        <f>J1706*Q1712</f>
        <v/>
      </c>
      <c r="S2683" s="172" t="inlineStr">
        <is>
          <t>AA+</t>
        </is>
      </c>
      <c r="T2683" s="175" t="n">
        <v>0.0185</v>
      </c>
      <c r="U2683" s="172" t="n"/>
      <c r="V2683" s="172" t="n"/>
      <c r="W2683" s="175" t="n">
        <v>0.0185</v>
      </c>
      <c r="X2683" s="172" t="inlineStr">
        <is>
          <t>中信投顾</t>
        </is>
      </c>
      <c r="Y2683" s="191" t="n">
        <v>0.06</v>
      </c>
    </row>
    <row r="2684">
      <c r="A2684" s="172" t="n">
        <v>142</v>
      </c>
      <c r="B2684" s="172" t="inlineStr">
        <is>
          <t>9月</t>
        </is>
      </c>
      <c r="C2684" s="172" t="inlineStr">
        <is>
          <t>企金</t>
        </is>
      </c>
      <c r="D2684" s="172" t="inlineStr">
        <is>
          <t>小贷企业主贷</t>
        </is>
      </c>
      <c r="E2684" s="172" t="inlineStr">
        <is>
          <t>盛赢4-5</t>
        </is>
      </c>
      <c r="F2684" s="172" t="inlineStr">
        <is>
          <t>上交所</t>
        </is>
      </c>
      <c r="G2684" s="172" t="inlineStr">
        <is>
          <t>财通资管</t>
        </is>
      </c>
      <c r="H2684" s="172" t="inlineStr">
        <is>
          <t>华福证券</t>
        </is>
      </c>
      <c r="I2684" s="172" t="inlineStr">
        <is>
          <t>招行北分</t>
        </is>
      </c>
      <c r="J2684" s="172" t="n">
        <v>8</v>
      </c>
      <c r="K2684" s="172" t="inlineStr">
        <is>
          <t>9+24</t>
        </is>
      </c>
      <c r="L2684" s="208" t="n">
        <v>46269</v>
      </c>
      <c r="M2684" s="175" t="n">
        <v>0.0148</v>
      </c>
      <c r="N2684" s="176" t="n">
        <v>0.0194</v>
      </c>
      <c r="O2684" s="172" t="n">
        <v>2.54</v>
      </c>
      <c r="P2684" s="172" t="inlineStr">
        <is>
          <t>优先B</t>
        </is>
      </c>
      <c r="Q2684" s="175" t="n">
        <v>0.05</v>
      </c>
      <c r="R2684" s="172">
        <f>J1706*Q1712</f>
        <v/>
      </c>
      <c r="S2684" s="172" t="inlineStr">
        <is>
          <t>AA+</t>
        </is>
      </c>
      <c r="T2684" s="175" t="n">
        <v>0.0185</v>
      </c>
      <c r="U2684" s="172" t="n"/>
      <c r="V2684" s="172" t="n"/>
      <c r="W2684" s="175" t="n">
        <v>0.019</v>
      </c>
      <c r="X2684" s="172" t="inlineStr">
        <is>
          <t>建信信托</t>
        </is>
      </c>
      <c r="Y2684" s="191" t="n">
        <v>0.2</v>
      </c>
    </row>
    <row r="2685">
      <c r="A2685" s="172" t="n">
        <v>142</v>
      </c>
      <c r="B2685" s="172" t="inlineStr">
        <is>
          <t>9月</t>
        </is>
      </c>
      <c r="C2685" s="172" t="inlineStr">
        <is>
          <t>企金</t>
        </is>
      </c>
      <c r="D2685" s="172" t="inlineStr">
        <is>
          <t>小贷企业主贷</t>
        </is>
      </c>
      <c r="E2685" s="172" t="inlineStr">
        <is>
          <t>盛赢4-5</t>
        </is>
      </c>
      <c r="F2685" s="172" t="inlineStr">
        <is>
          <t>上交所</t>
        </is>
      </c>
      <c r="G2685" s="172" t="inlineStr">
        <is>
          <t>财通资管</t>
        </is>
      </c>
      <c r="H2685" s="172" t="inlineStr">
        <is>
          <t>华福证券</t>
        </is>
      </c>
      <c r="I2685" s="172" t="inlineStr">
        <is>
          <t>招行北分</t>
        </is>
      </c>
      <c r="J2685" s="172" t="n">
        <v>8</v>
      </c>
      <c r="K2685" s="172" t="inlineStr">
        <is>
          <t>9+24</t>
        </is>
      </c>
      <c r="L2685" s="208" t="n">
        <v>46269</v>
      </c>
      <c r="M2685" s="175" t="n">
        <v>0.0148</v>
      </c>
      <c r="N2685" s="176" t="n">
        <v>0.0194</v>
      </c>
      <c r="O2685" s="172" t="n">
        <v>2.54</v>
      </c>
      <c r="P2685" s="172" t="inlineStr">
        <is>
          <t>优先B</t>
        </is>
      </c>
      <c r="Q2685" s="175" t="n">
        <v>0.05</v>
      </c>
      <c r="R2685" s="172">
        <f>J1706*Q1712</f>
        <v/>
      </c>
      <c r="S2685" s="172" t="inlineStr">
        <is>
          <t>AA+</t>
        </is>
      </c>
      <c r="T2685" s="175" t="n">
        <v>0.0185</v>
      </c>
      <c r="U2685" s="172" t="n"/>
      <c r="V2685" s="172" t="n"/>
      <c r="W2685" s="175" t="n">
        <v>0.02</v>
      </c>
      <c r="X2685" s="172" t="inlineStr">
        <is>
          <t>财通资管</t>
        </is>
      </c>
      <c r="Y2685" s="191" t="n">
        <v>0.3</v>
      </c>
    </row>
    <row r="2686">
      <c r="A2686" s="172" t="n">
        <v>142</v>
      </c>
      <c r="B2686" s="172" t="inlineStr">
        <is>
          <t>9月</t>
        </is>
      </c>
      <c r="C2686" s="172" t="inlineStr">
        <is>
          <t>企金</t>
        </is>
      </c>
      <c r="D2686" s="172" t="inlineStr">
        <is>
          <t>小贷企业主贷</t>
        </is>
      </c>
      <c r="E2686" s="172" t="inlineStr">
        <is>
          <t>盛赢4-5</t>
        </is>
      </c>
      <c r="F2686" s="172" t="inlineStr">
        <is>
          <t>上交所</t>
        </is>
      </c>
      <c r="G2686" s="172" t="inlineStr">
        <is>
          <t>财通资管</t>
        </is>
      </c>
      <c r="H2686" s="172" t="inlineStr">
        <is>
          <t>华福证券</t>
        </is>
      </c>
      <c r="I2686" s="172" t="inlineStr">
        <is>
          <t>招行北分</t>
        </is>
      </c>
      <c r="J2686" s="172" t="n">
        <v>8</v>
      </c>
      <c r="K2686" s="172" t="inlineStr">
        <is>
          <t>9+24</t>
        </is>
      </c>
      <c r="L2686" s="202" t="n">
        <v>46269</v>
      </c>
      <c r="M2686" s="175" t="n">
        <v>0.0148</v>
      </c>
      <c r="N2686" s="176" t="n">
        <v>0.0194</v>
      </c>
      <c r="O2686" s="191" t="n">
        <v>2.54</v>
      </c>
      <c r="P2686" s="172" t="inlineStr">
        <is>
          <t>中间级</t>
        </is>
      </c>
      <c r="Q2686" s="175" t="n">
        <v>0.07000000000000001</v>
      </c>
      <c r="R2686" s="192">
        <f>J1706*Q1717</f>
        <v/>
      </c>
      <c r="S2686" s="175" t="inlineStr">
        <is>
          <t>AA-</t>
        </is>
      </c>
      <c r="T2686" s="175" t="n">
        <v>0.031</v>
      </c>
      <c r="U2686" s="177" t="inlineStr">
        <is>
          <t>建信信托</t>
        </is>
      </c>
      <c r="V2686" s="191" t="n">
        <v>0.37</v>
      </c>
      <c r="W2686" s="172" t="n"/>
      <c r="X2686" s="172" t="n"/>
      <c r="Y2686" s="172" t="n"/>
    </row>
    <row r="2687">
      <c r="A2687" s="172" t="n">
        <v>142</v>
      </c>
      <c r="B2687" s="172" t="inlineStr">
        <is>
          <t>9月</t>
        </is>
      </c>
      <c r="C2687" s="172" t="inlineStr">
        <is>
          <t>企金</t>
        </is>
      </c>
      <c r="D2687" s="172" t="inlineStr">
        <is>
          <t>小贷企业主贷</t>
        </is>
      </c>
      <c r="E2687" s="172" t="inlineStr">
        <is>
          <t>盛赢4-5</t>
        </is>
      </c>
      <c r="F2687" s="172" t="inlineStr">
        <is>
          <t>上交所</t>
        </is>
      </c>
      <c r="G2687" s="172" t="inlineStr">
        <is>
          <t>财通资管</t>
        </is>
      </c>
      <c r="H2687" s="172" t="inlineStr">
        <is>
          <t>华福证券</t>
        </is>
      </c>
      <c r="I2687" s="172" t="inlineStr">
        <is>
          <t>招行北分</t>
        </is>
      </c>
      <c r="J2687" s="172" t="n">
        <v>8</v>
      </c>
      <c r="K2687" s="172" t="inlineStr">
        <is>
          <t>9+24</t>
        </is>
      </c>
      <c r="L2687" s="202" t="n">
        <v>46269</v>
      </c>
      <c r="M2687" s="175" t="n">
        <v>0.0148</v>
      </c>
      <c r="N2687" s="176" t="n">
        <v>0.0194</v>
      </c>
      <c r="O2687" s="191" t="n">
        <v>2.54</v>
      </c>
      <c r="P2687" s="172" t="inlineStr">
        <is>
          <t>中间级</t>
        </is>
      </c>
      <c r="Q2687" s="175" t="n">
        <v>0.07000000000000001</v>
      </c>
      <c r="R2687" s="192">
        <f>J1706*Q1717</f>
        <v/>
      </c>
      <c r="S2687" s="175" t="inlineStr">
        <is>
          <t>AA-</t>
        </is>
      </c>
      <c r="T2687" s="175" t="n">
        <v>0.031</v>
      </c>
      <c r="U2687" s="177" t="inlineStr">
        <is>
          <t>东方财富证券自营</t>
        </is>
      </c>
      <c r="V2687" s="191" t="n">
        <v>0.16</v>
      </c>
      <c r="W2687" s="172" t="n"/>
      <c r="X2687" s="172" t="n"/>
      <c r="Y2687" s="172" t="n"/>
    </row>
    <row r="2688">
      <c r="A2688" s="172" t="n">
        <v>142</v>
      </c>
      <c r="B2688" s="172" t="inlineStr">
        <is>
          <t>9月</t>
        </is>
      </c>
      <c r="C2688" s="172" t="inlineStr">
        <is>
          <t>企金</t>
        </is>
      </c>
      <c r="D2688" s="172" t="inlineStr">
        <is>
          <t>小贷企业主贷</t>
        </is>
      </c>
      <c r="E2688" s="172" t="inlineStr">
        <is>
          <t>盛赢4-5</t>
        </is>
      </c>
      <c r="F2688" s="172" t="inlineStr">
        <is>
          <t>上交所</t>
        </is>
      </c>
      <c r="G2688" s="172" t="inlineStr">
        <is>
          <t>财通资管</t>
        </is>
      </c>
      <c r="H2688" s="172" t="inlineStr">
        <is>
          <t>华福证券</t>
        </is>
      </c>
      <c r="I2688" s="172" t="inlineStr">
        <is>
          <t>招行北分</t>
        </is>
      </c>
      <c r="J2688" s="172" t="n">
        <v>8</v>
      </c>
      <c r="K2688" s="172" t="inlineStr">
        <is>
          <t>9+24</t>
        </is>
      </c>
      <c r="L2688" s="202" t="n">
        <v>46269</v>
      </c>
      <c r="M2688" s="175" t="n">
        <v>0.0148</v>
      </c>
      <c r="N2688" s="176" t="n">
        <v>0.0194</v>
      </c>
      <c r="O2688" s="191" t="n">
        <v>2.54</v>
      </c>
      <c r="P2688" s="172" t="inlineStr">
        <is>
          <t>中间级</t>
        </is>
      </c>
      <c r="Q2688" s="175" t="n">
        <v>0.07000000000000001</v>
      </c>
      <c r="R2688" s="192">
        <f>J1706*Q1717</f>
        <v/>
      </c>
      <c r="S2688" s="175" t="inlineStr">
        <is>
          <t>AA-</t>
        </is>
      </c>
      <c r="T2688" s="175" t="n">
        <v>0.031</v>
      </c>
      <c r="U2688" s="172" t="inlineStr">
        <is>
          <t>盛际小贷</t>
        </is>
      </c>
      <c r="V2688" s="191" t="n">
        <v>0.03</v>
      </c>
      <c r="W2688" s="172" t="n"/>
      <c r="X2688" s="172" t="n"/>
      <c r="Y2688" s="172" t="n"/>
    </row>
    <row r="2689">
      <c r="A2689" s="172" t="n">
        <v>142</v>
      </c>
      <c r="B2689" s="172" t="inlineStr">
        <is>
          <t>9月</t>
        </is>
      </c>
      <c r="C2689" s="172" t="inlineStr">
        <is>
          <t>企金</t>
        </is>
      </c>
      <c r="D2689" s="172" t="inlineStr">
        <is>
          <t>小贷企业主贷</t>
        </is>
      </c>
      <c r="E2689" s="172" t="inlineStr">
        <is>
          <t>盛赢4-5</t>
        </is>
      </c>
      <c r="F2689" s="172" t="inlineStr">
        <is>
          <t>上交所</t>
        </is>
      </c>
      <c r="G2689" s="172" t="inlineStr">
        <is>
          <t>财通资管</t>
        </is>
      </c>
      <c r="H2689" s="172" t="inlineStr">
        <is>
          <t>华福证券</t>
        </is>
      </c>
      <c r="I2689" s="172" t="inlineStr">
        <is>
          <t>招行北分</t>
        </is>
      </c>
      <c r="J2689" s="172" t="n">
        <v>8</v>
      </c>
      <c r="K2689" s="172" t="inlineStr">
        <is>
          <t>9+24</t>
        </is>
      </c>
      <c r="L2689" s="202" t="n">
        <v>46269</v>
      </c>
      <c r="M2689" s="175" t="n">
        <v>0.0148</v>
      </c>
      <c r="N2689" s="176" t="n">
        <v>0.0194</v>
      </c>
      <c r="O2689" s="191" t="n">
        <v>2.54</v>
      </c>
      <c r="P2689" s="172" t="inlineStr">
        <is>
          <t>次级</t>
        </is>
      </c>
      <c r="Q2689" s="175" t="n">
        <v>0.05</v>
      </c>
      <c r="R2689" s="192">
        <f>J1706*Q1720</f>
        <v/>
      </c>
      <c r="S2689" s="175" t="inlineStr">
        <is>
          <t>无</t>
        </is>
      </c>
      <c r="T2689" s="175" t="n">
        <v>0.0455</v>
      </c>
      <c r="U2689" s="177" t="inlineStr">
        <is>
          <t>中泰证券自营</t>
        </is>
      </c>
      <c r="V2689" s="191" t="n">
        <v>0.2</v>
      </c>
      <c r="W2689" s="172" t="n"/>
      <c r="X2689" s="172" t="n"/>
      <c r="Y2689" s="172" t="n"/>
    </row>
    <row r="2690">
      <c r="A2690" s="172" t="n">
        <v>142</v>
      </c>
      <c r="B2690" s="172" t="inlineStr">
        <is>
          <t>9月</t>
        </is>
      </c>
      <c r="C2690" s="172" t="inlineStr">
        <is>
          <t>企金</t>
        </is>
      </c>
      <c r="D2690" s="172" t="inlineStr">
        <is>
          <t>小贷企业主贷</t>
        </is>
      </c>
      <c r="E2690" s="172" t="inlineStr">
        <is>
          <t>盛赢4-5</t>
        </is>
      </c>
      <c r="F2690" s="172" t="inlineStr">
        <is>
          <t>上交所</t>
        </is>
      </c>
      <c r="G2690" s="172" t="inlineStr">
        <is>
          <t>财通资管</t>
        </is>
      </c>
      <c r="H2690" s="172" t="inlineStr">
        <is>
          <t>华福证券</t>
        </is>
      </c>
      <c r="I2690" s="172" t="inlineStr">
        <is>
          <t>招行北分</t>
        </is>
      </c>
      <c r="J2690" s="172" t="n">
        <v>8</v>
      </c>
      <c r="K2690" s="172" t="inlineStr">
        <is>
          <t>9+24</t>
        </is>
      </c>
      <c r="L2690" s="202" t="n">
        <v>46269</v>
      </c>
      <c r="M2690" s="175" t="n">
        <v>0.0148</v>
      </c>
      <c r="N2690" s="176" t="n">
        <v>0.0194</v>
      </c>
      <c r="O2690" s="191" t="n">
        <v>2.54</v>
      </c>
      <c r="P2690" s="172" t="inlineStr">
        <is>
          <t>次级</t>
        </is>
      </c>
      <c r="Q2690" s="175" t="n">
        <v>0.05</v>
      </c>
      <c r="R2690" s="192">
        <f>J1706*Q1720</f>
        <v/>
      </c>
      <c r="S2690" s="175" t="inlineStr">
        <is>
          <t>无</t>
        </is>
      </c>
      <c r="T2690" s="175" t="n">
        <v>0.0455</v>
      </c>
      <c r="U2690" s="177" t="inlineStr">
        <is>
          <t>朗姿韩亚</t>
        </is>
      </c>
      <c r="V2690" s="191" t="n">
        <v>0.18</v>
      </c>
      <c r="W2690" s="172" t="n"/>
      <c r="X2690" s="172" t="n"/>
      <c r="Y2690" s="172" t="n"/>
    </row>
    <row r="2691">
      <c r="A2691" s="172" t="n">
        <v>142</v>
      </c>
      <c r="B2691" s="172" t="inlineStr">
        <is>
          <t>9月</t>
        </is>
      </c>
      <c r="C2691" s="172" t="inlineStr">
        <is>
          <t>企金</t>
        </is>
      </c>
      <c r="D2691" s="172" t="inlineStr">
        <is>
          <t>小贷企业主贷</t>
        </is>
      </c>
      <c r="E2691" s="172" t="inlineStr">
        <is>
          <t>盛赢4-5</t>
        </is>
      </c>
      <c r="F2691" s="172" t="inlineStr">
        <is>
          <t>上交所</t>
        </is>
      </c>
      <c r="G2691" s="172" t="inlineStr">
        <is>
          <t>财通资管</t>
        </is>
      </c>
      <c r="H2691" s="172" t="inlineStr">
        <is>
          <t>华福证券</t>
        </is>
      </c>
      <c r="I2691" s="172" t="inlineStr">
        <is>
          <t>招行北分</t>
        </is>
      </c>
      <c r="J2691" s="172" t="n">
        <v>8</v>
      </c>
      <c r="K2691" s="172" t="inlineStr">
        <is>
          <t>9+24</t>
        </is>
      </c>
      <c r="L2691" s="202" t="n">
        <v>46269</v>
      </c>
      <c r="M2691" s="175" t="n">
        <v>0.0148</v>
      </c>
      <c r="N2691" s="176" t="n">
        <v>0.0194</v>
      </c>
      <c r="O2691" s="191" t="n">
        <v>2.54</v>
      </c>
      <c r="P2691" s="172" t="inlineStr">
        <is>
          <t>次级</t>
        </is>
      </c>
      <c r="Q2691" s="175" t="n">
        <v>0.05</v>
      </c>
      <c r="R2691" s="192">
        <f>J1706*Q1720</f>
        <v/>
      </c>
      <c r="S2691" s="175" t="inlineStr">
        <is>
          <t>无</t>
        </is>
      </c>
      <c r="T2691" s="175" t="n">
        <v>0.0455</v>
      </c>
      <c r="U2691" s="172" t="inlineStr">
        <is>
          <t>盛际小贷</t>
        </is>
      </c>
      <c r="V2691" s="191" t="n">
        <v>0.02</v>
      </c>
      <c r="W2691" s="172" t="n"/>
      <c r="X2691" s="172" t="n"/>
      <c r="Y2691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2026-09-07T12:28:25Z</dcterms:modified>
  <cp:lastModifiedBy>wupeizhi.nolan</cp:lastModifiedBy>
</cp:coreProperties>
</file>