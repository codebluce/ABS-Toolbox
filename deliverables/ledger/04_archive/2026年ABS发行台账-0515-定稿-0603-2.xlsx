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750" yWindow="460" windowWidth="13180" windowHeight="1071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金采" sheetId="22" state="visible" r:id="rId22"/>
    <sheet name="金采创收" sheetId="23" state="visible" r:id="rId23"/>
    <sheet name="京企贷" sheetId="24" state="visible" r:id="rId24"/>
    <sheet name="京企贷创收" sheetId="25" state="visible" r:id="rId25"/>
    <sheet name="动产质押" sheetId="26" state="visible" r:id="rId26"/>
    <sheet name="动产质押创收" sheetId="27" state="visible" r:id="rId27"/>
  </sheets>
  <definedNames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0_);[Red]\(0.00\)"/>
    <numFmt numFmtId="165" formatCode="0.000"/>
    <numFmt numFmtId="166" formatCode="0.00_ "/>
    <numFmt numFmtId="167" formatCode="0.000_);[Red]\(0.000\)"/>
    <numFmt numFmtId="168" formatCode="0.000%"/>
    <numFmt numFmtId="169" formatCode="0.0000000000000000_);[Red]\(0.0000000000000000\)"/>
    <numFmt numFmtId="170" formatCode="0.0000"/>
    <numFmt numFmtId="171" formatCode="m&quot;月&quot;d&quot;日&quot;;@"/>
    <numFmt numFmtId="172" formatCode="yyyy-mm-dd h:mm:ss"/>
  </numFmts>
  <fonts count="16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楷体"/>
      <charset val="134"/>
      <family val="3"/>
      <sz val="11"/>
    </font>
    <font>
      <name val="楷体"/>
      <charset val="134"/>
      <family val="3"/>
      <color rgb="FFFF0000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341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0" fillId="0" borderId="0" pivotButton="0" quotePrefix="0" xfId="0"/>
    <xf numFmtId="2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7" fontId="6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0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0">
      <alignment vertical="center"/>
    </xf>
    <xf numFmtId="58" fontId="11" fillId="0" borderId="1" applyAlignment="1" pivotButton="0" quotePrefix="0" xfId="0">
      <alignment vertical="center"/>
    </xf>
    <xf numFmtId="10" fontId="11" fillId="0" borderId="1" pivotButton="0" quotePrefix="0" xfId="0"/>
    <xf numFmtId="0" fontId="11" fillId="0" borderId="1" pivotButton="0" quotePrefix="0" xfId="0"/>
    <xf numFmtId="0" fontId="5" fillId="2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8" fontId="11" fillId="0" borderId="1" pivotButton="0" quotePrefix="0" xfId="0"/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2" fontId="5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/>
    </xf>
    <xf numFmtId="165" fontId="0" fillId="0" borderId="0" applyAlignment="1" pivotButton="0" quotePrefix="0" xfId="0">
      <alignment vertic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2" fontId="5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2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3" fillId="5" borderId="11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3" fillId="5" borderId="9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/>
    </xf>
    <xf numFmtId="164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/>
    </xf>
    <xf numFmtId="2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12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170" fontId="5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4" fontId="6" fillId="2" borderId="4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0" fontId="6" fillId="2" borderId="4" applyAlignment="1" pivotButton="0" quotePrefix="0" xfId="1">
      <alignment horizontal="center" vertical="center"/>
    </xf>
    <xf numFmtId="0" fontId="6" fillId="2" borderId="5" applyAlignment="1" pivotButton="0" quotePrefix="0" xfId="0">
      <alignment horizontal="center" vertical="center"/>
    </xf>
    <xf numFmtId="10" fontId="6" fillId="2" borderId="3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164" fontId="7" fillId="2" borderId="4" applyAlignment="1" pivotButton="0" quotePrefix="0" xfId="0">
      <alignment horizontal="center" vertical="center"/>
    </xf>
    <xf numFmtId="10" fontId="7" fillId="2" borderId="2" applyAlignment="1" pivotButton="0" quotePrefix="0" xfId="1">
      <alignment horizontal="center" vertical="center"/>
    </xf>
    <xf numFmtId="10" fontId="7" fillId="2" borderId="4" applyAlignment="1" pivotButton="0" quotePrefix="0" xfId="1">
      <alignment horizontal="center" vertical="center"/>
    </xf>
    <xf numFmtId="17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7" fillId="2" borderId="3" applyAlignment="1" pivotButton="0" quotePrefix="0" xfId="1">
      <alignment horizontal="center" vertical="center"/>
    </xf>
    <xf numFmtId="164" fontId="7" fillId="2" borderId="3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10" fontId="6" fillId="2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10" fontId="5" fillId="0" borderId="4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2" fontId="5" fillId="0" borderId="4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10" fontId="5" fillId="0" borderId="4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10" fontId="5" fillId="2" borderId="2" applyAlignment="1" pivotButton="0" quotePrefix="0" xfId="0">
      <alignment horizontal="center" vertical="center"/>
    </xf>
    <xf numFmtId="10" fontId="5" fillId="2" borderId="3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68" fontId="5" fillId="2" borderId="3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 vertical="center"/>
    </xf>
    <xf numFmtId="14" fontId="5" fillId="2" borderId="2" applyAlignment="1" pivotButton="0" quotePrefix="0" xfId="0">
      <alignment horizontal="center" vertical="center"/>
    </xf>
    <xf numFmtId="14" fontId="5" fillId="2" borderId="3" applyAlignment="1" pivotButton="0" quotePrefix="0" xfId="0">
      <alignment horizontal="center" vertical="center"/>
    </xf>
    <xf numFmtId="14" fontId="5" fillId="2" borderId="4" applyAlignment="1" pivotButton="0" quotePrefix="0" xfId="0">
      <alignment horizontal="center" vertical="center"/>
    </xf>
    <xf numFmtId="10" fontId="5" fillId="2" borderId="4" applyAlignment="1" pivotButton="0" quotePrefix="0" xfId="0">
      <alignment horizontal="center" vertical="center"/>
    </xf>
    <xf numFmtId="168" fontId="5" fillId="2" borderId="4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2" fontId="5" fillId="2" borderId="3" applyAlignment="1" pivotButton="0" quotePrefix="0" xfId="0">
      <alignment horizontal="center" vertical="center"/>
    </xf>
    <xf numFmtId="2" fontId="5" fillId="2" borderId="4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10" fontId="7" fillId="2" borderId="15" applyAlignment="1" pivotButton="0" quotePrefix="0" xfId="1">
      <alignment horizontal="center" vertical="center"/>
    </xf>
    <xf numFmtId="10" fontId="7" fillId="2" borderId="16" applyAlignment="1" pivotButton="0" quotePrefix="0" xfId="1">
      <alignment horizontal="center" vertical="center"/>
    </xf>
    <xf numFmtId="10" fontId="7" fillId="2" borderId="17" applyAlignment="1" pivotButton="0" quotePrefix="0" xfId="1">
      <alignment horizontal="center" vertical="center"/>
    </xf>
    <xf numFmtId="10" fontId="7" fillId="2" borderId="18" applyAlignment="1" pivotButton="0" quotePrefix="0" xfId="1">
      <alignment horizontal="center" vertical="center"/>
    </xf>
    <xf numFmtId="10" fontId="7" fillId="2" borderId="19" applyAlignment="1" pivotButton="0" quotePrefix="0" xfId="1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14" fontId="6" fillId="2" borderId="2" applyAlignment="1" pivotButton="0" quotePrefix="0" xfId="0">
      <alignment horizontal="center" vertical="center"/>
    </xf>
    <xf numFmtId="14" fontId="6" fillId="2" borderId="3" applyAlignment="1" pivotButton="0" quotePrefix="0" xfId="0">
      <alignment horizontal="center" vertical="center"/>
    </xf>
    <xf numFmtId="14" fontId="6" fillId="2" borderId="4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7" applyAlignment="1" pivotButton="0" quotePrefix="0" xfId="0">
      <alignment horizontal="center" vertical="center"/>
    </xf>
    <xf numFmtId="0" fontId="13" fillId="5" borderId="8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71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72" fontId="0" fillId="0" borderId="0" pivotButton="0" quotePrefix="0" xfId="0"/>
    <xf numFmtId="167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5" fillId="0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8" fontId="5" fillId="2" borderId="2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/>
    </xf>
    <xf numFmtId="10" fontId="7" fillId="2" borderId="21" applyAlignment="1" pivotButton="0" quotePrefix="0" xfId="1">
      <alignment horizontal="center" vertical="center"/>
    </xf>
    <xf numFmtId="10" fontId="7" fillId="2" borderId="22" applyAlignment="1" pivotButton="0" quotePrefix="0" xfId="1">
      <alignment horizontal="center" vertical="center"/>
    </xf>
    <xf numFmtId="170" fontId="5" fillId="0" borderId="1" applyAlignment="1" pivotButton="0" quotePrefix="0" xfId="0">
      <alignment horizontal="center"/>
    </xf>
    <xf numFmtId="0" fontId="13" fillId="5" borderId="2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5" fontId="9" fillId="0" borderId="1" applyAlignment="1" pivotButton="0" quotePrefix="0" xfId="0">
      <alignment vertical="center"/>
    </xf>
    <xf numFmtId="166" fontId="8" fillId="3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8" fontId="11" fillId="0" borderId="1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164" fontId="11" fillId="0" borderId="1" pivotButton="0" quotePrefix="0" xfId="0"/>
    <xf numFmtId="0" fontId="0" fillId="0" borderId="14" pivotButton="0" quotePrefix="0" xfId="0"/>
    <xf numFmtId="0" fontId="0" fillId="0" borderId="23" pivotButton="0" quotePrefix="0" xfId="0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8"/>
  <sheetViews>
    <sheetView tabSelected="1" topLeftCell="I1" zoomScale="60" zoomScaleNormal="60" workbookViewId="0">
      <pane ySplit="1" topLeftCell="A620" activePane="bottomLeft" state="frozen"/>
      <selection activeCell="G1" sqref="G1"/>
      <selection pane="bottomLeft" activeCell="D657" sqref="D657"/>
    </sheetView>
  </sheetViews>
  <sheetFormatPr baseColWidth="8" defaultRowHeight="15.5"/>
  <cols>
    <col width="8.6640625" customWidth="1" style="43" min="1" max="1"/>
    <col width="23.5" customWidth="1" style="8" min="4" max="4"/>
    <col width="17.58203125" customWidth="1" style="8" min="5" max="5"/>
    <col width="12.58203125" customWidth="1" style="8" min="6" max="6"/>
    <col width="18.58203125" customWidth="1" style="8" min="7" max="7"/>
    <col width="27.4140625" customWidth="1" style="8" min="8" max="8"/>
    <col width="14.1640625" customWidth="1" style="8" min="9" max="9"/>
    <col width="8.6640625" customWidth="1" style="8" min="10" max="11"/>
    <col width="14.9140625" customWidth="1" style="8" min="12" max="12"/>
    <col width="8.6640625" customWidth="1" style="8" min="13" max="13"/>
    <col width="13.9140625" customWidth="1" style="8" min="14" max="14"/>
    <col width="13.4140625" customWidth="1" style="8" min="16" max="16"/>
    <col width="13.08203125" customWidth="1" style="8" min="20" max="20"/>
    <col width="15.25" customWidth="1" style="8" min="21" max="21"/>
    <col width="12.33203125" customWidth="1" style="8" min="22" max="22"/>
    <col width="12" customWidth="1" style="8" min="23" max="23"/>
    <col width="21.25" bestFit="1" customWidth="1" style="8" min="24" max="24"/>
  </cols>
  <sheetData>
    <row r="1" customFormat="1" s="5">
      <c r="A1" s="1" t="inlineStr">
        <is>
          <t>序号</t>
        </is>
      </c>
      <c r="B1" s="1" t="inlineStr">
        <is>
          <t>月份</t>
        </is>
      </c>
      <c r="C1" s="1" t="inlineStr">
        <is>
          <t>类别</t>
        </is>
      </c>
      <c r="D1" s="1" t="inlineStr">
        <is>
          <t>资产类型</t>
        </is>
      </c>
      <c r="E1" s="1" t="inlineStr">
        <is>
          <t>项目名称</t>
        </is>
      </c>
      <c r="F1" s="1" t="inlineStr">
        <is>
          <t>发行场所</t>
        </is>
      </c>
      <c r="G1" s="1" t="inlineStr">
        <is>
          <t>计划管理人</t>
        </is>
      </c>
      <c r="H1" s="1" t="inlineStr">
        <is>
          <t>联席承销商</t>
        </is>
      </c>
      <c r="I1" s="1" t="inlineStr">
        <is>
          <t>托管行</t>
        </is>
      </c>
      <c r="J1" s="304" t="inlineStr">
        <is>
          <t>规模</t>
        </is>
      </c>
      <c r="K1" s="1" t="inlineStr">
        <is>
          <t>期限</t>
        </is>
      </c>
      <c r="L1" s="1" t="inlineStr">
        <is>
          <t>簿记时间</t>
        </is>
      </c>
      <c r="M1" s="1" t="inlineStr">
        <is>
          <t>国股CD</t>
        </is>
      </c>
      <c r="N1" s="1" t="inlineStr">
        <is>
          <t>ALL-IN成本</t>
        </is>
      </c>
      <c r="O1" s="1" t="inlineStr">
        <is>
          <t>认购倍数</t>
        </is>
      </c>
      <c r="P1" s="1" t="inlineStr">
        <is>
          <t>分层情况</t>
        </is>
      </c>
      <c r="Q1" s="3" t="inlineStr">
        <is>
          <t>分层占比</t>
        </is>
      </c>
      <c r="R1" s="304" t="inlineStr">
        <is>
          <t>对应金额（亿）</t>
        </is>
      </c>
      <c r="S1" s="1" t="inlineStr">
        <is>
          <t>评级</t>
        </is>
      </c>
      <c r="T1" s="3" t="inlineStr">
        <is>
          <t>成本</t>
        </is>
      </c>
      <c r="U1" s="4" t="inlineStr">
        <is>
          <t>认购机构</t>
        </is>
      </c>
      <c r="V1" s="4" t="inlineStr">
        <is>
          <t>认购份额</t>
        </is>
      </c>
    </row>
    <row r="2">
      <c r="A2" s="223" t="n">
        <v>1</v>
      </c>
      <c r="B2" s="305" t="inlineStr">
        <is>
          <t>1月</t>
        </is>
      </c>
      <c r="C2" s="305" t="inlineStr">
        <is>
          <t>消金</t>
        </is>
      </c>
      <c r="D2" s="305" t="inlineStr">
        <is>
          <t>赊销白条</t>
        </is>
      </c>
      <c r="E2" s="305" t="inlineStr">
        <is>
          <t>东道17-3</t>
        </is>
      </c>
      <c r="F2" s="305" t="inlineStr">
        <is>
          <t>深交所</t>
        </is>
      </c>
      <c r="G2" s="305" t="inlineStr">
        <is>
          <t>国泰海通</t>
        </is>
      </c>
      <c r="H2" s="305" t="inlineStr">
        <is>
          <t>中信证券</t>
        </is>
      </c>
      <c r="I2" s="305" t="inlineStr">
        <is>
          <t>邮储中关村</t>
        </is>
      </c>
      <c r="J2" s="245" t="n">
        <v>10</v>
      </c>
      <c r="K2" s="305" t="inlineStr">
        <is>
          <t>21+3</t>
        </is>
      </c>
      <c r="L2" s="246" t="n">
        <v>46030</v>
      </c>
      <c r="M2" s="247" t="n">
        <v>0.016</v>
      </c>
      <c r="N2" s="306" t="n">
        <v>0.022</v>
      </c>
      <c r="O2" s="245" t="n">
        <v>1.81</v>
      </c>
      <c r="P2" s="235" t="inlineStr">
        <is>
          <t>优先A</t>
        </is>
      </c>
      <c r="Q2" s="236" t="n">
        <v>0.87</v>
      </c>
      <c r="R2" s="307" t="n">
        <v>8.699999999999999</v>
      </c>
      <c r="S2" s="235" t="inlineStr">
        <is>
          <t>AAA</t>
        </is>
      </c>
      <c r="T2" s="236" t="n">
        <v>0.0195</v>
      </c>
      <c r="U2" s="235" t="inlineStr">
        <is>
          <t>邮储银行</t>
        </is>
      </c>
      <c r="V2" s="308" t="n">
        <v>4</v>
      </c>
    </row>
    <row r="3">
      <c r="A3" t="n">
        <v>1</v>
      </c>
      <c r="B3" t="inlineStr">
        <is>
          <t>1月</t>
        </is>
      </c>
      <c r="C3" t="inlineStr">
        <is>
          <t>消金</t>
        </is>
      </c>
      <c r="D3" t="inlineStr">
        <is>
          <t>赊销白条</t>
        </is>
      </c>
      <c r="E3" t="inlineStr">
        <is>
          <t>东道17-3</t>
        </is>
      </c>
      <c r="F3" t="inlineStr">
        <is>
          <t>深交所</t>
        </is>
      </c>
      <c r="G3" t="inlineStr">
        <is>
          <t>国泰海通</t>
        </is>
      </c>
      <c r="H3" t="inlineStr">
        <is>
          <t>中信证券</t>
        </is>
      </c>
      <c r="I3" t="inlineStr">
        <is>
          <t>邮储中关村</t>
        </is>
      </c>
      <c r="J3" t="n">
        <v>10</v>
      </c>
      <c r="K3" t="inlineStr">
        <is>
          <t>21+3</t>
        </is>
      </c>
      <c r="L3" s="309" t="n">
        <v>46030</v>
      </c>
      <c r="M3" t="n">
        <v>0.016</v>
      </c>
      <c r="N3" t="n">
        <v>0.022</v>
      </c>
      <c r="O3" t="n">
        <v>1.81</v>
      </c>
      <c r="P3" t="inlineStr">
        <is>
          <t>优先A</t>
        </is>
      </c>
      <c r="Q3" t="n">
        <v>0.87</v>
      </c>
      <c r="R3" t="n">
        <v>8.699999999999999</v>
      </c>
      <c r="S3" t="inlineStr">
        <is>
          <t>AAA</t>
        </is>
      </c>
      <c r="T3" t="n">
        <v>0.0195</v>
      </c>
      <c r="U3" s="235" t="inlineStr">
        <is>
          <t>国泰海通投行</t>
        </is>
      </c>
      <c r="V3" s="308" t="n">
        <v>1.3</v>
      </c>
    </row>
    <row r="4">
      <c r="A4" t="n">
        <v>1</v>
      </c>
      <c r="B4" t="inlineStr">
        <is>
          <t>1月</t>
        </is>
      </c>
      <c r="C4" t="inlineStr">
        <is>
          <t>消金</t>
        </is>
      </c>
      <c r="D4" t="inlineStr">
        <is>
          <t>赊销白条</t>
        </is>
      </c>
      <c r="E4" t="inlineStr">
        <is>
          <t>东道17-3</t>
        </is>
      </c>
      <c r="F4" t="inlineStr">
        <is>
          <t>深交所</t>
        </is>
      </c>
      <c r="G4" t="inlineStr">
        <is>
          <t>国泰海通</t>
        </is>
      </c>
      <c r="H4" t="inlineStr">
        <is>
          <t>中信证券</t>
        </is>
      </c>
      <c r="I4" t="inlineStr">
        <is>
          <t>邮储中关村</t>
        </is>
      </c>
      <c r="J4" t="n">
        <v>10</v>
      </c>
      <c r="K4" t="inlineStr">
        <is>
          <t>21+3</t>
        </is>
      </c>
      <c r="L4" s="309" t="n">
        <v>46030</v>
      </c>
      <c r="M4" t="n">
        <v>0.016</v>
      </c>
      <c r="N4" t="n">
        <v>0.022</v>
      </c>
      <c r="O4" t="n">
        <v>1.81</v>
      </c>
      <c r="P4" t="inlineStr">
        <is>
          <t>优先A</t>
        </is>
      </c>
      <c r="Q4" t="n">
        <v>0.87</v>
      </c>
      <c r="R4" t="n">
        <v>8.699999999999999</v>
      </c>
      <c r="S4" t="inlineStr">
        <is>
          <t>AAA</t>
        </is>
      </c>
      <c r="T4" t="n">
        <v>0.0195</v>
      </c>
      <c r="U4" s="235" t="inlineStr">
        <is>
          <t>中信证券投行</t>
        </is>
      </c>
      <c r="V4" s="308" t="n">
        <v>1.3</v>
      </c>
    </row>
    <row r="5">
      <c r="A5" t="n">
        <v>1</v>
      </c>
      <c r="B5" t="inlineStr">
        <is>
          <t>1月</t>
        </is>
      </c>
      <c r="C5" t="inlineStr">
        <is>
          <t>消金</t>
        </is>
      </c>
      <c r="D5" t="inlineStr">
        <is>
          <t>赊销白条</t>
        </is>
      </c>
      <c r="E5" t="inlineStr">
        <is>
          <t>东道17-3</t>
        </is>
      </c>
      <c r="F5" t="inlineStr">
        <is>
          <t>深交所</t>
        </is>
      </c>
      <c r="G5" t="inlineStr">
        <is>
          <t>国泰海通</t>
        </is>
      </c>
      <c r="H5" t="inlineStr">
        <is>
          <t>中信证券</t>
        </is>
      </c>
      <c r="I5" t="inlineStr">
        <is>
          <t>邮储中关村</t>
        </is>
      </c>
      <c r="J5" t="n">
        <v>10</v>
      </c>
      <c r="K5" t="inlineStr">
        <is>
          <t>21+3</t>
        </is>
      </c>
      <c r="L5" s="309" t="n">
        <v>46030</v>
      </c>
      <c r="M5" t="n">
        <v>0.016</v>
      </c>
      <c r="N5" t="n">
        <v>0.022</v>
      </c>
      <c r="O5" t="n">
        <v>1.81</v>
      </c>
      <c r="P5" t="inlineStr">
        <is>
          <t>优先A</t>
        </is>
      </c>
      <c r="Q5" t="n">
        <v>0.87</v>
      </c>
      <c r="R5" t="n">
        <v>8.699999999999999</v>
      </c>
      <c r="S5" t="inlineStr">
        <is>
          <t>AAA</t>
        </is>
      </c>
      <c r="T5" t="n">
        <v>0.0195</v>
      </c>
      <c r="U5" s="235" t="inlineStr">
        <is>
          <t>国开证券自营</t>
        </is>
      </c>
      <c r="V5" s="308" t="n">
        <v>1</v>
      </c>
    </row>
    <row r="6">
      <c r="A6" t="n">
        <v>1</v>
      </c>
      <c r="B6" t="inlineStr">
        <is>
          <t>1月</t>
        </is>
      </c>
      <c r="C6" t="inlineStr">
        <is>
          <t>消金</t>
        </is>
      </c>
      <c r="D6" t="inlineStr">
        <is>
          <t>赊销白条</t>
        </is>
      </c>
      <c r="E6" t="inlineStr">
        <is>
          <t>东道17-3</t>
        </is>
      </c>
      <c r="F6" t="inlineStr">
        <is>
          <t>深交所</t>
        </is>
      </c>
      <c r="G6" t="inlineStr">
        <is>
          <t>国泰海通</t>
        </is>
      </c>
      <c r="H6" t="inlineStr">
        <is>
          <t>中信证券</t>
        </is>
      </c>
      <c r="I6" t="inlineStr">
        <is>
          <t>邮储中关村</t>
        </is>
      </c>
      <c r="J6" t="n">
        <v>10</v>
      </c>
      <c r="K6" t="inlineStr">
        <is>
          <t>21+3</t>
        </is>
      </c>
      <c r="L6" s="309" t="n">
        <v>46030</v>
      </c>
      <c r="M6" t="n">
        <v>0.016</v>
      </c>
      <c r="N6" t="n">
        <v>0.022</v>
      </c>
      <c r="O6" t="n">
        <v>1.81</v>
      </c>
      <c r="P6" t="inlineStr">
        <is>
          <t>优先A</t>
        </is>
      </c>
      <c r="Q6" t="n">
        <v>0.87</v>
      </c>
      <c r="R6" t="n">
        <v>8.699999999999999</v>
      </c>
      <c r="S6" t="inlineStr">
        <is>
          <t>AAA</t>
        </is>
      </c>
      <c r="T6" t="n">
        <v>0.0195</v>
      </c>
      <c r="U6" s="235" t="inlineStr">
        <is>
          <t>京东世贸</t>
        </is>
      </c>
      <c r="V6" s="310" t="n">
        <v>0.435</v>
      </c>
    </row>
    <row r="7">
      <c r="A7" t="n">
        <v>1</v>
      </c>
      <c r="B7" t="inlineStr">
        <is>
          <t>1月</t>
        </is>
      </c>
      <c r="C7" t="inlineStr">
        <is>
          <t>消金</t>
        </is>
      </c>
      <c r="D7" t="inlineStr">
        <is>
          <t>赊销白条</t>
        </is>
      </c>
      <c r="E7" t="inlineStr">
        <is>
          <t>东道17-3</t>
        </is>
      </c>
      <c r="F7" t="inlineStr">
        <is>
          <t>深交所</t>
        </is>
      </c>
      <c r="G7" t="inlineStr">
        <is>
          <t>国泰海通</t>
        </is>
      </c>
      <c r="H7" t="inlineStr">
        <is>
          <t>中信证券</t>
        </is>
      </c>
      <c r="I7" t="inlineStr">
        <is>
          <t>邮储中关村</t>
        </is>
      </c>
      <c r="J7" t="n">
        <v>10</v>
      </c>
      <c r="K7" t="inlineStr">
        <is>
          <t>21+3</t>
        </is>
      </c>
      <c r="L7" s="309" t="n">
        <v>46030</v>
      </c>
      <c r="M7" t="n">
        <v>0.016</v>
      </c>
      <c r="N7" t="n">
        <v>0.022</v>
      </c>
      <c r="O7" t="n">
        <v>1.81</v>
      </c>
      <c r="P7" t="inlineStr">
        <is>
          <t>优先A</t>
        </is>
      </c>
      <c r="Q7" t="n">
        <v>0.87</v>
      </c>
      <c r="R7" t="n">
        <v>8.699999999999999</v>
      </c>
      <c r="S7" t="inlineStr">
        <is>
          <t>AAA</t>
        </is>
      </c>
      <c r="T7" t="n">
        <v>0.0195</v>
      </c>
      <c r="U7" s="235" t="inlineStr">
        <is>
          <t>中信建投投顾</t>
        </is>
      </c>
      <c r="V7" s="310" t="n">
        <v>0.365</v>
      </c>
    </row>
    <row r="8">
      <c r="A8" t="n">
        <v>1</v>
      </c>
      <c r="B8" t="inlineStr">
        <is>
          <t>1月</t>
        </is>
      </c>
      <c r="C8" t="inlineStr">
        <is>
          <t>消金</t>
        </is>
      </c>
      <c r="D8" t="inlineStr">
        <is>
          <t>赊销白条</t>
        </is>
      </c>
      <c r="E8" t="inlineStr">
        <is>
          <t>东道17-3</t>
        </is>
      </c>
      <c r="F8" t="inlineStr">
        <is>
          <t>深交所</t>
        </is>
      </c>
      <c r="G8" t="inlineStr">
        <is>
          <t>国泰海通</t>
        </is>
      </c>
      <c r="H8" t="inlineStr">
        <is>
          <t>中信证券</t>
        </is>
      </c>
      <c r="I8" t="inlineStr">
        <is>
          <t>邮储中关村</t>
        </is>
      </c>
      <c r="J8" t="n">
        <v>10</v>
      </c>
      <c r="K8" t="inlineStr">
        <is>
          <t>21+3</t>
        </is>
      </c>
      <c r="L8" s="309" t="n">
        <v>46030</v>
      </c>
      <c r="M8" t="n">
        <v>0.016</v>
      </c>
      <c r="N8" t="n">
        <v>0.022</v>
      </c>
      <c r="O8" t="n">
        <v>1.81</v>
      </c>
      <c r="P8" t="inlineStr">
        <is>
          <t>优先A</t>
        </is>
      </c>
      <c r="Q8" t="n">
        <v>0.87</v>
      </c>
      <c r="R8" t="n">
        <v>8.699999999999999</v>
      </c>
      <c r="S8" t="inlineStr">
        <is>
          <t>AAA</t>
        </is>
      </c>
      <c r="T8" t="n">
        <v>0.0195</v>
      </c>
      <c r="U8" s="235" t="inlineStr">
        <is>
          <t>交银理财</t>
        </is>
      </c>
      <c r="V8" s="308" t="n">
        <v>0.3</v>
      </c>
    </row>
    <row r="9">
      <c r="A9" t="n">
        <v>1</v>
      </c>
      <c r="B9" t="inlineStr">
        <is>
          <t>1月</t>
        </is>
      </c>
      <c r="C9" t="inlineStr">
        <is>
          <t>消金</t>
        </is>
      </c>
      <c r="D9" t="inlineStr">
        <is>
          <t>赊销白条</t>
        </is>
      </c>
      <c r="E9" t="inlineStr">
        <is>
          <t>东道17-3</t>
        </is>
      </c>
      <c r="F9" t="inlineStr">
        <is>
          <t>深交所</t>
        </is>
      </c>
      <c r="G9" t="inlineStr">
        <is>
          <t>国泰海通</t>
        </is>
      </c>
      <c r="H9" t="inlineStr">
        <is>
          <t>中信证券</t>
        </is>
      </c>
      <c r="I9" t="inlineStr">
        <is>
          <t>邮储中关村</t>
        </is>
      </c>
      <c r="J9" t="n">
        <v>10</v>
      </c>
      <c r="K9" t="inlineStr">
        <is>
          <t>21+3</t>
        </is>
      </c>
      <c r="L9" s="309" t="n">
        <v>46030</v>
      </c>
      <c r="M9" t="n">
        <v>0.016</v>
      </c>
      <c r="N9" t="n">
        <v>0.022</v>
      </c>
      <c r="O9" t="n">
        <v>1.81</v>
      </c>
      <c r="P9" s="235" t="inlineStr">
        <is>
          <t>优先B</t>
        </is>
      </c>
      <c r="Q9" s="236" t="n">
        <v>0.04</v>
      </c>
      <c r="R9" s="307" t="n">
        <v>0.4</v>
      </c>
      <c r="S9" s="235" t="inlineStr">
        <is>
          <t>AA+</t>
        </is>
      </c>
      <c r="T9" s="236" t="n">
        <v>0.022</v>
      </c>
      <c r="U9" s="235" t="inlineStr">
        <is>
          <t>建信信托</t>
        </is>
      </c>
      <c r="V9" s="308" t="n">
        <v>0.26</v>
      </c>
    </row>
    <row r="10">
      <c r="A10" t="n">
        <v>1</v>
      </c>
      <c r="B10" t="inlineStr">
        <is>
          <t>1月</t>
        </is>
      </c>
      <c r="C10" t="inlineStr">
        <is>
          <t>消金</t>
        </is>
      </c>
      <c r="D10" t="inlineStr">
        <is>
          <t>赊销白条</t>
        </is>
      </c>
      <c r="E10" t="inlineStr">
        <is>
          <t>东道17-3</t>
        </is>
      </c>
      <c r="F10" t="inlineStr">
        <is>
          <t>深交所</t>
        </is>
      </c>
      <c r="G10" t="inlineStr">
        <is>
          <t>国泰海通</t>
        </is>
      </c>
      <c r="H10" t="inlineStr">
        <is>
          <t>中信证券</t>
        </is>
      </c>
      <c r="I10" t="inlineStr">
        <is>
          <t>邮储中关村</t>
        </is>
      </c>
      <c r="J10" t="n">
        <v>10</v>
      </c>
      <c r="K10" t="inlineStr">
        <is>
          <t>21+3</t>
        </is>
      </c>
      <c r="L10" s="309" t="n">
        <v>46030</v>
      </c>
      <c r="M10" t="n">
        <v>0.016</v>
      </c>
      <c r="N10" t="n">
        <v>0.022</v>
      </c>
      <c r="O10" t="n">
        <v>1.81</v>
      </c>
      <c r="P10" t="inlineStr">
        <is>
          <t>优先B</t>
        </is>
      </c>
      <c r="Q10" t="n">
        <v>0.04</v>
      </c>
      <c r="R10" t="n">
        <v>0.4</v>
      </c>
      <c r="S10" t="inlineStr">
        <is>
          <t>AA+</t>
        </is>
      </c>
      <c r="T10" t="n">
        <v>0.022</v>
      </c>
      <c r="U10" s="235" t="inlineStr">
        <is>
          <t>交银理财</t>
        </is>
      </c>
      <c r="V10" s="308" t="n">
        <v>0.12</v>
      </c>
    </row>
    <row r="11">
      <c r="A11" t="n">
        <v>1</v>
      </c>
      <c r="B11" t="inlineStr">
        <is>
          <t>1月</t>
        </is>
      </c>
      <c r="C11" t="inlineStr">
        <is>
          <t>消金</t>
        </is>
      </c>
      <c r="D11" t="inlineStr">
        <is>
          <t>赊销白条</t>
        </is>
      </c>
      <c r="E11" t="inlineStr">
        <is>
          <t>东道17-3</t>
        </is>
      </c>
      <c r="F11" t="inlineStr">
        <is>
          <t>深交所</t>
        </is>
      </c>
      <c r="G11" t="inlineStr">
        <is>
          <t>国泰海通</t>
        </is>
      </c>
      <c r="H11" t="inlineStr">
        <is>
          <t>中信证券</t>
        </is>
      </c>
      <c r="I11" t="inlineStr">
        <is>
          <t>邮储中关村</t>
        </is>
      </c>
      <c r="J11" t="n">
        <v>10</v>
      </c>
      <c r="K11" t="inlineStr">
        <is>
          <t>21+3</t>
        </is>
      </c>
      <c r="L11" s="309" t="n">
        <v>46030</v>
      </c>
      <c r="M11" t="n">
        <v>0.016</v>
      </c>
      <c r="N11" t="n">
        <v>0.022</v>
      </c>
      <c r="O11" t="n">
        <v>1.81</v>
      </c>
      <c r="P11" t="inlineStr">
        <is>
          <t>优先B</t>
        </is>
      </c>
      <c r="Q11" t="n">
        <v>0.04</v>
      </c>
      <c r="R11" t="n">
        <v>0.4</v>
      </c>
      <c r="S11" t="inlineStr">
        <is>
          <t>AA+</t>
        </is>
      </c>
      <c r="T11" t="n">
        <v>0.022</v>
      </c>
      <c r="U11" s="235" t="inlineStr">
        <is>
          <t>京东世贸</t>
        </is>
      </c>
      <c r="V11" s="308" t="n">
        <v>0.02</v>
      </c>
    </row>
    <row r="12">
      <c r="A12" t="n">
        <v>1</v>
      </c>
      <c r="B12" t="inlineStr">
        <is>
          <t>1月</t>
        </is>
      </c>
      <c r="C12" t="inlineStr">
        <is>
          <t>消金</t>
        </is>
      </c>
      <c r="D12" t="inlineStr">
        <is>
          <t>赊销白条</t>
        </is>
      </c>
      <c r="E12" t="inlineStr">
        <is>
          <t>东道17-3</t>
        </is>
      </c>
      <c r="F12" t="inlineStr">
        <is>
          <t>深交所</t>
        </is>
      </c>
      <c r="G12" t="inlineStr">
        <is>
          <t>国泰海通</t>
        </is>
      </c>
      <c r="H12" t="inlineStr">
        <is>
          <t>中信证券</t>
        </is>
      </c>
      <c r="I12" t="inlineStr">
        <is>
          <t>邮储中关村</t>
        </is>
      </c>
      <c r="J12" t="n">
        <v>10</v>
      </c>
      <c r="K12" t="inlineStr">
        <is>
          <t>21+3</t>
        </is>
      </c>
      <c r="L12" s="309" t="n">
        <v>46030</v>
      </c>
      <c r="M12" t="n">
        <v>0.016</v>
      </c>
      <c r="N12" t="n">
        <v>0.022</v>
      </c>
      <c r="O12" t="n">
        <v>1.81</v>
      </c>
      <c r="P12" s="235" t="inlineStr">
        <is>
          <t>中间级</t>
        </is>
      </c>
      <c r="Q12" s="236" t="n">
        <v>0.04</v>
      </c>
      <c r="R12" s="307" t="n">
        <v>0.4</v>
      </c>
      <c r="S12" s="235" t="inlineStr">
        <is>
          <t>A</t>
        </is>
      </c>
      <c r="T12" s="236" t="n">
        <v>0.032</v>
      </c>
      <c r="U12" s="235" t="inlineStr">
        <is>
          <t>中信建投机构部</t>
        </is>
      </c>
      <c r="V12" s="308" t="n">
        <v>0.1</v>
      </c>
    </row>
    <row r="13">
      <c r="A13" t="n">
        <v>1</v>
      </c>
      <c r="B13" t="inlineStr">
        <is>
          <t>1月</t>
        </is>
      </c>
      <c r="C13" t="inlineStr">
        <is>
          <t>消金</t>
        </is>
      </c>
      <c r="D13" t="inlineStr">
        <is>
          <t>赊销白条</t>
        </is>
      </c>
      <c r="E13" t="inlineStr">
        <is>
          <t>东道17-3</t>
        </is>
      </c>
      <c r="F13" t="inlineStr">
        <is>
          <t>深交所</t>
        </is>
      </c>
      <c r="G13" t="inlineStr">
        <is>
          <t>国泰海通</t>
        </is>
      </c>
      <c r="H13" t="inlineStr">
        <is>
          <t>中信证券</t>
        </is>
      </c>
      <c r="I13" t="inlineStr">
        <is>
          <t>邮储中关村</t>
        </is>
      </c>
      <c r="J13" t="n">
        <v>10</v>
      </c>
      <c r="K13" t="inlineStr">
        <is>
          <t>21+3</t>
        </is>
      </c>
      <c r="L13" s="309" t="n">
        <v>46030</v>
      </c>
      <c r="M13" t="n">
        <v>0.016</v>
      </c>
      <c r="N13" t="n">
        <v>0.022</v>
      </c>
      <c r="O13" t="n">
        <v>1.81</v>
      </c>
      <c r="P13" t="inlineStr">
        <is>
          <t>中间级</t>
        </is>
      </c>
      <c r="Q13" t="n">
        <v>0.04</v>
      </c>
      <c r="R13" t="n">
        <v>0.4</v>
      </c>
      <c r="S13" t="inlineStr">
        <is>
          <t>A</t>
        </is>
      </c>
      <c r="T13" t="n">
        <v>0.032</v>
      </c>
      <c r="U13" s="235" t="inlineStr">
        <is>
          <t>中信建投衍生品</t>
        </is>
      </c>
      <c r="V13" s="308" t="n">
        <v>0.18</v>
      </c>
    </row>
    <row r="14">
      <c r="A14" t="n">
        <v>1</v>
      </c>
      <c r="B14" t="inlineStr">
        <is>
          <t>1月</t>
        </is>
      </c>
      <c r="C14" t="inlineStr">
        <is>
          <t>消金</t>
        </is>
      </c>
      <c r="D14" t="inlineStr">
        <is>
          <t>赊销白条</t>
        </is>
      </c>
      <c r="E14" t="inlineStr">
        <is>
          <t>东道17-3</t>
        </is>
      </c>
      <c r="F14" t="inlineStr">
        <is>
          <t>深交所</t>
        </is>
      </c>
      <c r="G14" t="inlineStr">
        <is>
          <t>国泰海通</t>
        </is>
      </c>
      <c r="H14" t="inlineStr">
        <is>
          <t>中信证券</t>
        </is>
      </c>
      <c r="I14" t="inlineStr">
        <is>
          <t>邮储中关村</t>
        </is>
      </c>
      <c r="J14" t="n">
        <v>10</v>
      </c>
      <c r="K14" t="inlineStr">
        <is>
          <t>21+3</t>
        </is>
      </c>
      <c r="L14" s="309" t="n">
        <v>46030</v>
      </c>
      <c r="M14" t="n">
        <v>0.016</v>
      </c>
      <c r="N14" t="n">
        <v>0.022</v>
      </c>
      <c r="O14" t="n">
        <v>1.81</v>
      </c>
      <c r="P14" t="inlineStr">
        <is>
          <t>中间级</t>
        </is>
      </c>
      <c r="Q14" t="n">
        <v>0.04</v>
      </c>
      <c r="R14" t="n">
        <v>0.4</v>
      </c>
      <c r="S14" t="inlineStr">
        <is>
          <t>A</t>
        </is>
      </c>
      <c r="T14" t="n">
        <v>0.032</v>
      </c>
      <c r="U14" s="235" t="inlineStr">
        <is>
          <t>中信建投投顾</t>
        </is>
      </c>
      <c r="V14" s="308" t="n">
        <v>0.1</v>
      </c>
    </row>
    <row r="15">
      <c r="A15" t="n">
        <v>1</v>
      </c>
      <c r="B15" t="inlineStr">
        <is>
          <t>1月</t>
        </is>
      </c>
      <c r="C15" t="inlineStr">
        <is>
          <t>消金</t>
        </is>
      </c>
      <c r="D15" t="inlineStr">
        <is>
          <t>赊销白条</t>
        </is>
      </c>
      <c r="E15" t="inlineStr">
        <is>
          <t>东道17-3</t>
        </is>
      </c>
      <c r="F15" t="inlineStr">
        <is>
          <t>深交所</t>
        </is>
      </c>
      <c r="G15" t="inlineStr">
        <is>
          <t>国泰海通</t>
        </is>
      </c>
      <c r="H15" t="inlineStr">
        <is>
          <t>中信证券</t>
        </is>
      </c>
      <c r="I15" t="inlineStr">
        <is>
          <t>邮储中关村</t>
        </is>
      </c>
      <c r="J15" t="n">
        <v>10</v>
      </c>
      <c r="K15" t="inlineStr">
        <is>
          <t>21+3</t>
        </is>
      </c>
      <c r="L15" s="309" t="n">
        <v>46030</v>
      </c>
      <c r="M15" t="n">
        <v>0.016</v>
      </c>
      <c r="N15" t="n">
        <v>0.022</v>
      </c>
      <c r="O15" t="n">
        <v>1.81</v>
      </c>
      <c r="P15" t="inlineStr">
        <is>
          <t>中间级</t>
        </is>
      </c>
      <c r="Q15" t="n">
        <v>0.04</v>
      </c>
      <c r="R15" t="n">
        <v>0.4</v>
      </c>
      <c r="S15" t="inlineStr">
        <is>
          <t>A</t>
        </is>
      </c>
      <c r="T15" t="n">
        <v>0.032</v>
      </c>
      <c r="U15" s="235" t="inlineStr">
        <is>
          <t>京东世贸</t>
        </is>
      </c>
      <c r="V15" s="308" t="n">
        <v>0.02</v>
      </c>
    </row>
    <row r="16">
      <c r="A16" t="n">
        <v>1</v>
      </c>
      <c r="B16" t="inlineStr">
        <is>
          <t>1月</t>
        </is>
      </c>
      <c r="C16" t="inlineStr">
        <is>
          <t>消金</t>
        </is>
      </c>
      <c r="D16" t="inlineStr">
        <is>
          <t>赊销白条</t>
        </is>
      </c>
      <c r="E16" t="inlineStr">
        <is>
          <t>东道17-3</t>
        </is>
      </c>
      <c r="F16" t="inlineStr">
        <is>
          <t>深交所</t>
        </is>
      </c>
      <c r="G16" t="inlineStr">
        <is>
          <t>国泰海通</t>
        </is>
      </c>
      <c r="H16" t="inlineStr">
        <is>
          <t>中信证券</t>
        </is>
      </c>
      <c r="I16" t="inlineStr">
        <is>
          <t>邮储中关村</t>
        </is>
      </c>
      <c r="J16" t="n">
        <v>10</v>
      </c>
      <c r="K16" t="inlineStr">
        <is>
          <t>21+3</t>
        </is>
      </c>
      <c r="L16" s="309" t="n">
        <v>46030</v>
      </c>
      <c r="M16" t="n">
        <v>0.016</v>
      </c>
      <c r="N16" t="n">
        <v>0.022</v>
      </c>
      <c r="O16" t="n">
        <v>1.81</v>
      </c>
      <c r="P16" s="235" t="inlineStr">
        <is>
          <t>次级</t>
        </is>
      </c>
      <c r="Q16" s="236" t="n">
        <v>0.05</v>
      </c>
      <c r="R16" s="307" t="n">
        <v>0.5</v>
      </c>
      <c r="S16" s="235" t="inlineStr">
        <is>
          <t>无</t>
        </is>
      </c>
      <c r="T16" s="236" t="n">
        <v>0.045</v>
      </c>
      <c r="U16" s="235" t="inlineStr">
        <is>
          <t>信达证券自营</t>
        </is>
      </c>
      <c r="V16" s="308" t="n">
        <v>0.23</v>
      </c>
    </row>
    <row r="17">
      <c r="A17" t="n">
        <v>1</v>
      </c>
      <c r="B17" t="inlineStr">
        <is>
          <t>1月</t>
        </is>
      </c>
      <c r="C17" t="inlineStr">
        <is>
          <t>消金</t>
        </is>
      </c>
      <c r="D17" t="inlineStr">
        <is>
          <t>赊销白条</t>
        </is>
      </c>
      <c r="E17" t="inlineStr">
        <is>
          <t>东道17-3</t>
        </is>
      </c>
      <c r="F17" t="inlineStr">
        <is>
          <t>深交所</t>
        </is>
      </c>
      <c r="G17" t="inlineStr">
        <is>
          <t>国泰海通</t>
        </is>
      </c>
      <c r="H17" t="inlineStr">
        <is>
          <t>中信证券</t>
        </is>
      </c>
      <c r="I17" t="inlineStr">
        <is>
          <t>邮储中关村</t>
        </is>
      </c>
      <c r="J17" t="n">
        <v>10</v>
      </c>
      <c r="K17" t="inlineStr">
        <is>
          <t>21+3</t>
        </is>
      </c>
      <c r="L17" s="309" t="n">
        <v>46030</v>
      </c>
      <c r="M17" t="n">
        <v>0.016</v>
      </c>
      <c r="N17" t="n">
        <v>0.022</v>
      </c>
      <c r="O17" t="n">
        <v>1.81</v>
      </c>
      <c r="P17" t="inlineStr">
        <is>
          <t>次级</t>
        </is>
      </c>
      <c r="Q17" t="n">
        <v>0.05</v>
      </c>
      <c r="R17" t="n">
        <v>0.5</v>
      </c>
      <c r="S17" t="inlineStr">
        <is>
          <t>无</t>
        </is>
      </c>
      <c r="T17" t="n">
        <v>0.045</v>
      </c>
      <c r="U17" s="235" t="inlineStr">
        <is>
          <t>中信证券投顾</t>
        </is>
      </c>
      <c r="V17" s="308" t="n">
        <v>0.07000000000000001</v>
      </c>
    </row>
    <row r="18">
      <c r="A18" t="n">
        <v>1</v>
      </c>
      <c r="B18" t="inlineStr">
        <is>
          <t>1月</t>
        </is>
      </c>
      <c r="C18" t="inlineStr">
        <is>
          <t>消金</t>
        </is>
      </c>
      <c r="D18" t="inlineStr">
        <is>
          <t>赊销白条</t>
        </is>
      </c>
      <c r="E18" t="inlineStr">
        <is>
          <t>东道17-3</t>
        </is>
      </c>
      <c r="F18" t="inlineStr">
        <is>
          <t>深交所</t>
        </is>
      </c>
      <c r="G18" t="inlineStr">
        <is>
          <t>国泰海通</t>
        </is>
      </c>
      <c r="H18" t="inlineStr">
        <is>
          <t>中信证券</t>
        </is>
      </c>
      <c r="I18" t="inlineStr">
        <is>
          <t>邮储中关村</t>
        </is>
      </c>
      <c r="J18" t="n">
        <v>10</v>
      </c>
      <c r="K18" t="inlineStr">
        <is>
          <t>21+3</t>
        </is>
      </c>
      <c r="L18" s="309" t="n">
        <v>46030</v>
      </c>
      <c r="M18" t="n">
        <v>0.016</v>
      </c>
      <c r="N18" t="n">
        <v>0.022</v>
      </c>
      <c r="O18" t="n">
        <v>1.81</v>
      </c>
      <c r="P18" t="inlineStr">
        <is>
          <t>次级</t>
        </is>
      </c>
      <c r="Q18" t="n">
        <v>0.05</v>
      </c>
      <c r="R18" t="n">
        <v>0.5</v>
      </c>
      <c r="S18" t="inlineStr">
        <is>
          <t>无</t>
        </is>
      </c>
      <c r="T18" t="n">
        <v>0.045</v>
      </c>
      <c r="U18" s="235" t="inlineStr">
        <is>
          <t>华兴证券自营</t>
        </is>
      </c>
      <c r="V18" s="310" t="n">
        <v>0.075</v>
      </c>
    </row>
    <row r="19">
      <c r="A19" t="n">
        <v>1</v>
      </c>
      <c r="B19" t="inlineStr">
        <is>
          <t>1月</t>
        </is>
      </c>
      <c r="C19" t="inlineStr">
        <is>
          <t>消金</t>
        </is>
      </c>
      <c r="D19" t="inlineStr">
        <is>
          <t>赊销白条</t>
        </is>
      </c>
      <c r="E19" t="inlineStr">
        <is>
          <t>东道17-3</t>
        </is>
      </c>
      <c r="F19" t="inlineStr">
        <is>
          <t>深交所</t>
        </is>
      </c>
      <c r="G19" t="inlineStr">
        <is>
          <t>国泰海通</t>
        </is>
      </c>
      <c r="H19" t="inlineStr">
        <is>
          <t>中信证券</t>
        </is>
      </c>
      <c r="I19" t="inlineStr">
        <is>
          <t>邮储中关村</t>
        </is>
      </c>
      <c r="J19" t="n">
        <v>10</v>
      </c>
      <c r="K19" t="inlineStr">
        <is>
          <t>21+3</t>
        </is>
      </c>
      <c r="L19" s="309" t="n">
        <v>46030</v>
      </c>
      <c r="M19" t="n">
        <v>0.016</v>
      </c>
      <c r="N19" t="n">
        <v>0.022</v>
      </c>
      <c r="O19" t="n">
        <v>1.81</v>
      </c>
      <c r="P19" t="inlineStr">
        <is>
          <t>次级</t>
        </is>
      </c>
      <c r="Q19" t="n">
        <v>0.05</v>
      </c>
      <c r="R19" t="n">
        <v>0.5</v>
      </c>
      <c r="S19" t="inlineStr">
        <is>
          <t>无</t>
        </is>
      </c>
      <c r="T19" t="n">
        <v>0.045</v>
      </c>
      <c r="U19" s="235" t="inlineStr">
        <is>
          <t>东家铂睿</t>
        </is>
      </c>
      <c r="V19" s="308" t="n">
        <v>0.1</v>
      </c>
    </row>
    <row r="20">
      <c r="A20" t="n">
        <v>1</v>
      </c>
      <c r="B20" t="inlineStr">
        <is>
          <t>1月</t>
        </is>
      </c>
      <c r="C20" t="inlineStr">
        <is>
          <t>消金</t>
        </is>
      </c>
      <c r="D20" t="inlineStr">
        <is>
          <t>赊销白条</t>
        </is>
      </c>
      <c r="E20" t="inlineStr">
        <is>
          <t>东道17-3</t>
        </is>
      </c>
      <c r="F20" t="inlineStr">
        <is>
          <t>深交所</t>
        </is>
      </c>
      <c r="G20" t="inlineStr">
        <is>
          <t>国泰海通</t>
        </is>
      </c>
      <c r="H20" t="inlineStr">
        <is>
          <t>中信证券</t>
        </is>
      </c>
      <c r="I20" t="inlineStr">
        <is>
          <t>邮储中关村</t>
        </is>
      </c>
      <c r="J20" t="n">
        <v>10</v>
      </c>
      <c r="K20" t="inlineStr">
        <is>
          <t>21+3</t>
        </is>
      </c>
      <c r="L20" s="309" t="n">
        <v>46030</v>
      </c>
      <c r="M20" t="n">
        <v>0.016</v>
      </c>
      <c r="N20" t="n">
        <v>0.022</v>
      </c>
      <c r="O20" t="n">
        <v>1.81</v>
      </c>
      <c r="P20" t="inlineStr">
        <is>
          <t>次级</t>
        </is>
      </c>
      <c r="Q20" t="n">
        <v>0.05</v>
      </c>
      <c r="R20" t="n">
        <v>0.5</v>
      </c>
      <c r="S20" t="inlineStr">
        <is>
          <t>无</t>
        </is>
      </c>
      <c r="T20" t="n">
        <v>0.045</v>
      </c>
      <c r="U20" s="235" t="inlineStr">
        <is>
          <t>京东世贸</t>
        </is>
      </c>
      <c r="V20" s="310" t="n">
        <v>0.025</v>
      </c>
    </row>
    <row r="21">
      <c r="A21" s="223" t="n">
        <v>2</v>
      </c>
      <c r="B21" s="220" t="inlineStr">
        <is>
          <t>1月</t>
        </is>
      </c>
      <c r="C21" s="220" t="inlineStr">
        <is>
          <t>消金</t>
        </is>
      </c>
      <c r="D21" s="220" t="inlineStr">
        <is>
          <t>信托金条</t>
        </is>
      </c>
      <c r="E21" s="220" t="inlineStr">
        <is>
          <t>25东樾1秋樾（续发）</t>
        </is>
      </c>
      <c r="F21" s="220" t="inlineStr">
        <is>
          <t>银行间</t>
        </is>
      </c>
      <c r="G21" s="220" t="inlineStr">
        <is>
          <t>国泰海通</t>
        </is>
      </c>
      <c r="H21" s="220" t="inlineStr">
        <is>
          <t>宁波银行/南京银行/中信证券</t>
        </is>
      </c>
      <c r="I21" s="220" t="inlineStr">
        <is>
          <t>中行北分</t>
        </is>
      </c>
      <c r="J21" s="220" t="n">
        <v>9.300000000000001</v>
      </c>
      <c r="K21" s="220" t="inlineStr">
        <is>
          <t>10+12</t>
        </is>
      </c>
      <c r="L21" s="224" t="n">
        <v>46034</v>
      </c>
      <c r="M21" s="225" t="n">
        <v>0.01626</v>
      </c>
      <c r="N21" s="311" t="n">
        <v>0.02224</v>
      </c>
      <c r="O21" s="226" t="n">
        <v>1.33</v>
      </c>
      <c r="P21" s="220" t="inlineStr">
        <is>
          <t>优先A</t>
        </is>
      </c>
      <c r="Q21" s="221" t="n">
        <v>0.9</v>
      </c>
      <c r="R21" s="308" t="n">
        <v>9</v>
      </c>
      <c r="S21" s="220" t="inlineStr">
        <is>
          <t>AAA</t>
        </is>
      </c>
      <c r="T21" s="221" t="n">
        <v>0.0189</v>
      </c>
      <c r="U21" s="24" t="inlineStr">
        <is>
          <t>南银理财</t>
        </is>
      </c>
      <c r="V21" s="25" t="n">
        <v>2</v>
      </c>
    </row>
    <row r="22">
      <c r="A22" t="n">
        <v>2</v>
      </c>
      <c r="B22" t="inlineStr">
        <is>
          <t>1月</t>
        </is>
      </c>
      <c r="C22" t="inlineStr">
        <is>
          <t>消金</t>
        </is>
      </c>
      <c r="D22" t="inlineStr">
        <is>
          <t>信托金条</t>
        </is>
      </c>
      <c r="E22" t="inlineStr">
        <is>
          <t>25东樾1秋樾（续发）</t>
        </is>
      </c>
      <c r="F22" t="inlineStr">
        <is>
          <t>银行间</t>
        </is>
      </c>
      <c r="G22" t="inlineStr">
        <is>
          <t>国泰海通</t>
        </is>
      </c>
      <c r="H22" t="inlineStr">
        <is>
          <t>宁波银行/南京银行/中信证券</t>
        </is>
      </c>
      <c r="I22" t="inlineStr">
        <is>
          <t>中行北分</t>
        </is>
      </c>
      <c r="J22" t="n">
        <v>9.300000000000001</v>
      </c>
      <c r="K22" t="inlineStr">
        <is>
          <t>10+12</t>
        </is>
      </c>
      <c r="L22" s="309" t="n">
        <v>46034</v>
      </c>
      <c r="M22" t="n">
        <v>0.01626</v>
      </c>
      <c r="N22" t="n">
        <v>0.02224</v>
      </c>
      <c r="O22" t="n">
        <v>1.33</v>
      </c>
      <c r="P22" t="inlineStr">
        <is>
          <t>优先A</t>
        </is>
      </c>
      <c r="Q22" t="n">
        <v>0.9</v>
      </c>
      <c r="R22" t="n">
        <v>9</v>
      </c>
      <c r="S22" t="inlineStr">
        <is>
          <t>AAA</t>
        </is>
      </c>
      <c r="T22" t="n">
        <v>0.0189</v>
      </c>
      <c r="U22" s="24" t="inlineStr">
        <is>
          <t>南京银行</t>
        </is>
      </c>
      <c r="V22" s="25" t="n">
        <v>0.5</v>
      </c>
    </row>
    <row r="23">
      <c r="A23" t="n">
        <v>2</v>
      </c>
      <c r="B23" t="inlineStr">
        <is>
          <t>1月</t>
        </is>
      </c>
      <c r="C23" t="inlineStr">
        <is>
          <t>消金</t>
        </is>
      </c>
      <c r="D23" t="inlineStr">
        <is>
          <t>信托金条</t>
        </is>
      </c>
      <c r="E23" t="inlineStr">
        <is>
          <t>25东樾1秋樾（续发）</t>
        </is>
      </c>
      <c r="F23" t="inlineStr">
        <is>
          <t>银行间</t>
        </is>
      </c>
      <c r="G23" t="inlineStr">
        <is>
          <t>国泰海通</t>
        </is>
      </c>
      <c r="H23" t="inlineStr">
        <is>
          <t>宁波银行/南京银行/中信证券</t>
        </is>
      </c>
      <c r="I23" t="inlineStr">
        <is>
          <t>中行北分</t>
        </is>
      </c>
      <c r="J23" t="n">
        <v>9.300000000000001</v>
      </c>
      <c r="K23" t="inlineStr">
        <is>
          <t>10+12</t>
        </is>
      </c>
      <c r="L23" s="309" t="n">
        <v>46034</v>
      </c>
      <c r="M23" t="n">
        <v>0.01626</v>
      </c>
      <c r="N23" t="n">
        <v>0.02224</v>
      </c>
      <c r="O23" t="n">
        <v>1.33</v>
      </c>
      <c r="P23" t="inlineStr">
        <is>
          <t>优先A</t>
        </is>
      </c>
      <c r="Q23" t="n">
        <v>0.9</v>
      </c>
      <c r="R23" t="n">
        <v>9</v>
      </c>
      <c r="S23" t="inlineStr">
        <is>
          <t>AAA</t>
        </is>
      </c>
      <c r="T23" t="n">
        <v>0.0189</v>
      </c>
      <c r="U23" s="24" t="inlineStr">
        <is>
          <t>交银理财</t>
        </is>
      </c>
      <c r="V23" s="25" t="n">
        <v>2.7</v>
      </c>
    </row>
    <row r="24">
      <c r="A24" t="n">
        <v>2</v>
      </c>
      <c r="B24" t="inlineStr">
        <is>
          <t>1月</t>
        </is>
      </c>
      <c r="C24" t="inlineStr">
        <is>
          <t>消金</t>
        </is>
      </c>
      <c r="D24" t="inlineStr">
        <is>
          <t>信托金条</t>
        </is>
      </c>
      <c r="E24" t="inlineStr">
        <is>
          <t>25东樾1秋樾（续发）</t>
        </is>
      </c>
      <c r="F24" t="inlineStr">
        <is>
          <t>银行间</t>
        </is>
      </c>
      <c r="G24" t="inlineStr">
        <is>
          <t>国泰海通</t>
        </is>
      </c>
      <c r="H24" t="inlineStr">
        <is>
          <t>宁波银行/南京银行/中信证券</t>
        </is>
      </c>
      <c r="I24" t="inlineStr">
        <is>
          <t>中行北分</t>
        </is>
      </c>
      <c r="J24" t="n">
        <v>9.300000000000001</v>
      </c>
      <c r="K24" t="inlineStr">
        <is>
          <t>10+12</t>
        </is>
      </c>
      <c r="L24" s="309" t="n">
        <v>46034</v>
      </c>
      <c r="M24" t="n">
        <v>0.01626</v>
      </c>
      <c r="N24" t="n">
        <v>0.02224</v>
      </c>
      <c r="O24" t="n">
        <v>1.33</v>
      </c>
      <c r="P24" t="inlineStr">
        <is>
          <t>优先A</t>
        </is>
      </c>
      <c r="Q24" t="n">
        <v>0.9</v>
      </c>
      <c r="R24" t="n">
        <v>9</v>
      </c>
      <c r="S24" t="inlineStr">
        <is>
          <t>AAA</t>
        </is>
      </c>
      <c r="T24" t="n">
        <v>0.0189</v>
      </c>
      <c r="U24" s="24" t="inlineStr">
        <is>
          <t>平安理财</t>
        </is>
      </c>
      <c r="V24" s="25" t="n">
        <v>2.2</v>
      </c>
    </row>
    <row r="25">
      <c r="A25" t="n">
        <v>2</v>
      </c>
      <c r="B25" t="inlineStr">
        <is>
          <t>1月</t>
        </is>
      </c>
      <c r="C25" t="inlineStr">
        <is>
          <t>消金</t>
        </is>
      </c>
      <c r="D25" t="inlineStr">
        <is>
          <t>信托金条</t>
        </is>
      </c>
      <c r="E25" t="inlineStr">
        <is>
          <t>25东樾1秋樾（续发）</t>
        </is>
      </c>
      <c r="F25" t="inlineStr">
        <is>
          <t>银行间</t>
        </is>
      </c>
      <c r="G25" t="inlineStr">
        <is>
          <t>国泰海通</t>
        </is>
      </c>
      <c r="H25" t="inlineStr">
        <is>
          <t>宁波银行/南京银行/中信证券</t>
        </is>
      </c>
      <c r="I25" t="inlineStr">
        <is>
          <t>中行北分</t>
        </is>
      </c>
      <c r="J25" t="n">
        <v>9.300000000000001</v>
      </c>
      <c r="K25" t="inlineStr">
        <is>
          <t>10+12</t>
        </is>
      </c>
      <c r="L25" s="309" t="n">
        <v>46034</v>
      </c>
      <c r="M25" t="n">
        <v>0.01626</v>
      </c>
      <c r="N25" t="n">
        <v>0.02224</v>
      </c>
      <c r="O25" t="n">
        <v>1.33</v>
      </c>
      <c r="P25" t="inlineStr">
        <is>
          <t>优先A</t>
        </is>
      </c>
      <c r="Q25" t="n">
        <v>0.9</v>
      </c>
      <c r="R25" t="n">
        <v>9</v>
      </c>
      <c r="S25" t="inlineStr">
        <is>
          <t>AAA</t>
        </is>
      </c>
      <c r="T25" t="n">
        <v>0.0189</v>
      </c>
      <c r="U25" s="24" t="inlineStr">
        <is>
          <t>中银理财</t>
        </is>
      </c>
      <c r="V25" s="25" t="n">
        <v>1</v>
      </c>
    </row>
    <row r="26">
      <c r="A26" t="n">
        <v>2</v>
      </c>
      <c r="B26" t="inlineStr">
        <is>
          <t>1月</t>
        </is>
      </c>
      <c r="C26" t="inlineStr">
        <is>
          <t>消金</t>
        </is>
      </c>
      <c r="D26" t="inlineStr">
        <is>
          <t>信托金条</t>
        </is>
      </c>
      <c r="E26" t="inlineStr">
        <is>
          <t>25东樾1秋樾（续发）</t>
        </is>
      </c>
      <c r="F26" t="inlineStr">
        <is>
          <t>银行间</t>
        </is>
      </c>
      <c r="G26" t="inlineStr">
        <is>
          <t>国泰海通</t>
        </is>
      </c>
      <c r="H26" t="inlineStr">
        <is>
          <t>宁波银行/南京银行/中信证券</t>
        </is>
      </c>
      <c r="I26" t="inlineStr">
        <is>
          <t>中行北分</t>
        </is>
      </c>
      <c r="J26" t="n">
        <v>9.300000000000001</v>
      </c>
      <c r="K26" t="inlineStr">
        <is>
          <t>10+12</t>
        </is>
      </c>
      <c r="L26" s="309" t="n">
        <v>46034</v>
      </c>
      <c r="M26" t="n">
        <v>0.01626</v>
      </c>
      <c r="N26" t="n">
        <v>0.02224</v>
      </c>
      <c r="O26" t="n">
        <v>1.33</v>
      </c>
      <c r="P26" t="inlineStr">
        <is>
          <t>优先A</t>
        </is>
      </c>
      <c r="Q26" t="n">
        <v>0.9</v>
      </c>
      <c r="R26" t="n">
        <v>9</v>
      </c>
      <c r="S26" t="inlineStr">
        <is>
          <t>AAA</t>
        </is>
      </c>
      <c r="T26" t="n">
        <v>0.0189</v>
      </c>
      <c r="U26" s="24" t="inlineStr">
        <is>
          <t>申万宏源投顾</t>
        </is>
      </c>
      <c r="V26" s="25" t="n">
        <v>0.2</v>
      </c>
    </row>
    <row r="27">
      <c r="A27" t="n">
        <v>2</v>
      </c>
      <c r="B27" t="inlineStr">
        <is>
          <t>1月</t>
        </is>
      </c>
      <c r="C27" t="inlineStr">
        <is>
          <t>消金</t>
        </is>
      </c>
      <c r="D27" t="inlineStr">
        <is>
          <t>信托金条</t>
        </is>
      </c>
      <c r="E27" t="inlineStr">
        <is>
          <t>25东樾1秋樾（续发）</t>
        </is>
      </c>
      <c r="F27" t="inlineStr">
        <is>
          <t>银行间</t>
        </is>
      </c>
      <c r="G27" t="inlineStr">
        <is>
          <t>国泰海通</t>
        </is>
      </c>
      <c r="H27" t="inlineStr">
        <is>
          <t>宁波银行/南京银行/中信证券</t>
        </is>
      </c>
      <c r="I27" t="inlineStr">
        <is>
          <t>中行北分</t>
        </is>
      </c>
      <c r="J27" t="n">
        <v>9.300000000000001</v>
      </c>
      <c r="K27" t="inlineStr">
        <is>
          <t>10+12</t>
        </is>
      </c>
      <c r="L27" s="309" t="n">
        <v>46034</v>
      </c>
      <c r="M27" t="n">
        <v>0.01626</v>
      </c>
      <c r="N27" t="n">
        <v>0.02224</v>
      </c>
      <c r="O27" t="n">
        <v>1.33</v>
      </c>
      <c r="P27" t="inlineStr">
        <is>
          <t>优先A</t>
        </is>
      </c>
      <c r="Q27" t="n">
        <v>0.9</v>
      </c>
      <c r="R27" t="n">
        <v>9</v>
      </c>
      <c r="S27" t="inlineStr">
        <is>
          <t>AAA</t>
        </is>
      </c>
      <c r="T27" t="n">
        <v>0.0189</v>
      </c>
      <c r="U27" s="24" t="inlineStr">
        <is>
          <t>苏银理财</t>
        </is>
      </c>
      <c r="V27" s="25" t="n">
        <v>0.4</v>
      </c>
    </row>
    <row r="28">
      <c r="A28" t="n">
        <v>2</v>
      </c>
      <c r="B28" t="inlineStr">
        <is>
          <t>1月</t>
        </is>
      </c>
      <c r="C28" t="inlineStr">
        <is>
          <t>消金</t>
        </is>
      </c>
      <c r="D28" t="inlineStr">
        <is>
          <t>信托金条</t>
        </is>
      </c>
      <c r="E28" t="inlineStr">
        <is>
          <t>25东樾1秋樾（续发）</t>
        </is>
      </c>
      <c r="F28" t="inlineStr">
        <is>
          <t>银行间</t>
        </is>
      </c>
      <c r="G28" t="inlineStr">
        <is>
          <t>国泰海通</t>
        </is>
      </c>
      <c r="H28" t="inlineStr">
        <is>
          <t>宁波银行/南京银行/中信证券</t>
        </is>
      </c>
      <c r="I28" t="inlineStr">
        <is>
          <t>中行北分</t>
        </is>
      </c>
      <c r="J28" t="n">
        <v>9.300000000000001</v>
      </c>
      <c r="K28" t="inlineStr">
        <is>
          <t>10+12</t>
        </is>
      </c>
      <c r="L28" s="309" t="n">
        <v>46034</v>
      </c>
      <c r="M28" t="n">
        <v>0.01626</v>
      </c>
      <c r="N28" t="n">
        <v>0.02224</v>
      </c>
      <c r="O28" t="n">
        <v>1.33</v>
      </c>
      <c r="P28" s="220" t="inlineStr">
        <is>
          <t>优先B</t>
        </is>
      </c>
      <c r="Q28" s="221" t="n">
        <v>0.03</v>
      </c>
      <c r="R28" s="308" t="n">
        <v>0.3</v>
      </c>
      <c r="S28" s="221" t="inlineStr">
        <is>
          <t>AA+</t>
        </is>
      </c>
      <c r="T28" s="221" t="n">
        <v>0.022</v>
      </c>
      <c r="U28" s="24" t="inlineStr">
        <is>
          <t>交银理财</t>
        </is>
      </c>
      <c r="V28" s="25" t="n">
        <v>0.09</v>
      </c>
    </row>
    <row r="29">
      <c r="A29" t="n">
        <v>2</v>
      </c>
      <c r="B29" t="inlineStr">
        <is>
          <t>1月</t>
        </is>
      </c>
      <c r="C29" t="inlineStr">
        <is>
          <t>消金</t>
        </is>
      </c>
      <c r="D29" t="inlineStr">
        <is>
          <t>信托金条</t>
        </is>
      </c>
      <c r="E29" t="inlineStr">
        <is>
          <t>25东樾1秋樾（续发）</t>
        </is>
      </c>
      <c r="F29" t="inlineStr">
        <is>
          <t>银行间</t>
        </is>
      </c>
      <c r="G29" t="inlineStr">
        <is>
          <t>国泰海通</t>
        </is>
      </c>
      <c r="H29" t="inlineStr">
        <is>
          <t>宁波银行/南京银行/中信证券</t>
        </is>
      </c>
      <c r="I29" t="inlineStr">
        <is>
          <t>中行北分</t>
        </is>
      </c>
      <c r="J29" t="n">
        <v>9.300000000000001</v>
      </c>
      <c r="K29" t="inlineStr">
        <is>
          <t>10+12</t>
        </is>
      </c>
      <c r="L29" s="309" t="n">
        <v>46034</v>
      </c>
      <c r="M29" t="n">
        <v>0.01626</v>
      </c>
      <c r="N29" t="n">
        <v>0.02224</v>
      </c>
      <c r="O29" t="n">
        <v>1.33</v>
      </c>
      <c r="P29" t="inlineStr">
        <is>
          <t>优先B</t>
        </is>
      </c>
      <c r="Q29" t="n">
        <v>0.03</v>
      </c>
      <c r="R29" t="n">
        <v>0.3</v>
      </c>
      <c r="S29" t="inlineStr">
        <is>
          <t>AA+</t>
        </is>
      </c>
      <c r="T29" t="n">
        <v>0.022</v>
      </c>
      <c r="U29" s="24" t="inlineStr">
        <is>
          <t>平安理财</t>
        </is>
      </c>
      <c r="V29" s="25" t="n">
        <v>0.07000000000000001</v>
      </c>
    </row>
    <row r="30">
      <c r="A30" t="n">
        <v>2</v>
      </c>
      <c r="B30" t="inlineStr">
        <is>
          <t>1月</t>
        </is>
      </c>
      <c r="C30" t="inlineStr">
        <is>
          <t>消金</t>
        </is>
      </c>
      <c r="D30" t="inlineStr">
        <is>
          <t>信托金条</t>
        </is>
      </c>
      <c r="E30" t="inlineStr">
        <is>
          <t>25东樾1秋樾（续发）</t>
        </is>
      </c>
      <c r="F30" t="inlineStr">
        <is>
          <t>银行间</t>
        </is>
      </c>
      <c r="G30" t="inlineStr">
        <is>
          <t>国泰海通</t>
        </is>
      </c>
      <c r="H30" t="inlineStr">
        <is>
          <t>宁波银行/南京银行/中信证券</t>
        </is>
      </c>
      <c r="I30" t="inlineStr">
        <is>
          <t>中行北分</t>
        </is>
      </c>
      <c r="J30" t="n">
        <v>9.300000000000001</v>
      </c>
      <c r="K30" t="inlineStr">
        <is>
          <t>10+12</t>
        </is>
      </c>
      <c r="L30" s="309" t="n">
        <v>46034</v>
      </c>
      <c r="M30" t="n">
        <v>0.01626</v>
      </c>
      <c r="N30" t="n">
        <v>0.02224</v>
      </c>
      <c r="O30" t="n">
        <v>1.33</v>
      </c>
      <c r="P30" t="inlineStr">
        <is>
          <t>优先B</t>
        </is>
      </c>
      <c r="Q30" t="n">
        <v>0.03</v>
      </c>
      <c r="R30" t="n">
        <v>0.3</v>
      </c>
      <c r="S30" t="inlineStr">
        <is>
          <t>AA+</t>
        </is>
      </c>
      <c r="T30" t="n">
        <v>0.022</v>
      </c>
      <c r="U30" s="24" t="inlineStr">
        <is>
          <t>国泰海通投行</t>
        </is>
      </c>
      <c r="V30" s="25" t="n">
        <v>0.04</v>
      </c>
    </row>
    <row r="31">
      <c r="A31" t="n">
        <v>2</v>
      </c>
      <c r="B31" t="inlineStr">
        <is>
          <t>1月</t>
        </is>
      </c>
      <c r="C31" t="inlineStr">
        <is>
          <t>消金</t>
        </is>
      </c>
      <c r="D31" t="inlineStr">
        <is>
          <t>信托金条</t>
        </is>
      </c>
      <c r="E31" t="inlineStr">
        <is>
          <t>25东樾1秋樾（续发）</t>
        </is>
      </c>
      <c r="F31" t="inlineStr">
        <is>
          <t>银行间</t>
        </is>
      </c>
      <c r="G31" t="inlineStr">
        <is>
          <t>国泰海通</t>
        </is>
      </c>
      <c r="H31" t="inlineStr">
        <is>
          <t>宁波银行/南京银行/中信证券</t>
        </is>
      </c>
      <c r="I31" t="inlineStr">
        <is>
          <t>中行北分</t>
        </is>
      </c>
      <c r="J31" t="n">
        <v>9.300000000000001</v>
      </c>
      <c r="K31" t="inlineStr">
        <is>
          <t>10+12</t>
        </is>
      </c>
      <c r="L31" s="309" t="n">
        <v>46034</v>
      </c>
      <c r="M31" t="n">
        <v>0.01626</v>
      </c>
      <c r="N31" t="n">
        <v>0.02224</v>
      </c>
      <c r="O31" t="n">
        <v>1.33</v>
      </c>
      <c r="P31" t="inlineStr">
        <is>
          <t>优先B</t>
        </is>
      </c>
      <c r="Q31" t="n">
        <v>0.03</v>
      </c>
      <c r="R31" t="n">
        <v>0.3</v>
      </c>
      <c r="S31" t="inlineStr">
        <is>
          <t>AA+</t>
        </is>
      </c>
      <c r="T31" t="n">
        <v>0.022</v>
      </c>
      <c r="U31" s="24" t="inlineStr">
        <is>
          <t>中信证券投行</t>
        </is>
      </c>
      <c r="V31" s="25" t="n">
        <v>0.1</v>
      </c>
    </row>
    <row r="32">
      <c r="A32" s="223" t="n">
        <v>3</v>
      </c>
      <c r="B32" s="220" t="inlineStr">
        <is>
          <t>1月</t>
        </is>
      </c>
      <c r="C32" s="220" t="inlineStr">
        <is>
          <t>消金</t>
        </is>
      </c>
      <c r="D32" s="220" t="inlineStr">
        <is>
          <t>信托金条</t>
        </is>
      </c>
      <c r="E32" s="220" t="inlineStr">
        <is>
          <t>耘睿23-6</t>
        </is>
      </c>
      <c r="F32" s="220" t="inlineStr">
        <is>
          <t>上交所</t>
        </is>
      </c>
      <c r="G32" s="220" t="inlineStr">
        <is>
          <t>中信建投</t>
        </is>
      </c>
      <c r="H32" s="220" t="inlineStr">
        <is>
          <t>平安证券</t>
        </is>
      </c>
      <c r="I32" s="220" t="inlineStr">
        <is>
          <t>中信北分</t>
        </is>
      </c>
      <c r="J32" s="220" t="n">
        <v>10</v>
      </c>
      <c r="K32" s="220" t="inlineStr">
        <is>
          <t>12+12</t>
        </is>
      </c>
      <c r="L32" s="224" t="n">
        <v>46034</v>
      </c>
      <c r="M32" s="225" t="n">
        <v>0.0164</v>
      </c>
      <c r="N32" s="311" t="n">
        <v>0.02184</v>
      </c>
      <c r="O32" s="226" t="n">
        <v>1.69</v>
      </c>
      <c r="P32" s="220" t="inlineStr">
        <is>
          <t>优先A</t>
        </is>
      </c>
      <c r="Q32" s="221" t="n">
        <v>0.9</v>
      </c>
      <c r="R32" s="308" t="n">
        <v>9</v>
      </c>
      <c r="S32" s="220" t="inlineStr">
        <is>
          <t>AAA</t>
        </is>
      </c>
      <c r="T32" s="221" t="n">
        <v>0.019</v>
      </c>
      <c r="U32" s="265" t="inlineStr">
        <is>
          <t>南银理财</t>
        </is>
      </c>
      <c r="V32" s="25" t="n">
        <v>2</v>
      </c>
    </row>
    <row r="33">
      <c r="A33" t="n">
        <v>3</v>
      </c>
      <c r="B33" t="inlineStr">
        <is>
          <t>1月</t>
        </is>
      </c>
      <c r="C33" t="inlineStr">
        <is>
          <t>消金</t>
        </is>
      </c>
      <c r="D33" t="inlineStr">
        <is>
          <t>信托金条</t>
        </is>
      </c>
      <c r="E33" t="inlineStr">
        <is>
          <t>耘睿23-6</t>
        </is>
      </c>
      <c r="F33" t="inlineStr">
        <is>
          <t>上交所</t>
        </is>
      </c>
      <c r="G33" t="inlineStr">
        <is>
          <t>中信建投</t>
        </is>
      </c>
      <c r="H33" t="inlineStr">
        <is>
          <t>平安证券</t>
        </is>
      </c>
      <c r="I33" t="inlineStr">
        <is>
          <t>中信北分</t>
        </is>
      </c>
      <c r="J33" t="n">
        <v>10</v>
      </c>
      <c r="K33" t="inlineStr">
        <is>
          <t>12+12</t>
        </is>
      </c>
      <c r="L33" s="309" t="n">
        <v>46034</v>
      </c>
      <c r="M33" t="n">
        <v>0.0164</v>
      </c>
      <c r="N33" t="n">
        <v>0.02184</v>
      </c>
      <c r="O33" t="n">
        <v>1.69</v>
      </c>
      <c r="P33" t="inlineStr">
        <is>
          <t>优先A</t>
        </is>
      </c>
      <c r="Q33" t="n">
        <v>0.9</v>
      </c>
      <c r="R33" t="n">
        <v>9</v>
      </c>
      <c r="S33" t="inlineStr">
        <is>
          <t>AAA</t>
        </is>
      </c>
      <c r="T33" t="n">
        <v>0.019</v>
      </c>
      <c r="U33" s="24" t="inlineStr">
        <is>
          <t>中银理财</t>
        </is>
      </c>
      <c r="V33" s="25" t="n">
        <v>0.5</v>
      </c>
    </row>
    <row r="34">
      <c r="A34" t="n">
        <v>3</v>
      </c>
      <c r="B34" t="inlineStr">
        <is>
          <t>1月</t>
        </is>
      </c>
      <c r="C34" t="inlineStr">
        <is>
          <t>消金</t>
        </is>
      </c>
      <c r="D34" t="inlineStr">
        <is>
          <t>信托金条</t>
        </is>
      </c>
      <c r="E34" t="inlineStr">
        <is>
          <t>耘睿23-6</t>
        </is>
      </c>
      <c r="F34" t="inlineStr">
        <is>
          <t>上交所</t>
        </is>
      </c>
      <c r="G34" t="inlineStr">
        <is>
          <t>中信建投</t>
        </is>
      </c>
      <c r="H34" t="inlineStr">
        <is>
          <t>平安证券</t>
        </is>
      </c>
      <c r="I34" t="inlineStr">
        <is>
          <t>中信北分</t>
        </is>
      </c>
      <c r="J34" t="n">
        <v>10</v>
      </c>
      <c r="K34" t="inlineStr">
        <is>
          <t>12+12</t>
        </is>
      </c>
      <c r="L34" s="309" t="n">
        <v>46034</v>
      </c>
      <c r="M34" t="n">
        <v>0.0164</v>
      </c>
      <c r="N34" t="n">
        <v>0.02184</v>
      </c>
      <c r="O34" t="n">
        <v>1.69</v>
      </c>
      <c r="P34" t="inlineStr">
        <is>
          <t>优先A</t>
        </is>
      </c>
      <c r="Q34" t="n">
        <v>0.9</v>
      </c>
      <c r="R34" t="n">
        <v>9</v>
      </c>
      <c r="S34" t="inlineStr">
        <is>
          <t>AAA</t>
        </is>
      </c>
      <c r="T34" t="n">
        <v>0.019</v>
      </c>
      <c r="U34" s="24" t="inlineStr">
        <is>
          <t>广州银行</t>
        </is>
      </c>
      <c r="V34" s="25" t="n">
        <v>2.7</v>
      </c>
    </row>
    <row r="35">
      <c r="A35" t="n">
        <v>3</v>
      </c>
      <c r="B35" t="inlineStr">
        <is>
          <t>1月</t>
        </is>
      </c>
      <c r="C35" t="inlineStr">
        <is>
          <t>消金</t>
        </is>
      </c>
      <c r="D35" t="inlineStr">
        <is>
          <t>信托金条</t>
        </is>
      </c>
      <c r="E35" t="inlineStr">
        <is>
          <t>耘睿23-6</t>
        </is>
      </c>
      <c r="F35" t="inlineStr">
        <is>
          <t>上交所</t>
        </is>
      </c>
      <c r="G35" t="inlineStr">
        <is>
          <t>中信建投</t>
        </is>
      </c>
      <c r="H35" t="inlineStr">
        <is>
          <t>平安证券</t>
        </is>
      </c>
      <c r="I35" t="inlineStr">
        <is>
          <t>中信北分</t>
        </is>
      </c>
      <c r="J35" t="n">
        <v>10</v>
      </c>
      <c r="K35" t="inlineStr">
        <is>
          <t>12+12</t>
        </is>
      </c>
      <c r="L35" s="309" t="n">
        <v>46034</v>
      </c>
      <c r="M35" t="n">
        <v>0.0164</v>
      </c>
      <c r="N35" t="n">
        <v>0.02184</v>
      </c>
      <c r="O35" t="n">
        <v>1.69</v>
      </c>
      <c r="P35" t="inlineStr">
        <is>
          <t>优先A</t>
        </is>
      </c>
      <c r="Q35" t="n">
        <v>0.9</v>
      </c>
      <c r="R35" t="n">
        <v>9</v>
      </c>
      <c r="S35" t="inlineStr">
        <is>
          <t>AAA</t>
        </is>
      </c>
      <c r="T35" t="n">
        <v>0.019</v>
      </c>
      <c r="U35" s="24" t="inlineStr">
        <is>
          <t>平安理财</t>
        </is>
      </c>
      <c r="V35" s="25" t="n">
        <v>2.25</v>
      </c>
    </row>
    <row r="36">
      <c r="A36" t="n">
        <v>3</v>
      </c>
      <c r="B36" t="inlineStr">
        <is>
          <t>1月</t>
        </is>
      </c>
      <c r="C36" t="inlineStr">
        <is>
          <t>消金</t>
        </is>
      </c>
      <c r="D36" t="inlineStr">
        <is>
          <t>信托金条</t>
        </is>
      </c>
      <c r="E36" t="inlineStr">
        <is>
          <t>耘睿23-6</t>
        </is>
      </c>
      <c r="F36" t="inlineStr">
        <is>
          <t>上交所</t>
        </is>
      </c>
      <c r="G36" t="inlineStr">
        <is>
          <t>中信建投</t>
        </is>
      </c>
      <c r="H36" t="inlineStr">
        <is>
          <t>平安证券</t>
        </is>
      </c>
      <c r="I36" t="inlineStr">
        <is>
          <t>中信北分</t>
        </is>
      </c>
      <c r="J36" t="n">
        <v>10</v>
      </c>
      <c r="K36" t="inlineStr">
        <is>
          <t>12+12</t>
        </is>
      </c>
      <c r="L36" s="309" t="n">
        <v>46034</v>
      </c>
      <c r="M36" t="n">
        <v>0.0164</v>
      </c>
      <c r="N36" t="n">
        <v>0.02184</v>
      </c>
      <c r="O36" t="n">
        <v>1.69</v>
      </c>
      <c r="P36" t="inlineStr">
        <is>
          <t>优先A</t>
        </is>
      </c>
      <c r="Q36" t="n">
        <v>0.9</v>
      </c>
      <c r="R36" t="n">
        <v>9</v>
      </c>
      <c r="S36" t="inlineStr">
        <is>
          <t>AAA</t>
        </is>
      </c>
      <c r="T36" t="n">
        <v>0.019</v>
      </c>
      <c r="U36" s="24" t="inlineStr">
        <is>
          <t>华夏基金</t>
        </is>
      </c>
      <c r="V36" s="25" t="n">
        <v>0.9</v>
      </c>
    </row>
    <row r="37">
      <c r="A37" t="n">
        <v>3</v>
      </c>
      <c r="B37" t="inlineStr">
        <is>
          <t>1月</t>
        </is>
      </c>
      <c r="C37" t="inlineStr">
        <is>
          <t>消金</t>
        </is>
      </c>
      <c r="D37" t="inlineStr">
        <is>
          <t>信托金条</t>
        </is>
      </c>
      <c r="E37" t="inlineStr">
        <is>
          <t>耘睿23-6</t>
        </is>
      </c>
      <c r="F37" t="inlineStr">
        <is>
          <t>上交所</t>
        </is>
      </c>
      <c r="G37" t="inlineStr">
        <is>
          <t>中信建投</t>
        </is>
      </c>
      <c r="H37" t="inlineStr">
        <is>
          <t>平安证券</t>
        </is>
      </c>
      <c r="I37" t="inlineStr">
        <is>
          <t>中信北分</t>
        </is>
      </c>
      <c r="J37" t="n">
        <v>10</v>
      </c>
      <c r="K37" t="inlineStr">
        <is>
          <t>12+12</t>
        </is>
      </c>
      <c r="L37" s="309" t="n">
        <v>46034</v>
      </c>
      <c r="M37" t="n">
        <v>0.0164</v>
      </c>
      <c r="N37" t="n">
        <v>0.02184</v>
      </c>
      <c r="O37" t="n">
        <v>1.69</v>
      </c>
      <c r="P37" t="inlineStr">
        <is>
          <t>优先A</t>
        </is>
      </c>
      <c r="Q37" t="n">
        <v>0.9</v>
      </c>
      <c r="R37" t="n">
        <v>9</v>
      </c>
      <c r="S37" t="inlineStr">
        <is>
          <t>AAA</t>
        </is>
      </c>
      <c r="T37" t="n">
        <v>0.019</v>
      </c>
      <c r="U37" s="24" t="inlineStr">
        <is>
          <t>平安证券投行</t>
        </is>
      </c>
      <c r="V37" s="25" t="n">
        <v>0.15</v>
      </c>
    </row>
    <row r="38">
      <c r="A38" t="n">
        <v>3</v>
      </c>
      <c r="B38" t="inlineStr">
        <is>
          <t>1月</t>
        </is>
      </c>
      <c r="C38" t="inlineStr">
        <is>
          <t>消金</t>
        </is>
      </c>
      <c r="D38" t="inlineStr">
        <is>
          <t>信托金条</t>
        </is>
      </c>
      <c r="E38" t="inlineStr">
        <is>
          <t>耘睿23-6</t>
        </is>
      </c>
      <c r="F38" t="inlineStr">
        <is>
          <t>上交所</t>
        </is>
      </c>
      <c r="G38" t="inlineStr">
        <is>
          <t>中信建投</t>
        </is>
      </c>
      <c r="H38" t="inlineStr">
        <is>
          <t>平安证券</t>
        </is>
      </c>
      <c r="I38" t="inlineStr">
        <is>
          <t>中信北分</t>
        </is>
      </c>
      <c r="J38" t="n">
        <v>10</v>
      </c>
      <c r="K38" t="inlineStr">
        <is>
          <t>12+12</t>
        </is>
      </c>
      <c r="L38" s="309" t="n">
        <v>46034</v>
      </c>
      <c r="M38" t="n">
        <v>0.0164</v>
      </c>
      <c r="N38" t="n">
        <v>0.02184</v>
      </c>
      <c r="O38" t="n">
        <v>1.69</v>
      </c>
      <c r="P38" t="inlineStr">
        <is>
          <t>优先A</t>
        </is>
      </c>
      <c r="Q38" t="n">
        <v>0.9</v>
      </c>
      <c r="R38" t="n">
        <v>9</v>
      </c>
      <c r="S38" t="inlineStr">
        <is>
          <t>AAA</t>
        </is>
      </c>
      <c r="T38" t="n">
        <v>0.019</v>
      </c>
      <c r="U38" s="24" t="inlineStr">
        <is>
          <t>光大理财</t>
        </is>
      </c>
      <c r="V38" s="25" t="n">
        <v>0.5</v>
      </c>
    </row>
    <row r="39">
      <c r="A39" t="n">
        <v>3</v>
      </c>
      <c r="B39" t="inlineStr">
        <is>
          <t>1月</t>
        </is>
      </c>
      <c r="C39" t="inlineStr">
        <is>
          <t>消金</t>
        </is>
      </c>
      <c r="D39" t="inlineStr">
        <is>
          <t>信托金条</t>
        </is>
      </c>
      <c r="E39" t="inlineStr">
        <is>
          <t>耘睿23-6</t>
        </is>
      </c>
      <c r="F39" t="inlineStr">
        <is>
          <t>上交所</t>
        </is>
      </c>
      <c r="G39" t="inlineStr">
        <is>
          <t>中信建投</t>
        </is>
      </c>
      <c r="H39" t="inlineStr">
        <is>
          <t>平安证券</t>
        </is>
      </c>
      <c r="I39" t="inlineStr">
        <is>
          <t>中信北分</t>
        </is>
      </c>
      <c r="J39" t="n">
        <v>10</v>
      </c>
      <c r="K39" t="inlineStr">
        <is>
          <t>12+12</t>
        </is>
      </c>
      <c r="L39" s="309" t="n">
        <v>46034</v>
      </c>
      <c r="M39" t="n">
        <v>0.0164</v>
      </c>
      <c r="N39" t="n">
        <v>0.02184</v>
      </c>
      <c r="O39" t="n">
        <v>1.69</v>
      </c>
      <c r="P39" s="220" t="inlineStr">
        <is>
          <t>优先B</t>
        </is>
      </c>
      <c r="Q39" s="221" t="n">
        <v>0.03</v>
      </c>
      <c r="R39" s="308" t="n">
        <v>0.3</v>
      </c>
      <c r="S39" s="221" t="inlineStr">
        <is>
          <t>AA+</t>
        </is>
      </c>
      <c r="T39" s="221" t="n">
        <v>0.022</v>
      </c>
      <c r="U39" s="265" t="inlineStr">
        <is>
          <t>中信建投投行</t>
        </is>
      </c>
      <c r="V39" s="29" t="n">
        <v>0.23</v>
      </c>
    </row>
    <row r="40">
      <c r="A40" t="n">
        <v>3</v>
      </c>
      <c r="B40" t="inlineStr">
        <is>
          <t>1月</t>
        </is>
      </c>
      <c r="C40" t="inlineStr">
        <is>
          <t>消金</t>
        </is>
      </c>
      <c r="D40" t="inlineStr">
        <is>
          <t>信托金条</t>
        </is>
      </c>
      <c r="E40" t="inlineStr">
        <is>
          <t>耘睿23-6</t>
        </is>
      </c>
      <c r="F40" t="inlineStr">
        <is>
          <t>上交所</t>
        </is>
      </c>
      <c r="G40" t="inlineStr">
        <is>
          <t>中信建投</t>
        </is>
      </c>
      <c r="H40" t="inlineStr">
        <is>
          <t>平安证券</t>
        </is>
      </c>
      <c r="I40" t="inlineStr">
        <is>
          <t>中信北分</t>
        </is>
      </c>
      <c r="J40" t="n">
        <v>10</v>
      </c>
      <c r="K40" t="inlineStr">
        <is>
          <t>12+12</t>
        </is>
      </c>
      <c r="L40" s="309" t="n">
        <v>46034</v>
      </c>
      <c r="M40" t="n">
        <v>0.0164</v>
      </c>
      <c r="N40" t="n">
        <v>0.02184</v>
      </c>
      <c r="O40" t="n">
        <v>1.69</v>
      </c>
      <c r="P40" t="inlineStr">
        <is>
          <t>优先B</t>
        </is>
      </c>
      <c r="Q40" t="n">
        <v>0.03</v>
      </c>
      <c r="R40" t="n">
        <v>0.3</v>
      </c>
      <c r="S40" t="inlineStr">
        <is>
          <t>AA+</t>
        </is>
      </c>
      <c r="T40" t="n">
        <v>0.022</v>
      </c>
      <c r="U40" s="24" t="inlineStr">
        <is>
          <t>平安理财</t>
        </is>
      </c>
      <c r="V40" s="29" t="n">
        <v>0.07000000000000001</v>
      </c>
    </row>
    <row r="41">
      <c r="A41" t="n">
        <v>3</v>
      </c>
      <c r="B41" t="inlineStr">
        <is>
          <t>1月</t>
        </is>
      </c>
      <c r="C41" t="inlineStr">
        <is>
          <t>消金</t>
        </is>
      </c>
      <c r="D41" t="inlineStr">
        <is>
          <t>信托金条</t>
        </is>
      </c>
      <c r="E41" t="inlineStr">
        <is>
          <t>耘睿23-6</t>
        </is>
      </c>
      <c r="F41" t="inlineStr">
        <is>
          <t>上交所</t>
        </is>
      </c>
      <c r="G41" t="inlineStr">
        <is>
          <t>中信建投</t>
        </is>
      </c>
      <c r="H41" t="inlineStr">
        <is>
          <t>平安证券</t>
        </is>
      </c>
      <c r="I41" t="inlineStr">
        <is>
          <t>中信北分</t>
        </is>
      </c>
      <c r="J41" t="n">
        <v>10</v>
      </c>
      <c r="K41" t="inlineStr">
        <is>
          <t>12+12</t>
        </is>
      </c>
      <c r="L41" s="309" t="n">
        <v>46034</v>
      </c>
      <c r="M41" t="n">
        <v>0.0164</v>
      </c>
      <c r="N41" t="n">
        <v>0.02184</v>
      </c>
      <c r="O41" t="n">
        <v>1.69</v>
      </c>
      <c r="P41" s="220" t="inlineStr">
        <is>
          <t>中间级</t>
        </is>
      </c>
      <c r="Q41" s="221" t="n">
        <v>0.02</v>
      </c>
      <c r="R41" s="308" t="n">
        <v>0.2</v>
      </c>
      <c r="S41" s="221" t="inlineStr">
        <is>
          <t>AA-</t>
        </is>
      </c>
      <c r="T41" s="221" t="n">
        <v>0.031</v>
      </c>
      <c r="U41" s="265" t="inlineStr">
        <is>
          <t>中信建投机构部</t>
        </is>
      </c>
      <c r="V41" s="226" t="n">
        <v>0.1</v>
      </c>
    </row>
    <row r="42">
      <c r="A42" t="n">
        <v>3</v>
      </c>
      <c r="B42" t="inlineStr">
        <is>
          <t>1月</t>
        </is>
      </c>
      <c r="C42" t="inlineStr">
        <is>
          <t>消金</t>
        </is>
      </c>
      <c r="D42" t="inlineStr">
        <is>
          <t>信托金条</t>
        </is>
      </c>
      <c r="E42" t="inlineStr">
        <is>
          <t>耘睿23-6</t>
        </is>
      </c>
      <c r="F42" t="inlineStr">
        <is>
          <t>上交所</t>
        </is>
      </c>
      <c r="G42" t="inlineStr">
        <is>
          <t>中信建投</t>
        </is>
      </c>
      <c r="H42" t="inlineStr">
        <is>
          <t>平安证券</t>
        </is>
      </c>
      <c r="I42" t="inlineStr">
        <is>
          <t>中信北分</t>
        </is>
      </c>
      <c r="J42" t="n">
        <v>10</v>
      </c>
      <c r="K42" t="inlineStr">
        <is>
          <t>12+12</t>
        </is>
      </c>
      <c r="L42" s="309" t="n">
        <v>46034</v>
      </c>
      <c r="M42" t="n">
        <v>0.0164</v>
      </c>
      <c r="N42" t="n">
        <v>0.02184</v>
      </c>
      <c r="O42" t="n">
        <v>1.69</v>
      </c>
      <c r="P42" t="inlineStr">
        <is>
          <t>中间级</t>
        </is>
      </c>
      <c r="Q42" t="n">
        <v>0.02</v>
      </c>
      <c r="R42" t="n">
        <v>0.2</v>
      </c>
      <c r="S42" t="inlineStr">
        <is>
          <t>AA-</t>
        </is>
      </c>
      <c r="T42" t="n">
        <v>0.031</v>
      </c>
      <c r="U42" s="265" t="inlineStr">
        <is>
          <t>中泰证券自营</t>
        </is>
      </c>
      <c r="V42" s="226" t="n">
        <v>0.1</v>
      </c>
    </row>
    <row r="43" ht="15.5" customHeight="1" s="8">
      <c r="A43" t="n">
        <v>3</v>
      </c>
      <c r="B43" t="inlineStr">
        <is>
          <t>1月</t>
        </is>
      </c>
      <c r="C43" t="inlineStr">
        <is>
          <t>消金</t>
        </is>
      </c>
      <c r="D43" t="inlineStr">
        <is>
          <t>信托金条</t>
        </is>
      </c>
      <c r="E43" t="inlineStr">
        <is>
          <t>耘睿23-6</t>
        </is>
      </c>
      <c r="F43" t="inlineStr">
        <is>
          <t>上交所</t>
        </is>
      </c>
      <c r="G43" t="inlineStr">
        <is>
          <t>中信建投</t>
        </is>
      </c>
      <c r="H43" t="inlineStr">
        <is>
          <t>平安证券</t>
        </is>
      </c>
      <c r="I43" t="inlineStr">
        <is>
          <t>中信北分</t>
        </is>
      </c>
      <c r="J43" t="n">
        <v>10</v>
      </c>
      <c r="K43" t="inlineStr">
        <is>
          <t>12+12</t>
        </is>
      </c>
      <c r="L43" s="309" t="n">
        <v>46034</v>
      </c>
      <c r="M43" t="n">
        <v>0.0164</v>
      </c>
      <c r="N43" t="n">
        <v>0.02184</v>
      </c>
      <c r="O43" t="n">
        <v>1.69</v>
      </c>
      <c r="P43" s="220" t="inlineStr">
        <is>
          <t>受益权</t>
        </is>
      </c>
      <c r="Q43" s="221" t="n">
        <v>0.05</v>
      </c>
      <c r="R43" s="308" t="n">
        <v>0.5</v>
      </c>
      <c r="S43" s="221" t="inlineStr">
        <is>
          <t>无</t>
        </is>
      </c>
      <c r="T43" s="221" t="n">
        <v>0.0485</v>
      </c>
      <c r="U43" s="24" t="inlineStr">
        <is>
          <t>信达证券自营</t>
        </is>
      </c>
      <c r="V43" s="265" t="n">
        <v>0.075</v>
      </c>
    </row>
    <row r="44" ht="15.5" customHeight="1" s="8">
      <c r="A44" t="n">
        <v>3</v>
      </c>
      <c r="B44" t="inlineStr">
        <is>
          <t>1月</t>
        </is>
      </c>
      <c r="C44" t="inlineStr">
        <is>
          <t>消金</t>
        </is>
      </c>
      <c r="D44" t="inlineStr">
        <is>
          <t>信托金条</t>
        </is>
      </c>
      <c r="E44" t="inlineStr">
        <is>
          <t>耘睿23-6</t>
        </is>
      </c>
      <c r="F44" t="inlineStr">
        <is>
          <t>上交所</t>
        </is>
      </c>
      <c r="G44" t="inlineStr">
        <is>
          <t>中信建投</t>
        </is>
      </c>
      <c r="H44" t="inlineStr">
        <is>
          <t>平安证券</t>
        </is>
      </c>
      <c r="I44" t="inlineStr">
        <is>
          <t>中信北分</t>
        </is>
      </c>
      <c r="J44" t="n">
        <v>10</v>
      </c>
      <c r="K44" t="inlineStr">
        <is>
          <t>12+12</t>
        </is>
      </c>
      <c r="L44" s="309" t="n">
        <v>46034</v>
      </c>
      <c r="M44" t="n">
        <v>0.0164</v>
      </c>
      <c r="N44" t="n">
        <v>0.02184</v>
      </c>
      <c r="O44" t="n">
        <v>1.69</v>
      </c>
      <c r="P44" t="inlineStr">
        <is>
          <t>受益权</t>
        </is>
      </c>
      <c r="Q44" t="n">
        <v>0.05</v>
      </c>
      <c r="R44" t="n">
        <v>0.5</v>
      </c>
      <c r="S44" t="inlineStr">
        <is>
          <t>无</t>
        </is>
      </c>
      <c r="T44" t="n">
        <v>0.0485</v>
      </c>
      <c r="U44" s="24" t="inlineStr">
        <is>
          <t>国泰海通自营</t>
        </is>
      </c>
      <c r="V44" s="265" t="n">
        <v>0.075</v>
      </c>
    </row>
    <row r="45" ht="15.5" customHeight="1" s="8">
      <c r="A45" t="n">
        <v>3</v>
      </c>
      <c r="B45" t="inlineStr">
        <is>
          <t>1月</t>
        </is>
      </c>
      <c r="C45" t="inlineStr">
        <is>
          <t>消金</t>
        </is>
      </c>
      <c r="D45" t="inlineStr">
        <is>
          <t>信托金条</t>
        </is>
      </c>
      <c r="E45" t="inlineStr">
        <is>
          <t>耘睿23-6</t>
        </is>
      </c>
      <c r="F45" t="inlineStr">
        <is>
          <t>上交所</t>
        </is>
      </c>
      <c r="G45" t="inlineStr">
        <is>
          <t>中信建投</t>
        </is>
      </c>
      <c r="H45" t="inlineStr">
        <is>
          <t>平安证券</t>
        </is>
      </c>
      <c r="I45" t="inlineStr">
        <is>
          <t>中信北分</t>
        </is>
      </c>
      <c r="J45" t="n">
        <v>10</v>
      </c>
      <c r="K45" t="inlineStr">
        <is>
          <t>12+12</t>
        </is>
      </c>
      <c r="L45" s="309" t="n">
        <v>46034</v>
      </c>
      <c r="M45" t="n">
        <v>0.0164</v>
      </c>
      <c r="N45" t="n">
        <v>0.02184</v>
      </c>
      <c r="O45" t="n">
        <v>1.69</v>
      </c>
      <c r="P45" t="inlineStr">
        <is>
          <t>受益权</t>
        </is>
      </c>
      <c r="Q45" t="n">
        <v>0.05</v>
      </c>
      <c r="R45" t="n">
        <v>0.5</v>
      </c>
      <c r="S45" t="inlineStr">
        <is>
          <t>无</t>
        </is>
      </c>
      <c r="T45" t="n">
        <v>0.0485</v>
      </c>
      <c r="U45" s="24" t="inlineStr">
        <is>
          <t>华兴证券自营</t>
        </is>
      </c>
      <c r="V45" s="265" t="n">
        <v>0.075</v>
      </c>
    </row>
    <row r="46" ht="15.5" customHeight="1" s="8">
      <c r="A46" t="n">
        <v>3</v>
      </c>
      <c r="B46" t="inlineStr">
        <is>
          <t>1月</t>
        </is>
      </c>
      <c r="C46" t="inlineStr">
        <is>
          <t>消金</t>
        </is>
      </c>
      <c r="D46" t="inlineStr">
        <is>
          <t>信托金条</t>
        </is>
      </c>
      <c r="E46" t="inlineStr">
        <is>
          <t>耘睿23-6</t>
        </is>
      </c>
      <c r="F46" t="inlineStr">
        <is>
          <t>上交所</t>
        </is>
      </c>
      <c r="G46" t="inlineStr">
        <is>
          <t>中信建投</t>
        </is>
      </c>
      <c r="H46" t="inlineStr">
        <is>
          <t>平安证券</t>
        </is>
      </c>
      <c r="I46" t="inlineStr">
        <is>
          <t>中信北分</t>
        </is>
      </c>
      <c r="J46" t="n">
        <v>10</v>
      </c>
      <c r="K46" t="inlineStr">
        <is>
          <t>12+12</t>
        </is>
      </c>
      <c r="L46" s="309" t="n">
        <v>46034</v>
      </c>
      <c r="M46" t="n">
        <v>0.0164</v>
      </c>
      <c r="N46" t="n">
        <v>0.02184</v>
      </c>
      <c r="O46" t="n">
        <v>1.69</v>
      </c>
      <c r="P46" t="inlineStr">
        <is>
          <t>受益权</t>
        </is>
      </c>
      <c r="Q46" t="n">
        <v>0.05</v>
      </c>
      <c r="R46" t="n">
        <v>0.5</v>
      </c>
      <c r="S46" t="inlineStr">
        <is>
          <t>无</t>
        </is>
      </c>
      <c r="T46" t="n">
        <v>0.0485</v>
      </c>
      <c r="U46" s="24" t="inlineStr">
        <is>
          <t>国元证券自营</t>
        </is>
      </c>
      <c r="V46" s="265" t="n">
        <v>0.075</v>
      </c>
    </row>
    <row r="47" ht="15.5" customHeight="1" s="8">
      <c r="A47" t="n">
        <v>3</v>
      </c>
      <c r="B47" t="inlineStr">
        <is>
          <t>1月</t>
        </is>
      </c>
      <c r="C47" t="inlineStr">
        <is>
          <t>消金</t>
        </is>
      </c>
      <c r="D47" t="inlineStr">
        <is>
          <t>信托金条</t>
        </is>
      </c>
      <c r="E47" t="inlineStr">
        <is>
          <t>耘睿23-6</t>
        </is>
      </c>
      <c r="F47" t="inlineStr">
        <is>
          <t>上交所</t>
        </is>
      </c>
      <c r="G47" t="inlineStr">
        <is>
          <t>中信建投</t>
        </is>
      </c>
      <c r="H47" t="inlineStr">
        <is>
          <t>平安证券</t>
        </is>
      </c>
      <c r="I47" t="inlineStr">
        <is>
          <t>中信北分</t>
        </is>
      </c>
      <c r="J47" t="n">
        <v>10</v>
      </c>
      <c r="K47" t="inlineStr">
        <is>
          <t>12+12</t>
        </is>
      </c>
      <c r="L47" s="309" t="n">
        <v>46034</v>
      </c>
      <c r="M47" t="n">
        <v>0.0164</v>
      </c>
      <c r="N47" t="n">
        <v>0.02184</v>
      </c>
      <c r="O47" t="n">
        <v>1.69</v>
      </c>
      <c r="P47" t="inlineStr">
        <is>
          <t>受益权</t>
        </is>
      </c>
      <c r="Q47" t="n">
        <v>0.05</v>
      </c>
      <c r="R47" t="n">
        <v>0.5</v>
      </c>
      <c r="S47" t="inlineStr">
        <is>
          <t>无</t>
        </is>
      </c>
      <c r="T47" t="n">
        <v>0.0485</v>
      </c>
      <c r="U47" s="24" t="inlineStr">
        <is>
          <t>国信证券自营</t>
        </is>
      </c>
      <c r="V47" s="226" t="n">
        <v>0.1</v>
      </c>
    </row>
    <row r="48">
      <c r="A48" t="n">
        <v>3</v>
      </c>
      <c r="B48" t="inlineStr">
        <is>
          <t>1月</t>
        </is>
      </c>
      <c r="C48" t="inlineStr">
        <is>
          <t>消金</t>
        </is>
      </c>
      <c r="D48" t="inlineStr">
        <is>
          <t>信托金条</t>
        </is>
      </c>
      <c r="E48" t="inlineStr">
        <is>
          <t>耘睿23-6</t>
        </is>
      </c>
      <c r="F48" t="inlineStr">
        <is>
          <t>上交所</t>
        </is>
      </c>
      <c r="G48" t="inlineStr">
        <is>
          <t>中信建投</t>
        </is>
      </c>
      <c r="H48" t="inlineStr">
        <is>
          <t>平安证券</t>
        </is>
      </c>
      <c r="I48" t="inlineStr">
        <is>
          <t>中信北分</t>
        </is>
      </c>
      <c r="J48" t="n">
        <v>10</v>
      </c>
      <c r="K48" t="inlineStr">
        <is>
          <t>12+12</t>
        </is>
      </c>
      <c r="L48" s="309" t="n">
        <v>46034</v>
      </c>
      <c r="M48" t="n">
        <v>0.0164</v>
      </c>
      <c r="N48" t="n">
        <v>0.02184</v>
      </c>
      <c r="O48" t="n">
        <v>1.69</v>
      </c>
      <c r="P48" t="inlineStr">
        <is>
          <t>受益权</t>
        </is>
      </c>
      <c r="Q48" t="n">
        <v>0.05</v>
      </c>
      <c r="R48" t="n">
        <v>0.5</v>
      </c>
      <c r="S48" t="inlineStr">
        <is>
          <t>无</t>
        </is>
      </c>
      <c r="T48" t="n">
        <v>0.0485</v>
      </c>
      <c r="U48" s="24" t="inlineStr">
        <is>
          <t>中信建投投顾</t>
        </is>
      </c>
      <c r="V48" s="226" t="n">
        <v>0.1</v>
      </c>
    </row>
    <row r="49">
      <c r="A49" s="223" t="n">
        <v>4</v>
      </c>
      <c r="B49" s="220" t="inlineStr">
        <is>
          <t>1月</t>
        </is>
      </c>
      <c r="C49" s="220" t="inlineStr">
        <is>
          <t>企金</t>
        </is>
      </c>
      <c r="D49" s="220" t="inlineStr">
        <is>
          <t>信托企业主贷</t>
        </is>
      </c>
      <c r="E49" s="220" t="inlineStr">
        <is>
          <t>尚赢2-2</t>
        </is>
      </c>
      <c r="F49" s="220" t="inlineStr">
        <is>
          <t>上交所</t>
        </is>
      </c>
      <c r="G49" s="220" t="inlineStr">
        <is>
          <t>中信证券</t>
        </is>
      </c>
      <c r="H49" s="220" t="inlineStr">
        <is>
          <t>国信证券</t>
        </is>
      </c>
      <c r="I49" s="220" t="inlineStr">
        <is>
          <t>兴业北分</t>
        </is>
      </c>
      <c r="J49" s="220" t="n">
        <v>10</v>
      </c>
      <c r="K49" s="220" t="inlineStr">
        <is>
          <t>12+12</t>
        </is>
      </c>
      <c r="L49" s="224" t="n">
        <v>46045</v>
      </c>
      <c r="M49" s="225" t="n">
        <v>0.016</v>
      </c>
      <c r="N49" s="225" t="n">
        <v>0.0239</v>
      </c>
      <c r="O49" s="226" t="n">
        <v>2.59</v>
      </c>
      <c r="P49" s="220" t="inlineStr">
        <is>
          <t>优先A</t>
        </is>
      </c>
      <c r="Q49" s="231" t="n">
        <v>0.83</v>
      </c>
      <c r="R49" s="308" t="n">
        <v>8.300000000000001</v>
      </c>
      <c r="S49" s="220" t="inlineStr">
        <is>
          <t>AAA</t>
        </is>
      </c>
      <c r="T49" s="221" t="n">
        <v>0.021</v>
      </c>
      <c r="U49" s="265" t="inlineStr">
        <is>
          <t>交银理财</t>
        </is>
      </c>
      <c r="V49" s="25" t="n">
        <v>1.9</v>
      </c>
    </row>
    <row r="50">
      <c r="A50" t="n">
        <v>4</v>
      </c>
      <c r="B50" t="inlineStr">
        <is>
          <t>1月</t>
        </is>
      </c>
      <c r="C50" t="inlineStr">
        <is>
          <t>企金</t>
        </is>
      </c>
      <c r="D50" t="inlineStr">
        <is>
          <t>信托企业主贷</t>
        </is>
      </c>
      <c r="E50" t="inlineStr">
        <is>
          <t>尚赢2-2</t>
        </is>
      </c>
      <c r="F50" t="inlineStr">
        <is>
          <t>上交所</t>
        </is>
      </c>
      <c r="G50" t="inlineStr">
        <is>
          <t>中信证券</t>
        </is>
      </c>
      <c r="H50" t="inlineStr">
        <is>
          <t>国信证券</t>
        </is>
      </c>
      <c r="I50" t="inlineStr">
        <is>
          <t>兴业北分</t>
        </is>
      </c>
      <c r="J50" t="n">
        <v>10</v>
      </c>
      <c r="K50" t="inlineStr">
        <is>
          <t>12+12</t>
        </is>
      </c>
      <c r="L50" s="309" t="n">
        <v>46045</v>
      </c>
      <c r="M50" t="n">
        <v>0.016</v>
      </c>
      <c r="N50" t="n">
        <v>0.0239</v>
      </c>
      <c r="O50" t="n">
        <v>2.59</v>
      </c>
      <c r="P50" t="inlineStr">
        <is>
          <t>优先A</t>
        </is>
      </c>
      <c r="Q50" t="n">
        <v>0.83</v>
      </c>
      <c r="R50" t="n">
        <v>8.300000000000001</v>
      </c>
      <c r="S50" t="inlineStr">
        <is>
          <t>AAA</t>
        </is>
      </c>
      <c r="T50" t="n">
        <v>0.021</v>
      </c>
      <c r="U50" s="24" t="inlineStr">
        <is>
          <t>中金自营</t>
        </is>
      </c>
      <c r="V50" s="25" t="n">
        <v>0.3</v>
      </c>
    </row>
    <row r="51">
      <c r="A51" t="n">
        <v>4</v>
      </c>
      <c r="B51" t="inlineStr">
        <is>
          <t>1月</t>
        </is>
      </c>
      <c r="C51" t="inlineStr">
        <is>
          <t>企金</t>
        </is>
      </c>
      <c r="D51" t="inlineStr">
        <is>
          <t>信托企业主贷</t>
        </is>
      </c>
      <c r="E51" t="inlineStr">
        <is>
          <t>尚赢2-2</t>
        </is>
      </c>
      <c r="F51" t="inlineStr">
        <is>
          <t>上交所</t>
        </is>
      </c>
      <c r="G51" t="inlineStr">
        <is>
          <t>中信证券</t>
        </is>
      </c>
      <c r="H51" t="inlineStr">
        <is>
          <t>国信证券</t>
        </is>
      </c>
      <c r="I51" t="inlineStr">
        <is>
          <t>兴业北分</t>
        </is>
      </c>
      <c r="J51" t="n">
        <v>10</v>
      </c>
      <c r="K51" t="inlineStr">
        <is>
          <t>12+12</t>
        </is>
      </c>
      <c r="L51" s="309" t="n">
        <v>46045</v>
      </c>
      <c r="M51" t="n">
        <v>0.016</v>
      </c>
      <c r="N51" t="n">
        <v>0.0239</v>
      </c>
      <c r="O51" t="n">
        <v>2.59</v>
      </c>
      <c r="P51" t="inlineStr">
        <is>
          <t>优先A</t>
        </is>
      </c>
      <c r="Q51" t="n">
        <v>0.83</v>
      </c>
      <c r="R51" t="n">
        <v>8.300000000000001</v>
      </c>
      <c r="S51" t="inlineStr">
        <is>
          <t>AAA</t>
        </is>
      </c>
      <c r="T51" t="n">
        <v>0.021</v>
      </c>
      <c r="U51" s="24" t="inlineStr">
        <is>
          <t>顺德农商行</t>
        </is>
      </c>
      <c r="V51" s="25" t="n">
        <v>0.5</v>
      </c>
    </row>
    <row r="52">
      <c r="A52" t="n">
        <v>4</v>
      </c>
      <c r="B52" t="inlineStr">
        <is>
          <t>1月</t>
        </is>
      </c>
      <c r="C52" t="inlineStr">
        <is>
          <t>企金</t>
        </is>
      </c>
      <c r="D52" t="inlineStr">
        <is>
          <t>信托企业主贷</t>
        </is>
      </c>
      <c r="E52" t="inlineStr">
        <is>
          <t>尚赢2-2</t>
        </is>
      </c>
      <c r="F52" t="inlineStr">
        <is>
          <t>上交所</t>
        </is>
      </c>
      <c r="G52" t="inlineStr">
        <is>
          <t>中信证券</t>
        </is>
      </c>
      <c r="H52" t="inlineStr">
        <is>
          <t>国信证券</t>
        </is>
      </c>
      <c r="I52" t="inlineStr">
        <is>
          <t>兴业北分</t>
        </is>
      </c>
      <c r="J52" t="n">
        <v>10</v>
      </c>
      <c r="K52" t="inlineStr">
        <is>
          <t>12+12</t>
        </is>
      </c>
      <c r="L52" s="309" t="n">
        <v>46045</v>
      </c>
      <c r="M52" t="n">
        <v>0.016</v>
      </c>
      <c r="N52" t="n">
        <v>0.0239</v>
      </c>
      <c r="O52" t="n">
        <v>2.59</v>
      </c>
      <c r="P52" t="inlineStr">
        <is>
          <t>优先A</t>
        </is>
      </c>
      <c r="Q52" t="n">
        <v>0.83</v>
      </c>
      <c r="R52" t="n">
        <v>8.300000000000001</v>
      </c>
      <c r="S52" t="inlineStr">
        <is>
          <t>AAA</t>
        </is>
      </c>
      <c r="T52" t="n">
        <v>0.021</v>
      </c>
      <c r="U52" s="24" t="inlineStr">
        <is>
          <t>建信信托</t>
        </is>
      </c>
      <c r="V52" s="25" t="n">
        <v>1.2</v>
      </c>
    </row>
    <row r="53">
      <c r="A53" t="n">
        <v>4</v>
      </c>
      <c r="B53" t="inlineStr">
        <is>
          <t>1月</t>
        </is>
      </c>
      <c r="C53" t="inlineStr">
        <is>
          <t>企金</t>
        </is>
      </c>
      <c r="D53" t="inlineStr">
        <is>
          <t>信托企业主贷</t>
        </is>
      </c>
      <c r="E53" t="inlineStr">
        <is>
          <t>尚赢2-2</t>
        </is>
      </c>
      <c r="F53" t="inlineStr">
        <is>
          <t>上交所</t>
        </is>
      </c>
      <c r="G53" t="inlineStr">
        <is>
          <t>中信证券</t>
        </is>
      </c>
      <c r="H53" t="inlineStr">
        <is>
          <t>国信证券</t>
        </is>
      </c>
      <c r="I53" t="inlineStr">
        <is>
          <t>兴业北分</t>
        </is>
      </c>
      <c r="J53" t="n">
        <v>10</v>
      </c>
      <c r="K53" t="inlineStr">
        <is>
          <t>12+12</t>
        </is>
      </c>
      <c r="L53" s="309" t="n">
        <v>46045</v>
      </c>
      <c r="M53" t="n">
        <v>0.016</v>
      </c>
      <c r="N53" t="n">
        <v>0.0239</v>
      </c>
      <c r="O53" t="n">
        <v>2.59</v>
      </c>
      <c r="P53" t="inlineStr">
        <is>
          <t>优先A</t>
        </is>
      </c>
      <c r="Q53" t="n">
        <v>0.83</v>
      </c>
      <c r="R53" t="n">
        <v>8.300000000000001</v>
      </c>
      <c r="S53" t="inlineStr">
        <is>
          <t>AAA</t>
        </is>
      </c>
      <c r="T53" t="n">
        <v>0.021</v>
      </c>
      <c r="U53" s="24" t="inlineStr">
        <is>
          <t>招银理财</t>
        </is>
      </c>
      <c r="V53" s="25" t="n">
        <v>1.1</v>
      </c>
    </row>
    <row r="54">
      <c r="A54" t="n">
        <v>4</v>
      </c>
      <c r="B54" t="inlineStr">
        <is>
          <t>1月</t>
        </is>
      </c>
      <c r="C54" t="inlineStr">
        <is>
          <t>企金</t>
        </is>
      </c>
      <c r="D54" t="inlineStr">
        <is>
          <t>信托企业主贷</t>
        </is>
      </c>
      <c r="E54" t="inlineStr">
        <is>
          <t>尚赢2-2</t>
        </is>
      </c>
      <c r="F54" t="inlineStr">
        <is>
          <t>上交所</t>
        </is>
      </c>
      <c r="G54" t="inlineStr">
        <is>
          <t>中信证券</t>
        </is>
      </c>
      <c r="H54" t="inlineStr">
        <is>
          <t>国信证券</t>
        </is>
      </c>
      <c r="I54" t="inlineStr">
        <is>
          <t>兴业北分</t>
        </is>
      </c>
      <c r="J54" t="n">
        <v>10</v>
      </c>
      <c r="K54" t="inlineStr">
        <is>
          <t>12+12</t>
        </is>
      </c>
      <c r="L54" s="309" t="n">
        <v>46045</v>
      </c>
      <c r="M54" t="n">
        <v>0.016</v>
      </c>
      <c r="N54" t="n">
        <v>0.0239</v>
      </c>
      <c r="O54" t="n">
        <v>2.59</v>
      </c>
      <c r="P54" t="inlineStr">
        <is>
          <t>优先A</t>
        </is>
      </c>
      <c r="Q54" t="n">
        <v>0.83</v>
      </c>
      <c r="R54" t="n">
        <v>8.300000000000001</v>
      </c>
      <c r="S54" t="inlineStr">
        <is>
          <t>AAA</t>
        </is>
      </c>
      <c r="T54" t="n">
        <v>0.021</v>
      </c>
      <c r="U54" s="24" t="inlineStr">
        <is>
          <t>中金资管</t>
        </is>
      </c>
      <c r="V54" s="25" t="n">
        <v>0.5</v>
      </c>
    </row>
    <row r="55">
      <c r="A55" t="n">
        <v>4</v>
      </c>
      <c r="B55" t="inlineStr">
        <is>
          <t>1月</t>
        </is>
      </c>
      <c r="C55" t="inlineStr">
        <is>
          <t>企金</t>
        </is>
      </c>
      <c r="D55" t="inlineStr">
        <is>
          <t>信托企业主贷</t>
        </is>
      </c>
      <c r="E55" t="inlineStr">
        <is>
          <t>尚赢2-2</t>
        </is>
      </c>
      <c r="F55" t="inlineStr">
        <is>
          <t>上交所</t>
        </is>
      </c>
      <c r="G55" t="inlineStr">
        <is>
          <t>中信证券</t>
        </is>
      </c>
      <c r="H55" t="inlineStr">
        <is>
          <t>国信证券</t>
        </is>
      </c>
      <c r="I55" t="inlineStr">
        <is>
          <t>兴业北分</t>
        </is>
      </c>
      <c r="J55" t="n">
        <v>10</v>
      </c>
      <c r="K55" t="inlineStr">
        <is>
          <t>12+12</t>
        </is>
      </c>
      <c r="L55" s="309" t="n">
        <v>46045</v>
      </c>
      <c r="M55" t="n">
        <v>0.016</v>
      </c>
      <c r="N55" t="n">
        <v>0.0239</v>
      </c>
      <c r="O55" t="n">
        <v>2.59</v>
      </c>
      <c r="P55" t="inlineStr">
        <is>
          <t>优先A</t>
        </is>
      </c>
      <c r="Q55" t="n">
        <v>0.83</v>
      </c>
      <c r="R55" t="n">
        <v>8.300000000000001</v>
      </c>
      <c r="S55" t="inlineStr">
        <is>
          <t>AAA</t>
        </is>
      </c>
      <c r="T55" t="n">
        <v>0.021</v>
      </c>
      <c r="U55" s="24" t="inlineStr">
        <is>
          <t>宁夏银行</t>
        </is>
      </c>
      <c r="V55" s="25" t="n">
        <v>0.3</v>
      </c>
    </row>
    <row r="56">
      <c r="A56" t="n">
        <v>4</v>
      </c>
      <c r="B56" t="inlineStr">
        <is>
          <t>1月</t>
        </is>
      </c>
      <c r="C56" t="inlineStr">
        <is>
          <t>企金</t>
        </is>
      </c>
      <c r="D56" t="inlineStr">
        <is>
          <t>信托企业主贷</t>
        </is>
      </c>
      <c r="E56" t="inlineStr">
        <is>
          <t>尚赢2-2</t>
        </is>
      </c>
      <c r="F56" t="inlineStr">
        <is>
          <t>上交所</t>
        </is>
      </c>
      <c r="G56" t="inlineStr">
        <is>
          <t>中信证券</t>
        </is>
      </c>
      <c r="H56" t="inlineStr">
        <is>
          <t>国信证券</t>
        </is>
      </c>
      <c r="I56" t="inlineStr">
        <is>
          <t>兴业北分</t>
        </is>
      </c>
      <c r="J56" t="n">
        <v>10</v>
      </c>
      <c r="K56" t="inlineStr">
        <is>
          <t>12+12</t>
        </is>
      </c>
      <c r="L56" s="309" t="n">
        <v>46045</v>
      </c>
      <c r="M56" t="n">
        <v>0.016</v>
      </c>
      <c r="N56" t="n">
        <v>0.0239</v>
      </c>
      <c r="O56" t="n">
        <v>2.59</v>
      </c>
      <c r="P56" t="inlineStr">
        <is>
          <t>优先A</t>
        </is>
      </c>
      <c r="Q56" t="n">
        <v>0.83</v>
      </c>
      <c r="R56" t="n">
        <v>8.300000000000001</v>
      </c>
      <c r="S56" t="inlineStr">
        <is>
          <t>AAA</t>
        </is>
      </c>
      <c r="T56" t="n">
        <v>0.021</v>
      </c>
      <c r="U56" s="24" t="inlineStr">
        <is>
          <t>易方达基金</t>
        </is>
      </c>
      <c r="V56" s="25" t="n">
        <v>2.4</v>
      </c>
    </row>
    <row r="57">
      <c r="A57" t="n">
        <v>4</v>
      </c>
      <c r="B57" t="inlineStr">
        <is>
          <t>1月</t>
        </is>
      </c>
      <c r="C57" t="inlineStr">
        <is>
          <t>企金</t>
        </is>
      </c>
      <c r="D57" t="inlineStr">
        <is>
          <t>信托企业主贷</t>
        </is>
      </c>
      <c r="E57" t="inlineStr">
        <is>
          <t>尚赢2-2</t>
        </is>
      </c>
      <c r="F57" t="inlineStr">
        <is>
          <t>上交所</t>
        </is>
      </c>
      <c r="G57" t="inlineStr">
        <is>
          <t>中信证券</t>
        </is>
      </c>
      <c r="H57" t="inlineStr">
        <is>
          <t>国信证券</t>
        </is>
      </c>
      <c r="I57" t="inlineStr">
        <is>
          <t>兴业北分</t>
        </is>
      </c>
      <c r="J57" t="n">
        <v>10</v>
      </c>
      <c r="K57" t="inlineStr">
        <is>
          <t>12+12</t>
        </is>
      </c>
      <c r="L57" s="309" t="n">
        <v>46045</v>
      </c>
      <c r="M57" t="n">
        <v>0.016</v>
      </c>
      <c r="N57" t="n">
        <v>0.0239</v>
      </c>
      <c r="O57" t="n">
        <v>2.59</v>
      </c>
      <c r="P57" t="inlineStr">
        <is>
          <t>优先A</t>
        </is>
      </c>
      <c r="Q57" t="n">
        <v>0.83</v>
      </c>
      <c r="R57" t="n">
        <v>8.300000000000001</v>
      </c>
      <c r="S57" t="inlineStr">
        <is>
          <t>AAA</t>
        </is>
      </c>
      <c r="T57" t="n">
        <v>0.021</v>
      </c>
      <c r="U57" s="24" t="inlineStr">
        <is>
          <t>申万宏源投顾</t>
        </is>
      </c>
      <c r="V57" s="25" t="n">
        <v>0.1</v>
      </c>
    </row>
    <row r="58">
      <c r="A58" t="n">
        <v>4</v>
      </c>
      <c r="B58" t="inlineStr">
        <is>
          <t>1月</t>
        </is>
      </c>
      <c r="C58" t="inlineStr">
        <is>
          <t>企金</t>
        </is>
      </c>
      <c r="D58" t="inlineStr">
        <is>
          <t>信托企业主贷</t>
        </is>
      </c>
      <c r="E58" t="inlineStr">
        <is>
          <t>尚赢2-2</t>
        </is>
      </c>
      <c r="F58" t="inlineStr">
        <is>
          <t>上交所</t>
        </is>
      </c>
      <c r="G58" t="inlineStr">
        <is>
          <t>中信证券</t>
        </is>
      </c>
      <c r="H58" t="inlineStr">
        <is>
          <t>国信证券</t>
        </is>
      </c>
      <c r="I58" t="inlineStr">
        <is>
          <t>兴业北分</t>
        </is>
      </c>
      <c r="J58" t="n">
        <v>10</v>
      </c>
      <c r="K58" t="inlineStr">
        <is>
          <t>12+12</t>
        </is>
      </c>
      <c r="L58" s="309" t="n">
        <v>46045</v>
      </c>
      <c r="M58" t="n">
        <v>0.016</v>
      </c>
      <c r="N58" t="n">
        <v>0.0239</v>
      </c>
      <c r="O58" t="n">
        <v>2.59</v>
      </c>
      <c r="P58" s="220" t="inlineStr">
        <is>
          <t>优先B</t>
        </is>
      </c>
      <c r="Q58" s="221" t="n">
        <v>0.05</v>
      </c>
      <c r="R58" s="308" t="n">
        <v>0.4</v>
      </c>
      <c r="S58" s="221" t="inlineStr">
        <is>
          <t>AA+</t>
        </is>
      </c>
      <c r="T58" s="221" t="n">
        <v>0.022</v>
      </c>
      <c r="U58" s="30" t="inlineStr">
        <is>
          <t>交银理财</t>
        </is>
      </c>
      <c r="V58" s="29" t="n">
        <v>0.15</v>
      </c>
    </row>
    <row r="59">
      <c r="A59" t="n">
        <v>4</v>
      </c>
      <c r="B59" t="inlineStr">
        <is>
          <t>1月</t>
        </is>
      </c>
      <c r="C59" t="inlineStr">
        <is>
          <t>企金</t>
        </is>
      </c>
      <c r="D59" t="inlineStr">
        <is>
          <t>信托企业主贷</t>
        </is>
      </c>
      <c r="E59" t="inlineStr">
        <is>
          <t>尚赢2-2</t>
        </is>
      </c>
      <c r="F59" t="inlineStr">
        <is>
          <t>上交所</t>
        </is>
      </c>
      <c r="G59" t="inlineStr">
        <is>
          <t>中信证券</t>
        </is>
      </c>
      <c r="H59" t="inlineStr">
        <is>
          <t>国信证券</t>
        </is>
      </c>
      <c r="I59" t="inlineStr">
        <is>
          <t>兴业北分</t>
        </is>
      </c>
      <c r="J59" t="n">
        <v>10</v>
      </c>
      <c r="K59" t="inlineStr">
        <is>
          <t>12+12</t>
        </is>
      </c>
      <c r="L59" s="309" t="n">
        <v>46045</v>
      </c>
      <c r="M59" t="n">
        <v>0.016</v>
      </c>
      <c r="N59" t="n">
        <v>0.0239</v>
      </c>
      <c r="O59" t="n">
        <v>2.59</v>
      </c>
      <c r="P59" t="inlineStr">
        <is>
          <t>优先B</t>
        </is>
      </c>
      <c r="Q59" t="n">
        <v>0.05</v>
      </c>
      <c r="R59" t="n">
        <v>0.4</v>
      </c>
      <c r="S59" t="inlineStr">
        <is>
          <t>AA+</t>
        </is>
      </c>
      <c r="T59" t="n">
        <v>0.022</v>
      </c>
      <c r="U59" s="30" t="inlineStr">
        <is>
          <t>招银理财</t>
        </is>
      </c>
      <c r="V59" s="29" t="n">
        <v>0.15</v>
      </c>
    </row>
    <row r="60">
      <c r="A60" t="n">
        <v>4</v>
      </c>
      <c r="B60" t="inlineStr">
        <is>
          <t>1月</t>
        </is>
      </c>
      <c r="C60" t="inlineStr">
        <is>
          <t>企金</t>
        </is>
      </c>
      <c r="D60" t="inlineStr">
        <is>
          <t>信托企业主贷</t>
        </is>
      </c>
      <c r="E60" t="inlineStr">
        <is>
          <t>尚赢2-2</t>
        </is>
      </c>
      <c r="F60" t="inlineStr">
        <is>
          <t>上交所</t>
        </is>
      </c>
      <c r="G60" t="inlineStr">
        <is>
          <t>中信证券</t>
        </is>
      </c>
      <c r="H60" t="inlineStr">
        <is>
          <t>国信证券</t>
        </is>
      </c>
      <c r="I60" t="inlineStr">
        <is>
          <t>兴业北分</t>
        </is>
      </c>
      <c r="J60" t="n">
        <v>10</v>
      </c>
      <c r="K60" t="inlineStr">
        <is>
          <t>12+12</t>
        </is>
      </c>
      <c r="L60" s="309" t="n">
        <v>46045</v>
      </c>
      <c r="M60" t="n">
        <v>0.016</v>
      </c>
      <c r="N60" t="n">
        <v>0.0239</v>
      </c>
      <c r="O60" t="n">
        <v>2.59</v>
      </c>
      <c r="P60" t="inlineStr">
        <is>
          <t>优先B</t>
        </is>
      </c>
      <c r="Q60" t="n">
        <v>0.05</v>
      </c>
      <c r="R60" t="n">
        <v>0.4</v>
      </c>
      <c r="S60" t="inlineStr">
        <is>
          <t>AA+</t>
        </is>
      </c>
      <c r="T60" t="n">
        <v>0.022</v>
      </c>
      <c r="U60" s="30" t="inlineStr">
        <is>
          <t>建信信托</t>
        </is>
      </c>
      <c r="V60" s="29" t="n">
        <v>0.04</v>
      </c>
    </row>
    <row r="61">
      <c r="A61" t="n">
        <v>4</v>
      </c>
      <c r="B61" t="inlineStr">
        <is>
          <t>1月</t>
        </is>
      </c>
      <c r="C61" t="inlineStr">
        <is>
          <t>企金</t>
        </is>
      </c>
      <c r="D61" t="inlineStr">
        <is>
          <t>信托企业主贷</t>
        </is>
      </c>
      <c r="E61" t="inlineStr">
        <is>
          <t>尚赢2-2</t>
        </is>
      </c>
      <c r="F61" t="inlineStr">
        <is>
          <t>上交所</t>
        </is>
      </c>
      <c r="G61" t="inlineStr">
        <is>
          <t>中信证券</t>
        </is>
      </c>
      <c r="H61" t="inlineStr">
        <is>
          <t>国信证券</t>
        </is>
      </c>
      <c r="I61" t="inlineStr">
        <is>
          <t>兴业北分</t>
        </is>
      </c>
      <c r="J61" t="n">
        <v>10</v>
      </c>
      <c r="K61" t="inlineStr">
        <is>
          <t>12+12</t>
        </is>
      </c>
      <c r="L61" s="309" t="n">
        <v>46045</v>
      </c>
      <c r="M61" t="n">
        <v>0.016</v>
      </c>
      <c r="N61" t="n">
        <v>0.0239</v>
      </c>
      <c r="O61" t="n">
        <v>2.59</v>
      </c>
      <c r="P61" t="inlineStr">
        <is>
          <t>优先B</t>
        </is>
      </c>
      <c r="Q61" t="n">
        <v>0.05</v>
      </c>
      <c r="R61" t="n">
        <v>0.4</v>
      </c>
      <c r="S61" t="inlineStr">
        <is>
          <t>AA+</t>
        </is>
      </c>
      <c r="T61" t="n">
        <v>0.022</v>
      </c>
      <c r="U61" s="30" t="inlineStr">
        <is>
          <t>中金资管</t>
        </is>
      </c>
      <c r="V61" s="29" t="n">
        <v>0.05</v>
      </c>
    </row>
    <row r="62">
      <c r="A62" t="n">
        <v>4</v>
      </c>
      <c r="B62" t="inlineStr">
        <is>
          <t>1月</t>
        </is>
      </c>
      <c r="C62" t="inlineStr">
        <is>
          <t>企金</t>
        </is>
      </c>
      <c r="D62" t="inlineStr">
        <is>
          <t>信托企业主贷</t>
        </is>
      </c>
      <c r="E62" t="inlineStr">
        <is>
          <t>尚赢2-2</t>
        </is>
      </c>
      <c r="F62" t="inlineStr">
        <is>
          <t>上交所</t>
        </is>
      </c>
      <c r="G62" t="inlineStr">
        <is>
          <t>中信证券</t>
        </is>
      </c>
      <c r="H62" t="inlineStr">
        <is>
          <t>国信证券</t>
        </is>
      </c>
      <c r="I62" t="inlineStr">
        <is>
          <t>兴业北分</t>
        </is>
      </c>
      <c r="J62" t="n">
        <v>10</v>
      </c>
      <c r="K62" t="inlineStr">
        <is>
          <t>12+12</t>
        </is>
      </c>
      <c r="L62" s="309" t="n">
        <v>46045</v>
      </c>
      <c r="M62" t="n">
        <v>0.016</v>
      </c>
      <c r="N62" t="n">
        <v>0.0239</v>
      </c>
      <c r="O62" t="n">
        <v>2.59</v>
      </c>
      <c r="P62" t="inlineStr">
        <is>
          <t>优先B</t>
        </is>
      </c>
      <c r="Q62" t="n">
        <v>0.05</v>
      </c>
      <c r="R62" t="n">
        <v>0.4</v>
      </c>
      <c r="S62" t="inlineStr">
        <is>
          <t>AA+</t>
        </is>
      </c>
      <c r="T62" t="n">
        <v>0.022</v>
      </c>
      <c r="U62" s="30" t="inlineStr">
        <is>
          <t>宁夏银行</t>
        </is>
      </c>
      <c r="V62" s="29" t="n">
        <v>0.11</v>
      </c>
    </row>
    <row r="63">
      <c r="A63" t="n">
        <v>4</v>
      </c>
      <c r="B63" t="inlineStr">
        <is>
          <t>1月</t>
        </is>
      </c>
      <c r="C63" t="inlineStr">
        <is>
          <t>企金</t>
        </is>
      </c>
      <c r="D63" t="inlineStr">
        <is>
          <t>信托企业主贷</t>
        </is>
      </c>
      <c r="E63" t="inlineStr">
        <is>
          <t>尚赢2-2</t>
        </is>
      </c>
      <c r="F63" t="inlineStr">
        <is>
          <t>上交所</t>
        </is>
      </c>
      <c r="G63" t="inlineStr">
        <is>
          <t>中信证券</t>
        </is>
      </c>
      <c r="H63" t="inlineStr">
        <is>
          <t>国信证券</t>
        </is>
      </c>
      <c r="I63" t="inlineStr">
        <is>
          <t>兴业北分</t>
        </is>
      </c>
      <c r="J63" t="n">
        <v>10</v>
      </c>
      <c r="K63" t="inlineStr">
        <is>
          <t>12+12</t>
        </is>
      </c>
      <c r="L63" s="309" t="n">
        <v>46045</v>
      </c>
      <c r="M63" t="n">
        <v>0.016</v>
      </c>
      <c r="N63" t="n">
        <v>0.0239</v>
      </c>
      <c r="O63" t="n">
        <v>2.59</v>
      </c>
      <c r="P63" s="220" t="inlineStr">
        <is>
          <t>中间级</t>
        </is>
      </c>
      <c r="Q63" s="221" t="n">
        <v>0.07000000000000001</v>
      </c>
      <c r="R63" s="308" t="n">
        <v>0.7</v>
      </c>
      <c r="S63" s="221" t="inlineStr">
        <is>
          <t>AA-</t>
        </is>
      </c>
      <c r="T63" s="221" t="n">
        <v>0.032</v>
      </c>
      <c r="U63" s="24" t="inlineStr">
        <is>
          <t>国信证券自营</t>
        </is>
      </c>
      <c r="V63" s="29" t="n">
        <v>0.2</v>
      </c>
    </row>
    <row r="64">
      <c r="A64" t="n">
        <v>4</v>
      </c>
      <c r="B64" t="inlineStr">
        <is>
          <t>1月</t>
        </is>
      </c>
      <c r="C64" t="inlineStr">
        <is>
          <t>企金</t>
        </is>
      </c>
      <c r="D64" t="inlineStr">
        <is>
          <t>信托企业主贷</t>
        </is>
      </c>
      <c r="E64" t="inlineStr">
        <is>
          <t>尚赢2-2</t>
        </is>
      </c>
      <c r="F64" t="inlineStr">
        <is>
          <t>上交所</t>
        </is>
      </c>
      <c r="G64" t="inlineStr">
        <is>
          <t>中信证券</t>
        </is>
      </c>
      <c r="H64" t="inlineStr">
        <is>
          <t>国信证券</t>
        </is>
      </c>
      <c r="I64" t="inlineStr">
        <is>
          <t>兴业北分</t>
        </is>
      </c>
      <c r="J64" t="n">
        <v>10</v>
      </c>
      <c r="K64" t="inlineStr">
        <is>
          <t>12+12</t>
        </is>
      </c>
      <c r="L64" s="309" t="n">
        <v>46045</v>
      </c>
      <c r="M64" t="n">
        <v>0.016</v>
      </c>
      <c r="N64" t="n">
        <v>0.0239</v>
      </c>
      <c r="O64" t="n">
        <v>2.59</v>
      </c>
      <c r="P64" t="inlineStr">
        <is>
          <t>中间级</t>
        </is>
      </c>
      <c r="Q64" t="n">
        <v>0.07000000000000001</v>
      </c>
      <c r="R64" t="n">
        <v>0.7</v>
      </c>
      <c r="S64" t="inlineStr">
        <is>
          <t>AA-</t>
        </is>
      </c>
      <c r="T64" t="n">
        <v>0.032</v>
      </c>
      <c r="U64" s="24" t="inlineStr">
        <is>
          <t>申万宏源自营</t>
        </is>
      </c>
      <c r="V64" s="29" t="n">
        <v>0.15</v>
      </c>
    </row>
    <row r="65">
      <c r="A65" t="n">
        <v>4</v>
      </c>
      <c r="B65" t="inlineStr">
        <is>
          <t>1月</t>
        </is>
      </c>
      <c r="C65" t="inlineStr">
        <is>
          <t>企金</t>
        </is>
      </c>
      <c r="D65" t="inlineStr">
        <is>
          <t>信托企业主贷</t>
        </is>
      </c>
      <c r="E65" t="inlineStr">
        <is>
          <t>尚赢2-2</t>
        </is>
      </c>
      <c r="F65" t="inlineStr">
        <is>
          <t>上交所</t>
        </is>
      </c>
      <c r="G65" t="inlineStr">
        <is>
          <t>中信证券</t>
        </is>
      </c>
      <c r="H65" t="inlineStr">
        <is>
          <t>国信证券</t>
        </is>
      </c>
      <c r="I65" t="inlineStr">
        <is>
          <t>兴业北分</t>
        </is>
      </c>
      <c r="J65" t="n">
        <v>10</v>
      </c>
      <c r="K65" t="inlineStr">
        <is>
          <t>12+12</t>
        </is>
      </c>
      <c r="L65" s="309" t="n">
        <v>46045</v>
      </c>
      <c r="M65" t="n">
        <v>0.016</v>
      </c>
      <c r="N65" t="n">
        <v>0.0239</v>
      </c>
      <c r="O65" t="n">
        <v>2.59</v>
      </c>
      <c r="P65" t="inlineStr">
        <is>
          <t>中间级</t>
        </is>
      </c>
      <c r="Q65" t="n">
        <v>0.07000000000000001</v>
      </c>
      <c r="R65" t="n">
        <v>0.7</v>
      </c>
      <c r="S65" t="inlineStr">
        <is>
          <t>AA-</t>
        </is>
      </c>
      <c r="T65" t="n">
        <v>0.032</v>
      </c>
      <c r="U65" s="24" t="inlineStr">
        <is>
          <t>德邦证券自营</t>
        </is>
      </c>
      <c r="V65" s="29" t="n">
        <v>0.15</v>
      </c>
    </row>
    <row r="66">
      <c r="A66" t="n">
        <v>4</v>
      </c>
      <c r="B66" t="inlineStr">
        <is>
          <t>1月</t>
        </is>
      </c>
      <c r="C66" t="inlineStr">
        <is>
          <t>企金</t>
        </is>
      </c>
      <c r="D66" t="inlineStr">
        <is>
          <t>信托企业主贷</t>
        </is>
      </c>
      <c r="E66" t="inlineStr">
        <is>
          <t>尚赢2-2</t>
        </is>
      </c>
      <c r="F66" t="inlineStr">
        <is>
          <t>上交所</t>
        </is>
      </c>
      <c r="G66" t="inlineStr">
        <is>
          <t>中信证券</t>
        </is>
      </c>
      <c r="H66" t="inlineStr">
        <is>
          <t>国信证券</t>
        </is>
      </c>
      <c r="I66" t="inlineStr">
        <is>
          <t>兴业北分</t>
        </is>
      </c>
      <c r="J66" t="n">
        <v>10</v>
      </c>
      <c r="K66" t="inlineStr">
        <is>
          <t>12+12</t>
        </is>
      </c>
      <c r="L66" s="309" t="n">
        <v>46045</v>
      </c>
      <c r="M66" t="n">
        <v>0.016</v>
      </c>
      <c r="N66" t="n">
        <v>0.0239</v>
      </c>
      <c r="O66" t="n">
        <v>2.59</v>
      </c>
      <c r="P66" t="inlineStr">
        <is>
          <t>中间级</t>
        </is>
      </c>
      <c r="Q66" t="n">
        <v>0.07000000000000001</v>
      </c>
      <c r="R66" t="n">
        <v>0.7</v>
      </c>
      <c r="S66" t="inlineStr">
        <is>
          <t>AA-</t>
        </is>
      </c>
      <c r="T66" t="n">
        <v>0.032</v>
      </c>
      <c r="U66" s="24" t="inlineStr">
        <is>
          <t>西部证券自营</t>
        </is>
      </c>
      <c r="V66" s="29" t="n">
        <v>0.2</v>
      </c>
    </row>
    <row r="67">
      <c r="A67" t="n">
        <v>4</v>
      </c>
      <c r="B67" t="inlineStr">
        <is>
          <t>1月</t>
        </is>
      </c>
      <c r="C67" t="inlineStr">
        <is>
          <t>企金</t>
        </is>
      </c>
      <c r="D67" t="inlineStr">
        <is>
          <t>信托企业主贷</t>
        </is>
      </c>
      <c r="E67" t="inlineStr">
        <is>
          <t>尚赢2-2</t>
        </is>
      </c>
      <c r="F67" t="inlineStr">
        <is>
          <t>上交所</t>
        </is>
      </c>
      <c r="G67" t="inlineStr">
        <is>
          <t>中信证券</t>
        </is>
      </c>
      <c r="H67" t="inlineStr">
        <is>
          <t>国信证券</t>
        </is>
      </c>
      <c r="I67" t="inlineStr">
        <is>
          <t>兴业北分</t>
        </is>
      </c>
      <c r="J67" t="n">
        <v>10</v>
      </c>
      <c r="K67" t="inlineStr">
        <is>
          <t>12+12</t>
        </is>
      </c>
      <c r="L67" s="309" t="n">
        <v>46045</v>
      </c>
      <c r="M67" t="n">
        <v>0.016</v>
      </c>
      <c r="N67" t="n">
        <v>0.0239</v>
      </c>
      <c r="O67" t="n">
        <v>2.59</v>
      </c>
      <c r="P67" s="220" t="inlineStr">
        <is>
          <t>受益权</t>
        </is>
      </c>
      <c r="Q67" s="221" t="n">
        <v>0.05</v>
      </c>
      <c r="R67" s="308" t="n">
        <v>0.5</v>
      </c>
      <c r="S67" s="221" t="inlineStr">
        <is>
          <t>无</t>
        </is>
      </c>
      <c r="T67" s="221" t="n">
        <v>0.0525</v>
      </c>
      <c r="U67" s="24" t="inlineStr">
        <is>
          <t>华兴证券自营</t>
        </is>
      </c>
      <c r="V67" s="24" t="n">
        <v>0.075</v>
      </c>
    </row>
    <row r="68">
      <c r="A68" t="n">
        <v>4</v>
      </c>
      <c r="B68" t="inlineStr">
        <is>
          <t>1月</t>
        </is>
      </c>
      <c r="C68" t="inlineStr">
        <is>
          <t>企金</t>
        </is>
      </c>
      <c r="D68" t="inlineStr">
        <is>
          <t>信托企业主贷</t>
        </is>
      </c>
      <c r="E68" t="inlineStr">
        <is>
          <t>尚赢2-2</t>
        </is>
      </c>
      <c r="F68" t="inlineStr">
        <is>
          <t>上交所</t>
        </is>
      </c>
      <c r="G68" t="inlineStr">
        <is>
          <t>中信证券</t>
        </is>
      </c>
      <c r="H68" t="inlineStr">
        <is>
          <t>国信证券</t>
        </is>
      </c>
      <c r="I68" t="inlineStr">
        <is>
          <t>兴业北分</t>
        </is>
      </c>
      <c r="J68" t="n">
        <v>10</v>
      </c>
      <c r="K68" t="inlineStr">
        <is>
          <t>12+12</t>
        </is>
      </c>
      <c r="L68" s="309" t="n">
        <v>46045</v>
      </c>
      <c r="M68" t="n">
        <v>0.016</v>
      </c>
      <c r="N68" t="n">
        <v>0.0239</v>
      </c>
      <c r="O68" t="n">
        <v>2.59</v>
      </c>
      <c r="P68" t="inlineStr">
        <is>
          <t>受益权</t>
        </is>
      </c>
      <c r="Q68" t="n">
        <v>0.05</v>
      </c>
      <c r="R68" t="n">
        <v>0.5</v>
      </c>
      <c r="S68" t="inlineStr">
        <is>
          <t>无</t>
        </is>
      </c>
      <c r="T68" t="n">
        <v>0.0525</v>
      </c>
      <c r="U68" s="24" t="inlineStr">
        <is>
          <t>华泰证券自营</t>
        </is>
      </c>
      <c r="V68" s="24" t="n">
        <v>0.08</v>
      </c>
    </row>
    <row r="69">
      <c r="A69" t="n">
        <v>4</v>
      </c>
      <c r="B69" t="inlineStr">
        <is>
          <t>1月</t>
        </is>
      </c>
      <c r="C69" t="inlineStr">
        <is>
          <t>企金</t>
        </is>
      </c>
      <c r="D69" t="inlineStr">
        <is>
          <t>信托企业主贷</t>
        </is>
      </c>
      <c r="E69" t="inlineStr">
        <is>
          <t>尚赢2-2</t>
        </is>
      </c>
      <c r="F69" t="inlineStr">
        <is>
          <t>上交所</t>
        </is>
      </c>
      <c r="G69" t="inlineStr">
        <is>
          <t>中信证券</t>
        </is>
      </c>
      <c r="H69" t="inlineStr">
        <is>
          <t>国信证券</t>
        </is>
      </c>
      <c r="I69" t="inlineStr">
        <is>
          <t>兴业北分</t>
        </is>
      </c>
      <c r="J69" t="n">
        <v>10</v>
      </c>
      <c r="K69" t="inlineStr">
        <is>
          <t>12+12</t>
        </is>
      </c>
      <c r="L69" s="309" t="n">
        <v>46045</v>
      </c>
      <c r="M69" t="n">
        <v>0.016</v>
      </c>
      <c r="N69" t="n">
        <v>0.0239</v>
      </c>
      <c r="O69" t="n">
        <v>2.59</v>
      </c>
      <c r="P69" t="inlineStr">
        <is>
          <t>受益权</t>
        </is>
      </c>
      <c r="Q69" t="n">
        <v>0.05</v>
      </c>
      <c r="R69" t="n">
        <v>0.5</v>
      </c>
      <c r="S69" t="inlineStr">
        <is>
          <t>无</t>
        </is>
      </c>
      <c r="T69" t="n">
        <v>0.0525</v>
      </c>
      <c r="U69" s="24" t="inlineStr">
        <is>
          <t>国信证券自营</t>
        </is>
      </c>
      <c r="V69" s="24" t="n">
        <v>0.21</v>
      </c>
    </row>
    <row r="70">
      <c r="A70" t="n">
        <v>4</v>
      </c>
      <c r="B70" t="inlineStr">
        <is>
          <t>1月</t>
        </is>
      </c>
      <c r="C70" t="inlineStr">
        <is>
          <t>企金</t>
        </is>
      </c>
      <c r="D70" t="inlineStr">
        <is>
          <t>信托企业主贷</t>
        </is>
      </c>
      <c r="E70" t="inlineStr">
        <is>
          <t>尚赢2-2</t>
        </is>
      </c>
      <c r="F70" t="inlineStr">
        <is>
          <t>上交所</t>
        </is>
      </c>
      <c r="G70" t="inlineStr">
        <is>
          <t>中信证券</t>
        </is>
      </c>
      <c r="H70" t="inlineStr">
        <is>
          <t>国信证券</t>
        </is>
      </c>
      <c r="I70" t="inlineStr">
        <is>
          <t>兴业北分</t>
        </is>
      </c>
      <c r="J70" t="n">
        <v>10</v>
      </c>
      <c r="K70" t="inlineStr">
        <is>
          <t>12+12</t>
        </is>
      </c>
      <c r="L70" s="309" t="n">
        <v>46045</v>
      </c>
      <c r="M70" t="n">
        <v>0.016</v>
      </c>
      <c r="N70" t="n">
        <v>0.0239</v>
      </c>
      <c r="O70" t="n">
        <v>2.59</v>
      </c>
      <c r="P70" t="inlineStr">
        <is>
          <t>受益权</t>
        </is>
      </c>
      <c r="Q70" t="n">
        <v>0.05</v>
      </c>
      <c r="R70" t="n">
        <v>0.5</v>
      </c>
      <c r="S70" t="inlineStr">
        <is>
          <t>无</t>
        </is>
      </c>
      <c r="T70" t="n">
        <v>0.0525</v>
      </c>
      <c r="U70" s="24" t="inlineStr">
        <is>
          <t>西部证券自营</t>
        </is>
      </c>
      <c r="V70" s="24" t="n">
        <v>0.135</v>
      </c>
    </row>
    <row r="71">
      <c r="A71" s="223" t="n">
        <v>5</v>
      </c>
      <c r="B71" s="220" t="inlineStr">
        <is>
          <t>1月</t>
        </is>
      </c>
      <c r="C71" s="220" t="inlineStr">
        <is>
          <t>企金</t>
        </is>
      </c>
      <c r="D71" s="220" t="inlineStr">
        <is>
          <t>小贷企业主贷</t>
        </is>
      </c>
      <c r="E71" s="220" t="inlineStr">
        <is>
          <t>盛赢3-4</t>
        </is>
      </c>
      <c r="F71" s="220" t="inlineStr">
        <is>
          <t>上交所</t>
        </is>
      </c>
      <c r="G71" s="220" t="inlineStr">
        <is>
          <t>中信证券</t>
        </is>
      </c>
      <c r="H71" s="220" t="inlineStr">
        <is>
          <t>华福证券</t>
        </is>
      </c>
      <c r="I71" s="220" t="inlineStr">
        <is>
          <t>浦发北分</t>
        </is>
      </c>
      <c r="J71" s="220" t="n">
        <v>10</v>
      </c>
      <c r="K71" s="220" t="inlineStr">
        <is>
          <t>12+12</t>
        </is>
      </c>
      <c r="L71" s="224" t="n">
        <v>46049</v>
      </c>
      <c r="M71" s="225" t="n">
        <v>0.0159</v>
      </c>
      <c r="N71" s="225" t="n">
        <v>0.0217</v>
      </c>
      <c r="O71" s="226" t="n">
        <v>2.08</v>
      </c>
      <c r="P71" s="220" t="inlineStr">
        <is>
          <t>优先A</t>
        </is>
      </c>
      <c r="Q71" s="231" t="n">
        <v>0.83</v>
      </c>
      <c r="R71" s="308" t="n">
        <v>8.300000000000001</v>
      </c>
      <c r="S71" s="220" t="inlineStr">
        <is>
          <t>AAA</t>
        </is>
      </c>
      <c r="T71" s="221" t="n">
        <v>0.0204</v>
      </c>
      <c r="U71" s="265" t="inlineStr">
        <is>
          <t>交银理财</t>
        </is>
      </c>
      <c r="V71" s="25" t="n">
        <v>1.3</v>
      </c>
      <c r="W71" s="312" t="n"/>
    </row>
    <row r="72">
      <c r="A72" t="n">
        <v>5</v>
      </c>
      <c r="B72" t="inlineStr">
        <is>
          <t>1月</t>
        </is>
      </c>
      <c r="C72" t="inlineStr">
        <is>
          <t>企金</t>
        </is>
      </c>
      <c r="D72" t="inlineStr">
        <is>
          <t>小贷企业主贷</t>
        </is>
      </c>
      <c r="E72" t="inlineStr">
        <is>
          <t>盛赢3-4</t>
        </is>
      </c>
      <c r="F72" t="inlineStr">
        <is>
          <t>上交所</t>
        </is>
      </c>
      <c r="G72" t="inlineStr">
        <is>
          <t>中信证券</t>
        </is>
      </c>
      <c r="H72" t="inlineStr">
        <is>
          <t>华福证券</t>
        </is>
      </c>
      <c r="I72" t="inlineStr">
        <is>
          <t>浦发北分</t>
        </is>
      </c>
      <c r="J72" t="n">
        <v>10</v>
      </c>
      <c r="K72" t="inlineStr">
        <is>
          <t>12+12</t>
        </is>
      </c>
      <c r="L72" s="309" t="n">
        <v>46049</v>
      </c>
      <c r="M72" t="n">
        <v>0.0159</v>
      </c>
      <c r="N72" t="n">
        <v>0.0217</v>
      </c>
      <c r="O72" t="n">
        <v>2.08</v>
      </c>
      <c r="P72" t="inlineStr">
        <is>
          <t>优先A</t>
        </is>
      </c>
      <c r="Q72" t="n">
        <v>0.83</v>
      </c>
      <c r="R72" t="n">
        <v>8.300000000000001</v>
      </c>
      <c r="S72" t="inlineStr">
        <is>
          <t>AAA</t>
        </is>
      </c>
      <c r="T72" t="n">
        <v>0.0204</v>
      </c>
      <c r="U72" s="24" t="inlineStr">
        <is>
          <t>天津银行</t>
        </is>
      </c>
      <c r="V72" s="25" t="n">
        <v>1</v>
      </c>
    </row>
    <row r="73">
      <c r="A73" t="n">
        <v>5</v>
      </c>
      <c r="B73" t="inlineStr">
        <is>
          <t>1月</t>
        </is>
      </c>
      <c r="C73" t="inlineStr">
        <is>
          <t>企金</t>
        </is>
      </c>
      <c r="D73" t="inlineStr">
        <is>
          <t>小贷企业主贷</t>
        </is>
      </c>
      <c r="E73" t="inlineStr">
        <is>
          <t>盛赢3-4</t>
        </is>
      </c>
      <c r="F73" t="inlineStr">
        <is>
          <t>上交所</t>
        </is>
      </c>
      <c r="G73" t="inlineStr">
        <is>
          <t>中信证券</t>
        </is>
      </c>
      <c r="H73" t="inlineStr">
        <is>
          <t>华福证券</t>
        </is>
      </c>
      <c r="I73" t="inlineStr">
        <is>
          <t>浦发北分</t>
        </is>
      </c>
      <c r="J73" t="n">
        <v>10</v>
      </c>
      <c r="K73" t="inlineStr">
        <is>
          <t>12+12</t>
        </is>
      </c>
      <c r="L73" s="309" t="n">
        <v>46049</v>
      </c>
      <c r="M73" t="n">
        <v>0.0159</v>
      </c>
      <c r="N73" t="n">
        <v>0.0217</v>
      </c>
      <c r="O73" t="n">
        <v>2.08</v>
      </c>
      <c r="P73" t="inlineStr">
        <is>
          <t>优先A</t>
        </is>
      </c>
      <c r="Q73" t="n">
        <v>0.83</v>
      </c>
      <c r="R73" t="n">
        <v>8.300000000000001</v>
      </c>
      <c r="S73" t="inlineStr">
        <is>
          <t>AAA</t>
        </is>
      </c>
      <c r="T73" t="n">
        <v>0.0204</v>
      </c>
      <c r="U73" s="24" t="inlineStr">
        <is>
          <t>中金财富</t>
        </is>
      </c>
      <c r="V73" s="313" t="n">
        <v>0.485</v>
      </c>
    </row>
    <row r="74">
      <c r="A74" t="n">
        <v>5</v>
      </c>
      <c r="B74" t="inlineStr">
        <is>
          <t>1月</t>
        </is>
      </c>
      <c r="C74" t="inlineStr">
        <is>
          <t>企金</t>
        </is>
      </c>
      <c r="D74" t="inlineStr">
        <is>
          <t>小贷企业主贷</t>
        </is>
      </c>
      <c r="E74" t="inlineStr">
        <is>
          <t>盛赢3-4</t>
        </is>
      </c>
      <c r="F74" t="inlineStr">
        <is>
          <t>上交所</t>
        </is>
      </c>
      <c r="G74" t="inlineStr">
        <is>
          <t>中信证券</t>
        </is>
      </c>
      <c r="H74" t="inlineStr">
        <is>
          <t>华福证券</t>
        </is>
      </c>
      <c r="I74" t="inlineStr">
        <is>
          <t>浦发北分</t>
        </is>
      </c>
      <c r="J74" t="n">
        <v>10</v>
      </c>
      <c r="K74" t="inlineStr">
        <is>
          <t>12+12</t>
        </is>
      </c>
      <c r="L74" s="309" t="n">
        <v>46049</v>
      </c>
      <c r="M74" t="n">
        <v>0.0159</v>
      </c>
      <c r="N74" t="n">
        <v>0.0217</v>
      </c>
      <c r="O74" t="n">
        <v>2.08</v>
      </c>
      <c r="P74" t="inlineStr">
        <is>
          <t>优先A</t>
        </is>
      </c>
      <c r="Q74" t="n">
        <v>0.83</v>
      </c>
      <c r="R74" t="n">
        <v>8.300000000000001</v>
      </c>
      <c r="S74" t="inlineStr">
        <is>
          <t>AAA</t>
        </is>
      </c>
      <c r="T74" t="n">
        <v>0.0204</v>
      </c>
      <c r="U74" s="24" t="inlineStr">
        <is>
          <t>工银理财</t>
        </is>
      </c>
      <c r="V74" s="25" t="n">
        <v>1.6</v>
      </c>
    </row>
    <row r="75">
      <c r="A75" t="n">
        <v>5</v>
      </c>
      <c r="B75" t="inlineStr">
        <is>
          <t>1月</t>
        </is>
      </c>
      <c r="C75" t="inlineStr">
        <is>
          <t>企金</t>
        </is>
      </c>
      <c r="D75" t="inlineStr">
        <is>
          <t>小贷企业主贷</t>
        </is>
      </c>
      <c r="E75" t="inlineStr">
        <is>
          <t>盛赢3-4</t>
        </is>
      </c>
      <c r="F75" t="inlineStr">
        <is>
          <t>上交所</t>
        </is>
      </c>
      <c r="G75" t="inlineStr">
        <is>
          <t>中信证券</t>
        </is>
      </c>
      <c r="H75" t="inlineStr">
        <is>
          <t>华福证券</t>
        </is>
      </c>
      <c r="I75" t="inlineStr">
        <is>
          <t>浦发北分</t>
        </is>
      </c>
      <c r="J75" t="n">
        <v>10</v>
      </c>
      <c r="K75" t="inlineStr">
        <is>
          <t>12+12</t>
        </is>
      </c>
      <c r="L75" s="309" t="n">
        <v>46049</v>
      </c>
      <c r="M75" t="n">
        <v>0.0159</v>
      </c>
      <c r="N75" t="n">
        <v>0.0217</v>
      </c>
      <c r="O75" t="n">
        <v>2.08</v>
      </c>
      <c r="P75" t="inlineStr">
        <is>
          <t>优先A</t>
        </is>
      </c>
      <c r="Q75" t="n">
        <v>0.83</v>
      </c>
      <c r="R75" t="n">
        <v>8.300000000000001</v>
      </c>
      <c r="S75" t="inlineStr">
        <is>
          <t>AAA</t>
        </is>
      </c>
      <c r="T75" t="n">
        <v>0.0204</v>
      </c>
      <c r="U75" s="24" t="inlineStr">
        <is>
          <t>招银理财</t>
        </is>
      </c>
      <c r="V75" s="25" t="n">
        <v>1.2</v>
      </c>
    </row>
    <row r="76">
      <c r="A76" t="n">
        <v>5</v>
      </c>
      <c r="B76" t="inlineStr">
        <is>
          <t>1月</t>
        </is>
      </c>
      <c r="C76" t="inlineStr">
        <is>
          <t>企金</t>
        </is>
      </c>
      <c r="D76" t="inlineStr">
        <is>
          <t>小贷企业主贷</t>
        </is>
      </c>
      <c r="E76" t="inlineStr">
        <is>
          <t>盛赢3-4</t>
        </is>
      </c>
      <c r="F76" t="inlineStr">
        <is>
          <t>上交所</t>
        </is>
      </c>
      <c r="G76" t="inlineStr">
        <is>
          <t>中信证券</t>
        </is>
      </c>
      <c r="H76" t="inlineStr">
        <is>
          <t>华福证券</t>
        </is>
      </c>
      <c r="I76" t="inlineStr">
        <is>
          <t>浦发北分</t>
        </is>
      </c>
      <c r="J76" t="n">
        <v>10</v>
      </c>
      <c r="K76" t="inlineStr">
        <is>
          <t>12+12</t>
        </is>
      </c>
      <c r="L76" s="309" t="n">
        <v>46049</v>
      </c>
      <c r="M76" t="n">
        <v>0.0159</v>
      </c>
      <c r="N76" t="n">
        <v>0.0217</v>
      </c>
      <c r="O76" t="n">
        <v>2.08</v>
      </c>
      <c r="P76" t="inlineStr">
        <is>
          <t>优先A</t>
        </is>
      </c>
      <c r="Q76" t="n">
        <v>0.83</v>
      </c>
      <c r="R76" t="n">
        <v>8.300000000000001</v>
      </c>
      <c r="S76" t="inlineStr">
        <is>
          <t>AAA</t>
        </is>
      </c>
      <c r="T76" t="n">
        <v>0.0204</v>
      </c>
      <c r="U76" s="24" t="inlineStr">
        <is>
          <t>易方达基金</t>
        </is>
      </c>
      <c r="V76" s="25" t="n">
        <v>2</v>
      </c>
    </row>
    <row r="77">
      <c r="A77" t="n">
        <v>5</v>
      </c>
      <c r="B77" t="inlineStr">
        <is>
          <t>1月</t>
        </is>
      </c>
      <c r="C77" t="inlineStr">
        <is>
          <t>企金</t>
        </is>
      </c>
      <c r="D77" t="inlineStr">
        <is>
          <t>小贷企业主贷</t>
        </is>
      </c>
      <c r="E77" t="inlineStr">
        <is>
          <t>盛赢3-4</t>
        </is>
      </c>
      <c r="F77" t="inlineStr">
        <is>
          <t>上交所</t>
        </is>
      </c>
      <c r="G77" t="inlineStr">
        <is>
          <t>中信证券</t>
        </is>
      </c>
      <c r="H77" t="inlineStr">
        <is>
          <t>华福证券</t>
        </is>
      </c>
      <c r="I77" t="inlineStr">
        <is>
          <t>浦发北分</t>
        </is>
      </c>
      <c r="J77" t="n">
        <v>10</v>
      </c>
      <c r="K77" t="inlineStr">
        <is>
          <t>12+12</t>
        </is>
      </c>
      <c r="L77" s="309" t="n">
        <v>46049</v>
      </c>
      <c r="M77" t="n">
        <v>0.0159</v>
      </c>
      <c r="N77" t="n">
        <v>0.0217</v>
      </c>
      <c r="O77" t="n">
        <v>2.08</v>
      </c>
      <c r="P77" t="inlineStr">
        <is>
          <t>优先A</t>
        </is>
      </c>
      <c r="Q77" t="n">
        <v>0.83</v>
      </c>
      <c r="R77" t="n">
        <v>8.300000000000001</v>
      </c>
      <c r="S77" t="inlineStr">
        <is>
          <t>AAA</t>
        </is>
      </c>
      <c r="T77" t="n">
        <v>0.0204</v>
      </c>
      <c r="U77" s="24" t="inlineStr">
        <is>
          <t>申万宏源投顾</t>
        </is>
      </c>
      <c r="V77" s="25" t="n">
        <v>0.3</v>
      </c>
    </row>
    <row r="78">
      <c r="A78" t="n">
        <v>5</v>
      </c>
      <c r="B78" t="inlineStr">
        <is>
          <t>1月</t>
        </is>
      </c>
      <c r="C78" t="inlineStr">
        <is>
          <t>企金</t>
        </is>
      </c>
      <c r="D78" t="inlineStr">
        <is>
          <t>小贷企业主贷</t>
        </is>
      </c>
      <c r="E78" t="inlineStr">
        <is>
          <t>盛赢3-4</t>
        </is>
      </c>
      <c r="F78" t="inlineStr">
        <is>
          <t>上交所</t>
        </is>
      </c>
      <c r="G78" t="inlineStr">
        <is>
          <t>中信证券</t>
        </is>
      </c>
      <c r="H78" t="inlineStr">
        <is>
          <t>华福证券</t>
        </is>
      </c>
      <c r="I78" t="inlineStr">
        <is>
          <t>浦发北分</t>
        </is>
      </c>
      <c r="J78" t="n">
        <v>10</v>
      </c>
      <c r="K78" t="inlineStr">
        <is>
          <t>12+12</t>
        </is>
      </c>
      <c r="L78" s="309" t="n">
        <v>46049</v>
      </c>
      <c r="M78" t="n">
        <v>0.0159</v>
      </c>
      <c r="N78" t="n">
        <v>0.0217</v>
      </c>
      <c r="O78" t="n">
        <v>2.08</v>
      </c>
      <c r="P78" t="inlineStr">
        <is>
          <t>优先A</t>
        </is>
      </c>
      <c r="Q78" t="n">
        <v>0.83</v>
      </c>
      <c r="R78" t="n">
        <v>8.300000000000001</v>
      </c>
      <c r="S78" t="inlineStr">
        <is>
          <t>AAA</t>
        </is>
      </c>
      <c r="T78" t="n">
        <v>0.0204</v>
      </c>
      <c r="U78" s="24" t="inlineStr">
        <is>
          <t>盛际小贷</t>
        </is>
      </c>
      <c r="V78" s="313" t="n">
        <v>0.415</v>
      </c>
    </row>
    <row r="79">
      <c r="A79" t="n">
        <v>5</v>
      </c>
      <c r="B79" t="inlineStr">
        <is>
          <t>1月</t>
        </is>
      </c>
      <c r="C79" t="inlineStr">
        <is>
          <t>企金</t>
        </is>
      </c>
      <c r="D79" t="inlineStr">
        <is>
          <t>小贷企业主贷</t>
        </is>
      </c>
      <c r="E79" t="inlineStr">
        <is>
          <t>盛赢3-4</t>
        </is>
      </c>
      <c r="F79" t="inlineStr">
        <is>
          <t>上交所</t>
        </is>
      </c>
      <c r="G79" t="inlineStr">
        <is>
          <t>中信证券</t>
        </is>
      </c>
      <c r="H79" t="inlineStr">
        <is>
          <t>华福证券</t>
        </is>
      </c>
      <c r="I79" t="inlineStr">
        <is>
          <t>浦发北分</t>
        </is>
      </c>
      <c r="J79" t="n">
        <v>10</v>
      </c>
      <c r="K79" t="inlineStr">
        <is>
          <t>12+12</t>
        </is>
      </c>
      <c r="L79" s="309" t="n">
        <v>46049</v>
      </c>
      <c r="M79" t="n">
        <v>0.0159</v>
      </c>
      <c r="N79" t="n">
        <v>0.0217</v>
      </c>
      <c r="O79" t="n">
        <v>2.08</v>
      </c>
      <c r="P79" s="220" t="inlineStr">
        <is>
          <t>优先B</t>
        </is>
      </c>
      <c r="Q79" s="221" t="n">
        <v>0.05</v>
      </c>
      <c r="R79" s="308" t="n">
        <v>0.5</v>
      </c>
      <c r="S79" s="221" t="inlineStr">
        <is>
          <t>AA+</t>
        </is>
      </c>
      <c r="T79" s="221" t="n">
        <v>0.0217</v>
      </c>
      <c r="U79" s="30" t="inlineStr">
        <is>
          <t>交银理财</t>
        </is>
      </c>
      <c r="V79" s="29" t="n">
        <v>0.15</v>
      </c>
      <c r="X79" s="312" t="n"/>
    </row>
    <row r="80">
      <c r="A80" t="n">
        <v>5</v>
      </c>
      <c r="B80" t="inlineStr">
        <is>
          <t>1月</t>
        </is>
      </c>
      <c r="C80" t="inlineStr">
        <is>
          <t>企金</t>
        </is>
      </c>
      <c r="D80" t="inlineStr">
        <is>
          <t>小贷企业主贷</t>
        </is>
      </c>
      <c r="E80" t="inlineStr">
        <is>
          <t>盛赢3-4</t>
        </is>
      </c>
      <c r="F80" t="inlineStr">
        <is>
          <t>上交所</t>
        </is>
      </c>
      <c r="G80" t="inlineStr">
        <is>
          <t>中信证券</t>
        </is>
      </c>
      <c r="H80" t="inlineStr">
        <is>
          <t>华福证券</t>
        </is>
      </c>
      <c r="I80" t="inlineStr">
        <is>
          <t>浦发北分</t>
        </is>
      </c>
      <c r="J80" t="n">
        <v>10</v>
      </c>
      <c r="K80" t="inlineStr">
        <is>
          <t>12+12</t>
        </is>
      </c>
      <c r="L80" s="309" t="n">
        <v>46049</v>
      </c>
      <c r="M80" t="n">
        <v>0.0159</v>
      </c>
      <c r="N80" t="n">
        <v>0.0217</v>
      </c>
      <c r="O80" t="n">
        <v>2.08</v>
      </c>
      <c r="P80" t="inlineStr">
        <is>
          <t>优先B</t>
        </is>
      </c>
      <c r="Q80" t="n">
        <v>0.05</v>
      </c>
      <c r="R80" t="n">
        <v>0.5</v>
      </c>
      <c r="S80" t="inlineStr">
        <is>
          <t>AA+</t>
        </is>
      </c>
      <c r="T80" t="n">
        <v>0.0217</v>
      </c>
      <c r="U80" s="30" t="inlineStr">
        <is>
          <t>中金财富</t>
        </is>
      </c>
      <c r="V80" s="314" t="n">
        <v>0.175</v>
      </c>
      <c r="X80" s="315" t="n"/>
    </row>
    <row r="81">
      <c r="A81" t="n">
        <v>5</v>
      </c>
      <c r="B81" t="inlineStr">
        <is>
          <t>1月</t>
        </is>
      </c>
      <c r="C81" t="inlineStr">
        <is>
          <t>企金</t>
        </is>
      </c>
      <c r="D81" t="inlineStr">
        <is>
          <t>小贷企业主贷</t>
        </is>
      </c>
      <c r="E81" t="inlineStr">
        <is>
          <t>盛赢3-4</t>
        </is>
      </c>
      <c r="F81" t="inlineStr">
        <is>
          <t>上交所</t>
        </is>
      </c>
      <c r="G81" t="inlineStr">
        <is>
          <t>中信证券</t>
        </is>
      </c>
      <c r="H81" t="inlineStr">
        <is>
          <t>华福证券</t>
        </is>
      </c>
      <c r="I81" t="inlineStr">
        <is>
          <t>浦发北分</t>
        </is>
      </c>
      <c r="J81" t="n">
        <v>10</v>
      </c>
      <c r="K81" t="inlineStr">
        <is>
          <t>12+12</t>
        </is>
      </c>
      <c r="L81" s="309" t="n">
        <v>46049</v>
      </c>
      <c r="M81" t="n">
        <v>0.0159</v>
      </c>
      <c r="N81" t="n">
        <v>0.0217</v>
      </c>
      <c r="O81" t="n">
        <v>2.08</v>
      </c>
      <c r="P81" t="inlineStr">
        <is>
          <t>优先B</t>
        </is>
      </c>
      <c r="Q81" t="n">
        <v>0.05</v>
      </c>
      <c r="R81" t="n">
        <v>0.5</v>
      </c>
      <c r="S81" t="inlineStr">
        <is>
          <t>AA+</t>
        </is>
      </c>
      <c r="T81" t="n">
        <v>0.0217</v>
      </c>
      <c r="U81" s="30" t="inlineStr">
        <is>
          <t>招银理财</t>
        </is>
      </c>
      <c r="V81" s="29" t="n">
        <v>0.15</v>
      </c>
      <c r="X81" s="312" t="n"/>
    </row>
    <row r="82">
      <c r="A82" t="n">
        <v>5</v>
      </c>
      <c r="B82" t="inlineStr">
        <is>
          <t>1月</t>
        </is>
      </c>
      <c r="C82" t="inlineStr">
        <is>
          <t>企金</t>
        </is>
      </c>
      <c r="D82" t="inlineStr">
        <is>
          <t>小贷企业主贷</t>
        </is>
      </c>
      <c r="E82" t="inlineStr">
        <is>
          <t>盛赢3-4</t>
        </is>
      </c>
      <c r="F82" t="inlineStr">
        <is>
          <t>上交所</t>
        </is>
      </c>
      <c r="G82" t="inlineStr">
        <is>
          <t>中信证券</t>
        </is>
      </c>
      <c r="H82" t="inlineStr">
        <is>
          <t>华福证券</t>
        </is>
      </c>
      <c r="I82" t="inlineStr">
        <is>
          <t>浦发北分</t>
        </is>
      </c>
      <c r="J82" t="n">
        <v>10</v>
      </c>
      <c r="K82" t="inlineStr">
        <is>
          <t>12+12</t>
        </is>
      </c>
      <c r="L82" s="309" t="n">
        <v>46049</v>
      </c>
      <c r="M82" t="n">
        <v>0.0159</v>
      </c>
      <c r="N82" t="n">
        <v>0.0217</v>
      </c>
      <c r="O82" t="n">
        <v>2.08</v>
      </c>
      <c r="P82" t="inlineStr">
        <is>
          <t>优先B</t>
        </is>
      </c>
      <c r="Q82" t="n">
        <v>0.05</v>
      </c>
      <c r="R82" t="n">
        <v>0.5</v>
      </c>
      <c r="S82" t="inlineStr">
        <is>
          <t>AA+</t>
        </is>
      </c>
      <c r="T82" t="n">
        <v>0.0217</v>
      </c>
      <c r="U82" s="30" t="inlineStr">
        <is>
          <t>盛际小贷</t>
        </is>
      </c>
      <c r="V82" s="314" t="n">
        <v>0.025</v>
      </c>
      <c r="X82" s="316" t="n"/>
    </row>
    <row r="83">
      <c r="A83" t="n">
        <v>5</v>
      </c>
      <c r="B83" t="inlineStr">
        <is>
          <t>1月</t>
        </is>
      </c>
      <c r="C83" t="inlineStr">
        <is>
          <t>企金</t>
        </is>
      </c>
      <c r="D83" t="inlineStr">
        <is>
          <t>小贷企业主贷</t>
        </is>
      </c>
      <c r="E83" t="inlineStr">
        <is>
          <t>盛赢3-4</t>
        </is>
      </c>
      <c r="F83" t="inlineStr">
        <is>
          <t>上交所</t>
        </is>
      </c>
      <c r="G83" t="inlineStr">
        <is>
          <t>中信证券</t>
        </is>
      </c>
      <c r="H83" t="inlineStr">
        <is>
          <t>华福证券</t>
        </is>
      </c>
      <c r="I83" t="inlineStr">
        <is>
          <t>浦发北分</t>
        </is>
      </c>
      <c r="J83" t="n">
        <v>10</v>
      </c>
      <c r="K83" t="inlineStr">
        <is>
          <t>12+12</t>
        </is>
      </c>
      <c r="L83" s="309" t="n">
        <v>46049</v>
      </c>
      <c r="M83" t="n">
        <v>0.0159</v>
      </c>
      <c r="N83" t="n">
        <v>0.0217</v>
      </c>
      <c r="O83" t="n">
        <v>2.08</v>
      </c>
      <c r="P83" s="220" t="inlineStr">
        <is>
          <t>中间级</t>
        </is>
      </c>
      <c r="Q83" s="221" t="n">
        <v>0.07000000000000001</v>
      </c>
      <c r="R83" s="308" t="n">
        <v>0.7</v>
      </c>
      <c r="S83" s="221" t="inlineStr">
        <is>
          <t>AA-</t>
        </is>
      </c>
      <c r="T83" s="221" t="n">
        <v>0.032</v>
      </c>
      <c r="U83" s="30" t="inlineStr">
        <is>
          <t>信达证券自营</t>
        </is>
      </c>
      <c r="V83" s="29" t="n">
        <v>0.2</v>
      </c>
    </row>
    <row r="84">
      <c r="A84" t="n">
        <v>5</v>
      </c>
      <c r="B84" t="inlineStr">
        <is>
          <t>1月</t>
        </is>
      </c>
      <c r="C84" t="inlineStr">
        <is>
          <t>企金</t>
        </is>
      </c>
      <c r="D84" t="inlineStr">
        <is>
          <t>小贷企业主贷</t>
        </is>
      </c>
      <c r="E84" t="inlineStr">
        <is>
          <t>盛赢3-4</t>
        </is>
      </c>
      <c r="F84" t="inlineStr">
        <is>
          <t>上交所</t>
        </is>
      </c>
      <c r="G84" t="inlineStr">
        <is>
          <t>中信证券</t>
        </is>
      </c>
      <c r="H84" t="inlineStr">
        <is>
          <t>华福证券</t>
        </is>
      </c>
      <c r="I84" t="inlineStr">
        <is>
          <t>浦发北分</t>
        </is>
      </c>
      <c r="J84" t="n">
        <v>10</v>
      </c>
      <c r="K84" t="inlineStr">
        <is>
          <t>12+12</t>
        </is>
      </c>
      <c r="L84" s="309" t="n">
        <v>46049</v>
      </c>
      <c r="M84" t="n">
        <v>0.0159</v>
      </c>
      <c r="N84" t="n">
        <v>0.0217</v>
      </c>
      <c r="O84" t="n">
        <v>2.08</v>
      </c>
      <c r="P84" t="inlineStr">
        <is>
          <t>中间级</t>
        </is>
      </c>
      <c r="Q84" t="n">
        <v>0.07000000000000001</v>
      </c>
      <c r="R84" t="n">
        <v>0.7</v>
      </c>
      <c r="S84" t="inlineStr">
        <is>
          <t>AA-</t>
        </is>
      </c>
      <c r="T84" t="n">
        <v>0.032</v>
      </c>
      <c r="U84" s="30" t="inlineStr">
        <is>
          <t>建信信托</t>
        </is>
      </c>
      <c r="V84" s="29" t="n">
        <v>0.1</v>
      </c>
    </row>
    <row r="85">
      <c r="A85" t="n">
        <v>5</v>
      </c>
      <c r="B85" t="inlineStr">
        <is>
          <t>1月</t>
        </is>
      </c>
      <c r="C85" t="inlineStr">
        <is>
          <t>企金</t>
        </is>
      </c>
      <c r="D85" t="inlineStr">
        <is>
          <t>小贷企业主贷</t>
        </is>
      </c>
      <c r="E85" t="inlineStr">
        <is>
          <t>盛赢3-4</t>
        </is>
      </c>
      <c r="F85" t="inlineStr">
        <is>
          <t>上交所</t>
        </is>
      </c>
      <c r="G85" t="inlineStr">
        <is>
          <t>中信证券</t>
        </is>
      </c>
      <c r="H85" t="inlineStr">
        <is>
          <t>华福证券</t>
        </is>
      </c>
      <c r="I85" t="inlineStr">
        <is>
          <t>浦发北分</t>
        </is>
      </c>
      <c r="J85" t="n">
        <v>10</v>
      </c>
      <c r="K85" t="inlineStr">
        <is>
          <t>12+12</t>
        </is>
      </c>
      <c r="L85" s="309" t="n">
        <v>46049</v>
      </c>
      <c r="M85" t="n">
        <v>0.0159</v>
      </c>
      <c r="N85" t="n">
        <v>0.0217</v>
      </c>
      <c r="O85" t="n">
        <v>2.08</v>
      </c>
      <c r="P85" t="inlineStr">
        <is>
          <t>中间级</t>
        </is>
      </c>
      <c r="Q85" t="n">
        <v>0.07000000000000001</v>
      </c>
      <c r="R85" t="n">
        <v>0.7</v>
      </c>
      <c r="S85" t="inlineStr">
        <is>
          <t>AA-</t>
        </is>
      </c>
      <c r="T85" t="n">
        <v>0.032</v>
      </c>
      <c r="U85" s="30" t="inlineStr">
        <is>
          <t>国信证券自营</t>
        </is>
      </c>
      <c r="V85" s="29" t="n">
        <v>0.2</v>
      </c>
    </row>
    <row r="86">
      <c r="A86" t="n">
        <v>5</v>
      </c>
      <c r="B86" t="inlineStr">
        <is>
          <t>1月</t>
        </is>
      </c>
      <c r="C86" t="inlineStr">
        <is>
          <t>企金</t>
        </is>
      </c>
      <c r="D86" t="inlineStr">
        <is>
          <t>小贷企业主贷</t>
        </is>
      </c>
      <c r="E86" t="inlineStr">
        <is>
          <t>盛赢3-4</t>
        </is>
      </c>
      <c r="F86" t="inlineStr">
        <is>
          <t>上交所</t>
        </is>
      </c>
      <c r="G86" t="inlineStr">
        <is>
          <t>中信证券</t>
        </is>
      </c>
      <c r="H86" t="inlineStr">
        <is>
          <t>华福证券</t>
        </is>
      </c>
      <c r="I86" t="inlineStr">
        <is>
          <t>浦发北分</t>
        </is>
      </c>
      <c r="J86" t="n">
        <v>10</v>
      </c>
      <c r="K86" t="inlineStr">
        <is>
          <t>12+12</t>
        </is>
      </c>
      <c r="L86" s="309" t="n">
        <v>46049</v>
      </c>
      <c r="M86" t="n">
        <v>0.0159</v>
      </c>
      <c r="N86" t="n">
        <v>0.0217</v>
      </c>
      <c r="O86" t="n">
        <v>2.08</v>
      </c>
      <c r="P86" t="inlineStr">
        <is>
          <t>中间级</t>
        </is>
      </c>
      <c r="Q86" t="n">
        <v>0.07000000000000001</v>
      </c>
      <c r="R86" t="n">
        <v>0.7</v>
      </c>
      <c r="S86" t="inlineStr">
        <is>
          <t>AA-</t>
        </is>
      </c>
      <c r="T86" t="n">
        <v>0.032</v>
      </c>
      <c r="U86" s="30" t="inlineStr">
        <is>
          <t>国泰海通自营</t>
        </is>
      </c>
      <c r="V86" s="24" t="n">
        <v>0.165</v>
      </c>
    </row>
    <row r="87">
      <c r="A87" t="n">
        <v>5</v>
      </c>
      <c r="B87" t="inlineStr">
        <is>
          <t>1月</t>
        </is>
      </c>
      <c r="C87" t="inlineStr">
        <is>
          <t>企金</t>
        </is>
      </c>
      <c r="D87" t="inlineStr">
        <is>
          <t>小贷企业主贷</t>
        </is>
      </c>
      <c r="E87" t="inlineStr">
        <is>
          <t>盛赢3-4</t>
        </is>
      </c>
      <c r="F87" t="inlineStr">
        <is>
          <t>上交所</t>
        </is>
      </c>
      <c r="G87" t="inlineStr">
        <is>
          <t>中信证券</t>
        </is>
      </c>
      <c r="H87" t="inlineStr">
        <is>
          <t>华福证券</t>
        </is>
      </c>
      <c r="I87" t="inlineStr">
        <is>
          <t>浦发北分</t>
        </is>
      </c>
      <c r="J87" t="n">
        <v>10</v>
      </c>
      <c r="K87" t="inlineStr">
        <is>
          <t>12+12</t>
        </is>
      </c>
      <c r="L87" s="309" t="n">
        <v>46049</v>
      </c>
      <c r="M87" t="n">
        <v>0.0159</v>
      </c>
      <c r="N87" t="n">
        <v>0.0217</v>
      </c>
      <c r="O87" t="n">
        <v>2.08</v>
      </c>
      <c r="P87" t="inlineStr">
        <is>
          <t>中间级</t>
        </is>
      </c>
      <c r="Q87" t="n">
        <v>0.07000000000000001</v>
      </c>
      <c r="R87" t="n">
        <v>0.7</v>
      </c>
      <c r="S87" t="inlineStr">
        <is>
          <t>AA-</t>
        </is>
      </c>
      <c r="T87" t="n">
        <v>0.032</v>
      </c>
      <c r="U87" s="30" t="inlineStr">
        <is>
          <t>盛际小贷</t>
        </is>
      </c>
      <c r="V87" s="24" t="n">
        <v>0.035</v>
      </c>
      <c r="W87" s="316" t="n"/>
    </row>
    <row r="88">
      <c r="A88" t="n">
        <v>5</v>
      </c>
      <c r="B88" t="inlineStr">
        <is>
          <t>1月</t>
        </is>
      </c>
      <c r="C88" t="inlineStr">
        <is>
          <t>企金</t>
        </is>
      </c>
      <c r="D88" t="inlineStr">
        <is>
          <t>小贷企业主贷</t>
        </is>
      </c>
      <c r="E88" t="inlineStr">
        <is>
          <t>盛赢3-4</t>
        </is>
      </c>
      <c r="F88" t="inlineStr">
        <is>
          <t>上交所</t>
        </is>
      </c>
      <c r="G88" t="inlineStr">
        <is>
          <t>中信证券</t>
        </is>
      </c>
      <c r="H88" t="inlineStr">
        <is>
          <t>华福证券</t>
        </is>
      </c>
      <c r="I88" t="inlineStr">
        <is>
          <t>浦发北分</t>
        </is>
      </c>
      <c r="J88" t="n">
        <v>10</v>
      </c>
      <c r="K88" t="inlineStr">
        <is>
          <t>12+12</t>
        </is>
      </c>
      <c r="L88" s="309" t="n">
        <v>46049</v>
      </c>
      <c r="M88" t="n">
        <v>0.0159</v>
      </c>
      <c r="N88" t="n">
        <v>0.0217</v>
      </c>
      <c r="O88" t="n">
        <v>2.08</v>
      </c>
      <c r="P88" s="220" t="inlineStr">
        <is>
          <t>次级</t>
        </is>
      </c>
      <c r="Q88" s="221" t="n">
        <v>0.05</v>
      </c>
      <c r="R88" s="308" t="n">
        <v>0.5</v>
      </c>
      <c r="S88" s="221" t="inlineStr">
        <is>
          <t>无</t>
        </is>
      </c>
      <c r="T88" s="221" t="n">
        <v>0.0455</v>
      </c>
      <c r="U88" s="30" t="inlineStr">
        <is>
          <t>利曦基金</t>
        </is>
      </c>
      <c r="V88" s="29" t="n">
        <v>0.2</v>
      </c>
      <c r="W88" s="312" t="n"/>
    </row>
    <row r="89">
      <c r="A89" t="n">
        <v>5</v>
      </c>
      <c r="B89" t="inlineStr">
        <is>
          <t>1月</t>
        </is>
      </c>
      <c r="C89" t="inlineStr">
        <is>
          <t>企金</t>
        </is>
      </c>
      <c r="D89" t="inlineStr">
        <is>
          <t>小贷企业主贷</t>
        </is>
      </c>
      <c r="E89" t="inlineStr">
        <is>
          <t>盛赢3-4</t>
        </is>
      </c>
      <c r="F89" t="inlineStr">
        <is>
          <t>上交所</t>
        </is>
      </c>
      <c r="G89" t="inlineStr">
        <is>
          <t>中信证券</t>
        </is>
      </c>
      <c r="H89" t="inlineStr">
        <is>
          <t>华福证券</t>
        </is>
      </c>
      <c r="I89" t="inlineStr">
        <is>
          <t>浦发北分</t>
        </is>
      </c>
      <c r="J89" t="n">
        <v>10</v>
      </c>
      <c r="K89" t="inlineStr">
        <is>
          <t>12+12</t>
        </is>
      </c>
      <c r="L89" s="309" t="n">
        <v>46049</v>
      </c>
      <c r="M89" t="n">
        <v>0.0159</v>
      </c>
      <c r="N89" t="n">
        <v>0.0217</v>
      </c>
      <c r="O89" t="n">
        <v>2.08</v>
      </c>
      <c r="P89" t="inlineStr">
        <is>
          <t>次级</t>
        </is>
      </c>
      <c r="Q89" t="n">
        <v>0.05</v>
      </c>
      <c r="R89" t="n">
        <v>0.5</v>
      </c>
      <c r="S89" t="inlineStr">
        <is>
          <t>无</t>
        </is>
      </c>
      <c r="T89" t="n">
        <v>0.0455</v>
      </c>
      <c r="U89" s="30" t="inlineStr">
        <is>
          <t>国信证券自营</t>
        </is>
      </c>
      <c r="V89" s="29" t="n">
        <v>0.1</v>
      </c>
    </row>
    <row r="90">
      <c r="A90" t="n">
        <v>5</v>
      </c>
      <c r="B90" t="inlineStr">
        <is>
          <t>1月</t>
        </is>
      </c>
      <c r="C90" t="inlineStr">
        <is>
          <t>企金</t>
        </is>
      </c>
      <c r="D90" t="inlineStr">
        <is>
          <t>小贷企业主贷</t>
        </is>
      </c>
      <c r="E90" t="inlineStr">
        <is>
          <t>盛赢3-4</t>
        </is>
      </c>
      <c r="F90" t="inlineStr">
        <is>
          <t>上交所</t>
        </is>
      </c>
      <c r="G90" t="inlineStr">
        <is>
          <t>中信证券</t>
        </is>
      </c>
      <c r="H90" t="inlineStr">
        <is>
          <t>华福证券</t>
        </is>
      </c>
      <c r="I90" t="inlineStr">
        <is>
          <t>浦发北分</t>
        </is>
      </c>
      <c r="J90" t="n">
        <v>10</v>
      </c>
      <c r="K90" t="inlineStr">
        <is>
          <t>12+12</t>
        </is>
      </c>
      <c r="L90" s="309" t="n">
        <v>46049</v>
      </c>
      <c r="M90" t="n">
        <v>0.0159</v>
      </c>
      <c r="N90" t="n">
        <v>0.0217</v>
      </c>
      <c r="O90" t="n">
        <v>2.08</v>
      </c>
      <c r="P90" t="inlineStr">
        <is>
          <t>次级</t>
        </is>
      </c>
      <c r="Q90" t="n">
        <v>0.05</v>
      </c>
      <c r="R90" t="n">
        <v>0.5</v>
      </c>
      <c r="S90" t="inlineStr">
        <is>
          <t>无</t>
        </is>
      </c>
      <c r="T90" t="n">
        <v>0.0455</v>
      </c>
      <c r="U90" s="30" t="inlineStr">
        <is>
          <t>华兴证券自营</t>
        </is>
      </c>
      <c r="V90" s="314" t="n">
        <v>0.075</v>
      </c>
    </row>
    <row r="91">
      <c r="A91" t="n">
        <v>5</v>
      </c>
      <c r="B91" t="inlineStr">
        <is>
          <t>1月</t>
        </is>
      </c>
      <c r="C91" t="inlineStr">
        <is>
          <t>企金</t>
        </is>
      </c>
      <c r="D91" t="inlineStr">
        <is>
          <t>小贷企业主贷</t>
        </is>
      </c>
      <c r="E91" t="inlineStr">
        <is>
          <t>盛赢3-4</t>
        </is>
      </c>
      <c r="F91" t="inlineStr">
        <is>
          <t>上交所</t>
        </is>
      </c>
      <c r="G91" t="inlineStr">
        <is>
          <t>中信证券</t>
        </is>
      </c>
      <c r="H91" t="inlineStr">
        <is>
          <t>华福证券</t>
        </is>
      </c>
      <c r="I91" t="inlineStr">
        <is>
          <t>浦发北分</t>
        </is>
      </c>
      <c r="J91" t="n">
        <v>10</v>
      </c>
      <c r="K91" t="inlineStr">
        <is>
          <t>12+12</t>
        </is>
      </c>
      <c r="L91" s="309" t="n">
        <v>46049</v>
      </c>
      <c r="M91" t="n">
        <v>0.0159</v>
      </c>
      <c r="N91" t="n">
        <v>0.0217</v>
      </c>
      <c r="O91" t="n">
        <v>2.08</v>
      </c>
      <c r="P91" t="inlineStr">
        <is>
          <t>次级</t>
        </is>
      </c>
      <c r="Q91" t="n">
        <v>0.05</v>
      </c>
      <c r="R91" t="n">
        <v>0.5</v>
      </c>
      <c r="S91" t="inlineStr">
        <is>
          <t>无</t>
        </is>
      </c>
      <c r="T91" t="n">
        <v>0.0455</v>
      </c>
      <c r="U91" s="30" t="inlineStr">
        <is>
          <t>东家铂睿</t>
        </is>
      </c>
      <c r="V91" s="29" t="n">
        <v>0.1</v>
      </c>
    </row>
    <row r="92">
      <c r="A92" t="n">
        <v>5</v>
      </c>
      <c r="B92" t="inlineStr">
        <is>
          <t>1月</t>
        </is>
      </c>
      <c r="C92" t="inlineStr">
        <is>
          <t>企金</t>
        </is>
      </c>
      <c r="D92" t="inlineStr">
        <is>
          <t>小贷企业主贷</t>
        </is>
      </c>
      <c r="E92" t="inlineStr">
        <is>
          <t>盛赢3-4</t>
        </is>
      </c>
      <c r="F92" t="inlineStr">
        <is>
          <t>上交所</t>
        </is>
      </c>
      <c r="G92" t="inlineStr">
        <is>
          <t>中信证券</t>
        </is>
      </c>
      <c r="H92" t="inlineStr">
        <is>
          <t>华福证券</t>
        </is>
      </c>
      <c r="I92" t="inlineStr">
        <is>
          <t>浦发北分</t>
        </is>
      </c>
      <c r="J92" t="n">
        <v>10</v>
      </c>
      <c r="K92" t="inlineStr">
        <is>
          <t>12+12</t>
        </is>
      </c>
      <c r="L92" s="309" t="n">
        <v>46049</v>
      </c>
      <c r="M92" t="n">
        <v>0.0159</v>
      </c>
      <c r="N92" t="n">
        <v>0.0217</v>
      </c>
      <c r="O92" t="n">
        <v>2.08</v>
      </c>
      <c r="P92" t="inlineStr">
        <is>
          <t>次级</t>
        </is>
      </c>
      <c r="Q92" t="n">
        <v>0.05</v>
      </c>
      <c r="R92" t="n">
        <v>0.5</v>
      </c>
      <c r="S92" t="inlineStr">
        <is>
          <t>无</t>
        </is>
      </c>
      <c r="T92" t="n">
        <v>0.0455</v>
      </c>
      <c r="U92" s="30" t="inlineStr">
        <is>
          <t>盛际小贷</t>
        </is>
      </c>
      <c r="V92" s="314" t="n">
        <v>0.025</v>
      </c>
    </row>
    <row r="93">
      <c r="A93" s="223" t="n">
        <v>6</v>
      </c>
      <c r="B93" s="305" t="inlineStr">
        <is>
          <t>1月</t>
        </is>
      </c>
      <c r="C93" s="305" t="inlineStr">
        <is>
          <t>消金</t>
        </is>
      </c>
      <c r="D93" s="305" t="inlineStr">
        <is>
          <t>赊销白条</t>
        </is>
      </c>
      <c r="E93" s="305" t="inlineStr">
        <is>
          <t>东裕11号伯裕1期（可续发）</t>
        </is>
      </c>
      <c r="F93" s="305" t="inlineStr">
        <is>
          <t>银行间</t>
        </is>
      </c>
      <c r="G93" s="305" t="inlineStr">
        <is>
          <t>招商证券</t>
        </is>
      </c>
      <c r="H93" s="305" t="inlineStr">
        <is>
          <t>江苏银行/南京银行/国信证券/杭州银行</t>
        </is>
      </c>
      <c r="I93" s="305" t="inlineStr">
        <is>
          <t>江苏北分</t>
        </is>
      </c>
      <c r="J93" s="245" t="n">
        <v>10</v>
      </c>
      <c r="K93" s="305" t="inlineStr">
        <is>
          <t>12+12+10+2</t>
        </is>
      </c>
      <c r="L93" s="246" t="n">
        <v>46049</v>
      </c>
      <c r="M93" s="247" t="n">
        <v>0.0159</v>
      </c>
      <c r="N93" s="259" t="n">
        <v>0.02</v>
      </c>
      <c r="O93" s="260" t="n">
        <v>2.4</v>
      </c>
      <c r="P93" s="235" t="inlineStr">
        <is>
          <t>优先A</t>
        </is>
      </c>
      <c r="Q93" s="221" t="n">
        <v>0.9</v>
      </c>
      <c r="R93" s="308" t="n">
        <v>9</v>
      </c>
      <c r="S93" s="220" t="inlineStr">
        <is>
          <t>AAA</t>
        </is>
      </c>
      <c r="T93" s="221" t="n">
        <v>0.018</v>
      </c>
      <c r="U93" s="30" t="inlineStr">
        <is>
          <t>国信证券投行</t>
        </is>
      </c>
      <c r="V93" s="29" t="n">
        <v>0.1</v>
      </c>
    </row>
    <row r="94">
      <c r="A94" t="n">
        <v>6</v>
      </c>
      <c r="B94" t="inlineStr">
        <is>
          <t>1月</t>
        </is>
      </c>
      <c r="C94" t="inlineStr">
        <is>
          <t>消金</t>
        </is>
      </c>
      <c r="D94" t="inlineStr">
        <is>
          <t>赊销白条</t>
        </is>
      </c>
      <c r="E94" t="inlineStr">
        <is>
          <t>东裕11号伯裕1期（可续发）</t>
        </is>
      </c>
      <c r="F94" t="inlineStr">
        <is>
          <t>银行间</t>
        </is>
      </c>
      <c r="G94" t="inlineStr">
        <is>
          <t>招商证券</t>
        </is>
      </c>
      <c r="H94" t="inlineStr">
        <is>
          <t>江苏银行/南京银行/国信证券/杭州银行</t>
        </is>
      </c>
      <c r="I94" t="inlineStr">
        <is>
          <t>江苏北分</t>
        </is>
      </c>
      <c r="J94" t="n">
        <v>10</v>
      </c>
      <c r="K94" t="inlineStr">
        <is>
          <t>12+12+10+2</t>
        </is>
      </c>
      <c r="L94" s="309" t="n">
        <v>46049</v>
      </c>
      <c r="M94" t="n">
        <v>0.0159</v>
      </c>
      <c r="N94" t="n">
        <v>0.02</v>
      </c>
      <c r="O94" t="n">
        <v>2.4</v>
      </c>
      <c r="P94" t="inlineStr">
        <is>
          <t>优先A</t>
        </is>
      </c>
      <c r="Q94" t="n">
        <v>0.9</v>
      </c>
      <c r="R94" t="n">
        <v>9</v>
      </c>
      <c r="S94" t="inlineStr">
        <is>
          <t>AAA</t>
        </is>
      </c>
      <c r="T94" t="n">
        <v>0.018</v>
      </c>
      <c r="U94" s="30" t="inlineStr">
        <is>
          <t>杭银理财</t>
        </is>
      </c>
      <c r="V94" s="308" t="n">
        <v>0.45</v>
      </c>
    </row>
    <row r="95">
      <c r="A95" t="n">
        <v>6</v>
      </c>
      <c r="B95" t="inlineStr">
        <is>
          <t>1月</t>
        </is>
      </c>
      <c r="C95" t="inlineStr">
        <is>
          <t>消金</t>
        </is>
      </c>
      <c r="D95" t="inlineStr">
        <is>
          <t>赊销白条</t>
        </is>
      </c>
      <c r="E95" t="inlineStr">
        <is>
          <t>东裕11号伯裕1期（可续发）</t>
        </is>
      </c>
      <c r="F95" t="inlineStr">
        <is>
          <t>银行间</t>
        </is>
      </c>
      <c r="G95" t="inlineStr">
        <is>
          <t>招商证券</t>
        </is>
      </c>
      <c r="H95" t="inlineStr">
        <is>
          <t>江苏银行/南京银行/国信证券/杭州银行</t>
        </is>
      </c>
      <c r="I95" t="inlineStr">
        <is>
          <t>江苏北分</t>
        </is>
      </c>
      <c r="J95" t="n">
        <v>10</v>
      </c>
      <c r="K95" t="inlineStr">
        <is>
          <t>12+12+10+2</t>
        </is>
      </c>
      <c r="L95" s="309" t="n">
        <v>46049</v>
      </c>
      <c r="M95" t="n">
        <v>0.0159</v>
      </c>
      <c r="N95" t="n">
        <v>0.02</v>
      </c>
      <c r="O95" t="n">
        <v>2.4</v>
      </c>
      <c r="P95" t="inlineStr">
        <is>
          <t>优先A</t>
        </is>
      </c>
      <c r="Q95" t="n">
        <v>0.9</v>
      </c>
      <c r="R95" t="n">
        <v>9</v>
      </c>
      <c r="S95" t="inlineStr">
        <is>
          <t>AAA</t>
        </is>
      </c>
      <c r="T95" t="n">
        <v>0.018</v>
      </c>
      <c r="U95" s="30" t="inlineStr">
        <is>
          <t>江苏银行</t>
        </is>
      </c>
      <c r="V95" s="308" t="n">
        <v>1.8</v>
      </c>
    </row>
    <row r="96">
      <c r="A96" t="n">
        <v>6</v>
      </c>
      <c r="B96" t="inlineStr">
        <is>
          <t>1月</t>
        </is>
      </c>
      <c r="C96" t="inlineStr">
        <is>
          <t>消金</t>
        </is>
      </c>
      <c r="D96" t="inlineStr">
        <is>
          <t>赊销白条</t>
        </is>
      </c>
      <c r="E96" t="inlineStr">
        <is>
          <t>东裕11号伯裕1期（可续发）</t>
        </is>
      </c>
      <c r="F96" t="inlineStr">
        <is>
          <t>银行间</t>
        </is>
      </c>
      <c r="G96" t="inlineStr">
        <is>
          <t>招商证券</t>
        </is>
      </c>
      <c r="H96" t="inlineStr">
        <is>
          <t>江苏银行/南京银行/国信证券/杭州银行</t>
        </is>
      </c>
      <c r="I96" t="inlineStr">
        <is>
          <t>江苏北分</t>
        </is>
      </c>
      <c r="J96" t="n">
        <v>10</v>
      </c>
      <c r="K96" t="inlineStr">
        <is>
          <t>12+12+10+2</t>
        </is>
      </c>
      <c r="L96" s="309" t="n">
        <v>46049</v>
      </c>
      <c r="M96" t="n">
        <v>0.0159</v>
      </c>
      <c r="N96" t="n">
        <v>0.02</v>
      </c>
      <c r="O96" t="n">
        <v>2.4</v>
      </c>
      <c r="P96" t="inlineStr">
        <is>
          <t>优先A</t>
        </is>
      </c>
      <c r="Q96" t="n">
        <v>0.9</v>
      </c>
      <c r="R96" t="n">
        <v>9</v>
      </c>
      <c r="S96" t="inlineStr">
        <is>
          <t>AAA</t>
        </is>
      </c>
      <c r="T96" t="n">
        <v>0.018</v>
      </c>
      <c r="U96" s="235" t="inlineStr">
        <is>
          <t>利曦基金</t>
        </is>
      </c>
      <c r="V96" s="308" t="n">
        <v>0.3</v>
      </c>
    </row>
    <row r="97">
      <c r="A97" t="n">
        <v>6</v>
      </c>
      <c r="B97" t="inlineStr">
        <is>
          <t>1月</t>
        </is>
      </c>
      <c r="C97" t="inlineStr">
        <is>
          <t>消金</t>
        </is>
      </c>
      <c r="D97" t="inlineStr">
        <is>
          <t>赊销白条</t>
        </is>
      </c>
      <c r="E97" t="inlineStr">
        <is>
          <t>东裕11号伯裕1期（可续发）</t>
        </is>
      </c>
      <c r="F97" t="inlineStr">
        <is>
          <t>银行间</t>
        </is>
      </c>
      <c r="G97" t="inlineStr">
        <is>
          <t>招商证券</t>
        </is>
      </c>
      <c r="H97" t="inlineStr">
        <is>
          <t>江苏银行/南京银行/国信证券/杭州银行</t>
        </is>
      </c>
      <c r="I97" t="inlineStr">
        <is>
          <t>江苏北分</t>
        </is>
      </c>
      <c r="J97" t="n">
        <v>10</v>
      </c>
      <c r="K97" t="inlineStr">
        <is>
          <t>12+12+10+2</t>
        </is>
      </c>
      <c r="L97" s="309" t="n">
        <v>46049</v>
      </c>
      <c r="M97" t="n">
        <v>0.0159</v>
      </c>
      <c r="N97" t="n">
        <v>0.02</v>
      </c>
      <c r="O97" t="n">
        <v>2.4</v>
      </c>
      <c r="P97" t="inlineStr">
        <is>
          <t>优先A</t>
        </is>
      </c>
      <c r="Q97" t="n">
        <v>0.9</v>
      </c>
      <c r="R97" t="n">
        <v>9</v>
      </c>
      <c r="S97" t="inlineStr">
        <is>
          <t>AAA</t>
        </is>
      </c>
      <c r="T97" t="n">
        <v>0.018</v>
      </c>
      <c r="U97" s="235" t="inlineStr">
        <is>
          <t>南京银行</t>
        </is>
      </c>
      <c r="V97" s="308" t="n">
        <v>0.8</v>
      </c>
    </row>
    <row r="98">
      <c r="A98" t="n">
        <v>6</v>
      </c>
      <c r="B98" t="inlineStr">
        <is>
          <t>1月</t>
        </is>
      </c>
      <c r="C98" t="inlineStr">
        <is>
          <t>消金</t>
        </is>
      </c>
      <c r="D98" t="inlineStr">
        <is>
          <t>赊销白条</t>
        </is>
      </c>
      <c r="E98" t="inlineStr">
        <is>
          <t>东裕11号伯裕1期（可续发）</t>
        </is>
      </c>
      <c r="F98" t="inlineStr">
        <is>
          <t>银行间</t>
        </is>
      </c>
      <c r="G98" t="inlineStr">
        <is>
          <t>招商证券</t>
        </is>
      </c>
      <c r="H98" t="inlineStr">
        <is>
          <t>江苏银行/南京银行/国信证券/杭州银行</t>
        </is>
      </c>
      <c r="I98" t="inlineStr">
        <is>
          <t>江苏北分</t>
        </is>
      </c>
      <c r="J98" t="n">
        <v>10</v>
      </c>
      <c r="K98" t="inlineStr">
        <is>
          <t>12+12+10+2</t>
        </is>
      </c>
      <c r="L98" s="309" t="n">
        <v>46049</v>
      </c>
      <c r="M98" t="n">
        <v>0.0159</v>
      </c>
      <c r="N98" t="n">
        <v>0.02</v>
      </c>
      <c r="O98" t="n">
        <v>2.4</v>
      </c>
      <c r="P98" t="inlineStr">
        <is>
          <t>优先A</t>
        </is>
      </c>
      <c r="Q98" t="n">
        <v>0.9</v>
      </c>
      <c r="R98" t="n">
        <v>9</v>
      </c>
      <c r="S98" t="inlineStr">
        <is>
          <t>AAA</t>
        </is>
      </c>
      <c r="T98" t="n">
        <v>0.018</v>
      </c>
      <c r="U98" s="235" t="inlineStr">
        <is>
          <t>南银理财</t>
        </is>
      </c>
      <c r="V98" s="308" t="n">
        <v>0.5</v>
      </c>
    </row>
    <row r="99">
      <c r="A99" t="n">
        <v>6</v>
      </c>
      <c r="B99" t="inlineStr">
        <is>
          <t>1月</t>
        </is>
      </c>
      <c r="C99" t="inlineStr">
        <is>
          <t>消金</t>
        </is>
      </c>
      <c r="D99" t="inlineStr">
        <is>
          <t>赊销白条</t>
        </is>
      </c>
      <c r="E99" t="inlineStr">
        <is>
          <t>东裕11号伯裕1期（可续发）</t>
        </is>
      </c>
      <c r="F99" t="inlineStr">
        <is>
          <t>银行间</t>
        </is>
      </c>
      <c r="G99" t="inlineStr">
        <is>
          <t>招商证券</t>
        </is>
      </c>
      <c r="H99" t="inlineStr">
        <is>
          <t>江苏银行/南京银行/国信证券/杭州银行</t>
        </is>
      </c>
      <c r="I99" t="inlineStr">
        <is>
          <t>江苏北分</t>
        </is>
      </c>
      <c r="J99" t="n">
        <v>10</v>
      </c>
      <c r="K99" t="inlineStr">
        <is>
          <t>12+12+10+2</t>
        </is>
      </c>
      <c r="L99" s="309" t="n">
        <v>46049</v>
      </c>
      <c r="M99" t="n">
        <v>0.0159</v>
      </c>
      <c r="N99" t="n">
        <v>0.02</v>
      </c>
      <c r="O99" t="n">
        <v>2.4</v>
      </c>
      <c r="P99" t="inlineStr">
        <is>
          <t>优先A</t>
        </is>
      </c>
      <c r="Q99" t="n">
        <v>0.9</v>
      </c>
      <c r="R99" t="n">
        <v>9</v>
      </c>
      <c r="S99" t="inlineStr">
        <is>
          <t>AAA</t>
        </is>
      </c>
      <c r="T99" t="n">
        <v>0.018</v>
      </c>
      <c r="U99" s="235" t="inlineStr">
        <is>
          <t>平安理财</t>
        </is>
      </c>
      <c r="V99" s="308" t="n">
        <v>2.25</v>
      </c>
    </row>
    <row r="100">
      <c r="A100" t="n">
        <v>6</v>
      </c>
      <c r="B100" t="inlineStr">
        <is>
          <t>1月</t>
        </is>
      </c>
      <c r="C100" t="inlineStr">
        <is>
          <t>消金</t>
        </is>
      </c>
      <c r="D100" t="inlineStr">
        <is>
          <t>赊销白条</t>
        </is>
      </c>
      <c r="E100" t="inlineStr">
        <is>
          <t>东裕11号伯裕1期（可续发）</t>
        </is>
      </c>
      <c r="F100" t="inlineStr">
        <is>
          <t>银行间</t>
        </is>
      </c>
      <c r="G100" t="inlineStr">
        <is>
          <t>招商证券</t>
        </is>
      </c>
      <c r="H100" t="inlineStr">
        <is>
          <t>江苏银行/南京银行/国信证券/杭州银行</t>
        </is>
      </c>
      <c r="I100" t="inlineStr">
        <is>
          <t>江苏北分</t>
        </is>
      </c>
      <c r="J100" t="n">
        <v>10</v>
      </c>
      <c r="K100" t="inlineStr">
        <is>
          <t>12+12+10+2</t>
        </is>
      </c>
      <c r="L100" s="309" t="n">
        <v>46049</v>
      </c>
      <c r="M100" t="n">
        <v>0.0159</v>
      </c>
      <c r="N100" t="n">
        <v>0.02</v>
      </c>
      <c r="O100" t="n">
        <v>2.4</v>
      </c>
      <c r="P100" t="inlineStr">
        <is>
          <t>优先A</t>
        </is>
      </c>
      <c r="Q100" t="n">
        <v>0.9</v>
      </c>
      <c r="R100" t="n">
        <v>9</v>
      </c>
      <c r="S100" t="inlineStr">
        <is>
          <t>AAA</t>
        </is>
      </c>
      <c r="T100" t="n">
        <v>0.018</v>
      </c>
      <c r="U100" s="235" t="inlineStr">
        <is>
          <t>兴银理财</t>
        </is>
      </c>
      <c r="V100" s="308" t="n">
        <v>0.1</v>
      </c>
    </row>
    <row r="101">
      <c r="A101" t="n">
        <v>6</v>
      </c>
      <c r="B101" t="inlineStr">
        <is>
          <t>1月</t>
        </is>
      </c>
      <c r="C101" t="inlineStr">
        <is>
          <t>消金</t>
        </is>
      </c>
      <c r="D101" t="inlineStr">
        <is>
          <t>赊销白条</t>
        </is>
      </c>
      <c r="E101" t="inlineStr">
        <is>
          <t>东裕11号伯裕1期（可续发）</t>
        </is>
      </c>
      <c r="F101" t="inlineStr">
        <is>
          <t>银行间</t>
        </is>
      </c>
      <c r="G101" t="inlineStr">
        <is>
          <t>招商证券</t>
        </is>
      </c>
      <c r="H101" t="inlineStr">
        <is>
          <t>江苏银行/南京银行/国信证券/杭州银行</t>
        </is>
      </c>
      <c r="I101" t="inlineStr">
        <is>
          <t>江苏北分</t>
        </is>
      </c>
      <c r="J101" t="n">
        <v>10</v>
      </c>
      <c r="K101" t="inlineStr">
        <is>
          <t>12+12+10+2</t>
        </is>
      </c>
      <c r="L101" s="309" t="n">
        <v>46049</v>
      </c>
      <c r="M101" t="n">
        <v>0.0159</v>
      </c>
      <c r="N101" t="n">
        <v>0.02</v>
      </c>
      <c r="O101" t="n">
        <v>2.4</v>
      </c>
      <c r="P101" t="inlineStr">
        <is>
          <t>优先A</t>
        </is>
      </c>
      <c r="Q101" t="n">
        <v>0.9</v>
      </c>
      <c r="R101" t="n">
        <v>9</v>
      </c>
      <c r="S101" t="inlineStr">
        <is>
          <t>AAA</t>
        </is>
      </c>
      <c r="T101" t="n">
        <v>0.018</v>
      </c>
      <c r="U101" s="235" t="inlineStr">
        <is>
          <t>中银理财</t>
        </is>
      </c>
      <c r="V101" s="308" t="n">
        <v>2.7</v>
      </c>
    </row>
    <row r="102">
      <c r="A102" t="n">
        <v>6</v>
      </c>
      <c r="B102" t="inlineStr">
        <is>
          <t>1月</t>
        </is>
      </c>
      <c r="C102" t="inlineStr">
        <is>
          <t>消金</t>
        </is>
      </c>
      <c r="D102" t="inlineStr">
        <is>
          <t>赊销白条</t>
        </is>
      </c>
      <c r="E102" t="inlineStr">
        <is>
          <t>东裕11号伯裕1期（可续发）</t>
        </is>
      </c>
      <c r="F102" t="inlineStr">
        <is>
          <t>银行间</t>
        </is>
      </c>
      <c r="G102" t="inlineStr">
        <is>
          <t>招商证券</t>
        </is>
      </c>
      <c r="H102" t="inlineStr">
        <is>
          <t>江苏银行/南京银行/国信证券/杭州银行</t>
        </is>
      </c>
      <c r="I102" t="inlineStr">
        <is>
          <t>江苏北分</t>
        </is>
      </c>
      <c r="J102" t="n">
        <v>10</v>
      </c>
      <c r="K102" t="inlineStr">
        <is>
          <t>12+12+10+2</t>
        </is>
      </c>
      <c r="L102" s="309" t="n">
        <v>46049</v>
      </c>
      <c r="M102" t="n">
        <v>0.0159</v>
      </c>
      <c r="N102" t="n">
        <v>0.02</v>
      </c>
      <c r="O102" t="n">
        <v>2.4</v>
      </c>
      <c r="P102" s="235" t="inlineStr">
        <is>
          <t>优先B</t>
        </is>
      </c>
      <c r="Q102" s="221" t="n">
        <v>0.03</v>
      </c>
      <c r="R102" s="308" t="n">
        <v>0.3</v>
      </c>
      <c r="S102" s="220" t="inlineStr">
        <is>
          <t>AA+</t>
        </is>
      </c>
      <c r="T102" s="221" t="n">
        <v>0.0205</v>
      </c>
      <c r="U102" s="235" t="inlineStr">
        <is>
          <t>交银理财</t>
        </is>
      </c>
      <c r="V102" s="308" t="n">
        <v>0.09</v>
      </c>
    </row>
    <row r="103">
      <c r="A103" t="n">
        <v>6</v>
      </c>
      <c r="B103" t="inlineStr">
        <is>
          <t>1月</t>
        </is>
      </c>
      <c r="C103" t="inlineStr">
        <is>
          <t>消金</t>
        </is>
      </c>
      <c r="D103" t="inlineStr">
        <is>
          <t>赊销白条</t>
        </is>
      </c>
      <c r="E103" t="inlineStr">
        <is>
          <t>东裕11号伯裕1期（可续发）</t>
        </is>
      </c>
      <c r="F103" t="inlineStr">
        <is>
          <t>银行间</t>
        </is>
      </c>
      <c r="G103" t="inlineStr">
        <is>
          <t>招商证券</t>
        </is>
      </c>
      <c r="H103" t="inlineStr">
        <is>
          <t>江苏银行/南京银行/国信证券/杭州银行</t>
        </is>
      </c>
      <c r="I103" t="inlineStr">
        <is>
          <t>江苏北分</t>
        </is>
      </c>
      <c r="J103" t="n">
        <v>10</v>
      </c>
      <c r="K103" t="inlineStr">
        <is>
          <t>12+12+10+2</t>
        </is>
      </c>
      <c r="L103" s="309" t="n">
        <v>46049</v>
      </c>
      <c r="M103" t="n">
        <v>0.0159</v>
      </c>
      <c r="N103" t="n">
        <v>0.02</v>
      </c>
      <c r="O103" t="n">
        <v>2.4</v>
      </c>
      <c r="P103" t="inlineStr">
        <is>
          <t>优先B</t>
        </is>
      </c>
      <c r="Q103" t="n">
        <v>0.03</v>
      </c>
      <c r="R103" t="n">
        <v>0.3</v>
      </c>
      <c r="S103" t="inlineStr">
        <is>
          <t>AA+</t>
        </is>
      </c>
      <c r="T103" t="n">
        <v>0.0205</v>
      </c>
      <c r="U103" s="235" t="inlineStr">
        <is>
          <t>平安理财</t>
        </is>
      </c>
      <c r="V103" s="308" t="n">
        <v>0.07000000000000001</v>
      </c>
    </row>
    <row r="104">
      <c r="A104" t="n">
        <v>6</v>
      </c>
      <c r="B104" t="inlineStr">
        <is>
          <t>1月</t>
        </is>
      </c>
      <c r="C104" t="inlineStr">
        <is>
          <t>消金</t>
        </is>
      </c>
      <c r="D104" t="inlineStr">
        <is>
          <t>赊销白条</t>
        </is>
      </c>
      <c r="E104" t="inlineStr">
        <is>
          <t>东裕11号伯裕1期（可续发）</t>
        </is>
      </c>
      <c r="F104" t="inlineStr">
        <is>
          <t>银行间</t>
        </is>
      </c>
      <c r="G104" t="inlineStr">
        <is>
          <t>招商证券</t>
        </is>
      </c>
      <c r="H104" t="inlineStr">
        <is>
          <t>江苏银行/南京银行/国信证券/杭州银行</t>
        </is>
      </c>
      <c r="I104" t="inlineStr">
        <is>
          <t>江苏北分</t>
        </is>
      </c>
      <c r="J104" t="n">
        <v>10</v>
      </c>
      <c r="K104" t="inlineStr">
        <is>
          <t>12+12+10+2</t>
        </is>
      </c>
      <c r="L104" s="309" t="n">
        <v>46049</v>
      </c>
      <c r="M104" t="n">
        <v>0.0159</v>
      </c>
      <c r="N104" t="n">
        <v>0.02</v>
      </c>
      <c r="O104" t="n">
        <v>2.4</v>
      </c>
      <c r="P104" t="inlineStr">
        <is>
          <t>优先B</t>
        </is>
      </c>
      <c r="Q104" t="n">
        <v>0.03</v>
      </c>
      <c r="R104" t="n">
        <v>0.3</v>
      </c>
      <c r="S104" t="inlineStr">
        <is>
          <t>AA+</t>
        </is>
      </c>
      <c r="T104" t="n">
        <v>0.0205</v>
      </c>
      <c r="U104" s="235" t="inlineStr">
        <is>
          <t>中金财富</t>
        </is>
      </c>
      <c r="V104" s="308" t="n">
        <v>0.14</v>
      </c>
    </row>
    <row r="105">
      <c r="A105" t="n">
        <v>6</v>
      </c>
      <c r="B105" t="inlineStr">
        <is>
          <t>1月</t>
        </is>
      </c>
      <c r="C105" t="inlineStr">
        <is>
          <t>消金</t>
        </is>
      </c>
      <c r="D105" t="inlineStr">
        <is>
          <t>赊销白条</t>
        </is>
      </c>
      <c r="E105" t="inlineStr">
        <is>
          <t>东裕11号伯裕1期（可续发）</t>
        </is>
      </c>
      <c r="F105" t="inlineStr">
        <is>
          <t>银行间</t>
        </is>
      </c>
      <c r="G105" t="inlineStr">
        <is>
          <t>招商证券</t>
        </is>
      </c>
      <c r="H105" t="inlineStr">
        <is>
          <t>江苏银行/南京银行/国信证券/杭州银行</t>
        </is>
      </c>
      <c r="I105" t="inlineStr">
        <is>
          <t>江苏北分</t>
        </is>
      </c>
      <c r="J105" t="n">
        <v>10</v>
      </c>
      <c r="K105" t="inlineStr">
        <is>
          <t>12+12+10+2</t>
        </is>
      </c>
      <c r="L105" s="309" t="n">
        <v>46049</v>
      </c>
      <c r="M105" t="n">
        <v>0.0159</v>
      </c>
      <c r="N105" t="n">
        <v>0.02</v>
      </c>
      <c r="O105" t="n">
        <v>2.4</v>
      </c>
      <c r="P105" s="235" t="inlineStr">
        <is>
          <t>中间级</t>
        </is>
      </c>
      <c r="Q105" s="231" t="n">
        <v>0.02</v>
      </c>
      <c r="R105" s="308" t="n">
        <v>0.2</v>
      </c>
      <c r="S105" s="220" t="inlineStr">
        <is>
          <t>A</t>
        </is>
      </c>
      <c r="T105" s="221" t="n">
        <v>0.031</v>
      </c>
      <c r="U105" s="235" t="inlineStr">
        <is>
          <t>平安理财</t>
        </is>
      </c>
      <c r="V105" s="308" t="n">
        <v>0.06</v>
      </c>
    </row>
    <row r="106">
      <c r="A106" t="n">
        <v>6</v>
      </c>
      <c r="B106" t="inlineStr">
        <is>
          <t>1月</t>
        </is>
      </c>
      <c r="C106" t="inlineStr">
        <is>
          <t>消金</t>
        </is>
      </c>
      <c r="D106" t="inlineStr">
        <is>
          <t>赊销白条</t>
        </is>
      </c>
      <c r="E106" t="inlineStr">
        <is>
          <t>东裕11号伯裕1期（可续发）</t>
        </is>
      </c>
      <c r="F106" t="inlineStr">
        <is>
          <t>银行间</t>
        </is>
      </c>
      <c r="G106" t="inlineStr">
        <is>
          <t>招商证券</t>
        </is>
      </c>
      <c r="H106" t="inlineStr">
        <is>
          <t>江苏银行/南京银行/国信证券/杭州银行</t>
        </is>
      </c>
      <c r="I106" t="inlineStr">
        <is>
          <t>江苏北分</t>
        </is>
      </c>
      <c r="J106" t="n">
        <v>10</v>
      </c>
      <c r="K106" t="inlineStr">
        <is>
          <t>12+12+10+2</t>
        </is>
      </c>
      <c r="L106" s="309" t="n">
        <v>46049</v>
      </c>
      <c r="M106" t="n">
        <v>0.0159</v>
      </c>
      <c r="N106" t="n">
        <v>0.02</v>
      </c>
      <c r="O106" t="n">
        <v>2.4</v>
      </c>
      <c r="P106" t="inlineStr">
        <is>
          <t>中间级</t>
        </is>
      </c>
      <c r="Q106" t="n">
        <v>0.02</v>
      </c>
      <c r="R106" t="n">
        <v>0.2</v>
      </c>
      <c r="S106" t="inlineStr">
        <is>
          <t>A</t>
        </is>
      </c>
      <c r="T106" t="n">
        <v>0.031</v>
      </c>
      <c r="U106" s="235" t="inlineStr">
        <is>
          <t>建信信托</t>
        </is>
      </c>
      <c r="V106" s="308" t="n">
        <v>0.14</v>
      </c>
    </row>
    <row r="107">
      <c r="A107" t="n">
        <v>6</v>
      </c>
      <c r="B107" t="inlineStr">
        <is>
          <t>1月</t>
        </is>
      </c>
      <c r="C107" t="inlineStr">
        <is>
          <t>消金</t>
        </is>
      </c>
      <c r="D107" t="inlineStr">
        <is>
          <t>赊销白条</t>
        </is>
      </c>
      <c r="E107" t="inlineStr">
        <is>
          <t>东裕11号伯裕1期（可续发）</t>
        </is>
      </c>
      <c r="F107" t="inlineStr">
        <is>
          <t>银行间</t>
        </is>
      </c>
      <c r="G107" t="inlineStr">
        <is>
          <t>招商证券</t>
        </is>
      </c>
      <c r="H107" t="inlineStr">
        <is>
          <t>江苏银行/南京银行/国信证券/杭州银行</t>
        </is>
      </c>
      <c r="I107" t="inlineStr">
        <is>
          <t>江苏北分</t>
        </is>
      </c>
      <c r="J107" t="n">
        <v>10</v>
      </c>
      <c r="K107" t="inlineStr">
        <is>
          <t>12+12+10+2</t>
        </is>
      </c>
      <c r="L107" s="309" t="n">
        <v>46049</v>
      </c>
      <c r="M107" t="n">
        <v>0.0159</v>
      </c>
      <c r="N107" t="n">
        <v>0.02</v>
      </c>
      <c r="O107" t="n">
        <v>2.4</v>
      </c>
      <c r="P107" s="235" t="inlineStr">
        <is>
          <t>次级</t>
        </is>
      </c>
      <c r="Q107" s="231" t="n">
        <v>0.05</v>
      </c>
      <c r="R107" s="308" t="n">
        <v>0.5</v>
      </c>
      <c r="S107" s="220" t="inlineStr">
        <is>
          <t>无</t>
        </is>
      </c>
      <c r="T107" s="221" t="n">
        <v>0.045</v>
      </c>
      <c r="U107" s="235" t="inlineStr">
        <is>
          <t>利曦基金</t>
        </is>
      </c>
      <c r="V107" s="308" t="n">
        <v>0.2</v>
      </c>
    </row>
    <row r="108">
      <c r="A108" t="n">
        <v>6</v>
      </c>
      <c r="B108" t="inlineStr">
        <is>
          <t>1月</t>
        </is>
      </c>
      <c r="C108" t="inlineStr">
        <is>
          <t>消金</t>
        </is>
      </c>
      <c r="D108" t="inlineStr">
        <is>
          <t>赊销白条</t>
        </is>
      </c>
      <c r="E108" t="inlineStr">
        <is>
          <t>东裕11号伯裕1期（可续发）</t>
        </is>
      </c>
      <c r="F108" t="inlineStr">
        <is>
          <t>银行间</t>
        </is>
      </c>
      <c r="G108" t="inlineStr">
        <is>
          <t>招商证券</t>
        </is>
      </c>
      <c r="H108" t="inlineStr">
        <is>
          <t>江苏银行/南京银行/国信证券/杭州银行</t>
        </is>
      </c>
      <c r="I108" t="inlineStr">
        <is>
          <t>江苏北分</t>
        </is>
      </c>
      <c r="J108" t="n">
        <v>10</v>
      </c>
      <c r="K108" t="inlineStr">
        <is>
          <t>12+12+10+2</t>
        </is>
      </c>
      <c r="L108" s="309" t="n">
        <v>46049</v>
      </c>
      <c r="M108" t="n">
        <v>0.0159</v>
      </c>
      <c r="N108" t="n">
        <v>0.02</v>
      </c>
      <c r="O108" t="n">
        <v>2.4</v>
      </c>
      <c r="P108" t="inlineStr">
        <is>
          <t>次级</t>
        </is>
      </c>
      <c r="Q108" t="n">
        <v>0.05</v>
      </c>
      <c r="R108" t="n">
        <v>0.5</v>
      </c>
      <c r="S108" t="inlineStr">
        <is>
          <t>无</t>
        </is>
      </c>
      <c r="T108" t="n">
        <v>0.045</v>
      </c>
      <c r="U108" s="235" t="inlineStr">
        <is>
          <t>信达证券自营</t>
        </is>
      </c>
      <c r="V108" s="308" t="n">
        <v>0.1</v>
      </c>
    </row>
    <row r="109">
      <c r="A109" t="n">
        <v>6</v>
      </c>
      <c r="B109" t="inlineStr">
        <is>
          <t>1月</t>
        </is>
      </c>
      <c r="C109" t="inlineStr">
        <is>
          <t>消金</t>
        </is>
      </c>
      <c r="D109" t="inlineStr">
        <is>
          <t>赊销白条</t>
        </is>
      </c>
      <c r="E109" t="inlineStr">
        <is>
          <t>东裕11号伯裕1期（可续发）</t>
        </is>
      </c>
      <c r="F109" t="inlineStr">
        <is>
          <t>银行间</t>
        </is>
      </c>
      <c r="G109" t="inlineStr">
        <is>
          <t>招商证券</t>
        </is>
      </c>
      <c r="H109" t="inlineStr">
        <is>
          <t>江苏银行/南京银行/国信证券/杭州银行</t>
        </is>
      </c>
      <c r="I109" t="inlineStr">
        <is>
          <t>江苏北分</t>
        </is>
      </c>
      <c r="J109" t="n">
        <v>10</v>
      </c>
      <c r="K109" t="inlineStr">
        <is>
          <t>12+12+10+2</t>
        </is>
      </c>
      <c r="L109" s="309" t="n">
        <v>46049</v>
      </c>
      <c r="M109" t="n">
        <v>0.0159</v>
      </c>
      <c r="N109" t="n">
        <v>0.02</v>
      </c>
      <c r="O109" t="n">
        <v>2.4</v>
      </c>
      <c r="P109" t="inlineStr">
        <is>
          <t>次级</t>
        </is>
      </c>
      <c r="Q109" t="n">
        <v>0.05</v>
      </c>
      <c r="R109" t="n">
        <v>0.5</v>
      </c>
      <c r="S109" t="inlineStr">
        <is>
          <t>无</t>
        </is>
      </c>
      <c r="T109" t="n">
        <v>0.045</v>
      </c>
      <c r="U109" s="235" t="inlineStr">
        <is>
          <t>德邦证券自营</t>
        </is>
      </c>
      <c r="V109" s="310" t="n">
        <v>0.2</v>
      </c>
    </row>
    <row r="110">
      <c r="A110" s="223" t="n">
        <v>7</v>
      </c>
      <c r="B110" s="220" t="inlineStr">
        <is>
          <t>1月</t>
        </is>
      </c>
      <c r="C110" s="220" t="inlineStr">
        <is>
          <t>消金</t>
        </is>
      </c>
      <c r="D110" s="220" t="inlineStr">
        <is>
          <t>信托金条</t>
        </is>
      </c>
      <c r="E110" s="223" t="inlineStr">
        <is>
          <t>云泓75号</t>
        </is>
      </c>
      <c r="F110" s="220" t="inlineStr">
        <is>
          <t>平层非标</t>
        </is>
      </c>
      <c r="G110" s="220" t="inlineStr">
        <is>
          <t>云南信托</t>
        </is>
      </c>
      <c r="H110" s="220" t="inlineStr">
        <is>
          <t>-</t>
        </is>
      </c>
      <c r="I110" s="220" t="inlineStr">
        <is>
          <t>中信北分</t>
        </is>
      </c>
      <c r="J110" s="220" t="n">
        <v>5</v>
      </c>
      <c r="K110" s="220" t="inlineStr">
        <is>
          <t>18+1</t>
        </is>
      </c>
      <c r="L110" s="224" t="n">
        <v>46050</v>
      </c>
      <c r="M110" s="225" t="n">
        <v>0.01585</v>
      </c>
      <c r="N110" s="311" t="n">
        <v>0.02505</v>
      </c>
      <c r="O110" s="226" t="inlineStr">
        <is>
          <t>-</t>
        </is>
      </c>
      <c r="P110" s="220" t="inlineStr">
        <is>
          <t>平层</t>
        </is>
      </c>
      <c r="Q110" s="221" t="n">
        <v>1</v>
      </c>
      <c r="R110" s="308" t="n">
        <v>5</v>
      </c>
      <c r="S110" s="220" t="inlineStr">
        <is>
          <t>无</t>
        </is>
      </c>
      <c r="T110" s="221" t="n">
        <v>0.0235</v>
      </c>
      <c r="U110" s="24" t="inlineStr">
        <is>
          <t>沪农商</t>
        </is>
      </c>
      <c r="V110" s="29" t="n">
        <v>5</v>
      </c>
    </row>
    <row r="111">
      <c r="A111" s="223" t="n">
        <v>8</v>
      </c>
      <c r="B111" s="220" t="inlineStr">
        <is>
          <t>1月</t>
        </is>
      </c>
      <c r="C111" s="220" t="inlineStr">
        <is>
          <t>企金</t>
        </is>
      </c>
      <c r="D111" s="220" t="inlineStr">
        <is>
          <t>信托企业主贷</t>
        </is>
      </c>
      <c r="E111" s="220" t="inlineStr">
        <is>
          <t>尚赢2-3</t>
        </is>
      </c>
      <c r="F111" s="220" t="inlineStr">
        <is>
          <t>上交所</t>
        </is>
      </c>
      <c r="G111" s="220" t="inlineStr">
        <is>
          <t>申万资管</t>
        </is>
      </c>
      <c r="H111" s="220" t="inlineStr">
        <is>
          <t>信达证券</t>
        </is>
      </c>
      <c r="I111" s="220" t="inlineStr">
        <is>
          <t>江苏北分</t>
        </is>
      </c>
      <c r="J111" s="220" t="n">
        <v>10</v>
      </c>
      <c r="K111" s="220" t="inlineStr">
        <is>
          <t>9+12</t>
        </is>
      </c>
      <c r="L111" s="224" t="n">
        <v>46051</v>
      </c>
      <c r="M111" s="225" t="n">
        <v>0.0158</v>
      </c>
      <c r="N111" s="225" t="n">
        <v>0.0227</v>
      </c>
      <c r="O111" s="226" t="n">
        <v>2.93</v>
      </c>
      <c r="P111" s="220" t="inlineStr">
        <is>
          <t>优先A</t>
        </is>
      </c>
      <c r="Q111" s="231" t="n">
        <v>0.83</v>
      </c>
      <c r="R111" s="308" t="n">
        <v>8.300000000000001</v>
      </c>
      <c r="S111" s="220" t="inlineStr">
        <is>
          <t>AAA</t>
        </is>
      </c>
      <c r="T111" s="221" t="n">
        <v>0.0197</v>
      </c>
      <c r="U111" s="265" t="inlineStr">
        <is>
          <t>南银理财</t>
        </is>
      </c>
      <c r="V111" s="25" t="n">
        <v>2.1</v>
      </c>
    </row>
    <row r="112">
      <c r="A112" t="n">
        <v>8</v>
      </c>
      <c r="B112" t="inlineStr">
        <is>
          <t>1月</t>
        </is>
      </c>
      <c r="C112" t="inlineStr">
        <is>
          <t>企金</t>
        </is>
      </c>
      <c r="D112" t="inlineStr">
        <is>
          <t>信托企业主贷</t>
        </is>
      </c>
      <c r="E112" t="inlineStr">
        <is>
          <t>尚赢2-3</t>
        </is>
      </c>
      <c r="F112" t="inlineStr">
        <is>
          <t>上交所</t>
        </is>
      </c>
      <c r="G112" t="inlineStr">
        <is>
          <t>申万资管</t>
        </is>
      </c>
      <c r="H112" t="inlineStr">
        <is>
          <t>信达证券</t>
        </is>
      </c>
      <c r="I112" t="inlineStr">
        <is>
          <t>江苏北分</t>
        </is>
      </c>
      <c r="J112" t="n">
        <v>10</v>
      </c>
      <c r="K112" t="inlineStr">
        <is>
          <t>9+12</t>
        </is>
      </c>
      <c r="L112" s="309" t="n">
        <v>46051</v>
      </c>
      <c r="M112" t="n">
        <v>0.0158</v>
      </c>
      <c r="N112" t="n">
        <v>0.0227</v>
      </c>
      <c r="O112" t="n">
        <v>2.93</v>
      </c>
      <c r="P112" t="inlineStr">
        <is>
          <t>优先A</t>
        </is>
      </c>
      <c r="Q112" t="n">
        <v>0.83</v>
      </c>
      <c r="R112" t="n">
        <v>8.300000000000001</v>
      </c>
      <c r="S112" t="inlineStr">
        <is>
          <t>AAA</t>
        </is>
      </c>
      <c r="T112" t="n">
        <v>0.0197</v>
      </c>
      <c r="U112" s="24" t="inlineStr">
        <is>
          <t>工银理财</t>
        </is>
      </c>
      <c r="V112" s="25" t="n">
        <v>1.66</v>
      </c>
    </row>
    <row r="113">
      <c r="A113" t="n">
        <v>8</v>
      </c>
      <c r="B113" t="inlineStr">
        <is>
          <t>1月</t>
        </is>
      </c>
      <c r="C113" t="inlineStr">
        <is>
          <t>企金</t>
        </is>
      </c>
      <c r="D113" t="inlineStr">
        <is>
          <t>信托企业主贷</t>
        </is>
      </c>
      <c r="E113" t="inlineStr">
        <is>
          <t>尚赢2-3</t>
        </is>
      </c>
      <c r="F113" t="inlineStr">
        <is>
          <t>上交所</t>
        </is>
      </c>
      <c r="G113" t="inlineStr">
        <is>
          <t>申万资管</t>
        </is>
      </c>
      <c r="H113" t="inlineStr">
        <is>
          <t>信达证券</t>
        </is>
      </c>
      <c r="I113" t="inlineStr">
        <is>
          <t>江苏北分</t>
        </is>
      </c>
      <c r="J113" t="n">
        <v>10</v>
      </c>
      <c r="K113" t="inlineStr">
        <is>
          <t>9+12</t>
        </is>
      </c>
      <c r="L113" s="309" t="n">
        <v>46051</v>
      </c>
      <c r="M113" t="n">
        <v>0.0158</v>
      </c>
      <c r="N113" t="n">
        <v>0.0227</v>
      </c>
      <c r="O113" t="n">
        <v>2.93</v>
      </c>
      <c r="P113" t="inlineStr">
        <is>
          <t>优先A</t>
        </is>
      </c>
      <c r="Q113" t="n">
        <v>0.83</v>
      </c>
      <c r="R113" t="n">
        <v>8.300000000000001</v>
      </c>
      <c r="S113" t="inlineStr">
        <is>
          <t>AAA</t>
        </is>
      </c>
      <c r="T113" t="n">
        <v>0.0197</v>
      </c>
      <c r="U113" s="24" t="inlineStr">
        <is>
          <t>招银理财</t>
        </is>
      </c>
      <c r="V113" s="25" t="n">
        <v>1.3</v>
      </c>
    </row>
    <row r="114">
      <c r="A114" t="n">
        <v>8</v>
      </c>
      <c r="B114" t="inlineStr">
        <is>
          <t>1月</t>
        </is>
      </c>
      <c r="C114" t="inlineStr">
        <is>
          <t>企金</t>
        </is>
      </c>
      <c r="D114" t="inlineStr">
        <is>
          <t>信托企业主贷</t>
        </is>
      </c>
      <c r="E114" t="inlineStr">
        <is>
          <t>尚赢2-3</t>
        </is>
      </c>
      <c r="F114" t="inlineStr">
        <is>
          <t>上交所</t>
        </is>
      </c>
      <c r="G114" t="inlineStr">
        <is>
          <t>申万资管</t>
        </is>
      </c>
      <c r="H114" t="inlineStr">
        <is>
          <t>信达证券</t>
        </is>
      </c>
      <c r="I114" t="inlineStr">
        <is>
          <t>江苏北分</t>
        </is>
      </c>
      <c r="J114" t="n">
        <v>10</v>
      </c>
      <c r="K114" t="inlineStr">
        <is>
          <t>9+12</t>
        </is>
      </c>
      <c r="L114" s="309" t="n">
        <v>46051</v>
      </c>
      <c r="M114" t="n">
        <v>0.0158</v>
      </c>
      <c r="N114" t="n">
        <v>0.0227</v>
      </c>
      <c r="O114" t="n">
        <v>2.93</v>
      </c>
      <c r="P114" t="inlineStr">
        <is>
          <t>优先A</t>
        </is>
      </c>
      <c r="Q114" t="n">
        <v>0.83</v>
      </c>
      <c r="R114" t="n">
        <v>8.300000000000001</v>
      </c>
      <c r="S114" t="inlineStr">
        <is>
          <t>AAA</t>
        </is>
      </c>
      <c r="T114" t="n">
        <v>0.0197</v>
      </c>
      <c r="U114" s="24" t="inlineStr">
        <is>
          <t>苏银理财</t>
        </is>
      </c>
      <c r="V114" s="25" t="n">
        <v>1</v>
      </c>
    </row>
    <row r="115">
      <c r="A115" t="n">
        <v>8</v>
      </c>
      <c r="B115" t="inlineStr">
        <is>
          <t>1月</t>
        </is>
      </c>
      <c r="C115" t="inlineStr">
        <is>
          <t>企金</t>
        </is>
      </c>
      <c r="D115" t="inlineStr">
        <is>
          <t>信托企业主贷</t>
        </is>
      </c>
      <c r="E115" t="inlineStr">
        <is>
          <t>尚赢2-3</t>
        </is>
      </c>
      <c r="F115" t="inlineStr">
        <is>
          <t>上交所</t>
        </is>
      </c>
      <c r="G115" t="inlineStr">
        <is>
          <t>申万资管</t>
        </is>
      </c>
      <c r="H115" t="inlineStr">
        <is>
          <t>信达证券</t>
        </is>
      </c>
      <c r="I115" t="inlineStr">
        <is>
          <t>江苏北分</t>
        </is>
      </c>
      <c r="J115" t="n">
        <v>10</v>
      </c>
      <c r="K115" t="inlineStr">
        <is>
          <t>9+12</t>
        </is>
      </c>
      <c r="L115" s="309" t="n">
        <v>46051</v>
      </c>
      <c r="M115" t="n">
        <v>0.0158</v>
      </c>
      <c r="N115" t="n">
        <v>0.0227</v>
      </c>
      <c r="O115" t="n">
        <v>2.93</v>
      </c>
      <c r="P115" t="inlineStr">
        <is>
          <t>优先A</t>
        </is>
      </c>
      <c r="Q115" t="n">
        <v>0.83</v>
      </c>
      <c r="R115" t="n">
        <v>8.300000000000001</v>
      </c>
      <c r="S115" t="inlineStr">
        <is>
          <t>AAA</t>
        </is>
      </c>
      <c r="T115" t="n">
        <v>0.0197</v>
      </c>
      <c r="U115" s="24" t="inlineStr">
        <is>
          <t>申万宏源投顾</t>
        </is>
      </c>
      <c r="V115" s="25" t="n">
        <v>0.8</v>
      </c>
    </row>
    <row r="116">
      <c r="A116" t="n">
        <v>8</v>
      </c>
      <c r="B116" t="inlineStr">
        <is>
          <t>1月</t>
        </is>
      </c>
      <c r="C116" t="inlineStr">
        <is>
          <t>企金</t>
        </is>
      </c>
      <c r="D116" t="inlineStr">
        <is>
          <t>信托企业主贷</t>
        </is>
      </c>
      <c r="E116" t="inlineStr">
        <is>
          <t>尚赢2-3</t>
        </is>
      </c>
      <c r="F116" t="inlineStr">
        <is>
          <t>上交所</t>
        </is>
      </c>
      <c r="G116" t="inlineStr">
        <is>
          <t>申万资管</t>
        </is>
      </c>
      <c r="H116" t="inlineStr">
        <is>
          <t>信达证券</t>
        </is>
      </c>
      <c r="I116" t="inlineStr">
        <is>
          <t>江苏北分</t>
        </is>
      </c>
      <c r="J116" t="n">
        <v>10</v>
      </c>
      <c r="K116" t="inlineStr">
        <is>
          <t>9+12</t>
        </is>
      </c>
      <c r="L116" s="309" t="n">
        <v>46051</v>
      </c>
      <c r="M116" t="n">
        <v>0.0158</v>
      </c>
      <c r="N116" t="n">
        <v>0.0227</v>
      </c>
      <c r="O116" t="n">
        <v>2.93</v>
      </c>
      <c r="P116" t="inlineStr">
        <is>
          <t>优先A</t>
        </is>
      </c>
      <c r="Q116" t="n">
        <v>0.83</v>
      </c>
      <c r="R116" t="n">
        <v>8.300000000000001</v>
      </c>
      <c r="S116" t="inlineStr">
        <is>
          <t>AAA</t>
        </is>
      </c>
      <c r="T116" t="n">
        <v>0.0197</v>
      </c>
      <c r="U116" s="24" t="inlineStr">
        <is>
          <t>交银理财</t>
        </is>
      </c>
      <c r="V116" s="25" t="n">
        <v>0.8</v>
      </c>
    </row>
    <row r="117">
      <c r="A117" t="n">
        <v>8</v>
      </c>
      <c r="B117" t="inlineStr">
        <is>
          <t>1月</t>
        </is>
      </c>
      <c r="C117" t="inlineStr">
        <is>
          <t>企金</t>
        </is>
      </c>
      <c r="D117" t="inlineStr">
        <is>
          <t>信托企业主贷</t>
        </is>
      </c>
      <c r="E117" t="inlineStr">
        <is>
          <t>尚赢2-3</t>
        </is>
      </c>
      <c r="F117" t="inlineStr">
        <is>
          <t>上交所</t>
        </is>
      </c>
      <c r="G117" t="inlineStr">
        <is>
          <t>申万资管</t>
        </is>
      </c>
      <c r="H117" t="inlineStr">
        <is>
          <t>信达证券</t>
        </is>
      </c>
      <c r="I117" t="inlineStr">
        <is>
          <t>江苏北分</t>
        </is>
      </c>
      <c r="J117" t="n">
        <v>10</v>
      </c>
      <c r="K117" t="inlineStr">
        <is>
          <t>9+12</t>
        </is>
      </c>
      <c r="L117" s="309" t="n">
        <v>46051</v>
      </c>
      <c r="M117" t="n">
        <v>0.0158</v>
      </c>
      <c r="N117" t="n">
        <v>0.0227</v>
      </c>
      <c r="O117" t="n">
        <v>2.93</v>
      </c>
      <c r="P117" t="inlineStr">
        <is>
          <t>优先A</t>
        </is>
      </c>
      <c r="Q117" t="n">
        <v>0.83</v>
      </c>
      <c r="R117" t="n">
        <v>8.300000000000001</v>
      </c>
      <c r="S117" t="inlineStr">
        <is>
          <t>AAA</t>
        </is>
      </c>
      <c r="T117" t="n">
        <v>0.0197</v>
      </c>
      <c r="U117" s="24" t="inlineStr">
        <is>
          <t>国金证券资管</t>
        </is>
      </c>
      <c r="V117" s="25" t="n">
        <v>0.5</v>
      </c>
    </row>
    <row r="118">
      <c r="A118" t="n">
        <v>8</v>
      </c>
      <c r="B118" t="inlineStr">
        <is>
          <t>1月</t>
        </is>
      </c>
      <c r="C118" t="inlineStr">
        <is>
          <t>企金</t>
        </is>
      </c>
      <c r="D118" t="inlineStr">
        <is>
          <t>信托企业主贷</t>
        </is>
      </c>
      <c r="E118" t="inlineStr">
        <is>
          <t>尚赢2-3</t>
        </is>
      </c>
      <c r="F118" t="inlineStr">
        <is>
          <t>上交所</t>
        </is>
      </c>
      <c r="G118" t="inlineStr">
        <is>
          <t>申万资管</t>
        </is>
      </c>
      <c r="H118" t="inlineStr">
        <is>
          <t>信达证券</t>
        </is>
      </c>
      <c r="I118" t="inlineStr">
        <is>
          <t>江苏北分</t>
        </is>
      </c>
      <c r="J118" t="n">
        <v>10</v>
      </c>
      <c r="K118" t="inlineStr">
        <is>
          <t>9+12</t>
        </is>
      </c>
      <c r="L118" s="309" t="n">
        <v>46051</v>
      </c>
      <c r="M118" t="n">
        <v>0.0158</v>
      </c>
      <c r="N118" t="n">
        <v>0.0227</v>
      </c>
      <c r="O118" t="n">
        <v>2.93</v>
      </c>
      <c r="P118" t="inlineStr">
        <is>
          <t>优先A</t>
        </is>
      </c>
      <c r="Q118" t="n">
        <v>0.83</v>
      </c>
      <c r="R118" t="n">
        <v>8.300000000000001</v>
      </c>
      <c r="S118" t="inlineStr">
        <is>
          <t>AAA</t>
        </is>
      </c>
      <c r="T118" t="n">
        <v>0.0197</v>
      </c>
      <c r="U118" s="24" t="inlineStr">
        <is>
          <t>申万宏源资管</t>
        </is>
      </c>
      <c r="V118" s="25" t="n">
        <v>0.14</v>
      </c>
    </row>
    <row r="119">
      <c r="A119" t="n">
        <v>8</v>
      </c>
      <c r="B119" t="inlineStr">
        <is>
          <t>1月</t>
        </is>
      </c>
      <c r="C119" t="inlineStr">
        <is>
          <t>企金</t>
        </is>
      </c>
      <c r="D119" t="inlineStr">
        <is>
          <t>信托企业主贷</t>
        </is>
      </c>
      <c r="E119" t="inlineStr">
        <is>
          <t>尚赢2-3</t>
        </is>
      </c>
      <c r="F119" t="inlineStr">
        <is>
          <t>上交所</t>
        </is>
      </c>
      <c r="G119" t="inlineStr">
        <is>
          <t>申万资管</t>
        </is>
      </c>
      <c r="H119" t="inlineStr">
        <is>
          <t>信达证券</t>
        </is>
      </c>
      <c r="I119" t="inlineStr">
        <is>
          <t>江苏北分</t>
        </is>
      </c>
      <c r="J119" t="n">
        <v>10</v>
      </c>
      <c r="K119" t="inlineStr">
        <is>
          <t>9+12</t>
        </is>
      </c>
      <c r="L119" s="309" t="n">
        <v>46051</v>
      </c>
      <c r="M119" t="n">
        <v>0.0158</v>
      </c>
      <c r="N119" t="n">
        <v>0.0227</v>
      </c>
      <c r="O119" t="n">
        <v>2.93</v>
      </c>
      <c r="P119" s="220" t="inlineStr">
        <is>
          <t>优先B</t>
        </is>
      </c>
      <c r="Q119" s="221" t="n">
        <v>0.05</v>
      </c>
      <c r="R119" s="308" t="n">
        <v>0.5</v>
      </c>
      <c r="S119" s="221" t="inlineStr">
        <is>
          <t>AA+</t>
        </is>
      </c>
      <c r="T119" s="221" t="n">
        <v>0.0215</v>
      </c>
      <c r="U119" s="30" t="inlineStr">
        <is>
          <t>交银理财</t>
        </is>
      </c>
      <c r="V119" s="29" t="n">
        <v>0.15</v>
      </c>
    </row>
    <row r="120">
      <c r="A120" t="n">
        <v>8</v>
      </c>
      <c r="B120" t="inlineStr">
        <is>
          <t>1月</t>
        </is>
      </c>
      <c r="C120" t="inlineStr">
        <is>
          <t>企金</t>
        </is>
      </c>
      <c r="D120" t="inlineStr">
        <is>
          <t>信托企业主贷</t>
        </is>
      </c>
      <c r="E120" t="inlineStr">
        <is>
          <t>尚赢2-3</t>
        </is>
      </c>
      <c r="F120" t="inlineStr">
        <is>
          <t>上交所</t>
        </is>
      </c>
      <c r="G120" t="inlineStr">
        <is>
          <t>申万资管</t>
        </is>
      </c>
      <c r="H120" t="inlineStr">
        <is>
          <t>信达证券</t>
        </is>
      </c>
      <c r="I120" t="inlineStr">
        <is>
          <t>江苏北分</t>
        </is>
      </c>
      <c r="J120" t="n">
        <v>10</v>
      </c>
      <c r="K120" t="inlineStr">
        <is>
          <t>9+12</t>
        </is>
      </c>
      <c r="L120" s="309" t="n">
        <v>46051</v>
      </c>
      <c r="M120" t="n">
        <v>0.0158</v>
      </c>
      <c r="N120" t="n">
        <v>0.0227</v>
      </c>
      <c r="O120" t="n">
        <v>2.93</v>
      </c>
      <c r="P120" t="inlineStr">
        <is>
          <t>优先B</t>
        </is>
      </c>
      <c r="Q120" t="n">
        <v>0.05</v>
      </c>
      <c r="R120" t="n">
        <v>0.5</v>
      </c>
      <c r="S120" t="inlineStr">
        <is>
          <t>AA+</t>
        </is>
      </c>
      <c r="T120" t="n">
        <v>0.0215</v>
      </c>
      <c r="U120" s="30" t="inlineStr">
        <is>
          <t>招银理财</t>
        </is>
      </c>
      <c r="V120" s="29" t="n">
        <v>0.1</v>
      </c>
    </row>
    <row r="121">
      <c r="A121" t="n">
        <v>8</v>
      </c>
      <c r="B121" t="inlineStr">
        <is>
          <t>1月</t>
        </is>
      </c>
      <c r="C121" t="inlineStr">
        <is>
          <t>企金</t>
        </is>
      </c>
      <c r="D121" t="inlineStr">
        <is>
          <t>信托企业主贷</t>
        </is>
      </c>
      <c r="E121" t="inlineStr">
        <is>
          <t>尚赢2-3</t>
        </is>
      </c>
      <c r="F121" t="inlineStr">
        <is>
          <t>上交所</t>
        </is>
      </c>
      <c r="G121" t="inlineStr">
        <is>
          <t>申万资管</t>
        </is>
      </c>
      <c r="H121" t="inlineStr">
        <is>
          <t>信达证券</t>
        </is>
      </c>
      <c r="I121" t="inlineStr">
        <is>
          <t>江苏北分</t>
        </is>
      </c>
      <c r="J121" t="n">
        <v>10</v>
      </c>
      <c r="K121" t="inlineStr">
        <is>
          <t>9+12</t>
        </is>
      </c>
      <c r="L121" s="309" t="n">
        <v>46051</v>
      </c>
      <c r="M121" t="n">
        <v>0.0158</v>
      </c>
      <c r="N121" t="n">
        <v>0.0227</v>
      </c>
      <c r="O121" t="n">
        <v>2.93</v>
      </c>
      <c r="P121" t="inlineStr">
        <is>
          <t>优先B</t>
        </is>
      </c>
      <c r="Q121" t="n">
        <v>0.05</v>
      </c>
      <c r="R121" t="n">
        <v>0.5</v>
      </c>
      <c r="S121" t="inlineStr">
        <is>
          <t>AA+</t>
        </is>
      </c>
      <c r="T121" t="n">
        <v>0.0215</v>
      </c>
      <c r="U121" s="30" t="inlineStr">
        <is>
          <t>中金投顾</t>
        </is>
      </c>
      <c r="V121" s="29" t="n">
        <v>0.15</v>
      </c>
    </row>
    <row r="122">
      <c r="A122" t="n">
        <v>8</v>
      </c>
      <c r="B122" t="inlineStr">
        <is>
          <t>1月</t>
        </is>
      </c>
      <c r="C122" t="inlineStr">
        <is>
          <t>企金</t>
        </is>
      </c>
      <c r="D122" t="inlineStr">
        <is>
          <t>信托企业主贷</t>
        </is>
      </c>
      <c r="E122" t="inlineStr">
        <is>
          <t>尚赢2-3</t>
        </is>
      </c>
      <c r="F122" t="inlineStr">
        <is>
          <t>上交所</t>
        </is>
      </c>
      <c r="G122" t="inlineStr">
        <is>
          <t>申万资管</t>
        </is>
      </c>
      <c r="H122" t="inlineStr">
        <is>
          <t>信达证券</t>
        </is>
      </c>
      <c r="I122" t="inlineStr">
        <is>
          <t>江苏北分</t>
        </is>
      </c>
      <c r="J122" t="n">
        <v>10</v>
      </c>
      <c r="K122" t="inlineStr">
        <is>
          <t>9+12</t>
        </is>
      </c>
      <c r="L122" s="309" t="n">
        <v>46051</v>
      </c>
      <c r="M122" t="n">
        <v>0.0158</v>
      </c>
      <c r="N122" t="n">
        <v>0.0227</v>
      </c>
      <c r="O122" t="n">
        <v>2.93</v>
      </c>
      <c r="P122" t="inlineStr">
        <is>
          <t>优先B</t>
        </is>
      </c>
      <c r="Q122" t="n">
        <v>0.05</v>
      </c>
      <c r="R122" t="n">
        <v>0.5</v>
      </c>
      <c r="S122" t="inlineStr">
        <is>
          <t>AA+</t>
        </is>
      </c>
      <c r="T122" t="n">
        <v>0.0215</v>
      </c>
      <c r="U122" s="30" t="inlineStr">
        <is>
          <t>建信信托</t>
        </is>
      </c>
      <c r="V122" s="29" t="n">
        <v>0.1</v>
      </c>
    </row>
    <row r="123">
      <c r="A123" t="n">
        <v>8</v>
      </c>
      <c r="B123" t="inlineStr">
        <is>
          <t>1月</t>
        </is>
      </c>
      <c r="C123" t="inlineStr">
        <is>
          <t>企金</t>
        </is>
      </c>
      <c r="D123" t="inlineStr">
        <is>
          <t>信托企业主贷</t>
        </is>
      </c>
      <c r="E123" t="inlineStr">
        <is>
          <t>尚赢2-3</t>
        </is>
      </c>
      <c r="F123" t="inlineStr">
        <is>
          <t>上交所</t>
        </is>
      </c>
      <c r="G123" t="inlineStr">
        <is>
          <t>申万资管</t>
        </is>
      </c>
      <c r="H123" t="inlineStr">
        <is>
          <t>信达证券</t>
        </is>
      </c>
      <c r="I123" t="inlineStr">
        <is>
          <t>江苏北分</t>
        </is>
      </c>
      <c r="J123" t="n">
        <v>10</v>
      </c>
      <c r="K123" t="inlineStr">
        <is>
          <t>9+12</t>
        </is>
      </c>
      <c r="L123" s="309" t="n">
        <v>46051</v>
      </c>
      <c r="M123" t="n">
        <v>0.0158</v>
      </c>
      <c r="N123" t="n">
        <v>0.0227</v>
      </c>
      <c r="O123" t="n">
        <v>2.93</v>
      </c>
      <c r="P123" s="220" t="inlineStr">
        <is>
          <t>中间级</t>
        </is>
      </c>
      <c r="Q123" s="221" t="n">
        <v>0.07000000000000001</v>
      </c>
      <c r="R123" s="308" t="n">
        <v>0.7</v>
      </c>
      <c r="S123" s="221" t="inlineStr">
        <is>
          <t>AA-</t>
        </is>
      </c>
      <c r="T123" s="221" t="n">
        <v>0.031</v>
      </c>
      <c r="U123" s="30" t="inlineStr">
        <is>
          <t>申万宏源自营</t>
        </is>
      </c>
      <c r="V123" s="29" t="n">
        <v>0.18</v>
      </c>
    </row>
    <row r="124">
      <c r="A124" t="n">
        <v>8</v>
      </c>
      <c r="B124" t="inlineStr">
        <is>
          <t>1月</t>
        </is>
      </c>
      <c r="C124" t="inlineStr">
        <is>
          <t>企金</t>
        </is>
      </c>
      <c r="D124" t="inlineStr">
        <is>
          <t>信托企业主贷</t>
        </is>
      </c>
      <c r="E124" t="inlineStr">
        <is>
          <t>尚赢2-3</t>
        </is>
      </c>
      <c r="F124" t="inlineStr">
        <is>
          <t>上交所</t>
        </is>
      </c>
      <c r="G124" t="inlineStr">
        <is>
          <t>申万资管</t>
        </is>
      </c>
      <c r="H124" t="inlineStr">
        <is>
          <t>信达证券</t>
        </is>
      </c>
      <c r="I124" t="inlineStr">
        <is>
          <t>江苏北分</t>
        </is>
      </c>
      <c r="J124" t="n">
        <v>10</v>
      </c>
      <c r="K124" t="inlineStr">
        <is>
          <t>9+12</t>
        </is>
      </c>
      <c r="L124" s="309" t="n">
        <v>46051</v>
      </c>
      <c r="M124" t="n">
        <v>0.0158</v>
      </c>
      <c r="N124" t="n">
        <v>0.0227</v>
      </c>
      <c r="O124" t="n">
        <v>2.93</v>
      </c>
      <c r="P124" t="inlineStr">
        <is>
          <t>中间级</t>
        </is>
      </c>
      <c r="Q124" t="n">
        <v>0.07000000000000001</v>
      </c>
      <c r="R124" t="n">
        <v>0.7</v>
      </c>
      <c r="S124" t="inlineStr">
        <is>
          <t>AA-</t>
        </is>
      </c>
      <c r="T124" t="n">
        <v>0.031</v>
      </c>
      <c r="U124" s="30" t="inlineStr">
        <is>
          <t>建信信托</t>
        </is>
      </c>
      <c r="V124" s="29" t="n">
        <v>0.22</v>
      </c>
    </row>
    <row r="125">
      <c r="A125" t="n">
        <v>8</v>
      </c>
      <c r="B125" t="inlineStr">
        <is>
          <t>1月</t>
        </is>
      </c>
      <c r="C125" t="inlineStr">
        <is>
          <t>企金</t>
        </is>
      </c>
      <c r="D125" t="inlineStr">
        <is>
          <t>信托企业主贷</t>
        </is>
      </c>
      <c r="E125" t="inlineStr">
        <is>
          <t>尚赢2-3</t>
        </is>
      </c>
      <c r="F125" t="inlineStr">
        <is>
          <t>上交所</t>
        </is>
      </c>
      <c r="G125" t="inlineStr">
        <is>
          <t>申万资管</t>
        </is>
      </c>
      <c r="H125" t="inlineStr">
        <is>
          <t>信达证券</t>
        </is>
      </c>
      <c r="I125" t="inlineStr">
        <is>
          <t>江苏北分</t>
        </is>
      </c>
      <c r="J125" t="n">
        <v>10</v>
      </c>
      <c r="K125" t="inlineStr">
        <is>
          <t>9+12</t>
        </is>
      </c>
      <c r="L125" s="309" t="n">
        <v>46051</v>
      </c>
      <c r="M125" t="n">
        <v>0.0158</v>
      </c>
      <c r="N125" t="n">
        <v>0.0227</v>
      </c>
      <c r="O125" t="n">
        <v>2.93</v>
      </c>
      <c r="P125" t="inlineStr">
        <is>
          <t>中间级</t>
        </is>
      </c>
      <c r="Q125" t="n">
        <v>0.07000000000000001</v>
      </c>
      <c r="R125" t="n">
        <v>0.7</v>
      </c>
      <c r="S125" t="inlineStr">
        <is>
          <t>AA-</t>
        </is>
      </c>
      <c r="T125" t="n">
        <v>0.031</v>
      </c>
      <c r="U125" s="30" t="inlineStr">
        <is>
          <t>信达证券自营</t>
        </is>
      </c>
      <c r="V125" s="29" t="n">
        <v>0.3</v>
      </c>
    </row>
    <row r="126">
      <c r="A126" t="n">
        <v>8</v>
      </c>
      <c r="B126" t="inlineStr">
        <is>
          <t>1月</t>
        </is>
      </c>
      <c r="C126" t="inlineStr">
        <is>
          <t>企金</t>
        </is>
      </c>
      <c r="D126" t="inlineStr">
        <is>
          <t>信托企业主贷</t>
        </is>
      </c>
      <c r="E126" t="inlineStr">
        <is>
          <t>尚赢2-3</t>
        </is>
      </c>
      <c r="F126" t="inlineStr">
        <is>
          <t>上交所</t>
        </is>
      </c>
      <c r="G126" t="inlineStr">
        <is>
          <t>申万资管</t>
        </is>
      </c>
      <c r="H126" t="inlineStr">
        <is>
          <t>信达证券</t>
        </is>
      </c>
      <c r="I126" t="inlineStr">
        <is>
          <t>江苏北分</t>
        </is>
      </c>
      <c r="J126" t="n">
        <v>10</v>
      </c>
      <c r="K126" t="inlineStr">
        <is>
          <t>9+12</t>
        </is>
      </c>
      <c r="L126" s="309" t="n">
        <v>46051</v>
      </c>
      <c r="M126" t="n">
        <v>0.0158</v>
      </c>
      <c r="N126" t="n">
        <v>0.0227</v>
      </c>
      <c r="O126" t="n">
        <v>2.93</v>
      </c>
      <c r="P126" s="220" t="inlineStr">
        <is>
          <t>受益权</t>
        </is>
      </c>
      <c r="Q126" s="221" t="n">
        <v>0.05</v>
      </c>
      <c r="R126" s="308" t="n">
        <v>0.5</v>
      </c>
      <c r="S126" s="221" t="inlineStr">
        <is>
          <t>无</t>
        </is>
      </c>
      <c r="T126" s="221" t="n">
        <v>0.0525</v>
      </c>
      <c r="U126" s="30" t="inlineStr">
        <is>
          <t>国泰海通自营</t>
        </is>
      </c>
      <c r="V126" s="24" t="n">
        <v>0.075</v>
      </c>
    </row>
    <row r="127">
      <c r="A127" t="n">
        <v>8</v>
      </c>
      <c r="B127" t="inlineStr">
        <is>
          <t>1月</t>
        </is>
      </c>
      <c r="C127" t="inlineStr">
        <is>
          <t>企金</t>
        </is>
      </c>
      <c r="D127" t="inlineStr">
        <is>
          <t>信托企业主贷</t>
        </is>
      </c>
      <c r="E127" t="inlineStr">
        <is>
          <t>尚赢2-3</t>
        </is>
      </c>
      <c r="F127" t="inlineStr">
        <is>
          <t>上交所</t>
        </is>
      </c>
      <c r="G127" t="inlineStr">
        <is>
          <t>申万资管</t>
        </is>
      </c>
      <c r="H127" t="inlineStr">
        <is>
          <t>信达证券</t>
        </is>
      </c>
      <c r="I127" t="inlineStr">
        <is>
          <t>江苏北分</t>
        </is>
      </c>
      <c r="J127" t="n">
        <v>10</v>
      </c>
      <c r="K127" t="inlineStr">
        <is>
          <t>9+12</t>
        </is>
      </c>
      <c r="L127" s="309" t="n">
        <v>46051</v>
      </c>
      <c r="M127" t="n">
        <v>0.0158</v>
      </c>
      <c r="N127" t="n">
        <v>0.0227</v>
      </c>
      <c r="O127" t="n">
        <v>2.93</v>
      </c>
      <c r="P127" t="inlineStr">
        <is>
          <t>受益权</t>
        </is>
      </c>
      <c r="Q127" t="n">
        <v>0.05</v>
      </c>
      <c r="R127" t="n">
        <v>0.5</v>
      </c>
      <c r="S127" t="inlineStr">
        <is>
          <t>无</t>
        </is>
      </c>
      <c r="T127" t="n">
        <v>0.0525</v>
      </c>
      <c r="U127" s="30" t="inlineStr">
        <is>
          <t>国信证券自营</t>
        </is>
      </c>
      <c r="V127" s="24" t="n">
        <v>0.225</v>
      </c>
    </row>
    <row r="128">
      <c r="A128" t="n">
        <v>8</v>
      </c>
      <c r="B128" t="inlineStr">
        <is>
          <t>1月</t>
        </is>
      </c>
      <c r="C128" t="inlineStr">
        <is>
          <t>企金</t>
        </is>
      </c>
      <c r="D128" t="inlineStr">
        <is>
          <t>信托企业主贷</t>
        </is>
      </c>
      <c r="E128" t="inlineStr">
        <is>
          <t>尚赢2-3</t>
        </is>
      </c>
      <c r="F128" t="inlineStr">
        <is>
          <t>上交所</t>
        </is>
      </c>
      <c r="G128" t="inlineStr">
        <is>
          <t>申万资管</t>
        </is>
      </c>
      <c r="H128" t="inlineStr">
        <is>
          <t>信达证券</t>
        </is>
      </c>
      <c r="I128" t="inlineStr">
        <is>
          <t>江苏北分</t>
        </is>
      </c>
      <c r="J128" t="n">
        <v>10</v>
      </c>
      <c r="K128" t="inlineStr">
        <is>
          <t>9+12</t>
        </is>
      </c>
      <c r="L128" s="309" t="n">
        <v>46051</v>
      </c>
      <c r="M128" t="n">
        <v>0.0158</v>
      </c>
      <c r="N128" t="n">
        <v>0.0227</v>
      </c>
      <c r="O128" t="n">
        <v>2.93</v>
      </c>
      <c r="P128" t="inlineStr">
        <is>
          <t>受益权</t>
        </is>
      </c>
      <c r="Q128" t="n">
        <v>0.05</v>
      </c>
      <c r="R128" t="n">
        <v>0.5</v>
      </c>
      <c r="S128" t="inlineStr">
        <is>
          <t>无</t>
        </is>
      </c>
      <c r="T128" t="n">
        <v>0.0525</v>
      </c>
      <c r="U128" s="30" t="inlineStr">
        <is>
          <t>粤财信托</t>
        </is>
      </c>
      <c r="V128" s="29" t="n">
        <v>0.2</v>
      </c>
    </row>
    <row r="129">
      <c r="A129" s="223" t="n">
        <v>9</v>
      </c>
      <c r="B129" s="265" t="inlineStr">
        <is>
          <t>1月</t>
        </is>
      </c>
      <c r="C129" s="265" t="inlineStr">
        <is>
          <t>消金</t>
        </is>
      </c>
      <c r="D129" s="265" t="inlineStr">
        <is>
          <t>信托金条</t>
        </is>
      </c>
      <c r="E129" s="265" t="inlineStr">
        <is>
          <t>京熠1号1期</t>
        </is>
      </c>
      <c r="F129" s="265" t="inlineStr">
        <is>
          <t>中保登</t>
        </is>
      </c>
      <c r="G129" s="265" t="inlineStr">
        <is>
          <t>泰康资产</t>
        </is>
      </c>
      <c r="H129" s="265" t="inlineStr">
        <is>
          <t>国寿投资</t>
        </is>
      </c>
      <c r="I129" s="265" t="inlineStr">
        <is>
          <t>民生北分</t>
        </is>
      </c>
      <c r="J129" s="265" t="n">
        <v>15</v>
      </c>
      <c r="K129" s="265" t="inlineStr">
        <is>
          <t>18+12</t>
        </is>
      </c>
      <c r="L129" s="266" t="n">
        <v>46051</v>
      </c>
      <c r="M129" s="225" t="n">
        <v>0.0158</v>
      </c>
      <c r="N129" s="311" t="n">
        <v>0.0264</v>
      </c>
      <c r="O129" s="265" t="inlineStr">
        <is>
          <t>-</t>
        </is>
      </c>
      <c r="P129" s="227" t="inlineStr">
        <is>
          <t>优先级</t>
        </is>
      </c>
      <c r="Q129" s="231" t="n">
        <v>0.9</v>
      </c>
      <c r="R129" s="285" t="n">
        <v>13.5</v>
      </c>
      <c r="S129" s="227" t="inlineStr">
        <is>
          <t>AAA</t>
        </is>
      </c>
      <c r="T129" s="231" t="n">
        <v>0.0235</v>
      </c>
      <c r="U129" s="24" t="inlineStr">
        <is>
          <t>国寿投资</t>
        </is>
      </c>
      <c r="V129" s="29" t="n">
        <v>13.5</v>
      </c>
    </row>
    <row r="130">
      <c r="A130" t="n">
        <v>9</v>
      </c>
      <c r="B130" t="inlineStr">
        <is>
          <t>1月</t>
        </is>
      </c>
      <c r="C130" t="inlineStr">
        <is>
          <t>消金</t>
        </is>
      </c>
      <c r="D130" t="inlineStr">
        <is>
          <t>信托金条</t>
        </is>
      </c>
      <c r="E130" t="inlineStr">
        <is>
          <t>京熠1号1期</t>
        </is>
      </c>
      <c r="F130" t="inlineStr">
        <is>
          <t>中保登</t>
        </is>
      </c>
      <c r="G130" t="inlineStr">
        <is>
          <t>泰康资产</t>
        </is>
      </c>
      <c r="H130" t="inlineStr">
        <is>
          <t>国寿投资</t>
        </is>
      </c>
      <c r="I130" t="inlineStr">
        <is>
          <t>民生北分</t>
        </is>
      </c>
      <c r="J130" t="n">
        <v>15</v>
      </c>
      <c r="K130" t="inlineStr">
        <is>
          <t>18+12</t>
        </is>
      </c>
      <c r="L130" s="309" t="n">
        <v>46051</v>
      </c>
      <c r="M130" t="n">
        <v>0.0158</v>
      </c>
      <c r="N130" t="n">
        <v>0.0264</v>
      </c>
      <c r="O130" t="inlineStr">
        <is>
          <t>-</t>
        </is>
      </c>
      <c r="P130" s="223" t="inlineStr">
        <is>
          <t>中间级</t>
        </is>
      </c>
      <c r="Q130" s="267" t="n">
        <v>0.05</v>
      </c>
      <c r="R130" s="268" t="n">
        <v>0.75</v>
      </c>
      <c r="S130" s="220" t="inlineStr">
        <is>
          <t>AA-</t>
        </is>
      </c>
      <c r="T130" s="267" t="n">
        <v>0.032</v>
      </c>
      <c r="U130" s="24" t="inlineStr">
        <is>
          <t>中信建投衍生品</t>
        </is>
      </c>
      <c r="V130" s="226" t="n">
        <v>0.1</v>
      </c>
    </row>
    <row r="131">
      <c r="A131" t="n">
        <v>9</v>
      </c>
      <c r="B131" t="inlineStr">
        <is>
          <t>1月</t>
        </is>
      </c>
      <c r="C131" t="inlineStr">
        <is>
          <t>消金</t>
        </is>
      </c>
      <c r="D131" t="inlineStr">
        <is>
          <t>信托金条</t>
        </is>
      </c>
      <c r="E131" t="inlineStr">
        <is>
          <t>京熠1号1期</t>
        </is>
      </c>
      <c r="F131" t="inlineStr">
        <is>
          <t>中保登</t>
        </is>
      </c>
      <c r="G131" t="inlineStr">
        <is>
          <t>泰康资产</t>
        </is>
      </c>
      <c r="H131" t="inlineStr">
        <is>
          <t>国寿投资</t>
        </is>
      </c>
      <c r="I131" t="inlineStr">
        <is>
          <t>民生北分</t>
        </is>
      </c>
      <c r="J131" t="n">
        <v>15</v>
      </c>
      <c r="K131" t="inlineStr">
        <is>
          <t>18+12</t>
        </is>
      </c>
      <c r="L131" s="309" t="n">
        <v>46051</v>
      </c>
      <c r="M131" t="n">
        <v>0.0158</v>
      </c>
      <c r="N131" t="n">
        <v>0.0264</v>
      </c>
      <c r="O131" t="inlineStr">
        <is>
          <t>-</t>
        </is>
      </c>
      <c r="P131" t="inlineStr">
        <is>
          <t>中间级</t>
        </is>
      </c>
      <c r="Q131" t="n">
        <v>0.05</v>
      </c>
      <c r="R131" t="n">
        <v>0.75</v>
      </c>
      <c r="S131" t="inlineStr">
        <is>
          <t>AA-</t>
        </is>
      </c>
      <c r="T131" t="n">
        <v>0.032</v>
      </c>
      <c r="U131" s="24" t="inlineStr">
        <is>
          <t>中信建投机构部</t>
        </is>
      </c>
      <c r="V131" s="226" t="n">
        <v>0.2</v>
      </c>
    </row>
    <row r="132">
      <c r="A132" t="n">
        <v>9</v>
      </c>
      <c r="B132" t="inlineStr">
        <is>
          <t>1月</t>
        </is>
      </c>
      <c r="C132" t="inlineStr">
        <is>
          <t>消金</t>
        </is>
      </c>
      <c r="D132" t="inlineStr">
        <is>
          <t>信托金条</t>
        </is>
      </c>
      <c r="E132" t="inlineStr">
        <is>
          <t>京熠1号1期</t>
        </is>
      </c>
      <c r="F132" t="inlineStr">
        <is>
          <t>中保登</t>
        </is>
      </c>
      <c r="G132" t="inlineStr">
        <is>
          <t>泰康资产</t>
        </is>
      </c>
      <c r="H132" t="inlineStr">
        <is>
          <t>国寿投资</t>
        </is>
      </c>
      <c r="I132" t="inlineStr">
        <is>
          <t>民生北分</t>
        </is>
      </c>
      <c r="J132" t="n">
        <v>15</v>
      </c>
      <c r="K132" t="inlineStr">
        <is>
          <t>18+12</t>
        </is>
      </c>
      <c r="L132" s="309" t="n">
        <v>46051</v>
      </c>
      <c r="M132" t="n">
        <v>0.0158</v>
      </c>
      <c r="N132" t="n">
        <v>0.0264</v>
      </c>
      <c r="O132" t="inlineStr">
        <is>
          <t>-</t>
        </is>
      </c>
      <c r="P132" t="inlineStr">
        <is>
          <t>中间级</t>
        </is>
      </c>
      <c r="Q132" t="n">
        <v>0.05</v>
      </c>
      <c r="R132" t="n">
        <v>0.75</v>
      </c>
      <c r="S132" t="inlineStr">
        <is>
          <t>AA-</t>
        </is>
      </c>
      <c r="T132" t="n">
        <v>0.032</v>
      </c>
      <c r="U132" s="24" t="inlineStr">
        <is>
          <t>国信证券自营</t>
        </is>
      </c>
      <c r="V132" s="226" t="n">
        <v>0.2</v>
      </c>
    </row>
    <row r="133">
      <c r="A133" t="n">
        <v>9</v>
      </c>
      <c r="B133" t="inlineStr">
        <is>
          <t>1月</t>
        </is>
      </c>
      <c r="C133" t="inlineStr">
        <is>
          <t>消金</t>
        </is>
      </c>
      <c r="D133" t="inlineStr">
        <is>
          <t>信托金条</t>
        </is>
      </c>
      <c r="E133" t="inlineStr">
        <is>
          <t>京熠1号1期</t>
        </is>
      </c>
      <c r="F133" t="inlineStr">
        <is>
          <t>中保登</t>
        </is>
      </c>
      <c r="G133" t="inlineStr">
        <is>
          <t>泰康资产</t>
        </is>
      </c>
      <c r="H133" t="inlineStr">
        <is>
          <t>国寿投资</t>
        </is>
      </c>
      <c r="I133" t="inlineStr">
        <is>
          <t>民生北分</t>
        </is>
      </c>
      <c r="J133" t="n">
        <v>15</v>
      </c>
      <c r="K133" t="inlineStr">
        <is>
          <t>18+12</t>
        </is>
      </c>
      <c r="L133" s="309" t="n">
        <v>46051</v>
      </c>
      <c r="M133" t="n">
        <v>0.0158</v>
      </c>
      <c r="N133" t="n">
        <v>0.0264</v>
      </c>
      <c r="O133" t="inlineStr">
        <is>
          <t>-</t>
        </is>
      </c>
      <c r="P133" t="inlineStr">
        <is>
          <t>中间级</t>
        </is>
      </c>
      <c r="Q133" t="n">
        <v>0.05</v>
      </c>
      <c r="R133" t="n">
        <v>0.75</v>
      </c>
      <c r="S133" t="inlineStr">
        <is>
          <t>AA-</t>
        </is>
      </c>
      <c r="T133" t="n">
        <v>0.032</v>
      </c>
      <c r="U133" s="24" t="inlineStr">
        <is>
          <t>中信建投投顾</t>
        </is>
      </c>
      <c r="V133" s="226" t="n">
        <v>0.25</v>
      </c>
    </row>
    <row r="134">
      <c r="A134" t="n">
        <v>9</v>
      </c>
      <c r="B134" t="inlineStr">
        <is>
          <t>1月</t>
        </is>
      </c>
      <c r="C134" t="inlineStr">
        <is>
          <t>消金</t>
        </is>
      </c>
      <c r="D134" t="inlineStr">
        <is>
          <t>信托金条</t>
        </is>
      </c>
      <c r="E134" t="inlineStr">
        <is>
          <t>京熠1号1期</t>
        </is>
      </c>
      <c r="F134" t="inlineStr">
        <is>
          <t>中保登</t>
        </is>
      </c>
      <c r="G134" t="inlineStr">
        <is>
          <t>泰康资产</t>
        </is>
      </c>
      <c r="H134" t="inlineStr">
        <is>
          <t>国寿投资</t>
        </is>
      </c>
      <c r="I134" t="inlineStr">
        <is>
          <t>民生北分</t>
        </is>
      </c>
      <c r="J134" t="n">
        <v>15</v>
      </c>
      <c r="K134" t="inlineStr">
        <is>
          <t>18+12</t>
        </is>
      </c>
      <c r="L134" s="309" t="n">
        <v>46051</v>
      </c>
      <c r="M134" t="n">
        <v>0.0158</v>
      </c>
      <c r="N134" t="n">
        <v>0.0264</v>
      </c>
      <c r="O134" t="inlineStr">
        <is>
          <t>-</t>
        </is>
      </c>
      <c r="P134" s="223" t="inlineStr">
        <is>
          <t>受益权</t>
        </is>
      </c>
      <c r="Q134" s="267" t="n">
        <v>0.05</v>
      </c>
      <c r="R134" s="268" t="n">
        <v>0.75</v>
      </c>
      <c r="S134" s="223" t="inlineStr">
        <is>
          <t>无</t>
        </is>
      </c>
      <c r="T134" s="267" t="n">
        <v>0.0485</v>
      </c>
      <c r="U134" s="24" t="inlineStr">
        <is>
          <t>中信建投投顾</t>
        </is>
      </c>
      <c r="V134" s="268" t="n">
        <v>0.25</v>
      </c>
    </row>
    <row r="135">
      <c r="A135" t="n">
        <v>9</v>
      </c>
      <c r="B135" t="inlineStr">
        <is>
          <t>1月</t>
        </is>
      </c>
      <c r="C135" t="inlineStr">
        <is>
          <t>消金</t>
        </is>
      </c>
      <c r="D135" t="inlineStr">
        <is>
          <t>信托金条</t>
        </is>
      </c>
      <c r="E135" t="inlineStr">
        <is>
          <t>京熠1号1期</t>
        </is>
      </c>
      <c r="F135" t="inlineStr">
        <is>
          <t>中保登</t>
        </is>
      </c>
      <c r="G135" t="inlineStr">
        <is>
          <t>泰康资产</t>
        </is>
      </c>
      <c r="H135" t="inlineStr">
        <is>
          <t>国寿投资</t>
        </is>
      </c>
      <c r="I135" t="inlineStr">
        <is>
          <t>民生北分</t>
        </is>
      </c>
      <c r="J135" t="n">
        <v>15</v>
      </c>
      <c r="K135" t="inlineStr">
        <is>
          <t>18+12</t>
        </is>
      </c>
      <c r="L135" s="309" t="n">
        <v>46051</v>
      </c>
      <c r="M135" t="n">
        <v>0.0158</v>
      </c>
      <c r="N135" t="n">
        <v>0.0264</v>
      </c>
      <c r="O135" t="inlineStr">
        <is>
          <t>-</t>
        </is>
      </c>
      <c r="P135" t="inlineStr">
        <is>
          <t>受益权</t>
        </is>
      </c>
      <c r="Q135" t="n">
        <v>0.05</v>
      </c>
      <c r="R135" t="n">
        <v>0.75</v>
      </c>
      <c r="S135" t="inlineStr">
        <is>
          <t>无</t>
        </is>
      </c>
      <c r="T135" t="n">
        <v>0.0485</v>
      </c>
      <c r="U135" s="217" t="inlineStr">
        <is>
          <t>信达证券自营</t>
        </is>
      </c>
      <c r="V135" s="268" t="n">
        <v>0.2</v>
      </c>
    </row>
    <row r="136">
      <c r="A136" t="n">
        <v>9</v>
      </c>
      <c r="B136" t="inlineStr">
        <is>
          <t>1月</t>
        </is>
      </c>
      <c r="C136" t="inlineStr">
        <is>
          <t>消金</t>
        </is>
      </c>
      <c r="D136" t="inlineStr">
        <is>
          <t>信托金条</t>
        </is>
      </c>
      <c r="E136" t="inlineStr">
        <is>
          <t>京熠1号1期</t>
        </is>
      </c>
      <c r="F136" t="inlineStr">
        <is>
          <t>中保登</t>
        </is>
      </c>
      <c r="G136" t="inlineStr">
        <is>
          <t>泰康资产</t>
        </is>
      </c>
      <c r="H136" t="inlineStr">
        <is>
          <t>国寿投资</t>
        </is>
      </c>
      <c r="I136" t="inlineStr">
        <is>
          <t>民生北分</t>
        </is>
      </c>
      <c r="J136" t="n">
        <v>15</v>
      </c>
      <c r="K136" t="inlineStr">
        <is>
          <t>18+12</t>
        </is>
      </c>
      <c r="L136" s="309" t="n">
        <v>46051</v>
      </c>
      <c r="M136" t="n">
        <v>0.0158</v>
      </c>
      <c r="N136" t="n">
        <v>0.0264</v>
      </c>
      <c r="O136" t="inlineStr">
        <is>
          <t>-</t>
        </is>
      </c>
      <c r="P136" t="inlineStr">
        <is>
          <t>受益权</t>
        </is>
      </c>
      <c r="Q136" t="n">
        <v>0.05</v>
      </c>
      <c r="R136" t="n">
        <v>0.75</v>
      </c>
      <c r="S136" t="inlineStr">
        <is>
          <t>无</t>
        </is>
      </c>
      <c r="T136" t="n">
        <v>0.0485</v>
      </c>
      <c r="U136" s="217" t="inlineStr">
        <is>
          <t>中金投顾</t>
        </is>
      </c>
      <c r="V136" s="268" t="n">
        <v>0.3</v>
      </c>
    </row>
    <row r="137">
      <c r="A137" s="255" t="n">
        <v>10</v>
      </c>
      <c r="B137" s="271" t="inlineStr">
        <is>
          <t>1月</t>
        </is>
      </c>
      <c r="C137" s="271" t="inlineStr">
        <is>
          <t>消金</t>
        </is>
      </c>
      <c r="D137" s="271" t="inlineStr">
        <is>
          <t>信托金条</t>
        </is>
      </c>
      <c r="E137" s="271" t="inlineStr">
        <is>
          <t>京惠3号3期</t>
        </is>
      </c>
      <c r="F137" s="271" t="inlineStr">
        <is>
          <t>中保登</t>
        </is>
      </c>
      <c r="G137" s="271" t="inlineStr">
        <is>
          <t>泰康资产</t>
        </is>
      </c>
      <c r="H137" s="271" t="inlineStr">
        <is>
          <t>民生通惠</t>
        </is>
      </c>
      <c r="I137" s="271" t="inlineStr">
        <is>
          <t>中信北分</t>
        </is>
      </c>
      <c r="J137" s="271" t="n">
        <v>10</v>
      </c>
      <c r="K137" s="271" t="inlineStr">
        <is>
          <t>11+12</t>
        </is>
      </c>
      <c r="L137" s="280" t="n">
        <v>46051</v>
      </c>
      <c r="M137" s="274" t="n">
        <v>0.0158</v>
      </c>
      <c r="N137" s="317" t="n">
        <v>0.0253</v>
      </c>
      <c r="O137" s="271" t="inlineStr">
        <is>
          <t>-</t>
        </is>
      </c>
      <c r="P137" s="227" t="inlineStr">
        <is>
          <t>优先A1</t>
        </is>
      </c>
      <c r="Q137" s="231" t="n">
        <v>0.83</v>
      </c>
      <c r="R137" s="285" t="n">
        <v>8.300000000000001</v>
      </c>
      <c r="S137" s="227" t="inlineStr">
        <is>
          <t>AAA</t>
        </is>
      </c>
      <c r="T137" s="231" t="n">
        <v>0.0225</v>
      </c>
      <c r="U137" s="24" t="inlineStr">
        <is>
          <t>汇丰银行</t>
        </is>
      </c>
      <c r="V137" s="29" t="n">
        <v>8.300000000000001</v>
      </c>
    </row>
    <row r="138">
      <c r="A138" t="n">
        <v>10</v>
      </c>
      <c r="B138" t="inlineStr">
        <is>
          <t>1月</t>
        </is>
      </c>
      <c r="C138" t="inlineStr">
        <is>
          <t>消金</t>
        </is>
      </c>
      <c r="D138" t="inlineStr">
        <is>
          <t>信托金条</t>
        </is>
      </c>
      <c r="E138" t="inlineStr">
        <is>
          <t>京惠3号3期</t>
        </is>
      </c>
      <c r="F138" t="inlineStr">
        <is>
          <t>中保登</t>
        </is>
      </c>
      <c r="G138" t="inlineStr">
        <is>
          <t>泰康资产</t>
        </is>
      </c>
      <c r="H138" t="inlineStr">
        <is>
          <t>民生通惠</t>
        </is>
      </c>
      <c r="I138" t="inlineStr">
        <is>
          <t>中信北分</t>
        </is>
      </c>
      <c r="J138" t="n">
        <v>10</v>
      </c>
      <c r="K138" t="inlineStr">
        <is>
          <t>11+12</t>
        </is>
      </c>
      <c r="L138" s="309" t="n">
        <v>46051</v>
      </c>
      <c r="M138" t="n">
        <v>0.0158</v>
      </c>
      <c r="N138" t="n">
        <v>0.0253</v>
      </c>
      <c r="O138" t="inlineStr">
        <is>
          <t>-</t>
        </is>
      </c>
      <c r="P138" s="220" t="inlineStr">
        <is>
          <t>优先A2</t>
        </is>
      </c>
      <c r="Q138" s="221" t="n">
        <v>0.07000000000000001</v>
      </c>
      <c r="R138" s="226" t="n">
        <v>0.7</v>
      </c>
      <c r="S138" s="220" t="inlineStr">
        <is>
          <t>AAA</t>
        </is>
      </c>
      <c r="T138" s="221" t="n">
        <v>0.023</v>
      </c>
      <c r="U138" s="217" t="inlineStr">
        <is>
          <t>国信证券自营</t>
        </is>
      </c>
      <c r="V138" s="226" t="n">
        <v>0.3</v>
      </c>
    </row>
    <row r="139">
      <c r="A139" t="n">
        <v>10</v>
      </c>
      <c r="B139" t="inlineStr">
        <is>
          <t>1月</t>
        </is>
      </c>
      <c r="C139" t="inlineStr">
        <is>
          <t>消金</t>
        </is>
      </c>
      <c r="D139" t="inlineStr">
        <is>
          <t>信托金条</t>
        </is>
      </c>
      <c r="E139" t="inlineStr">
        <is>
          <t>京惠3号3期</t>
        </is>
      </c>
      <c r="F139" t="inlineStr">
        <is>
          <t>中保登</t>
        </is>
      </c>
      <c r="G139" t="inlineStr">
        <is>
          <t>泰康资产</t>
        </is>
      </c>
      <c r="H139" t="inlineStr">
        <is>
          <t>民生通惠</t>
        </is>
      </c>
      <c r="I139" t="inlineStr">
        <is>
          <t>中信北分</t>
        </is>
      </c>
      <c r="J139" t="n">
        <v>10</v>
      </c>
      <c r="K139" t="inlineStr">
        <is>
          <t>11+12</t>
        </is>
      </c>
      <c r="L139" s="309" t="n">
        <v>46051</v>
      </c>
      <c r="M139" t="n">
        <v>0.0158</v>
      </c>
      <c r="N139" t="n">
        <v>0.0253</v>
      </c>
      <c r="O139" t="inlineStr">
        <is>
          <t>-</t>
        </is>
      </c>
      <c r="P139" t="inlineStr">
        <is>
          <t>优先A2</t>
        </is>
      </c>
      <c r="Q139" t="n">
        <v>0.07000000000000001</v>
      </c>
      <c r="R139" t="n">
        <v>0.7</v>
      </c>
      <c r="S139" t="inlineStr">
        <is>
          <t>AAA</t>
        </is>
      </c>
      <c r="T139" t="n">
        <v>0.023</v>
      </c>
      <c r="U139" s="217" t="inlineStr">
        <is>
          <t>信达证券自营</t>
        </is>
      </c>
      <c r="V139" s="226" t="n">
        <v>0.2</v>
      </c>
    </row>
    <row r="140">
      <c r="A140" t="n">
        <v>10</v>
      </c>
      <c r="B140" t="inlineStr">
        <is>
          <t>1月</t>
        </is>
      </c>
      <c r="C140" t="inlineStr">
        <is>
          <t>消金</t>
        </is>
      </c>
      <c r="D140" t="inlineStr">
        <is>
          <t>信托金条</t>
        </is>
      </c>
      <c r="E140" t="inlineStr">
        <is>
          <t>京惠3号3期</t>
        </is>
      </c>
      <c r="F140" t="inlineStr">
        <is>
          <t>中保登</t>
        </is>
      </c>
      <c r="G140" t="inlineStr">
        <is>
          <t>泰康资产</t>
        </is>
      </c>
      <c r="H140" t="inlineStr">
        <is>
          <t>民生通惠</t>
        </is>
      </c>
      <c r="I140" t="inlineStr">
        <is>
          <t>中信北分</t>
        </is>
      </c>
      <c r="J140" t="n">
        <v>10</v>
      </c>
      <c r="K140" t="inlineStr">
        <is>
          <t>11+12</t>
        </is>
      </c>
      <c r="L140" s="309" t="n">
        <v>46051</v>
      </c>
      <c r="M140" t="n">
        <v>0.0158</v>
      </c>
      <c r="N140" t="n">
        <v>0.0253</v>
      </c>
      <c r="O140" t="inlineStr">
        <is>
          <t>-</t>
        </is>
      </c>
      <c r="P140" t="inlineStr">
        <is>
          <t>优先A2</t>
        </is>
      </c>
      <c r="Q140" t="n">
        <v>0.07000000000000001</v>
      </c>
      <c r="R140" t="n">
        <v>0.7</v>
      </c>
      <c r="S140" t="inlineStr">
        <is>
          <t>AAA</t>
        </is>
      </c>
      <c r="T140" t="n">
        <v>0.023</v>
      </c>
      <c r="U140" s="217" t="inlineStr">
        <is>
          <t>中信建投投顾</t>
        </is>
      </c>
      <c r="V140" s="226" t="n">
        <v>0.2</v>
      </c>
    </row>
    <row r="141">
      <c r="A141" t="n">
        <v>10</v>
      </c>
      <c r="B141" t="inlineStr">
        <is>
          <t>1月</t>
        </is>
      </c>
      <c r="C141" t="inlineStr">
        <is>
          <t>消金</t>
        </is>
      </c>
      <c r="D141" t="inlineStr">
        <is>
          <t>信托金条</t>
        </is>
      </c>
      <c r="E141" t="inlineStr">
        <is>
          <t>京惠3号3期</t>
        </is>
      </c>
      <c r="F141" t="inlineStr">
        <is>
          <t>中保登</t>
        </is>
      </c>
      <c r="G141" t="inlineStr">
        <is>
          <t>泰康资产</t>
        </is>
      </c>
      <c r="H141" t="inlineStr">
        <is>
          <t>民生通惠</t>
        </is>
      </c>
      <c r="I141" t="inlineStr">
        <is>
          <t>中信北分</t>
        </is>
      </c>
      <c r="J141" t="n">
        <v>10</v>
      </c>
      <c r="K141" t="inlineStr">
        <is>
          <t>11+12</t>
        </is>
      </c>
      <c r="L141" s="309" t="n">
        <v>46051</v>
      </c>
      <c r="M141" t="n">
        <v>0.0158</v>
      </c>
      <c r="N141" t="n">
        <v>0.0253</v>
      </c>
      <c r="O141" t="inlineStr">
        <is>
          <t>-</t>
        </is>
      </c>
      <c r="P141" s="217" t="inlineStr">
        <is>
          <t>优先B</t>
        </is>
      </c>
      <c r="Q141" s="46" t="n">
        <v>0.03</v>
      </c>
      <c r="R141" s="268" t="n">
        <v>0.3</v>
      </c>
      <c r="S141" s="220" t="inlineStr">
        <is>
          <t>AA+</t>
        </is>
      </c>
      <c r="T141" s="267" t="n">
        <v>0.024</v>
      </c>
      <c r="U141" s="217" t="inlineStr">
        <is>
          <t>中金投顾</t>
        </is>
      </c>
      <c r="V141" s="226" t="n">
        <v>0.3</v>
      </c>
    </row>
    <row r="142">
      <c r="A142" t="n">
        <v>10</v>
      </c>
      <c r="B142" t="inlineStr">
        <is>
          <t>1月</t>
        </is>
      </c>
      <c r="C142" t="inlineStr">
        <is>
          <t>消金</t>
        </is>
      </c>
      <c r="D142" t="inlineStr">
        <is>
          <t>信托金条</t>
        </is>
      </c>
      <c r="E142" t="inlineStr">
        <is>
          <t>京惠3号3期</t>
        </is>
      </c>
      <c r="F142" t="inlineStr">
        <is>
          <t>中保登</t>
        </is>
      </c>
      <c r="G142" t="inlineStr">
        <is>
          <t>泰康资产</t>
        </is>
      </c>
      <c r="H142" t="inlineStr">
        <is>
          <t>民生通惠</t>
        </is>
      </c>
      <c r="I142" t="inlineStr">
        <is>
          <t>中信北分</t>
        </is>
      </c>
      <c r="J142" t="n">
        <v>10</v>
      </c>
      <c r="K142" t="inlineStr">
        <is>
          <t>11+12</t>
        </is>
      </c>
      <c r="L142" s="309" t="n">
        <v>46051</v>
      </c>
      <c r="M142" t="n">
        <v>0.0158</v>
      </c>
      <c r="N142" t="n">
        <v>0.0253</v>
      </c>
      <c r="O142" t="inlineStr">
        <is>
          <t>-</t>
        </is>
      </c>
      <c r="P142" s="223" t="inlineStr">
        <is>
          <t>中间级</t>
        </is>
      </c>
      <c r="Q142" s="267" t="n">
        <v>0.02</v>
      </c>
      <c r="R142" s="268" t="n">
        <v>0.2</v>
      </c>
      <c r="S142" s="220" t="inlineStr">
        <is>
          <t>AA-</t>
        </is>
      </c>
      <c r="T142" s="267" t="n">
        <v>0.031</v>
      </c>
      <c r="U142" s="217" t="inlineStr">
        <is>
          <t>国信证券自营</t>
        </is>
      </c>
      <c r="V142" s="226" t="n">
        <v>0.1</v>
      </c>
    </row>
    <row r="143">
      <c r="A143" t="n">
        <v>10</v>
      </c>
      <c r="B143" t="inlineStr">
        <is>
          <t>1月</t>
        </is>
      </c>
      <c r="C143" t="inlineStr">
        <is>
          <t>消金</t>
        </is>
      </c>
      <c r="D143" t="inlineStr">
        <is>
          <t>信托金条</t>
        </is>
      </c>
      <c r="E143" t="inlineStr">
        <is>
          <t>京惠3号3期</t>
        </is>
      </c>
      <c r="F143" t="inlineStr">
        <is>
          <t>中保登</t>
        </is>
      </c>
      <c r="G143" t="inlineStr">
        <is>
          <t>泰康资产</t>
        </is>
      </c>
      <c r="H143" t="inlineStr">
        <is>
          <t>民生通惠</t>
        </is>
      </c>
      <c r="I143" t="inlineStr">
        <is>
          <t>中信北分</t>
        </is>
      </c>
      <c r="J143" t="n">
        <v>10</v>
      </c>
      <c r="K143" t="inlineStr">
        <is>
          <t>11+12</t>
        </is>
      </c>
      <c r="L143" s="309" t="n">
        <v>46051</v>
      </c>
      <c r="M143" t="n">
        <v>0.0158</v>
      </c>
      <c r="N143" t="n">
        <v>0.0253</v>
      </c>
      <c r="O143" t="inlineStr">
        <is>
          <t>-</t>
        </is>
      </c>
      <c r="P143" t="inlineStr">
        <is>
          <t>中间级</t>
        </is>
      </c>
      <c r="Q143" t="n">
        <v>0.02</v>
      </c>
      <c r="R143" t="n">
        <v>0.2</v>
      </c>
      <c r="S143" t="inlineStr">
        <is>
          <t>AA-</t>
        </is>
      </c>
      <c r="T143" t="n">
        <v>0.031</v>
      </c>
      <c r="U143" s="217" t="inlineStr">
        <is>
          <t>信达证券自营</t>
        </is>
      </c>
      <c r="V143" s="226" t="n">
        <v>0.1</v>
      </c>
    </row>
    <row r="144">
      <c r="A144" t="n">
        <v>10</v>
      </c>
      <c r="B144" t="inlineStr">
        <is>
          <t>1月</t>
        </is>
      </c>
      <c r="C144" t="inlineStr">
        <is>
          <t>消金</t>
        </is>
      </c>
      <c r="D144" t="inlineStr">
        <is>
          <t>信托金条</t>
        </is>
      </c>
      <c r="E144" t="inlineStr">
        <is>
          <t>京惠3号3期</t>
        </is>
      </c>
      <c r="F144" t="inlineStr">
        <is>
          <t>中保登</t>
        </is>
      </c>
      <c r="G144" t="inlineStr">
        <is>
          <t>泰康资产</t>
        </is>
      </c>
      <c r="H144" t="inlineStr">
        <is>
          <t>民生通惠</t>
        </is>
      </c>
      <c r="I144" t="inlineStr">
        <is>
          <t>中信北分</t>
        </is>
      </c>
      <c r="J144" t="n">
        <v>10</v>
      </c>
      <c r="K144" t="inlineStr">
        <is>
          <t>11+12</t>
        </is>
      </c>
      <c r="L144" s="309" t="n">
        <v>46051</v>
      </c>
      <c r="M144" t="n">
        <v>0.0158</v>
      </c>
      <c r="N144" t="n">
        <v>0.0253</v>
      </c>
      <c r="O144" t="inlineStr">
        <is>
          <t>-</t>
        </is>
      </c>
      <c r="P144" s="255" t="inlineStr">
        <is>
          <t>受益权</t>
        </is>
      </c>
      <c r="Q144" s="261" t="n">
        <v>0.05</v>
      </c>
      <c r="R144" s="263" t="n">
        <v>0.5</v>
      </c>
      <c r="S144" s="255" t="inlineStr">
        <is>
          <t>无</t>
        </is>
      </c>
      <c r="T144" s="261" t="n">
        <v>0.0485</v>
      </c>
      <c r="U144" s="217" t="inlineStr">
        <is>
          <t>国信证券自营</t>
        </is>
      </c>
      <c r="V144" s="268" t="n">
        <v>0.3</v>
      </c>
    </row>
    <row r="145">
      <c r="A145" t="n">
        <v>10</v>
      </c>
      <c r="B145" t="inlineStr">
        <is>
          <t>1月</t>
        </is>
      </c>
      <c r="C145" t="inlineStr">
        <is>
          <t>消金</t>
        </is>
      </c>
      <c r="D145" t="inlineStr">
        <is>
          <t>信托金条</t>
        </is>
      </c>
      <c r="E145" t="inlineStr">
        <is>
          <t>京惠3号3期</t>
        </is>
      </c>
      <c r="F145" t="inlineStr">
        <is>
          <t>中保登</t>
        </is>
      </c>
      <c r="G145" t="inlineStr">
        <is>
          <t>泰康资产</t>
        </is>
      </c>
      <c r="H145" t="inlineStr">
        <is>
          <t>民生通惠</t>
        </is>
      </c>
      <c r="I145" t="inlineStr">
        <is>
          <t>中信北分</t>
        </is>
      </c>
      <c r="J145" t="n">
        <v>10</v>
      </c>
      <c r="K145" t="inlineStr">
        <is>
          <t>11+12</t>
        </is>
      </c>
      <c r="L145" s="309" t="n">
        <v>46051</v>
      </c>
      <c r="M145" t="n">
        <v>0.0158</v>
      </c>
      <c r="N145" t="n">
        <v>0.0253</v>
      </c>
      <c r="O145" t="inlineStr">
        <is>
          <t>-</t>
        </is>
      </c>
      <c r="P145" t="inlineStr">
        <is>
          <t>受益权</t>
        </is>
      </c>
      <c r="Q145" t="n">
        <v>0.05</v>
      </c>
      <c r="R145" t="n">
        <v>0.5</v>
      </c>
      <c r="S145" t="inlineStr">
        <is>
          <t>无</t>
        </is>
      </c>
      <c r="T145" t="n">
        <v>0.0485</v>
      </c>
      <c r="U145" s="217" t="inlineStr">
        <is>
          <t>中金投顾</t>
        </is>
      </c>
      <c r="V145" s="268" t="n">
        <v>0.2</v>
      </c>
    </row>
    <row r="146">
      <c r="A146" s="223" t="n">
        <v>11</v>
      </c>
      <c r="B146" s="220" t="inlineStr">
        <is>
          <t>1月</t>
        </is>
      </c>
      <c r="C146" s="220" t="inlineStr">
        <is>
          <t>消金</t>
        </is>
      </c>
      <c r="D146" s="220" t="inlineStr">
        <is>
          <t>信托金条</t>
        </is>
      </c>
      <c r="E146" s="44" t="inlineStr">
        <is>
          <t>栗泽15号</t>
        </is>
      </c>
      <c r="F146" s="220" t="inlineStr">
        <is>
          <t>平层非标</t>
        </is>
      </c>
      <c r="G146" s="220" t="inlineStr">
        <is>
          <t>中粮信托</t>
        </is>
      </c>
      <c r="H146" s="220" t="inlineStr">
        <is>
          <t>-</t>
        </is>
      </c>
      <c r="I146" s="220" t="inlineStr">
        <is>
          <t>南银北分</t>
        </is>
      </c>
      <c r="J146" s="220" t="n">
        <v>10</v>
      </c>
      <c r="K146" s="220" t="inlineStr">
        <is>
          <t>11+1</t>
        </is>
      </c>
      <c r="L146" s="224" t="n">
        <v>46052</v>
      </c>
      <c r="M146" s="225" t="n">
        <v>0.016</v>
      </c>
      <c r="N146" s="311" t="n">
        <v>0.02405</v>
      </c>
      <c r="O146" s="226" t="inlineStr">
        <is>
          <t>-</t>
        </is>
      </c>
      <c r="P146" s="220" t="inlineStr">
        <is>
          <t>平层</t>
        </is>
      </c>
      <c r="Q146" s="221" t="n">
        <v>1</v>
      </c>
      <c r="R146" s="308" t="n">
        <v>10</v>
      </c>
      <c r="S146" s="220" t="inlineStr">
        <is>
          <t>无</t>
        </is>
      </c>
      <c r="T146" s="221" t="n">
        <v>0.0225</v>
      </c>
      <c r="U146" s="24" t="inlineStr">
        <is>
          <t>南银理财</t>
        </is>
      </c>
      <c r="V146" s="29" t="n">
        <v>10</v>
      </c>
    </row>
    <row r="147">
      <c r="A147" s="223" t="n">
        <v>12</v>
      </c>
      <c r="B147" s="220" t="inlineStr">
        <is>
          <t>1月</t>
        </is>
      </c>
      <c r="C147" s="220" t="inlineStr">
        <is>
          <t>消金</t>
        </is>
      </c>
      <c r="D147" s="220" t="inlineStr">
        <is>
          <t>信托金条</t>
        </is>
      </c>
      <c r="E147" s="44" t="inlineStr">
        <is>
          <t>栗泽16号</t>
        </is>
      </c>
      <c r="F147" s="220" t="inlineStr">
        <is>
          <t>平层非标</t>
        </is>
      </c>
      <c r="G147" s="220" t="inlineStr">
        <is>
          <t>中粮信托</t>
        </is>
      </c>
      <c r="H147" s="220" t="inlineStr">
        <is>
          <t>-</t>
        </is>
      </c>
      <c r="I147" s="220" t="inlineStr">
        <is>
          <t>邮储北分</t>
        </is>
      </c>
      <c r="J147" s="220" t="n">
        <v>10</v>
      </c>
      <c r="K147" s="220" t="inlineStr">
        <is>
          <t>11+1</t>
        </is>
      </c>
      <c r="L147" s="224" t="n">
        <v>46052</v>
      </c>
      <c r="M147" s="225" t="n">
        <v>0.016</v>
      </c>
      <c r="N147" s="311" t="n">
        <v>0.02405</v>
      </c>
      <c r="O147" s="226" t="inlineStr">
        <is>
          <t>-</t>
        </is>
      </c>
      <c r="P147" s="220" t="inlineStr">
        <is>
          <t>平层</t>
        </is>
      </c>
      <c r="Q147" s="221" t="n">
        <v>1</v>
      </c>
      <c r="R147" s="308" t="n">
        <v>10</v>
      </c>
      <c r="S147" s="220" t="inlineStr">
        <is>
          <t>无</t>
        </is>
      </c>
      <c r="T147" s="221" t="n">
        <v>0.0225</v>
      </c>
      <c r="U147" s="24" t="inlineStr">
        <is>
          <t>中邮理财</t>
        </is>
      </c>
      <c r="V147" s="29" t="n">
        <v>10</v>
      </c>
    </row>
    <row r="148">
      <c r="A148" s="223" t="n">
        <v>13</v>
      </c>
      <c r="B148" s="305" t="inlineStr">
        <is>
          <t>2月</t>
        </is>
      </c>
      <c r="C148" s="305" t="inlineStr">
        <is>
          <t>消金</t>
        </is>
      </c>
      <c r="D148" s="305" t="inlineStr">
        <is>
          <t>赊销白条</t>
        </is>
      </c>
      <c r="E148" s="305" t="inlineStr">
        <is>
          <t>东道19-1（可续发）</t>
        </is>
      </c>
      <c r="F148" s="305" t="inlineStr">
        <is>
          <t>深交所</t>
        </is>
      </c>
      <c r="G148" s="305" t="inlineStr">
        <is>
          <t>国泰海通</t>
        </is>
      </c>
      <c r="H148" s="305" t="inlineStr">
        <is>
          <t>东方证券</t>
        </is>
      </c>
      <c r="I148" s="305" t="inlineStr">
        <is>
          <t>平安北分</t>
        </is>
      </c>
      <c r="J148" s="245" t="n">
        <v>10</v>
      </c>
      <c r="K148" s="305" t="inlineStr">
        <is>
          <t>12+10+10+2</t>
        </is>
      </c>
      <c r="L148" s="246" t="n">
        <v>46056</v>
      </c>
      <c r="M148" s="247" t="n">
        <v>0.0159</v>
      </c>
      <c r="N148" s="259" t="n">
        <v>0.0207</v>
      </c>
      <c r="O148" s="260" t="n">
        <v>1.71</v>
      </c>
      <c r="P148" s="235" t="inlineStr">
        <is>
          <t>优先A</t>
        </is>
      </c>
      <c r="Q148" s="231" t="n">
        <v>0.9</v>
      </c>
      <c r="R148" s="308" t="n">
        <v>9</v>
      </c>
      <c r="S148" s="220" t="inlineStr">
        <is>
          <t>AAA</t>
        </is>
      </c>
      <c r="T148" s="221" t="n">
        <v>0.0185</v>
      </c>
      <c r="U148" s="30" t="inlineStr">
        <is>
          <t>工银理财</t>
        </is>
      </c>
      <c r="V148" s="29" t="n">
        <v>2.5</v>
      </c>
    </row>
    <row r="149">
      <c r="A149" t="n">
        <v>13</v>
      </c>
      <c r="B149" t="inlineStr">
        <is>
          <t>2月</t>
        </is>
      </c>
      <c r="C149" t="inlineStr">
        <is>
          <t>消金</t>
        </is>
      </c>
      <c r="D149" t="inlineStr">
        <is>
          <t>赊销白条</t>
        </is>
      </c>
      <c r="E149" t="inlineStr">
        <is>
          <t>东道19-1（可续发）</t>
        </is>
      </c>
      <c r="F149" t="inlineStr">
        <is>
          <t>深交所</t>
        </is>
      </c>
      <c r="G149" t="inlineStr">
        <is>
          <t>国泰海通</t>
        </is>
      </c>
      <c r="H149" t="inlineStr">
        <is>
          <t>东方证券</t>
        </is>
      </c>
      <c r="I149" t="inlineStr">
        <is>
          <t>平安北分</t>
        </is>
      </c>
      <c r="J149" t="n">
        <v>10</v>
      </c>
      <c r="K149" t="inlineStr">
        <is>
          <t>12+10+10+2</t>
        </is>
      </c>
      <c r="L149" s="309" t="n">
        <v>46056</v>
      </c>
      <c r="M149" t="n">
        <v>0.0159</v>
      </c>
      <c r="N149" t="n">
        <v>0.0207</v>
      </c>
      <c r="O149" t="n">
        <v>1.71</v>
      </c>
      <c r="P149" t="inlineStr">
        <is>
          <t>优先A</t>
        </is>
      </c>
      <c r="Q149" t="n">
        <v>0.9</v>
      </c>
      <c r="R149" t="n">
        <v>9</v>
      </c>
      <c r="S149" t="inlineStr">
        <is>
          <t>AAA</t>
        </is>
      </c>
      <c r="T149" t="n">
        <v>0.0185</v>
      </c>
      <c r="U149" s="30" t="inlineStr">
        <is>
          <t>平安理财</t>
        </is>
      </c>
      <c r="V149" s="308" t="n">
        <v>2.25</v>
      </c>
    </row>
    <row r="150">
      <c r="A150" t="n">
        <v>13</v>
      </c>
      <c r="B150" t="inlineStr">
        <is>
          <t>2月</t>
        </is>
      </c>
      <c r="C150" t="inlineStr">
        <is>
          <t>消金</t>
        </is>
      </c>
      <c r="D150" t="inlineStr">
        <is>
          <t>赊销白条</t>
        </is>
      </c>
      <c r="E150" t="inlineStr">
        <is>
          <t>东道19-1（可续发）</t>
        </is>
      </c>
      <c r="F150" t="inlineStr">
        <is>
          <t>深交所</t>
        </is>
      </c>
      <c r="G150" t="inlineStr">
        <is>
          <t>国泰海通</t>
        </is>
      </c>
      <c r="H150" t="inlineStr">
        <is>
          <t>东方证券</t>
        </is>
      </c>
      <c r="I150" t="inlineStr">
        <is>
          <t>平安北分</t>
        </is>
      </c>
      <c r="J150" t="n">
        <v>10</v>
      </c>
      <c r="K150" t="inlineStr">
        <is>
          <t>12+10+10+2</t>
        </is>
      </c>
      <c r="L150" s="309" t="n">
        <v>46056</v>
      </c>
      <c r="M150" t="n">
        <v>0.0159</v>
      </c>
      <c r="N150" t="n">
        <v>0.0207</v>
      </c>
      <c r="O150" t="n">
        <v>1.71</v>
      </c>
      <c r="P150" t="inlineStr">
        <is>
          <t>优先A</t>
        </is>
      </c>
      <c r="Q150" t="n">
        <v>0.9</v>
      </c>
      <c r="R150" t="n">
        <v>9</v>
      </c>
      <c r="S150" t="inlineStr">
        <is>
          <t>AAA</t>
        </is>
      </c>
      <c r="T150" t="n">
        <v>0.0185</v>
      </c>
      <c r="U150" s="30" t="inlineStr">
        <is>
          <t>交银理财</t>
        </is>
      </c>
      <c r="V150" s="308" t="n">
        <v>1</v>
      </c>
    </row>
    <row r="151">
      <c r="A151" t="n">
        <v>13</v>
      </c>
      <c r="B151" t="inlineStr">
        <is>
          <t>2月</t>
        </is>
      </c>
      <c r="C151" t="inlineStr">
        <is>
          <t>消金</t>
        </is>
      </c>
      <c r="D151" t="inlineStr">
        <is>
          <t>赊销白条</t>
        </is>
      </c>
      <c r="E151" t="inlineStr">
        <is>
          <t>东道19-1（可续发）</t>
        </is>
      </c>
      <c r="F151" t="inlineStr">
        <is>
          <t>深交所</t>
        </is>
      </c>
      <c r="G151" t="inlineStr">
        <is>
          <t>国泰海通</t>
        </is>
      </c>
      <c r="H151" t="inlineStr">
        <is>
          <t>东方证券</t>
        </is>
      </c>
      <c r="I151" t="inlineStr">
        <is>
          <t>平安北分</t>
        </is>
      </c>
      <c r="J151" t="n">
        <v>10</v>
      </c>
      <c r="K151" t="inlineStr">
        <is>
          <t>12+10+10+2</t>
        </is>
      </c>
      <c r="L151" s="309" t="n">
        <v>46056</v>
      </c>
      <c r="M151" t="n">
        <v>0.0159</v>
      </c>
      <c r="N151" t="n">
        <v>0.0207</v>
      </c>
      <c r="O151" t="n">
        <v>1.71</v>
      </c>
      <c r="P151" t="inlineStr">
        <is>
          <t>优先A</t>
        </is>
      </c>
      <c r="Q151" t="n">
        <v>0.9</v>
      </c>
      <c r="R151" t="n">
        <v>9</v>
      </c>
      <c r="S151" t="inlineStr">
        <is>
          <t>AAA</t>
        </is>
      </c>
      <c r="T151" t="n">
        <v>0.0185</v>
      </c>
      <c r="U151" s="235" t="inlineStr">
        <is>
          <t>中银理财</t>
        </is>
      </c>
      <c r="V151" s="308" t="n">
        <v>1</v>
      </c>
    </row>
    <row r="152">
      <c r="A152" t="n">
        <v>13</v>
      </c>
      <c r="B152" t="inlineStr">
        <is>
          <t>2月</t>
        </is>
      </c>
      <c r="C152" t="inlineStr">
        <is>
          <t>消金</t>
        </is>
      </c>
      <c r="D152" t="inlineStr">
        <is>
          <t>赊销白条</t>
        </is>
      </c>
      <c r="E152" t="inlineStr">
        <is>
          <t>东道19-1（可续发）</t>
        </is>
      </c>
      <c r="F152" t="inlineStr">
        <is>
          <t>深交所</t>
        </is>
      </c>
      <c r="G152" t="inlineStr">
        <is>
          <t>国泰海通</t>
        </is>
      </c>
      <c r="H152" t="inlineStr">
        <is>
          <t>东方证券</t>
        </is>
      </c>
      <c r="I152" t="inlineStr">
        <is>
          <t>平安北分</t>
        </is>
      </c>
      <c r="J152" t="n">
        <v>10</v>
      </c>
      <c r="K152" t="inlineStr">
        <is>
          <t>12+10+10+2</t>
        </is>
      </c>
      <c r="L152" s="309" t="n">
        <v>46056</v>
      </c>
      <c r="M152" t="n">
        <v>0.0159</v>
      </c>
      <c r="N152" t="n">
        <v>0.0207</v>
      </c>
      <c r="O152" t="n">
        <v>1.71</v>
      </c>
      <c r="P152" t="inlineStr">
        <is>
          <t>优先A</t>
        </is>
      </c>
      <c r="Q152" t="n">
        <v>0.9</v>
      </c>
      <c r="R152" t="n">
        <v>9</v>
      </c>
      <c r="S152" t="inlineStr">
        <is>
          <t>AAA</t>
        </is>
      </c>
      <c r="T152" t="n">
        <v>0.0185</v>
      </c>
      <c r="U152" s="235" t="inlineStr">
        <is>
          <t>南银理财</t>
        </is>
      </c>
      <c r="V152" s="308" t="n">
        <v>1</v>
      </c>
    </row>
    <row r="153">
      <c r="A153" t="n">
        <v>13</v>
      </c>
      <c r="B153" t="inlineStr">
        <is>
          <t>2月</t>
        </is>
      </c>
      <c r="C153" t="inlineStr">
        <is>
          <t>消金</t>
        </is>
      </c>
      <c r="D153" t="inlineStr">
        <is>
          <t>赊销白条</t>
        </is>
      </c>
      <c r="E153" t="inlineStr">
        <is>
          <t>东道19-1（可续发）</t>
        </is>
      </c>
      <c r="F153" t="inlineStr">
        <is>
          <t>深交所</t>
        </is>
      </c>
      <c r="G153" t="inlineStr">
        <is>
          <t>国泰海通</t>
        </is>
      </c>
      <c r="H153" t="inlineStr">
        <is>
          <t>东方证券</t>
        </is>
      </c>
      <c r="I153" t="inlineStr">
        <is>
          <t>平安北分</t>
        </is>
      </c>
      <c r="J153" t="n">
        <v>10</v>
      </c>
      <c r="K153" t="inlineStr">
        <is>
          <t>12+10+10+2</t>
        </is>
      </c>
      <c r="L153" s="309" t="n">
        <v>46056</v>
      </c>
      <c r="M153" t="n">
        <v>0.0159</v>
      </c>
      <c r="N153" t="n">
        <v>0.0207</v>
      </c>
      <c r="O153" t="n">
        <v>1.71</v>
      </c>
      <c r="P153" t="inlineStr">
        <is>
          <t>优先A</t>
        </is>
      </c>
      <c r="Q153" t="n">
        <v>0.9</v>
      </c>
      <c r="R153" t="n">
        <v>9</v>
      </c>
      <c r="S153" t="inlineStr">
        <is>
          <t>AAA</t>
        </is>
      </c>
      <c r="T153" t="n">
        <v>0.0185</v>
      </c>
      <c r="U153" s="235" t="inlineStr">
        <is>
          <t>国泰海通自营</t>
        </is>
      </c>
      <c r="V153" s="308" t="n">
        <v>0.5</v>
      </c>
    </row>
    <row r="154">
      <c r="A154" t="n">
        <v>13</v>
      </c>
      <c r="B154" t="inlineStr">
        <is>
          <t>2月</t>
        </is>
      </c>
      <c r="C154" t="inlineStr">
        <is>
          <t>消金</t>
        </is>
      </c>
      <c r="D154" t="inlineStr">
        <is>
          <t>赊销白条</t>
        </is>
      </c>
      <c r="E154" t="inlineStr">
        <is>
          <t>东道19-1（可续发）</t>
        </is>
      </c>
      <c r="F154" t="inlineStr">
        <is>
          <t>深交所</t>
        </is>
      </c>
      <c r="G154" t="inlineStr">
        <is>
          <t>国泰海通</t>
        </is>
      </c>
      <c r="H154" t="inlineStr">
        <is>
          <t>东方证券</t>
        </is>
      </c>
      <c r="I154" t="inlineStr">
        <is>
          <t>平安北分</t>
        </is>
      </c>
      <c r="J154" t="n">
        <v>10</v>
      </c>
      <c r="K154" t="inlineStr">
        <is>
          <t>12+10+10+2</t>
        </is>
      </c>
      <c r="L154" s="309" t="n">
        <v>46056</v>
      </c>
      <c r="M154" t="n">
        <v>0.0159</v>
      </c>
      <c r="N154" t="n">
        <v>0.0207</v>
      </c>
      <c r="O154" t="n">
        <v>1.71</v>
      </c>
      <c r="P154" t="inlineStr">
        <is>
          <t>优先A</t>
        </is>
      </c>
      <c r="Q154" t="n">
        <v>0.9</v>
      </c>
      <c r="R154" t="n">
        <v>9</v>
      </c>
      <c r="S154" t="inlineStr">
        <is>
          <t>AAA</t>
        </is>
      </c>
      <c r="T154" t="n">
        <v>0.0185</v>
      </c>
      <c r="U154" s="235" t="inlineStr">
        <is>
          <t>京东世贸</t>
        </is>
      </c>
      <c r="V154" s="308" t="n">
        <v>0.45</v>
      </c>
    </row>
    <row r="155">
      <c r="A155" t="n">
        <v>13</v>
      </c>
      <c r="B155" t="inlineStr">
        <is>
          <t>2月</t>
        </is>
      </c>
      <c r="C155" t="inlineStr">
        <is>
          <t>消金</t>
        </is>
      </c>
      <c r="D155" t="inlineStr">
        <is>
          <t>赊销白条</t>
        </is>
      </c>
      <c r="E155" t="inlineStr">
        <is>
          <t>东道19-1（可续发）</t>
        </is>
      </c>
      <c r="F155" t="inlineStr">
        <is>
          <t>深交所</t>
        </is>
      </c>
      <c r="G155" t="inlineStr">
        <is>
          <t>国泰海通</t>
        </is>
      </c>
      <c r="H155" t="inlineStr">
        <is>
          <t>东方证券</t>
        </is>
      </c>
      <c r="I155" t="inlineStr">
        <is>
          <t>平安北分</t>
        </is>
      </c>
      <c r="J155" t="n">
        <v>10</v>
      </c>
      <c r="K155" t="inlineStr">
        <is>
          <t>12+10+10+2</t>
        </is>
      </c>
      <c r="L155" s="309" t="n">
        <v>46056</v>
      </c>
      <c r="M155" t="n">
        <v>0.0159</v>
      </c>
      <c r="N155" t="n">
        <v>0.0207</v>
      </c>
      <c r="O155" t="n">
        <v>1.71</v>
      </c>
      <c r="P155" t="inlineStr">
        <is>
          <t>优先A</t>
        </is>
      </c>
      <c r="Q155" t="n">
        <v>0.9</v>
      </c>
      <c r="R155" t="n">
        <v>9</v>
      </c>
      <c r="S155" t="inlineStr">
        <is>
          <t>AAA</t>
        </is>
      </c>
      <c r="T155" t="n">
        <v>0.0185</v>
      </c>
      <c r="U155" s="235" t="inlineStr">
        <is>
          <t>东方证券投行</t>
        </is>
      </c>
      <c r="V155" s="308" t="n">
        <v>0.3</v>
      </c>
    </row>
    <row r="156">
      <c r="A156" t="n">
        <v>13</v>
      </c>
      <c r="B156" t="inlineStr">
        <is>
          <t>2月</t>
        </is>
      </c>
      <c r="C156" t="inlineStr">
        <is>
          <t>消金</t>
        </is>
      </c>
      <c r="D156" t="inlineStr">
        <is>
          <t>赊销白条</t>
        </is>
      </c>
      <c r="E156" t="inlineStr">
        <is>
          <t>东道19-1（可续发）</t>
        </is>
      </c>
      <c r="F156" t="inlineStr">
        <is>
          <t>深交所</t>
        </is>
      </c>
      <c r="G156" t="inlineStr">
        <is>
          <t>国泰海通</t>
        </is>
      </c>
      <c r="H156" t="inlineStr">
        <is>
          <t>东方证券</t>
        </is>
      </c>
      <c r="I156" t="inlineStr">
        <is>
          <t>平安北分</t>
        </is>
      </c>
      <c r="J156" t="n">
        <v>10</v>
      </c>
      <c r="K156" t="inlineStr">
        <is>
          <t>12+10+10+2</t>
        </is>
      </c>
      <c r="L156" s="309" t="n">
        <v>46056</v>
      </c>
      <c r="M156" t="n">
        <v>0.0159</v>
      </c>
      <c r="N156" t="n">
        <v>0.0207</v>
      </c>
      <c r="O156" t="n">
        <v>1.71</v>
      </c>
      <c r="P156" s="235" t="inlineStr">
        <is>
          <t>优先B</t>
        </is>
      </c>
      <c r="Q156" s="221" t="n">
        <v>0.03</v>
      </c>
      <c r="R156" s="308" t="n">
        <v>0.3</v>
      </c>
      <c r="S156" s="220" t="inlineStr">
        <is>
          <t>AA+</t>
        </is>
      </c>
      <c r="T156" s="221" t="n">
        <v>0.021</v>
      </c>
      <c r="U156" s="235" t="inlineStr">
        <is>
          <t>建信信托</t>
        </is>
      </c>
      <c r="V156" s="308" t="n">
        <v>0.12</v>
      </c>
    </row>
    <row r="157">
      <c r="A157" t="n">
        <v>13</v>
      </c>
      <c r="B157" t="inlineStr">
        <is>
          <t>2月</t>
        </is>
      </c>
      <c r="C157" t="inlineStr">
        <is>
          <t>消金</t>
        </is>
      </c>
      <c r="D157" t="inlineStr">
        <is>
          <t>赊销白条</t>
        </is>
      </c>
      <c r="E157" t="inlineStr">
        <is>
          <t>东道19-1（可续发）</t>
        </is>
      </c>
      <c r="F157" t="inlineStr">
        <is>
          <t>深交所</t>
        </is>
      </c>
      <c r="G157" t="inlineStr">
        <is>
          <t>国泰海通</t>
        </is>
      </c>
      <c r="H157" t="inlineStr">
        <is>
          <t>东方证券</t>
        </is>
      </c>
      <c r="I157" t="inlineStr">
        <is>
          <t>平安北分</t>
        </is>
      </c>
      <c r="J157" t="n">
        <v>10</v>
      </c>
      <c r="K157" t="inlineStr">
        <is>
          <t>12+10+10+2</t>
        </is>
      </c>
      <c r="L157" s="309" t="n">
        <v>46056</v>
      </c>
      <c r="M157" t="n">
        <v>0.0159</v>
      </c>
      <c r="N157" t="n">
        <v>0.0207</v>
      </c>
      <c r="O157" t="n">
        <v>1.71</v>
      </c>
      <c r="P157" t="inlineStr">
        <is>
          <t>优先B</t>
        </is>
      </c>
      <c r="Q157" t="n">
        <v>0.03</v>
      </c>
      <c r="R157" t="n">
        <v>0.3</v>
      </c>
      <c r="S157" t="inlineStr">
        <is>
          <t>AA+</t>
        </is>
      </c>
      <c r="T157" t="n">
        <v>0.021</v>
      </c>
      <c r="U157" s="235" t="inlineStr">
        <is>
          <t>交银理财</t>
        </is>
      </c>
      <c r="V157" s="308" t="n">
        <v>0.09</v>
      </c>
    </row>
    <row r="158">
      <c r="A158" t="n">
        <v>13</v>
      </c>
      <c r="B158" t="inlineStr">
        <is>
          <t>2月</t>
        </is>
      </c>
      <c r="C158" t="inlineStr">
        <is>
          <t>消金</t>
        </is>
      </c>
      <c r="D158" t="inlineStr">
        <is>
          <t>赊销白条</t>
        </is>
      </c>
      <c r="E158" t="inlineStr">
        <is>
          <t>东道19-1（可续发）</t>
        </is>
      </c>
      <c r="F158" t="inlineStr">
        <is>
          <t>深交所</t>
        </is>
      </c>
      <c r="G158" t="inlineStr">
        <is>
          <t>国泰海通</t>
        </is>
      </c>
      <c r="H158" t="inlineStr">
        <is>
          <t>东方证券</t>
        </is>
      </c>
      <c r="I158" t="inlineStr">
        <is>
          <t>平安北分</t>
        </is>
      </c>
      <c r="J158" t="n">
        <v>10</v>
      </c>
      <c r="K158" t="inlineStr">
        <is>
          <t>12+10+10+2</t>
        </is>
      </c>
      <c r="L158" s="309" t="n">
        <v>46056</v>
      </c>
      <c r="M158" t="n">
        <v>0.0159</v>
      </c>
      <c r="N158" t="n">
        <v>0.0207</v>
      </c>
      <c r="O158" t="n">
        <v>1.71</v>
      </c>
      <c r="P158" t="inlineStr">
        <is>
          <t>优先B</t>
        </is>
      </c>
      <c r="Q158" t="n">
        <v>0.03</v>
      </c>
      <c r="R158" t="n">
        <v>0.3</v>
      </c>
      <c r="S158" t="inlineStr">
        <is>
          <t>AA+</t>
        </is>
      </c>
      <c r="T158" t="n">
        <v>0.021</v>
      </c>
      <c r="U158" s="235" t="inlineStr">
        <is>
          <t>平安理财</t>
        </is>
      </c>
      <c r="V158" s="310" t="n">
        <v>0.075</v>
      </c>
    </row>
    <row r="159">
      <c r="A159" t="n">
        <v>13</v>
      </c>
      <c r="B159" t="inlineStr">
        <is>
          <t>2月</t>
        </is>
      </c>
      <c r="C159" t="inlineStr">
        <is>
          <t>消金</t>
        </is>
      </c>
      <c r="D159" t="inlineStr">
        <is>
          <t>赊销白条</t>
        </is>
      </c>
      <c r="E159" t="inlineStr">
        <is>
          <t>东道19-1（可续发）</t>
        </is>
      </c>
      <c r="F159" t="inlineStr">
        <is>
          <t>深交所</t>
        </is>
      </c>
      <c r="G159" t="inlineStr">
        <is>
          <t>国泰海通</t>
        </is>
      </c>
      <c r="H159" t="inlineStr">
        <is>
          <t>东方证券</t>
        </is>
      </c>
      <c r="I159" t="inlineStr">
        <is>
          <t>平安北分</t>
        </is>
      </c>
      <c r="J159" t="n">
        <v>10</v>
      </c>
      <c r="K159" t="inlineStr">
        <is>
          <t>12+10+10+2</t>
        </is>
      </c>
      <c r="L159" s="309" t="n">
        <v>46056</v>
      </c>
      <c r="M159" t="n">
        <v>0.0159</v>
      </c>
      <c r="N159" t="n">
        <v>0.0207</v>
      </c>
      <c r="O159" t="n">
        <v>1.71</v>
      </c>
      <c r="P159" t="inlineStr">
        <is>
          <t>优先B</t>
        </is>
      </c>
      <c r="Q159" t="n">
        <v>0.03</v>
      </c>
      <c r="R159" t="n">
        <v>0.3</v>
      </c>
      <c r="S159" t="inlineStr">
        <is>
          <t>AA+</t>
        </is>
      </c>
      <c r="T159" t="n">
        <v>0.021</v>
      </c>
      <c r="U159" s="235" t="inlineStr">
        <is>
          <t>京东世贸</t>
        </is>
      </c>
      <c r="V159" s="310" t="n">
        <v>0.015</v>
      </c>
    </row>
    <row r="160">
      <c r="A160" t="n">
        <v>13</v>
      </c>
      <c r="B160" t="inlineStr">
        <is>
          <t>2月</t>
        </is>
      </c>
      <c r="C160" t="inlineStr">
        <is>
          <t>消金</t>
        </is>
      </c>
      <c r="D160" t="inlineStr">
        <is>
          <t>赊销白条</t>
        </is>
      </c>
      <c r="E160" t="inlineStr">
        <is>
          <t>东道19-1（可续发）</t>
        </is>
      </c>
      <c r="F160" t="inlineStr">
        <is>
          <t>深交所</t>
        </is>
      </c>
      <c r="G160" t="inlineStr">
        <is>
          <t>国泰海通</t>
        </is>
      </c>
      <c r="H160" t="inlineStr">
        <is>
          <t>东方证券</t>
        </is>
      </c>
      <c r="I160" t="inlineStr">
        <is>
          <t>平安北分</t>
        </is>
      </c>
      <c r="J160" t="n">
        <v>10</v>
      </c>
      <c r="K160" t="inlineStr">
        <is>
          <t>12+10+10+2</t>
        </is>
      </c>
      <c r="L160" s="309" t="n">
        <v>46056</v>
      </c>
      <c r="M160" t="n">
        <v>0.0159</v>
      </c>
      <c r="N160" t="n">
        <v>0.0207</v>
      </c>
      <c r="O160" t="n">
        <v>1.71</v>
      </c>
      <c r="P160" s="235" t="inlineStr">
        <is>
          <t>中间级</t>
        </is>
      </c>
      <c r="Q160" s="231" t="n">
        <v>0.02</v>
      </c>
      <c r="R160" s="308" t="n">
        <v>0.2</v>
      </c>
      <c r="S160" s="220" t="inlineStr">
        <is>
          <t>A+</t>
        </is>
      </c>
      <c r="T160" s="221" t="n">
        <v>0.031</v>
      </c>
      <c r="U160" s="235" t="inlineStr">
        <is>
          <t>杭州联合银行</t>
        </is>
      </c>
      <c r="V160" s="308" t="n">
        <v>0.14</v>
      </c>
    </row>
    <row r="161">
      <c r="A161" t="n">
        <v>13</v>
      </c>
      <c r="B161" t="inlineStr">
        <is>
          <t>2月</t>
        </is>
      </c>
      <c r="C161" t="inlineStr">
        <is>
          <t>消金</t>
        </is>
      </c>
      <c r="D161" t="inlineStr">
        <is>
          <t>赊销白条</t>
        </is>
      </c>
      <c r="E161" t="inlineStr">
        <is>
          <t>东道19-1（可续发）</t>
        </is>
      </c>
      <c r="F161" t="inlineStr">
        <is>
          <t>深交所</t>
        </is>
      </c>
      <c r="G161" t="inlineStr">
        <is>
          <t>国泰海通</t>
        </is>
      </c>
      <c r="H161" t="inlineStr">
        <is>
          <t>东方证券</t>
        </is>
      </c>
      <c r="I161" t="inlineStr">
        <is>
          <t>平安北分</t>
        </is>
      </c>
      <c r="J161" t="n">
        <v>10</v>
      </c>
      <c r="K161" t="inlineStr">
        <is>
          <t>12+10+10+2</t>
        </is>
      </c>
      <c r="L161" s="309" t="n">
        <v>46056</v>
      </c>
      <c r="M161" t="n">
        <v>0.0159</v>
      </c>
      <c r="N161" t="n">
        <v>0.0207</v>
      </c>
      <c r="O161" t="n">
        <v>1.71</v>
      </c>
      <c r="P161" t="inlineStr">
        <is>
          <t>中间级</t>
        </is>
      </c>
      <c r="Q161" t="n">
        <v>0.02</v>
      </c>
      <c r="R161" t="n">
        <v>0.2</v>
      </c>
      <c r="S161" t="inlineStr">
        <is>
          <t>A+</t>
        </is>
      </c>
      <c r="T161" t="n">
        <v>0.031</v>
      </c>
      <c r="U161" s="235" t="inlineStr">
        <is>
          <t>平安理财</t>
        </is>
      </c>
      <c r="V161" s="308" t="n">
        <v>0.05</v>
      </c>
    </row>
    <row r="162">
      <c r="A162" t="n">
        <v>13</v>
      </c>
      <c r="B162" t="inlineStr">
        <is>
          <t>2月</t>
        </is>
      </c>
      <c r="C162" t="inlineStr">
        <is>
          <t>消金</t>
        </is>
      </c>
      <c r="D162" t="inlineStr">
        <is>
          <t>赊销白条</t>
        </is>
      </c>
      <c r="E162" t="inlineStr">
        <is>
          <t>东道19-1（可续发）</t>
        </is>
      </c>
      <c r="F162" t="inlineStr">
        <is>
          <t>深交所</t>
        </is>
      </c>
      <c r="G162" t="inlineStr">
        <is>
          <t>国泰海通</t>
        </is>
      </c>
      <c r="H162" t="inlineStr">
        <is>
          <t>东方证券</t>
        </is>
      </c>
      <c r="I162" t="inlineStr">
        <is>
          <t>平安北分</t>
        </is>
      </c>
      <c r="J162" t="n">
        <v>10</v>
      </c>
      <c r="K162" t="inlineStr">
        <is>
          <t>12+10+10+2</t>
        </is>
      </c>
      <c r="L162" s="309" t="n">
        <v>46056</v>
      </c>
      <c r="M162" t="n">
        <v>0.0159</v>
      </c>
      <c r="N162" t="n">
        <v>0.0207</v>
      </c>
      <c r="O162" t="n">
        <v>1.71</v>
      </c>
      <c r="P162" t="inlineStr">
        <is>
          <t>中间级</t>
        </is>
      </c>
      <c r="Q162" t="n">
        <v>0.02</v>
      </c>
      <c r="R162" t="n">
        <v>0.2</v>
      </c>
      <c r="S162" t="inlineStr">
        <is>
          <t>A+</t>
        </is>
      </c>
      <c r="T162" t="n">
        <v>0.031</v>
      </c>
      <c r="U162" s="235" t="inlineStr">
        <is>
          <t>京东世贸</t>
        </is>
      </c>
      <c r="V162" s="308" t="n">
        <v>0.01</v>
      </c>
    </row>
    <row r="163">
      <c r="A163" t="n">
        <v>13</v>
      </c>
      <c r="B163" t="inlineStr">
        <is>
          <t>2月</t>
        </is>
      </c>
      <c r="C163" t="inlineStr">
        <is>
          <t>消金</t>
        </is>
      </c>
      <c r="D163" t="inlineStr">
        <is>
          <t>赊销白条</t>
        </is>
      </c>
      <c r="E163" t="inlineStr">
        <is>
          <t>东道19-1（可续发）</t>
        </is>
      </c>
      <c r="F163" t="inlineStr">
        <is>
          <t>深交所</t>
        </is>
      </c>
      <c r="G163" t="inlineStr">
        <is>
          <t>国泰海通</t>
        </is>
      </c>
      <c r="H163" t="inlineStr">
        <is>
          <t>东方证券</t>
        </is>
      </c>
      <c r="I163" t="inlineStr">
        <is>
          <t>平安北分</t>
        </is>
      </c>
      <c r="J163" t="n">
        <v>10</v>
      </c>
      <c r="K163" t="inlineStr">
        <is>
          <t>12+10+10+2</t>
        </is>
      </c>
      <c r="L163" s="309" t="n">
        <v>46056</v>
      </c>
      <c r="M163" t="n">
        <v>0.0159</v>
      </c>
      <c r="N163" t="n">
        <v>0.0207</v>
      </c>
      <c r="O163" t="n">
        <v>1.71</v>
      </c>
      <c r="P163" s="235" t="inlineStr">
        <is>
          <t>次级</t>
        </is>
      </c>
      <c r="Q163" s="221" t="n">
        <v>0.05</v>
      </c>
      <c r="R163" s="308" t="n">
        <v>0.5</v>
      </c>
      <c r="S163" s="220" t="inlineStr">
        <is>
          <t>无</t>
        </is>
      </c>
      <c r="T163" s="221" t="n">
        <v>0.045</v>
      </c>
      <c r="U163" s="235" t="inlineStr">
        <is>
          <t>中信财富</t>
        </is>
      </c>
      <c r="V163" s="308" t="n">
        <v>0.07000000000000001</v>
      </c>
    </row>
    <row r="164">
      <c r="A164" t="n">
        <v>13</v>
      </c>
      <c r="B164" t="inlineStr">
        <is>
          <t>2月</t>
        </is>
      </c>
      <c r="C164" t="inlineStr">
        <is>
          <t>消金</t>
        </is>
      </c>
      <c r="D164" t="inlineStr">
        <is>
          <t>赊销白条</t>
        </is>
      </c>
      <c r="E164" t="inlineStr">
        <is>
          <t>东道19-1（可续发）</t>
        </is>
      </c>
      <c r="F164" t="inlineStr">
        <is>
          <t>深交所</t>
        </is>
      </c>
      <c r="G164" t="inlineStr">
        <is>
          <t>国泰海通</t>
        </is>
      </c>
      <c r="H164" t="inlineStr">
        <is>
          <t>东方证券</t>
        </is>
      </c>
      <c r="I164" t="inlineStr">
        <is>
          <t>平安北分</t>
        </is>
      </c>
      <c r="J164" t="n">
        <v>10</v>
      </c>
      <c r="K164" t="inlineStr">
        <is>
          <t>12+10+10+2</t>
        </is>
      </c>
      <c r="L164" s="309" t="n">
        <v>46056</v>
      </c>
      <c r="M164" t="n">
        <v>0.0159</v>
      </c>
      <c r="N164" t="n">
        <v>0.0207</v>
      </c>
      <c r="O164" t="n">
        <v>1.71</v>
      </c>
      <c r="P164" t="inlineStr">
        <is>
          <t>次级</t>
        </is>
      </c>
      <c r="Q164" t="n">
        <v>0.05</v>
      </c>
      <c r="R164" t="n">
        <v>0.5</v>
      </c>
      <c r="S164" t="inlineStr">
        <is>
          <t>无</t>
        </is>
      </c>
      <c r="T164" t="n">
        <v>0.045</v>
      </c>
      <c r="U164" s="235" t="inlineStr">
        <is>
          <t>申万宏源自营</t>
        </is>
      </c>
      <c r="V164" s="308" t="n">
        <v>0.07000000000000001</v>
      </c>
    </row>
    <row r="165">
      <c r="A165" t="n">
        <v>13</v>
      </c>
      <c r="B165" t="inlineStr">
        <is>
          <t>2月</t>
        </is>
      </c>
      <c r="C165" t="inlineStr">
        <is>
          <t>消金</t>
        </is>
      </c>
      <c r="D165" t="inlineStr">
        <is>
          <t>赊销白条</t>
        </is>
      </c>
      <c r="E165" t="inlineStr">
        <is>
          <t>东道19-1（可续发）</t>
        </is>
      </c>
      <c r="F165" t="inlineStr">
        <is>
          <t>深交所</t>
        </is>
      </c>
      <c r="G165" t="inlineStr">
        <is>
          <t>国泰海通</t>
        </is>
      </c>
      <c r="H165" t="inlineStr">
        <is>
          <t>东方证券</t>
        </is>
      </c>
      <c r="I165" t="inlineStr">
        <is>
          <t>平安北分</t>
        </is>
      </c>
      <c r="J165" t="n">
        <v>10</v>
      </c>
      <c r="K165" t="inlineStr">
        <is>
          <t>12+10+10+2</t>
        </is>
      </c>
      <c r="L165" s="309" t="n">
        <v>46056</v>
      </c>
      <c r="M165" t="n">
        <v>0.0159</v>
      </c>
      <c r="N165" t="n">
        <v>0.0207</v>
      </c>
      <c r="O165" t="n">
        <v>1.71</v>
      </c>
      <c r="P165" t="inlineStr">
        <is>
          <t>次级</t>
        </is>
      </c>
      <c r="Q165" t="n">
        <v>0.05</v>
      </c>
      <c r="R165" t="n">
        <v>0.5</v>
      </c>
      <c r="S165" t="inlineStr">
        <is>
          <t>无</t>
        </is>
      </c>
      <c r="T165" t="n">
        <v>0.045</v>
      </c>
      <c r="U165" s="235" t="inlineStr">
        <is>
          <t>国泰海通自营</t>
        </is>
      </c>
      <c r="V165" s="310" t="n">
        <v>0.235</v>
      </c>
    </row>
    <row r="166">
      <c r="A166" t="n">
        <v>13</v>
      </c>
      <c r="B166" t="inlineStr">
        <is>
          <t>2月</t>
        </is>
      </c>
      <c r="C166" t="inlineStr">
        <is>
          <t>消金</t>
        </is>
      </c>
      <c r="D166" t="inlineStr">
        <is>
          <t>赊销白条</t>
        </is>
      </c>
      <c r="E166" t="inlineStr">
        <is>
          <t>东道19-1（可续发）</t>
        </is>
      </c>
      <c r="F166" t="inlineStr">
        <is>
          <t>深交所</t>
        </is>
      </c>
      <c r="G166" t="inlineStr">
        <is>
          <t>国泰海通</t>
        </is>
      </c>
      <c r="H166" t="inlineStr">
        <is>
          <t>东方证券</t>
        </is>
      </c>
      <c r="I166" t="inlineStr">
        <is>
          <t>平安北分</t>
        </is>
      </c>
      <c r="J166" t="n">
        <v>10</v>
      </c>
      <c r="K166" t="inlineStr">
        <is>
          <t>12+10+10+2</t>
        </is>
      </c>
      <c r="L166" s="309" t="n">
        <v>46056</v>
      </c>
      <c r="M166" t="n">
        <v>0.0159</v>
      </c>
      <c r="N166" t="n">
        <v>0.0207</v>
      </c>
      <c r="O166" t="n">
        <v>1.71</v>
      </c>
      <c r="P166" t="inlineStr">
        <is>
          <t>次级</t>
        </is>
      </c>
      <c r="Q166" t="n">
        <v>0.05</v>
      </c>
      <c r="R166" t="n">
        <v>0.5</v>
      </c>
      <c r="S166" t="inlineStr">
        <is>
          <t>无</t>
        </is>
      </c>
      <c r="T166" t="n">
        <v>0.045</v>
      </c>
      <c r="U166" s="235" t="inlineStr">
        <is>
          <t>东家铂睿</t>
        </is>
      </c>
      <c r="V166" s="308" t="n">
        <v>0.1</v>
      </c>
    </row>
    <row r="167">
      <c r="A167" t="n">
        <v>13</v>
      </c>
      <c r="B167" t="inlineStr">
        <is>
          <t>2月</t>
        </is>
      </c>
      <c r="C167" t="inlineStr">
        <is>
          <t>消金</t>
        </is>
      </c>
      <c r="D167" t="inlineStr">
        <is>
          <t>赊销白条</t>
        </is>
      </c>
      <c r="E167" t="inlineStr">
        <is>
          <t>东道19-1（可续发）</t>
        </is>
      </c>
      <c r="F167" t="inlineStr">
        <is>
          <t>深交所</t>
        </is>
      </c>
      <c r="G167" t="inlineStr">
        <is>
          <t>国泰海通</t>
        </is>
      </c>
      <c r="H167" t="inlineStr">
        <is>
          <t>东方证券</t>
        </is>
      </c>
      <c r="I167" t="inlineStr">
        <is>
          <t>平安北分</t>
        </is>
      </c>
      <c r="J167" t="n">
        <v>10</v>
      </c>
      <c r="K167" t="inlineStr">
        <is>
          <t>12+10+10+2</t>
        </is>
      </c>
      <c r="L167" s="309" t="n">
        <v>46056</v>
      </c>
      <c r="M167" t="n">
        <v>0.0159</v>
      </c>
      <c r="N167" t="n">
        <v>0.0207</v>
      </c>
      <c r="O167" t="n">
        <v>1.71</v>
      </c>
      <c r="P167" t="inlineStr">
        <is>
          <t>次级</t>
        </is>
      </c>
      <c r="Q167" t="n">
        <v>0.05</v>
      </c>
      <c r="R167" t="n">
        <v>0.5</v>
      </c>
      <c r="S167" t="inlineStr">
        <is>
          <t>无</t>
        </is>
      </c>
      <c r="T167" t="n">
        <v>0.045</v>
      </c>
      <c r="U167" s="235" t="inlineStr">
        <is>
          <t>京东世贸</t>
        </is>
      </c>
      <c r="V167" s="310" t="n">
        <v>0.025</v>
      </c>
    </row>
    <row r="168">
      <c r="A168" s="223" t="n">
        <v>14</v>
      </c>
      <c r="B168" s="220" t="inlineStr">
        <is>
          <t>2月</t>
        </is>
      </c>
      <c r="C168" s="220" t="inlineStr">
        <is>
          <t>消金</t>
        </is>
      </c>
      <c r="D168" s="220" t="inlineStr">
        <is>
          <t>信托金条</t>
        </is>
      </c>
      <c r="E168" s="44" t="inlineStr">
        <is>
          <t>京耘3号</t>
        </is>
      </c>
      <c r="F168" s="220" t="inlineStr">
        <is>
          <t>平层非标</t>
        </is>
      </c>
      <c r="G168" s="220" t="inlineStr">
        <is>
          <t>厦门信托</t>
        </is>
      </c>
      <c r="H168" s="220" t="inlineStr">
        <is>
          <t>-</t>
        </is>
      </c>
      <c r="I168" s="220" t="inlineStr">
        <is>
          <t>兴业北分</t>
        </is>
      </c>
      <c r="J168" s="220" t="n">
        <v>10</v>
      </c>
      <c r="K168" s="220" t="inlineStr">
        <is>
          <t>10+2</t>
        </is>
      </c>
      <c r="L168" s="224" t="n">
        <v>46057</v>
      </c>
      <c r="M168" s="225" t="n">
        <v>0.0158</v>
      </c>
      <c r="N168" s="311" t="n">
        <v>0.02375</v>
      </c>
      <c r="O168" s="226">
        <f>-N174</f>
        <v/>
      </c>
      <c r="P168" s="220" t="inlineStr">
        <is>
          <t>平层</t>
        </is>
      </c>
      <c r="Q168" s="221" t="n">
        <v>1</v>
      </c>
      <c r="R168" s="308" t="n">
        <v>10</v>
      </c>
      <c r="S168" s="220" t="inlineStr">
        <is>
          <t>无</t>
        </is>
      </c>
      <c r="T168" s="221" t="n">
        <v>0.0222</v>
      </c>
      <c r="U168" s="24" t="inlineStr">
        <is>
          <t>兴银理财</t>
        </is>
      </c>
      <c r="V168" s="29" t="n">
        <v>10</v>
      </c>
    </row>
    <row r="169">
      <c r="A169" s="223" t="n">
        <v>15</v>
      </c>
      <c r="B169" s="220" t="inlineStr">
        <is>
          <t>2月</t>
        </is>
      </c>
      <c r="C169" s="220" t="inlineStr">
        <is>
          <t>企金</t>
        </is>
      </c>
      <c r="D169" s="220" t="inlineStr">
        <is>
          <t>京企贷</t>
        </is>
      </c>
      <c r="E169" s="233" t="inlineStr">
        <is>
          <t>盛澜1-2</t>
        </is>
      </c>
      <c r="F169" s="220" t="inlineStr">
        <is>
          <t>深交所</t>
        </is>
      </c>
      <c r="G169" s="220" t="inlineStr">
        <is>
          <t>财通资管</t>
        </is>
      </c>
      <c r="H169" s="220" t="inlineStr">
        <is>
          <t>光大证券</t>
        </is>
      </c>
      <c r="I169" s="220" t="inlineStr">
        <is>
          <t>江苏北分</t>
        </is>
      </c>
      <c r="J169" s="220" t="n">
        <v>10</v>
      </c>
      <c r="K169" s="220" t="inlineStr">
        <is>
          <t>12+12</t>
        </is>
      </c>
      <c r="L169" s="224" t="n">
        <v>46062</v>
      </c>
      <c r="M169" s="225" t="n">
        <v>0.0159</v>
      </c>
      <c r="N169" s="318" t="n">
        <v>0.02317</v>
      </c>
      <c r="O169" s="226" t="n">
        <v>2.19</v>
      </c>
      <c r="P169" s="220" t="inlineStr">
        <is>
          <t>优先级</t>
        </is>
      </c>
      <c r="Q169" s="231" t="n">
        <v>0.9</v>
      </c>
      <c r="R169" s="308" t="n">
        <v>9</v>
      </c>
      <c r="S169" s="220" t="inlineStr">
        <is>
          <t>AAA</t>
        </is>
      </c>
      <c r="T169" s="221" t="n">
        <v>0.021</v>
      </c>
      <c r="U169" s="217" t="inlineStr">
        <is>
          <t>盛际小贷</t>
        </is>
      </c>
      <c r="V169" s="313" t="n">
        <v>0.45</v>
      </c>
    </row>
    <row r="170">
      <c r="A170" t="n">
        <v>15</v>
      </c>
      <c r="B170" t="inlineStr">
        <is>
          <t>2月</t>
        </is>
      </c>
      <c r="C170" t="inlineStr">
        <is>
          <t>企金</t>
        </is>
      </c>
      <c r="D170" t="inlineStr">
        <is>
          <t>京企贷</t>
        </is>
      </c>
      <c r="E170" t="inlineStr">
        <is>
          <t>盛澜1-2</t>
        </is>
      </c>
      <c r="F170" t="inlineStr">
        <is>
          <t>深交所</t>
        </is>
      </c>
      <c r="G170" t="inlineStr">
        <is>
          <t>财通资管</t>
        </is>
      </c>
      <c r="H170" t="inlineStr">
        <is>
          <t>光大证券</t>
        </is>
      </c>
      <c r="I170" t="inlineStr">
        <is>
          <t>江苏北分</t>
        </is>
      </c>
      <c r="J170" t="n">
        <v>10</v>
      </c>
      <c r="K170" t="inlineStr">
        <is>
          <t>12+12</t>
        </is>
      </c>
      <c r="L170" s="309" t="n">
        <v>46062</v>
      </c>
      <c r="M170" t="n">
        <v>0.0159</v>
      </c>
      <c r="N170" t="n">
        <v>0.02317</v>
      </c>
      <c r="O170" t="n">
        <v>2.19</v>
      </c>
      <c r="P170" t="inlineStr">
        <is>
          <t>优先级</t>
        </is>
      </c>
      <c r="Q170" t="n">
        <v>0.9</v>
      </c>
      <c r="R170" t="n">
        <v>9</v>
      </c>
      <c r="S170" t="inlineStr">
        <is>
          <t>AAA</t>
        </is>
      </c>
      <c r="T170" t="n">
        <v>0.021</v>
      </c>
      <c r="U170" s="217" t="inlineStr">
        <is>
          <t>财达资管</t>
        </is>
      </c>
      <c r="V170" s="25" t="n">
        <v>0.3</v>
      </c>
    </row>
    <row r="171">
      <c r="A171" t="n">
        <v>15</v>
      </c>
      <c r="B171" t="inlineStr">
        <is>
          <t>2月</t>
        </is>
      </c>
      <c r="C171" t="inlineStr">
        <is>
          <t>企金</t>
        </is>
      </c>
      <c r="D171" t="inlineStr">
        <is>
          <t>京企贷</t>
        </is>
      </c>
      <c r="E171" t="inlineStr">
        <is>
          <t>盛澜1-2</t>
        </is>
      </c>
      <c r="F171" t="inlineStr">
        <is>
          <t>深交所</t>
        </is>
      </c>
      <c r="G171" t="inlineStr">
        <is>
          <t>财通资管</t>
        </is>
      </c>
      <c r="H171" t="inlineStr">
        <is>
          <t>光大证券</t>
        </is>
      </c>
      <c r="I171" t="inlineStr">
        <is>
          <t>江苏北分</t>
        </is>
      </c>
      <c r="J171" t="n">
        <v>10</v>
      </c>
      <c r="K171" t="inlineStr">
        <is>
          <t>12+12</t>
        </is>
      </c>
      <c r="L171" s="309" t="n">
        <v>46062</v>
      </c>
      <c r="M171" t="n">
        <v>0.0159</v>
      </c>
      <c r="N171" t="n">
        <v>0.02317</v>
      </c>
      <c r="O171" t="n">
        <v>2.19</v>
      </c>
      <c r="P171" t="inlineStr">
        <is>
          <t>优先级</t>
        </is>
      </c>
      <c r="Q171" t="n">
        <v>0.9</v>
      </c>
      <c r="R171" t="n">
        <v>9</v>
      </c>
      <c r="S171" t="inlineStr">
        <is>
          <t>AAA</t>
        </is>
      </c>
      <c r="T171" t="n">
        <v>0.021</v>
      </c>
      <c r="U171" s="217" t="inlineStr">
        <is>
          <t>中金资管</t>
        </is>
      </c>
      <c r="V171" s="25" t="n">
        <v>0.1</v>
      </c>
    </row>
    <row r="172">
      <c r="A172" t="n">
        <v>15</v>
      </c>
      <c r="B172" t="inlineStr">
        <is>
          <t>2月</t>
        </is>
      </c>
      <c r="C172" t="inlineStr">
        <is>
          <t>企金</t>
        </is>
      </c>
      <c r="D172" t="inlineStr">
        <is>
          <t>京企贷</t>
        </is>
      </c>
      <c r="E172" t="inlineStr">
        <is>
          <t>盛澜1-2</t>
        </is>
      </c>
      <c r="F172" t="inlineStr">
        <is>
          <t>深交所</t>
        </is>
      </c>
      <c r="G172" t="inlineStr">
        <is>
          <t>财通资管</t>
        </is>
      </c>
      <c r="H172" t="inlineStr">
        <is>
          <t>光大证券</t>
        </is>
      </c>
      <c r="I172" t="inlineStr">
        <is>
          <t>江苏北分</t>
        </is>
      </c>
      <c r="J172" t="n">
        <v>10</v>
      </c>
      <c r="K172" t="inlineStr">
        <is>
          <t>12+12</t>
        </is>
      </c>
      <c r="L172" s="309" t="n">
        <v>46062</v>
      </c>
      <c r="M172" t="n">
        <v>0.0159</v>
      </c>
      <c r="N172" t="n">
        <v>0.02317</v>
      </c>
      <c r="O172" t="n">
        <v>2.19</v>
      </c>
      <c r="P172" t="inlineStr">
        <is>
          <t>优先级</t>
        </is>
      </c>
      <c r="Q172" t="n">
        <v>0.9</v>
      </c>
      <c r="R172" t="n">
        <v>9</v>
      </c>
      <c r="S172" t="inlineStr">
        <is>
          <t>AAA</t>
        </is>
      </c>
      <c r="T172" t="n">
        <v>0.021</v>
      </c>
      <c r="U172" s="217" t="inlineStr">
        <is>
          <t>中金自营</t>
        </is>
      </c>
      <c r="V172" s="25" t="n">
        <v>1</v>
      </c>
    </row>
    <row r="173">
      <c r="A173" t="n">
        <v>15</v>
      </c>
      <c r="B173" t="inlineStr">
        <is>
          <t>2月</t>
        </is>
      </c>
      <c r="C173" t="inlineStr">
        <is>
          <t>企金</t>
        </is>
      </c>
      <c r="D173" t="inlineStr">
        <is>
          <t>京企贷</t>
        </is>
      </c>
      <c r="E173" t="inlineStr">
        <is>
          <t>盛澜1-2</t>
        </is>
      </c>
      <c r="F173" t="inlineStr">
        <is>
          <t>深交所</t>
        </is>
      </c>
      <c r="G173" t="inlineStr">
        <is>
          <t>财通资管</t>
        </is>
      </c>
      <c r="H173" t="inlineStr">
        <is>
          <t>光大证券</t>
        </is>
      </c>
      <c r="I173" t="inlineStr">
        <is>
          <t>江苏北分</t>
        </is>
      </c>
      <c r="J173" t="n">
        <v>10</v>
      </c>
      <c r="K173" t="inlineStr">
        <is>
          <t>12+12</t>
        </is>
      </c>
      <c r="L173" s="309" t="n">
        <v>46062</v>
      </c>
      <c r="M173" t="n">
        <v>0.0159</v>
      </c>
      <c r="N173" t="n">
        <v>0.02317</v>
      </c>
      <c r="O173" t="n">
        <v>2.19</v>
      </c>
      <c r="P173" t="inlineStr">
        <is>
          <t>优先级</t>
        </is>
      </c>
      <c r="Q173" t="n">
        <v>0.9</v>
      </c>
      <c r="R173" t="n">
        <v>9</v>
      </c>
      <c r="S173" t="inlineStr">
        <is>
          <t>AAA</t>
        </is>
      </c>
      <c r="T173" t="n">
        <v>0.021</v>
      </c>
      <c r="U173" s="217" t="inlineStr">
        <is>
          <t>渤银理财</t>
        </is>
      </c>
      <c r="V173" s="25" t="n">
        <v>0.5</v>
      </c>
    </row>
    <row r="174">
      <c r="A174" t="n">
        <v>15</v>
      </c>
      <c r="B174" t="inlineStr">
        <is>
          <t>2月</t>
        </is>
      </c>
      <c r="C174" t="inlineStr">
        <is>
          <t>企金</t>
        </is>
      </c>
      <c r="D174" t="inlineStr">
        <is>
          <t>京企贷</t>
        </is>
      </c>
      <c r="E174" t="inlineStr">
        <is>
          <t>盛澜1-2</t>
        </is>
      </c>
      <c r="F174" t="inlineStr">
        <is>
          <t>深交所</t>
        </is>
      </c>
      <c r="G174" t="inlineStr">
        <is>
          <t>财通资管</t>
        </is>
      </c>
      <c r="H174" t="inlineStr">
        <is>
          <t>光大证券</t>
        </is>
      </c>
      <c r="I174" t="inlineStr">
        <is>
          <t>江苏北分</t>
        </is>
      </c>
      <c r="J174" t="n">
        <v>10</v>
      </c>
      <c r="K174" t="inlineStr">
        <is>
          <t>12+12</t>
        </is>
      </c>
      <c r="L174" s="309" t="n">
        <v>46062</v>
      </c>
      <c r="M174" t="n">
        <v>0.0159</v>
      </c>
      <c r="N174" t="n">
        <v>0.02317</v>
      </c>
      <c r="O174" t="n">
        <v>2.19</v>
      </c>
      <c r="P174" t="inlineStr">
        <is>
          <t>优先级</t>
        </is>
      </c>
      <c r="Q174" t="n">
        <v>0.9</v>
      </c>
      <c r="R174" t="n">
        <v>9</v>
      </c>
      <c r="S174" t="inlineStr">
        <is>
          <t>AAA</t>
        </is>
      </c>
      <c r="T174" t="n">
        <v>0.021</v>
      </c>
      <c r="U174" s="217" t="inlineStr">
        <is>
          <t>建信信托</t>
        </is>
      </c>
      <c r="V174" s="25" t="n">
        <v>1.85</v>
      </c>
    </row>
    <row r="175">
      <c r="A175" t="n">
        <v>15</v>
      </c>
      <c r="B175" t="inlineStr">
        <is>
          <t>2月</t>
        </is>
      </c>
      <c r="C175" t="inlineStr">
        <is>
          <t>企金</t>
        </is>
      </c>
      <c r="D175" t="inlineStr">
        <is>
          <t>京企贷</t>
        </is>
      </c>
      <c r="E175" t="inlineStr">
        <is>
          <t>盛澜1-2</t>
        </is>
      </c>
      <c r="F175" t="inlineStr">
        <is>
          <t>深交所</t>
        </is>
      </c>
      <c r="G175" t="inlineStr">
        <is>
          <t>财通资管</t>
        </is>
      </c>
      <c r="H175" t="inlineStr">
        <is>
          <t>光大证券</t>
        </is>
      </c>
      <c r="I175" t="inlineStr">
        <is>
          <t>江苏北分</t>
        </is>
      </c>
      <c r="J175" t="n">
        <v>10</v>
      </c>
      <c r="K175" t="inlineStr">
        <is>
          <t>12+12</t>
        </is>
      </c>
      <c r="L175" s="309" t="n">
        <v>46062</v>
      </c>
      <c r="M175" t="n">
        <v>0.0159</v>
      </c>
      <c r="N175" t="n">
        <v>0.02317</v>
      </c>
      <c r="O175" t="n">
        <v>2.19</v>
      </c>
      <c r="P175" t="inlineStr">
        <is>
          <t>优先级</t>
        </is>
      </c>
      <c r="Q175" t="n">
        <v>0.9</v>
      </c>
      <c r="R175" t="n">
        <v>9</v>
      </c>
      <c r="S175" t="inlineStr">
        <is>
          <t>AAA</t>
        </is>
      </c>
      <c r="T175" t="n">
        <v>0.021</v>
      </c>
      <c r="U175" s="217" t="inlineStr">
        <is>
          <t>中信投顾</t>
        </is>
      </c>
      <c r="V175" s="25" t="n">
        <v>1.3</v>
      </c>
    </row>
    <row r="176">
      <c r="A176" t="n">
        <v>15</v>
      </c>
      <c r="B176" t="inlineStr">
        <is>
          <t>2月</t>
        </is>
      </c>
      <c r="C176" t="inlineStr">
        <is>
          <t>企金</t>
        </is>
      </c>
      <c r="D176" t="inlineStr">
        <is>
          <t>京企贷</t>
        </is>
      </c>
      <c r="E176" t="inlineStr">
        <is>
          <t>盛澜1-2</t>
        </is>
      </c>
      <c r="F176" t="inlineStr">
        <is>
          <t>深交所</t>
        </is>
      </c>
      <c r="G176" t="inlineStr">
        <is>
          <t>财通资管</t>
        </is>
      </c>
      <c r="H176" t="inlineStr">
        <is>
          <t>光大证券</t>
        </is>
      </c>
      <c r="I176" t="inlineStr">
        <is>
          <t>江苏北分</t>
        </is>
      </c>
      <c r="J176" t="n">
        <v>10</v>
      </c>
      <c r="K176" t="inlineStr">
        <is>
          <t>12+12</t>
        </is>
      </c>
      <c r="L176" s="309" t="n">
        <v>46062</v>
      </c>
      <c r="M176" t="n">
        <v>0.0159</v>
      </c>
      <c r="N176" t="n">
        <v>0.02317</v>
      </c>
      <c r="O176" t="n">
        <v>2.19</v>
      </c>
      <c r="P176" t="inlineStr">
        <is>
          <t>优先级</t>
        </is>
      </c>
      <c r="Q176" t="n">
        <v>0.9</v>
      </c>
      <c r="R176" t="n">
        <v>9</v>
      </c>
      <c r="S176" t="inlineStr">
        <is>
          <t>AAA</t>
        </is>
      </c>
      <c r="T176" t="n">
        <v>0.021</v>
      </c>
      <c r="U176" s="217" t="inlineStr">
        <is>
          <t>广银理财</t>
        </is>
      </c>
      <c r="V176" s="25" t="n">
        <v>1.15</v>
      </c>
    </row>
    <row r="177">
      <c r="A177" t="n">
        <v>15</v>
      </c>
      <c r="B177" t="inlineStr">
        <is>
          <t>2月</t>
        </is>
      </c>
      <c r="C177" t="inlineStr">
        <is>
          <t>企金</t>
        </is>
      </c>
      <c r="D177" t="inlineStr">
        <is>
          <t>京企贷</t>
        </is>
      </c>
      <c r="E177" t="inlineStr">
        <is>
          <t>盛澜1-2</t>
        </is>
      </c>
      <c r="F177" t="inlineStr">
        <is>
          <t>深交所</t>
        </is>
      </c>
      <c r="G177" t="inlineStr">
        <is>
          <t>财通资管</t>
        </is>
      </c>
      <c r="H177" t="inlineStr">
        <is>
          <t>光大证券</t>
        </is>
      </c>
      <c r="I177" t="inlineStr">
        <is>
          <t>江苏北分</t>
        </is>
      </c>
      <c r="J177" t="n">
        <v>10</v>
      </c>
      <c r="K177" t="inlineStr">
        <is>
          <t>12+12</t>
        </is>
      </c>
      <c r="L177" s="309" t="n">
        <v>46062</v>
      </c>
      <c r="M177" t="n">
        <v>0.0159</v>
      </c>
      <c r="N177" t="n">
        <v>0.02317</v>
      </c>
      <c r="O177" t="n">
        <v>2.19</v>
      </c>
      <c r="P177" t="inlineStr">
        <is>
          <t>优先级</t>
        </is>
      </c>
      <c r="Q177" t="n">
        <v>0.9</v>
      </c>
      <c r="R177" t="n">
        <v>9</v>
      </c>
      <c r="S177" t="inlineStr">
        <is>
          <t>AAA</t>
        </is>
      </c>
      <c r="T177" t="n">
        <v>0.021</v>
      </c>
      <c r="U177" s="217" t="inlineStr">
        <is>
          <t>申万宏源投顾</t>
        </is>
      </c>
      <c r="V177" s="25" t="n">
        <v>1.1</v>
      </c>
    </row>
    <row r="178">
      <c r="A178" t="n">
        <v>15</v>
      </c>
      <c r="B178" t="inlineStr">
        <is>
          <t>2月</t>
        </is>
      </c>
      <c r="C178" t="inlineStr">
        <is>
          <t>企金</t>
        </is>
      </c>
      <c r="D178" t="inlineStr">
        <is>
          <t>京企贷</t>
        </is>
      </c>
      <c r="E178" t="inlineStr">
        <is>
          <t>盛澜1-2</t>
        </is>
      </c>
      <c r="F178" t="inlineStr">
        <is>
          <t>深交所</t>
        </is>
      </c>
      <c r="G178" t="inlineStr">
        <is>
          <t>财通资管</t>
        </is>
      </c>
      <c r="H178" t="inlineStr">
        <is>
          <t>光大证券</t>
        </is>
      </c>
      <c r="I178" t="inlineStr">
        <is>
          <t>江苏北分</t>
        </is>
      </c>
      <c r="J178" t="n">
        <v>10</v>
      </c>
      <c r="K178" t="inlineStr">
        <is>
          <t>12+12</t>
        </is>
      </c>
      <c r="L178" s="309" t="n">
        <v>46062</v>
      </c>
      <c r="M178" t="n">
        <v>0.0159</v>
      </c>
      <c r="N178" t="n">
        <v>0.02317</v>
      </c>
      <c r="O178" t="n">
        <v>2.19</v>
      </c>
      <c r="P178" t="inlineStr">
        <is>
          <t>优先级</t>
        </is>
      </c>
      <c r="Q178" t="n">
        <v>0.9</v>
      </c>
      <c r="R178" t="n">
        <v>9</v>
      </c>
      <c r="S178" t="inlineStr">
        <is>
          <t>AAA</t>
        </is>
      </c>
      <c r="T178" t="n">
        <v>0.021</v>
      </c>
      <c r="U178" s="217" t="inlineStr">
        <is>
          <t>中泰证券自营</t>
        </is>
      </c>
      <c r="V178" s="25" t="n">
        <v>0.3</v>
      </c>
    </row>
    <row r="179">
      <c r="A179" t="n">
        <v>15</v>
      </c>
      <c r="B179" t="inlineStr">
        <is>
          <t>2月</t>
        </is>
      </c>
      <c r="C179" t="inlineStr">
        <is>
          <t>企金</t>
        </is>
      </c>
      <c r="D179" t="inlineStr">
        <is>
          <t>京企贷</t>
        </is>
      </c>
      <c r="E179" t="inlineStr">
        <is>
          <t>盛澜1-2</t>
        </is>
      </c>
      <c r="F179" t="inlineStr">
        <is>
          <t>深交所</t>
        </is>
      </c>
      <c r="G179" t="inlineStr">
        <is>
          <t>财通资管</t>
        </is>
      </c>
      <c r="H179" t="inlineStr">
        <is>
          <t>光大证券</t>
        </is>
      </c>
      <c r="I179" t="inlineStr">
        <is>
          <t>江苏北分</t>
        </is>
      </c>
      <c r="J179" t="n">
        <v>10</v>
      </c>
      <c r="K179" t="inlineStr">
        <is>
          <t>12+12</t>
        </is>
      </c>
      <c r="L179" s="309" t="n">
        <v>46062</v>
      </c>
      <c r="M179" t="n">
        <v>0.0159</v>
      </c>
      <c r="N179" t="n">
        <v>0.02317</v>
      </c>
      <c r="O179" t="n">
        <v>2.19</v>
      </c>
      <c r="P179" t="inlineStr">
        <is>
          <t>优先级</t>
        </is>
      </c>
      <c r="Q179" t="n">
        <v>0.9</v>
      </c>
      <c r="R179" t="n">
        <v>9</v>
      </c>
      <c r="S179" t="inlineStr">
        <is>
          <t>AAA</t>
        </is>
      </c>
      <c r="T179" t="n">
        <v>0.021</v>
      </c>
      <c r="U179" s="217" t="inlineStr">
        <is>
          <t>申万宏源资管</t>
        </is>
      </c>
      <c r="V179" s="25" t="n">
        <v>0.1</v>
      </c>
    </row>
    <row r="180">
      <c r="A180" t="n">
        <v>15</v>
      </c>
      <c r="B180" t="inlineStr">
        <is>
          <t>2月</t>
        </is>
      </c>
      <c r="C180" t="inlineStr">
        <is>
          <t>企金</t>
        </is>
      </c>
      <c r="D180" t="inlineStr">
        <is>
          <t>京企贷</t>
        </is>
      </c>
      <c r="E180" t="inlineStr">
        <is>
          <t>盛澜1-2</t>
        </is>
      </c>
      <c r="F180" t="inlineStr">
        <is>
          <t>深交所</t>
        </is>
      </c>
      <c r="G180" t="inlineStr">
        <is>
          <t>财通资管</t>
        </is>
      </c>
      <c r="H180" t="inlineStr">
        <is>
          <t>光大证券</t>
        </is>
      </c>
      <c r="I180" t="inlineStr">
        <is>
          <t>江苏北分</t>
        </is>
      </c>
      <c r="J180" t="n">
        <v>10</v>
      </c>
      <c r="K180" t="inlineStr">
        <is>
          <t>12+12</t>
        </is>
      </c>
      <c r="L180" s="309" t="n">
        <v>46062</v>
      </c>
      <c r="M180" t="n">
        <v>0.0159</v>
      </c>
      <c r="N180" t="n">
        <v>0.02317</v>
      </c>
      <c r="O180" t="n">
        <v>2.19</v>
      </c>
      <c r="P180" t="inlineStr">
        <is>
          <t>优先级</t>
        </is>
      </c>
      <c r="Q180" t="n">
        <v>0.9</v>
      </c>
      <c r="R180" t="n">
        <v>9</v>
      </c>
      <c r="S180" t="inlineStr">
        <is>
          <t>AAA</t>
        </is>
      </c>
      <c r="T180" t="n">
        <v>0.021</v>
      </c>
      <c r="U180" s="217" t="inlineStr">
        <is>
          <t>宁夏银行</t>
        </is>
      </c>
      <c r="V180" s="25" t="n">
        <v>0.85</v>
      </c>
    </row>
    <row r="181">
      <c r="A181" t="n">
        <v>15</v>
      </c>
      <c r="B181" t="inlineStr">
        <is>
          <t>2月</t>
        </is>
      </c>
      <c r="C181" t="inlineStr">
        <is>
          <t>企金</t>
        </is>
      </c>
      <c r="D181" t="inlineStr">
        <is>
          <t>京企贷</t>
        </is>
      </c>
      <c r="E181" t="inlineStr">
        <is>
          <t>盛澜1-2</t>
        </is>
      </c>
      <c r="F181" t="inlineStr">
        <is>
          <t>深交所</t>
        </is>
      </c>
      <c r="G181" t="inlineStr">
        <is>
          <t>财通资管</t>
        </is>
      </c>
      <c r="H181" t="inlineStr">
        <is>
          <t>光大证券</t>
        </is>
      </c>
      <c r="I181" t="inlineStr">
        <is>
          <t>江苏北分</t>
        </is>
      </c>
      <c r="J181" t="n">
        <v>10</v>
      </c>
      <c r="K181" t="inlineStr">
        <is>
          <t>12+12</t>
        </is>
      </c>
      <c r="L181" s="309" t="n">
        <v>46062</v>
      </c>
      <c r="M181" t="n">
        <v>0.0159</v>
      </c>
      <c r="N181" t="n">
        <v>0.02317</v>
      </c>
      <c r="O181" t="n">
        <v>2.19</v>
      </c>
      <c r="P181" s="220" t="inlineStr">
        <is>
          <t>中间级</t>
        </is>
      </c>
      <c r="Q181" s="221" t="n">
        <v>0.05</v>
      </c>
      <c r="R181" s="308" t="n">
        <v>0.5</v>
      </c>
      <c r="S181" s="221" t="inlineStr">
        <is>
          <t>A+</t>
        </is>
      </c>
      <c r="T181" s="221" t="n">
        <v>0.032</v>
      </c>
      <c r="U181" s="217" t="inlineStr">
        <is>
          <t>申万宏源自营</t>
        </is>
      </c>
      <c r="V181" s="25" t="n">
        <v>0.1</v>
      </c>
    </row>
    <row r="182">
      <c r="A182" t="n">
        <v>15</v>
      </c>
      <c r="B182" t="inlineStr">
        <is>
          <t>2月</t>
        </is>
      </c>
      <c r="C182" t="inlineStr">
        <is>
          <t>企金</t>
        </is>
      </c>
      <c r="D182" t="inlineStr">
        <is>
          <t>京企贷</t>
        </is>
      </c>
      <c r="E182" t="inlineStr">
        <is>
          <t>盛澜1-2</t>
        </is>
      </c>
      <c r="F182" t="inlineStr">
        <is>
          <t>深交所</t>
        </is>
      </c>
      <c r="G182" t="inlineStr">
        <is>
          <t>财通资管</t>
        </is>
      </c>
      <c r="H182" t="inlineStr">
        <is>
          <t>光大证券</t>
        </is>
      </c>
      <c r="I182" t="inlineStr">
        <is>
          <t>江苏北分</t>
        </is>
      </c>
      <c r="J182" t="n">
        <v>10</v>
      </c>
      <c r="K182" t="inlineStr">
        <is>
          <t>12+12</t>
        </is>
      </c>
      <c r="L182" s="309" t="n">
        <v>46062</v>
      </c>
      <c r="M182" t="n">
        <v>0.0159</v>
      </c>
      <c r="N182" t="n">
        <v>0.02317</v>
      </c>
      <c r="O182" t="n">
        <v>2.19</v>
      </c>
      <c r="P182" t="inlineStr">
        <is>
          <t>中间级</t>
        </is>
      </c>
      <c r="Q182" t="n">
        <v>0.05</v>
      </c>
      <c r="R182" t="n">
        <v>0.5</v>
      </c>
      <c r="S182" t="inlineStr">
        <is>
          <t>A+</t>
        </is>
      </c>
      <c r="T182" t="n">
        <v>0.032</v>
      </c>
      <c r="U182" s="217" t="inlineStr">
        <is>
          <t>华宝证券资管</t>
        </is>
      </c>
      <c r="V182" s="25" t="n">
        <v>0.1</v>
      </c>
    </row>
    <row r="183">
      <c r="A183" t="n">
        <v>15</v>
      </c>
      <c r="B183" t="inlineStr">
        <is>
          <t>2月</t>
        </is>
      </c>
      <c r="C183" t="inlineStr">
        <is>
          <t>企金</t>
        </is>
      </c>
      <c r="D183" t="inlineStr">
        <is>
          <t>京企贷</t>
        </is>
      </c>
      <c r="E183" t="inlineStr">
        <is>
          <t>盛澜1-2</t>
        </is>
      </c>
      <c r="F183" t="inlineStr">
        <is>
          <t>深交所</t>
        </is>
      </c>
      <c r="G183" t="inlineStr">
        <is>
          <t>财通资管</t>
        </is>
      </c>
      <c r="H183" t="inlineStr">
        <is>
          <t>光大证券</t>
        </is>
      </c>
      <c r="I183" t="inlineStr">
        <is>
          <t>江苏北分</t>
        </is>
      </c>
      <c r="J183" t="n">
        <v>10</v>
      </c>
      <c r="K183" t="inlineStr">
        <is>
          <t>12+12</t>
        </is>
      </c>
      <c r="L183" s="309" t="n">
        <v>46062</v>
      </c>
      <c r="M183" t="n">
        <v>0.0159</v>
      </c>
      <c r="N183" t="n">
        <v>0.02317</v>
      </c>
      <c r="O183" t="n">
        <v>2.19</v>
      </c>
      <c r="P183" t="inlineStr">
        <is>
          <t>中间级</t>
        </is>
      </c>
      <c r="Q183" t="n">
        <v>0.05</v>
      </c>
      <c r="R183" t="n">
        <v>0.5</v>
      </c>
      <c r="S183" t="inlineStr">
        <is>
          <t>A+</t>
        </is>
      </c>
      <c r="T183" t="n">
        <v>0.032</v>
      </c>
      <c r="U183" s="217" t="inlineStr">
        <is>
          <t>建信信托</t>
        </is>
      </c>
      <c r="V183" s="313" t="n">
        <v>0.175</v>
      </c>
    </row>
    <row r="184">
      <c r="A184" t="n">
        <v>15</v>
      </c>
      <c r="B184" t="inlineStr">
        <is>
          <t>2月</t>
        </is>
      </c>
      <c r="C184" t="inlineStr">
        <is>
          <t>企金</t>
        </is>
      </c>
      <c r="D184" t="inlineStr">
        <is>
          <t>京企贷</t>
        </is>
      </c>
      <c r="E184" t="inlineStr">
        <is>
          <t>盛澜1-2</t>
        </is>
      </c>
      <c r="F184" t="inlineStr">
        <is>
          <t>深交所</t>
        </is>
      </c>
      <c r="G184" t="inlineStr">
        <is>
          <t>财通资管</t>
        </is>
      </c>
      <c r="H184" t="inlineStr">
        <is>
          <t>光大证券</t>
        </is>
      </c>
      <c r="I184" t="inlineStr">
        <is>
          <t>江苏北分</t>
        </is>
      </c>
      <c r="J184" t="n">
        <v>10</v>
      </c>
      <c r="K184" t="inlineStr">
        <is>
          <t>12+12</t>
        </is>
      </c>
      <c r="L184" s="309" t="n">
        <v>46062</v>
      </c>
      <c r="M184" t="n">
        <v>0.0159</v>
      </c>
      <c r="N184" t="n">
        <v>0.02317</v>
      </c>
      <c r="O184" t="n">
        <v>2.19</v>
      </c>
      <c r="P184" t="inlineStr">
        <is>
          <t>中间级</t>
        </is>
      </c>
      <c r="Q184" t="n">
        <v>0.05</v>
      </c>
      <c r="R184" t="n">
        <v>0.5</v>
      </c>
      <c r="S184" t="inlineStr">
        <is>
          <t>A+</t>
        </is>
      </c>
      <c r="T184" t="n">
        <v>0.032</v>
      </c>
      <c r="U184" s="217" t="inlineStr">
        <is>
          <t>德邦证券自营</t>
        </is>
      </c>
      <c r="V184" s="25" t="n">
        <v>0.1</v>
      </c>
    </row>
    <row r="185">
      <c r="A185" t="n">
        <v>15</v>
      </c>
      <c r="B185" t="inlineStr">
        <is>
          <t>2月</t>
        </is>
      </c>
      <c r="C185" t="inlineStr">
        <is>
          <t>企金</t>
        </is>
      </c>
      <c r="D185" t="inlineStr">
        <is>
          <t>京企贷</t>
        </is>
      </c>
      <c r="E185" t="inlineStr">
        <is>
          <t>盛澜1-2</t>
        </is>
      </c>
      <c r="F185" t="inlineStr">
        <is>
          <t>深交所</t>
        </is>
      </c>
      <c r="G185" t="inlineStr">
        <is>
          <t>财通资管</t>
        </is>
      </c>
      <c r="H185" t="inlineStr">
        <is>
          <t>光大证券</t>
        </is>
      </c>
      <c r="I185" t="inlineStr">
        <is>
          <t>江苏北分</t>
        </is>
      </c>
      <c r="J185" t="n">
        <v>10</v>
      </c>
      <c r="K185" t="inlineStr">
        <is>
          <t>12+12</t>
        </is>
      </c>
      <c r="L185" s="309" t="n">
        <v>46062</v>
      </c>
      <c r="M185" t="n">
        <v>0.0159</v>
      </c>
      <c r="N185" t="n">
        <v>0.02317</v>
      </c>
      <c r="O185" t="n">
        <v>2.19</v>
      </c>
      <c r="P185" t="inlineStr">
        <is>
          <t>中间级</t>
        </is>
      </c>
      <c r="Q185" t="n">
        <v>0.05</v>
      </c>
      <c r="R185" t="n">
        <v>0.5</v>
      </c>
      <c r="S185" t="inlineStr">
        <is>
          <t>A+</t>
        </is>
      </c>
      <c r="T185" t="n">
        <v>0.032</v>
      </c>
      <c r="U185" s="217" t="inlineStr">
        <is>
          <t>盛际小贷</t>
        </is>
      </c>
      <c r="V185" s="319" t="n">
        <v>0.025</v>
      </c>
    </row>
    <row r="186">
      <c r="A186" t="n">
        <v>15</v>
      </c>
      <c r="B186" t="inlineStr">
        <is>
          <t>2月</t>
        </is>
      </c>
      <c r="C186" t="inlineStr">
        <is>
          <t>企金</t>
        </is>
      </c>
      <c r="D186" t="inlineStr">
        <is>
          <t>京企贷</t>
        </is>
      </c>
      <c r="E186" t="inlineStr">
        <is>
          <t>盛澜1-2</t>
        </is>
      </c>
      <c r="F186" t="inlineStr">
        <is>
          <t>深交所</t>
        </is>
      </c>
      <c r="G186" t="inlineStr">
        <is>
          <t>财通资管</t>
        </is>
      </c>
      <c r="H186" t="inlineStr">
        <is>
          <t>光大证券</t>
        </is>
      </c>
      <c r="I186" t="inlineStr">
        <is>
          <t>江苏北分</t>
        </is>
      </c>
      <c r="J186" t="n">
        <v>10</v>
      </c>
      <c r="K186" t="inlineStr">
        <is>
          <t>12+12</t>
        </is>
      </c>
      <c r="L186" s="309" t="n">
        <v>46062</v>
      </c>
      <c r="M186" t="n">
        <v>0.0159</v>
      </c>
      <c r="N186" t="n">
        <v>0.02317</v>
      </c>
      <c r="O186" t="n">
        <v>2.19</v>
      </c>
      <c r="P186" s="220" t="inlineStr">
        <is>
          <t>次级</t>
        </is>
      </c>
      <c r="Q186" s="221" t="n">
        <v>0.05</v>
      </c>
      <c r="R186" s="308" t="n">
        <v>0.5</v>
      </c>
      <c r="S186" s="221" t="inlineStr">
        <is>
          <t>无</t>
        </is>
      </c>
      <c r="T186" s="221" t="n">
        <v>0.0455</v>
      </c>
      <c r="U186" s="217" t="inlineStr">
        <is>
          <t>华宝证券资管</t>
        </is>
      </c>
      <c r="V186" s="25" t="n">
        <v>0.2</v>
      </c>
    </row>
    <row r="187">
      <c r="A187" t="n">
        <v>15</v>
      </c>
      <c r="B187" t="inlineStr">
        <is>
          <t>2月</t>
        </is>
      </c>
      <c r="C187" t="inlineStr">
        <is>
          <t>企金</t>
        </is>
      </c>
      <c r="D187" t="inlineStr">
        <is>
          <t>京企贷</t>
        </is>
      </c>
      <c r="E187" t="inlineStr">
        <is>
          <t>盛澜1-2</t>
        </is>
      </c>
      <c r="F187" t="inlineStr">
        <is>
          <t>深交所</t>
        </is>
      </c>
      <c r="G187" t="inlineStr">
        <is>
          <t>财通资管</t>
        </is>
      </c>
      <c r="H187" t="inlineStr">
        <is>
          <t>光大证券</t>
        </is>
      </c>
      <c r="I187" t="inlineStr">
        <is>
          <t>江苏北分</t>
        </is>
      </c>
      <c r="J187" t="n">
        <v>10</v>
      </c>
      <c r="K187" t="inlineStr">
        <is>
          <t>12+12</t>
        </is>
      </c>
      <c r="L187" s="309" t="n">
        <v>46062</v>
      </c>
      <c r="M187" t="n">
        <v>0.0159</v>
      </c>
      <c r="N187" t="n">
        <v>0.02317</v>
      </c>
      <c r="O187" t="n">
        <v>2.19</v>
      </c>
      <c r="P187" t="inlineStr">
        <is>
          <t>次级</t>
        </is>
      </c>
      <c r="Q187" t="n">
        <v>0.05</v>
      </c>
      <c r="R187" t="n">
        <v>0.5</v>
      </c>
      <c r="S187" t="inlineStr">
        <is>
          <t>无</t>
        </is>
      </c>
      <c r="T187" t="n">
        <v>0.0455</v>
      </c>
      <c r="U187" s="217" t="inlineStr">
        <is>
          <t>粤财信托</t>
        </is>
      </c>
      <c r="V187" s="25" t="n">
        <v>0.1</v>
      </c>
    </row>
    <row r="188">
      <c r="A188" t="n">
        <v>15</v>
      </c>
      <c r="B188" t="inlineStr">
        <is>
          <t>2月</t>
        </is>
      </c>
      <c r="C188" t="inlineStr">
        <is>
          <t>企金</t>
        </is>
      </c>
      <c r="D188" t="inlineStr">
        <is>
          <t>京企贷</t>
        </is>
      </c>
      <c r="E188" t="inlineStr">
        <is>
          <t>盛澜1-2</t>
        </is>
      </c>
      <c r="F188" t="inlineStr">
        <is>
          <t>深交所</t>
        </is>
      </c>
      <c r="G188" t="inlineStr">
        <is>
          <t>财通资管</t>
        </is>
      </c>
      <c r="H188" t="inlineStr">
        <is>
          <t>光大证券</t>
        </is>
      </c>
      <c r="I188" t="inlineStr">
        <is>
          <t>江苏北分</t>
        </is>
      </c>
      <c r="J188" t="n">
        <v>10</v>
      </c>
      <c r="K188" t="inlineStr">
        <is>
          <t>12+12</t>
        </is>
      </c>
      <c r="L188" s="309" t="n">
        <v>46062</v>
      </c>
      <c r="M188" t="n">
        <v>0.0159</v>
      </c>
      <c r="N188" t="n">
        <v>0.02317</v>
      </c>
      <c r="O188" t="n">
        <v>2.19</v>
      </c>
      <c r="P188" t="inlineStr">
        <is>
          <t>次级</t>
        </is>
      </c>
      <c r="Q188" t="n">
        <v>0.05</v>
      </c>
      <c r="R188" t="n">
        <v>0.5</v>
      </c>
      <c r="S188" t="inlineStr">
        <is>
          <t>无</t>
        </is>
      </c>
      <c r="T188" t="n">
        <v>0.0455</v>
      </c>
      <c r="U188" s="217" t="inlineStr">
        <is>
          <t>德邦证券自营</t>
        </is>
      </c>
      <c r="V188" s="313" t="n">
        <v>0.075</v>
      </c>
    </row>
    <row r="189">
      <c r="A189" t="n">
        <v>15</v>
      </c>
      <c r="B189" t="inlineStr">
        <is>
          <t>2月</t>
        </is>
      </c>
      <c r="C189" t="inlineStr">
        <is>
          <t>企金</t>
        </is>
      </c>
      <c r="D189" t="inlineStr">
        <is>
          <t>京企贷</t>
        </is>
      </c>
      <c r="E189" t="inlineStr">
        <is>
          <t>盛澜1-2</t>
        </is>
      </c>
      <c r="F189" t="inlineStr">
        <is>
          <t>深交所</t>
        </is>
      </c>
      <c r="G189" t="inlineStr">
        <is>
          <t>财通资管</t>
        </is>
      </c>
      <c r="H189" t="inlineStr">
        <is>
          <t>光大证券</t>
        </is>
      </c>
      <c r="I189" t="inlineStr">
        <is>
          <t>江苏北分</t>
        </is>
      </c>
      <c r="J189" t="n">
        <v>10</v>
      </c>
      <c r="K189" t="inlineStr">
        <is>
          <t>12+12</t>
        </is>
      </c>
      <c r="L189" s="309" t="n">
        <v>46062</v>
      </c>
      <c r="M189" t="n">
        <v>0.0159</v>
      </c>
      <c r="N189" t="n">
        <v>0.02317</v>
      </c>
      <c r="O189" t="n">
        <v>2.19</v>
      </c>
      <c r="P189" t="inlineStr">
        <is>
          <t>次级</t>
        </is>
      </c>
      <c r="Q189" t="n">
        <v>0.05</v>
      </c>
      <c r="R189" t="n">
        <v>0.5</v>
      </c>
      <c r="S189" t="inlineStr">
        <is>
          <t>无</t>
        </is>
      </c>
      <c r="T189" t="n">
        <v>0.0455</v>
      </c>
      <c r="U189" s="217" t="inlineStr">
        <is>
          <t>东家铂睿</t>
        </is>
      </c>
      <c r="V189" s="25" t="n">
        <v>0.1</v>
      </c>
    </row>
    <row r="190">
      <c r="A190" t="n">
        <v>15</v>
      </c>
      <c r="B190" t="inlineStr">
        <is>
          <t>2月</t>
        </is>
      </c>
      <c r="C190" t="inlineStr">
        <is>
          <t>企金</t>
        </is>
      </c>
      <c r="D190" t="inlineStr">
        <is>
          <t>京企贷</t>
        </is>
      </c>
      <c r="E190" t="inlineStr">
        <is>
          <t>盛澜1-2</t>
        </is>
      </c>
      <c r="F190" t="inlineStr">
        <is>
          <t>深交所</t>
        </is>
      </c>
      <c r="G190" t="inlineStr">
        <is>
          <t>财通资管</t>
        </is>
      </c>
      <c r="H190" t="inlineStr">
        <is>
          <t>光大证券</t>
        </is>
      </c>
      <c r="I190" t="inlineStr">
        <is>
          <t>江苏北分</t>
        </is>
      </c>
      <c r="J190" t="n">
        <v>10</v>
      </c>
      <c r="K190" t="inlineStr">
        <is>
          <t>12+12</t>
        </is>
      </c>
      <c r="L190" s="309" t="n">
        <v>46062</v>
      </c>
      <c r="M190" t="n">
        <v>0.0159</v>
      </c>
      <c r="N190" t="n">
        <v>0.02317</v>
      </c>
      <c r="O190" t="n">
        <v>2.19</v>
      </c>
      <c r="P190" t="inlineStr">
        <is>
          <t>次级</t>
        </is>
      </c>
      <c r="Q190" t="n">
        <v>0.05</v>
      </c>
      <c r="R190" t="n">
        <v>0.5</v>
      </c>
      <c r="S190" t="inlineStr">
        <is>
          <t>无</t>
        </is>
      </c>
      <c r="T190" t="n">
        <v>0.0455</v>
      </c>
      <c r="U190" s="217" t="inlineStr">
        <is>
          <t>盛际小贷</t>
        </is>
      </c>
      <c r="V190" s="319" t="n">
        <v>0.025</v>
      </c>
    </row>
    <row r="191">
      <c r="A191" s="288" t="n">
        <v>16</v>
      </c>
      <c r="B191" s="220" t="inlineStr">
        <is>
          <t>2月</t>
        </is>
      </c>
      <c r="C191" s="220" t="inlineStr">
        <is>
          <t>消金</t>
        </is>
      </c>
      <c r="D191" s="220" t="inlineStr">
        <is>
          <t>信托金条</t>
        </is>
      </c>
      <c r="E191" s="220" t="inlineStr">
        <is>
          <t>耘睿24-5</t>
        </is>
      </c>
      <c r="F191" s="220" t="inlineStr">
        <is>
          <t>上交所</t>
        </is>
      </c>
      <c r="G191" s="220" t="inlineStr">
        <is>
          <t>财通资管</t>
        </is>
      </c>
      <c r="H191" s="220" t="inlineStr">
        <is>
          <t>中信证券</t>
        </is>
      </c>
      <c r="I191" s="220" t="inlineStr">
        <is>
          <t>工行天津</t>
        </is>
      </c>
      <c r="J191" s="220" t="n">
        <v>10</v>
      </c>
      <c r="K191" s="220" t="inlineStr">
        <is>
          <t>11+13</t>
        </is>
      </c>
      <c r="L191" s="224" t="n">
        <v>46079</v>
      </c>
      <c r="M191" s="225" t="n">
        <v>0.0158</v>
      </c>
      <c r="N191" s="311" t="n">
        <v>0.02088</v>
      </c>
      <c r="O191" s="226" t="n">
        <v>3.77</v>
      </c>
      <c r="P191" s="220" t="inlineStr">
        <is>
          <t>优先A</t>
        </is>
      </c>
      <c r="Q191" s="221" t="n">
        <v>0.9</v>
      </c>
      <c r="R191" s="308" t="n">
        <v>9</v>
      </c>
      <c r="S191" s="220" t="inlineStr">
        <is>
          <t>AAA</t>
        </is>
      </c>
      <c r="T191" s="221" t="n">
        <v>0.018</v>
      </c>
      <c r="U191" s="265" t="inlineStr">
        <is>
          <t>平安理财</t>
        </is>
      </c>
      <c r="V191" s="25" t="n">
        <v>2.25</v>
      </c>
    </row>
    <row r="192">
      <c r="A192" t="n">
        <v>16</v>
      </c>
      <c r="B192" t="inlineStr">
        <is>
          <t>2月</t>
        </is>
      </c>
      <c r="C192" t="inlineStr">
        <is>
          <t>消金</t>
        </is>
      </c>
      <c r="D192" t="inlineStr">
        <is>
          <t>信托金条</t>
        </is>
      </c>
      <c r="E192" t="inlineStr">
        <is>
          <t>耘睿24-5</t>
        </is>
      </c>
      <c r="F192" t="inlineStr">
        <is>
          <t>上交所</t>
        </is>
      </c>
      <c r="G192" t="inlineStr">
        <is>
          <t>财通资管</t>
        </is>
      </c>
      <c r="H192" t="inlineStr">
        <is>
          <t>中信证券</t>
        </is>
      </c>
      <c r="I192" t="inlineStr">
        <is>
          <t>工行天津</t>
        </is>
      </c>
      <c r="J192" t="n">
        <v>10</v>
      </c>
      <c r="K192" t="inlineStr">
        <is>
          <t>11+13</t>
        </is>
      </c>
      <c r="L192" s="309" t="n">
        <v>46079</v>
      </c>
      <c r="M192" t="n">
        <v>0.0158</v>
      </c>
      <c r="N192" t="n">
        <v>0.02088</v>
      </c>
      <c r="O192" t="n">
        <v>3.77</v>
      </c>
      <c r="P192" t="inlineStr">
        <is>
          <t>优先A</t>
        </is>
      </c>
      <c r="Q192" t="n">
        <v>0.9</v>
      </c>
      <c r="R192" t="n">
        <v>9</v>
      </c>
      <c r="S192" t="inlineStr">
        <is>
          <t>AAA</t>
        </is>
      </c>
      <c r="T192" t="n">
        <v>0.018</v>
      </c>
      <c r="U192" s="24" t="inlineStr">
        <is>
          <t>中银理财</t>
        </is>
      </c>
      <c r="V192" s="25" t="n">
        <v>0.8</v>
      </c>
    </row>
    <row r="193">
      <c r="A193" t="n">
        <v>16</v>
      </c>
      <c r="B193" t="inlineStr">
        <is>
          <t>2月</t>
        </is>
      </c>
      <c r="C193" t="inlineStr">
        <is>
          <t>消金</t>
        </is>
      </c>
      <c r="D193" t="inlineStr">
        <is>
          <t>信托金条</t>
        </is>
      </c>
      <c r="E193" t="inlineStr">
        <is>
          <t>耘睿24-5</t>
        </is>
      </c>
      <c r="F193" t="inlineStr">
        <is>
          <t>上交所</t>
        </is>
      </c>
      <c r="G193" t="inlineStr">
        <is>
          <t>财通资管</t>
        </is>
      </c>
      <c r="H193" t="inlineStr">
        <is>
          <t>中信证券</t>
        </is>
      </c>
      <c r="I193" t="inlineStr">
        <is>
          <t>工行天津</t>
        </is>
      </c>
      <c r="J193" t="n">
        <v>10</v>
      </c>
      <c r="K193" t="inlineStr">
        <is>
          <t>11+13</t>
        </is>
      </c>
      <c r="L193" s="309" t="n">
        <v>46079</v>
      </c>
      <c r="M193" t="n">
        <v>0.0158</v>
      </c>
      <c r="N193" t="n">
        <v>0.02088</v>
      </c>
      <c r="O193" t="n">
        <v>3.77</v>
      </c>
      <c r="P193" t="inlineStr">
        <is>
          <t>优先A</t>
        </is>
      </c>
      <c r="Q193" t="n">
        <v>0.9</v>
      </c>
      <c r="R193" t="n">
        <v>9</v>
      </c>
      <c r="S193" t="inlineStr">
        <is>
          <t>AAA</t>
        </is>
      </c>
      <c r="T193" t="n">
        <v>0.018</v>
      </c>
      <c r="U193" s="24" t="inlineStr">
        <is>
          <t>华泰资管</t>
        </is>
      </c>
      <c r="V193" s="25" t="n">
        <v>0.1</v>
      </c>
    </row>
    <row r="194">
      <c r="A194" t="n">
        <v>16</v>
      </c>
      <c r="B194" t="inlineStr">
        <is>
          <t>2月</t>
        </is>
      </c>
      <c r="C194" t="inlineStr">
        <is>
          <t>消金</t>
        </is>
      </c>
      <c r="D194" t="inlineStr">
        <is>
          <t>信托金条</t>
        </is>
      </c>
      <c r="E194" t="inlineStr">
        <is>
          <t>耘睿24-5</t>
        </is>
      </c>
      <c r="F194" t="inlineStr">
        <is>
          <t>上交所</t>
        </is>
      </c>
      <c r="G194" t="inlineStr">
        <is>
          <t>财通资管</t>
        </is>
      </c>
      <c r="H194" t="inlineStr">
        <is>
          <t>中信证券</t>
        </is>
      </c>
      <c r="I194" t="inlineStr">
        <is>
          <t>工行天津</t>
        </is>
      </c>
      <c r="J194" t="n">
        <v>10</v>
      </c>
      <c r="K194" t="inlineStr">
        <is>
          <t>11+13</t>
        </is>
      </c>
      <c r="L194" s="309" t="n">
        <v>46079</v>
      </c>
      <c r="M194" t="n">
        <v>0.0158</v>
      </c>
      <c r="N194" t="n">
        <v>0.02088</v>
      </c>
      <c r="O194" t="n">
        <v>3.77</v>
      </c>
      <c r="P194" t="inlineStr">
        <is>
          <t>优先A</t>
        </is>
      </c>
      <c r="Q194" t="n">
        <v>0.9</v>
      </c>
      <c r="R194" t="n">
        <v>9</v>
      </c>
      <c r="S194" t="inlineStr">
        <is>
          <t>AAA</t>
        </is>
      </c>
      <c r="T194" t="n">
        <v>0.018</v>
      </c>
      <c r="U194" s="24" t="inlineStr">
        <is>
          <t>交银理财</t>
        </is>
      </c>
      <c r="V194" s="25" t="n">
        <v>0.3</v>
      </c>
    </row>
    <row r="195">
      <c r="A195" t="n">
        <v>16</v>
      </c>
      <c r="B195" t="inlineStr">
        <is>
          <t>2月</t>
        </is>
      </c>
      <c r="C195" t="inlineStr">
        <is>
          <t>消金</t>
        </is>
      </c>
      <c r="D195" t="inlineStr">
        <is>
          <t>信托金条</t>
        </is>
      </c>
      <c r="E195" t="inlineStr">
        <is>
          <t>耘睿24-5</t>
        </is>
      </c>
      <c r="F195" t="inlineStr">
        <is>
          <t>上交所</t>
        </is>
      </c>
      <c r="G195" t="inlineStr">
        <is>
          <t>财通资管</t>
        </is>
      </c>
      <c r="H195" t="inlineStr">
        <is>
          <t>中信证券</t>
        </is>
      </c>
      <c r="I195" t="inlineStr">
        <is>
          <t>工行天津</t>
        </is>
      </c>
      <c r="J195" t="n">
        <v>10</v>
      </c>
      <c r="K195" t="inlineStr">
        <is>
          <t>11+13</t>
        </is>
      </c>
      <c r="L195" s="309" t="n">
        <v>46079</v>
      </c>
      <c r="M195" t="n">
        <v>0.0158</v>
      </c>
      <c r="N195" t="n">
        <v>0.02088</v>
      </c>
      <c r="O195" t="n">
        <v>3.77</v>
      </c>
      <c r="P195" t="inlineStr">
        <is>
          <t>优先A</t>
        </is>
      </c>
      <c r="Q195" t="n">
        <v>0.9</v>
      </c>
      <c r="R195" t="n">
        <v>9</v>
      </c>
      <c r="S195" t="inlineStr">
        <is>
          <t>AAA</t>
        </is>
      </c>
      <c r="T195" t="n">
        <v>0.018</v>
      </c>
      <c r="U195" s="24" t="inlineStr">
        <is>
          <t>华夏基金</t>
        </is>
      </c>
      <c r="V195" s="25" t="n">
        <v>0.52</v>
      </c>
    </row>
    <row r="196">
      <c r="A196" t="n">
        <v>16</v>
      </c>
      <c r="B196" t="inlineStr">
        <is>
          <t>2月</t>
        </is>
      </c>
      <c r="C196" t="inlineStr">
        <is>
          <t>消金</t>
        </is>
      </c>
      <c r="D196" t="inlineStr">
        <is>
          <t>信托金条</t>
        </is>
      </c>
      <c r="E196" t="inlineStr">
        <is>
          <t>耘睿24-5</t>
        </is>
      </c>
      <c r="F196" t="inlineStr">
        <is>
          <t>上交所</t>
        </is>
      </c>
      <c r="G196" t="inlineStr">
        <is>
          <t>财通资管</t>
        </is>
      </c>
      <c r="H196" t="inlineStr">
        <is>
          <t>中信证券</t>
        </is>
      </c>
      <c r="I196" t="inlineStr">
        <is>
          <t>工行天津</t>
        </is>
      </c>
      <c r="J196" t="n">
        <v>10</v>
      </c>
      <c r="K196" t="inlineStr">
        <is>
          <t>11+13</t>
        </is>
      </c>
      <c r="L196" s="309" t="n">
        <v>46079</v>
      </c>
      <c r="M196" t="n">
        <v>0.0158</v>
      </c>
      <c r="N196" t="n">
        <v>0.02088</v>
      </c>
      <c r="O196" t="n">
        <v>3.77</v>
      </c>
      <c r="P196" t="inlineStr">
        <is>
          <t>优先A</t>
        </is>
      </c>
      <c r="Q196" t="n">
        <v>0.9</v>
      </c>
      <c r="R196" t="n">
        <v>9</v>
      </c>
      <c r="S196" t="inlineStr">
        <is>
          <t>AAA</t>
        </is>
      </c>
      <c r="T196" t="n">
        <v>0.018</v>
      </c>
      <c r="U196" s="24" t="inlineStr">
        <is>
          <t>工银理财</t>
        </is>
      </c>
      <c r="V196" s="25" t="n">
        <v>0.86</v>
      </c>
    </row>
    <row r="197">
      <c r="A197" t="n">
        <v>16</v>
      </c>
      <c r="B197" t="inlineStr">
        <is>
          <t>2月</t>
        </is>
      </c>
      <c r="C197" t="inlineStr">
        <is>
          <t>消金</t>
        </is>
      </c>
      <c r="D197" t="inlineStr">
        <is>
          <t>信托金条</t>
        </is>
      </c>
      <c r="E197" t="inlineStr">
        <is>
          <t>耘睿24-5</t>
        </is>
      </c>
      <c r="F197" t="inlineStr">
        <is>
          <t>上交所</t>
        </is>
      </c>
      <c r="G197" t="inlineStr">
        <is>
          <t>财通资管</t>
        </is>
      </c>
      <c r="H197" t="inlineStr">
        <is>
          <t>中信证券</t>
        </is>
      </c>
      <c r="I197" t="inlineStr">
        <is>
          <t>工行天津</t>
        </is>
      </c>
      <c r="J197" t="n">
        <v>10</v>
      </c>
      <c r="K197" t="inlineStr">
        <is>
          <t>11+13</t>
        </is>
      </c>
      <c r="L197" s="309" t="n">
        <v>46079</v>
      </c>
      <c r="M197" t="n">
        <v>0.0158</v>
      </c>
      <c r="N197" t="n">
        <v>0.02088</v>
      </c>
      <c r="O197" t="n">
        <v>3.77</v>
      </c>
      <c r="P197" t="inlineStr">
        <is>
          <t>优先A</t>
        </is>
      </c>
      <c r="Q197" t="n">
        <v>0.9</v>
      </c>
      <c r="R197" t="n">
        <v>9</v>
      </c>
      <c r="S197" t="inlineStr">
        <is>
          <t>AAA</t>
        </is>
      </c>
      <c r="T197" t="n">
        <v>0.018</v>
      </c>
      <c r="U197" s="24" t="inlineStr">
        <is>
          <t>中邮理财</t>
        </is>
      </c>
      <c r="V197" s="25" t="n">
        <v>1.52</v>
      </c>
    </row>
    <row r="198">
      <c r="A198" t="n">
        <v>16</v>
      </c>
      <c r="B198" t="inlineStr">
        <is>
          <t>2月</t>
        </is>
      </c>
      <c r="C198" t="inlineStr">
        <is>
          <t>消金</t>
        </is>
      </c>
      <c r="D198" t="inlineStr">
        <is>
          <t>信托金条</t>
        </is>
      </c>
      <c r="E198" t="inlineStr">
        <is>
          <t>耘睿24-5</t>
        </is>
      </c>
      <c r="F198" t="inlineStr">
        <is>
          <t>上交所</t>
        </is>
      </c>
      <c r="G198" t="inlineStr">
        <is>
          <t>财通资管</t>
        </is>
      </c>
      <c r="H198" t="inlineStr">
        <is>
          <t>中信证券</t>
        </is>
      </c>
      <c r="I198" t="inlineStr">
        <is>
          <t>工行天津</t>
        </is>
      </c>
      <c r="J198" t="n">
        <v>10</v>
      </c>
      <c r="K198" t="inlineStr">
        <is>
          <t>11+13</t>
        </is>
      </c>
      <c r="L198" s="309" t="n">
        <v>46079</v>
      </c>
      <c r="M198" t="n">
        <v>0.0158</v>
      </c>
      <c r="N198" t="n">
        <v>0.02088</v>
      </c>
      <c r="O198" t="n">
        <v>3.77</v>
      </c>
      <c r="P198" t="inlineStr">
        <is>
          <t>优先A</t>
        </is>
      </c>
      <c r="Q198" t="n">
        <v>0.9</v>
      </c>
      <c r="R198" t="n">
        <v>9</v>
      </c>
      <c r="S198" t="inlineStr">
        <is>
          <t>AAA</t>
        </is>
      </c>
      <c r="T198" t="n">
        <v>0.018</v>
      </c>
      <c r="U198" s="24" t="inlineStr">
        <is>
          <t>广银理财</t>
        </is>
      </c>
      <c r="V198" s="25" t="n">
        <v>1.15</v>
      </c>
    </row>
    <row r="199">
      <c r="A199" t="n">
        <v>16</v>
      </c>
      <c r="B199" t="inlineStr">
        <is>
          <t>2月</t>
        </is>
      </c>
      <c r="C199" t="inlineStr">
        <is>
          <t>消金</t>
        </is>
      </c>
      <c r="D199" t="inlineStr">
        <is>
          <t>信托金条</t>
        </is>
      </c>
      <c r="E199" t="inlineStr">
        <is>
          <t>耘睿24-5</t>
        </is>
      </c>
      <c r="F199" t="inlineStr">
        <is>
          <t>上交所</t>
        </is>
      </c>
      <c r="G199" t="inlineStr">
        <is>
          <t>财通资管</t>
        </is>
      </c>
      <c r="H199" t="inlineStr">
        <is>
          <t>中信证券</t>
        </is>
      </c>
      <c r="I199" t="inlineStr">
        <is>
          <t>工行天津</t>
        </is>
      </c>
      <c r="J199" t="n">
        <v>10</v>
      </c>
      <c r="K199" t="inlineStr">
        <is>
          <t>11+13</t>
        </is>
      </c>
      <c r="L199" s="309" t="n">
        <v>46079</v>
      </c>
      <c r="M199" t="n">
        <v>0.0158</v>
      </c>
      <c r="N199" t="n">
        <v>0.02088</v>
      </c>
      <c r="O199" t="n">
        <v>3.77</v>
      </c>
      <c r="P199" t="inlineStr">
        <is>
          <t>优先A</t>
        </is>
      </c>
      <c r="Q199" t="n">
        <v>0.9</v>
      </c>
      <c r="R199" t="n">
        <v>9</v>
      </c>
      <c r="S199" t="inlineStr">
        <is>
          <t>AAA</t>
        </is>
      </c>
      <c r="T199" t="n">
        <v>0.018</v>
      </c>
      <c r="U199" s="24" t="inlineStr">
        <is>
          <t>杭州联合银行</t>
        </is>
      </c>
      <c r="V199" s="25" t="n">
        <v>0.6</v>
      </c>
    </row>
    <row r="200">
      <c r="A200" t="n">
        <v>16</v>
      </c>
      <c r="B200" t="inlineStr">
        <is>
          <t>2月</t>
        </is>
      </c>
      <c r="C200" t="inlineStr">
        <is>
          <t>消金</t>
        </is>
      </c>
      <c r="D200" t="inlineStr">
        <is>
          <t>信托金条</t>
        </is>
      </c>
      <c r="E200" t="inlineStr">
        <is>
          <t>耘睿24-5</t>
        </is>
      </c>
      <c r="F200" t="inlineStr">
        <is>
          <t>上交所</t>
        </is>
      </c>
      <c r="G200" t="inlineStr">
        <is>
          <t>财通资管</t>
        </is>
      </c>
      <c r="H200" t="inlineStr">
        <is>
          <t>中信证券</t>
        </is>
      </c>
      <c r="I200" t="inlineStr">
        <is>
          <t>工行天津</t>
        </is>
      </c>
      <c r="J200" t="n">
        <v>10</v>
      </c>
      <c r="K200" t="inlineStr">
        <is>
          <t>11+13</t>
        </is>
      </c>
      <c r="L200" s="309" t="n">
        <v>46079</v>
      </c>
      <c r="M200" t="n">
        <v>0.0158</v>
      </c>
      <c r="N200" t="n">
        <v>0.02088</v>
      </c>
      <c r="O200" t="n">
        <v>3.77</v>
      </c>
      <c r="P200" t="inlineStr">
        <is>
          <t>优先A</t>
        </is>
      </c>
      <c r="Q200" t="n">
        <v>0.9</v>
      </c>
      <c r="R200" t="n">
        <v>9</v>
      </c>
      <c r="S200" t="inlineStr">
        <is>
          <t>AAA</t>
        </is>
      </c>
      <c r="T200" t="n">
        <v>0.018</v>
      </c>
      <c r="U200" s="265" t="inlineStr">
        <is>
          <t>厦门国际银行</t>
        </is>
      </c>
      <c r="V200" s="25" t="n">
        <v>0.9</v>
      </c>
    </row>
    <row r="201">
      <c r="A201" t="n">
        <v>16</v>
      </c>
      <c r="B201" t="inlineStr">
        <is>
          <t>2月</t>
        </is>
      </c>
      <c r="C201" t="inlineStr">
        <is>
          <t>消金</t>
        </is>
      </c>
      <c r="D201" t="inlineStr">
        <is>
          <t>信托金条</t>
        </is>
      </c>
      <c r="E201" t="inlineStr">
        <is>
          <t>耘睿24-5</t>
        </is>
      </c>
      <c r="F201" t="inlineStr">
        <is>
          <t>上交所</t>
        </is>
      </c>
      <c r="G201" t="inlineStr">
        <is>
          <t>财通资管</t>
        </is>
      </c>
      <c r="H201" t="inlineStr">
        <is>
          <t>中信证券</t>
        </is>
      </c>
      <c r="I201" t="inlineStr">
        <is>
          <t>工行天津</t>
        </is>
      </c>
      <c r="J201" t="n">
        <v>10</v>
      </c>
      <c r="K201" t="inlineStr">
        <is>
          <t>11+13</t>
        </is>
      </c>
      <c r="L201" s="309" t="n">
        <v>46079</v>
      </c>
      <c r="M201" t="n">
        <v>0.0158</v>
      </c>
      <c r="N201" t="n">
        <v>0.02088</v>
      </c>
      <c r="O201" t="n">
        <v>3.77</v>
      </c>
      <c r="P201" s="220" t="inlineStr">
        <is>
          <t>优先B</t>
        </is>
      </c>
      <c r="Q201" s="221" t="n">
        <v>0.03</v>
      </c>
      <c r="R201" s="308" t="n">
        <v>0.3</v>
      </c>
      <c r="S201" s="221" t="inlineStr">
        <is>
          <t>AA+</t>
        </is>
      </c>
      <c r="T201" s="221" t="n">
        <v>0.02</v>
      </c>
      <c r="U201" s="265" t="inlineStr">
        <is>
          <t>交银理财</t>
        </is>
      </c>
      <c r="V201" s="29" t="n">
        <v>0.09</v>
      </c>
    </row>
    <row r="202">
      <c r="A202" t="n">
        <v>16</v>
      </c>
      <c r="B202" t="inlineStr">
        <is>
          <t>2月</t>
        </is>
      </c>
      <c r="C202" t="inlineStr">
        <is>
          <t>消金</t>
        </is>
      </c>
      <c r="D202" t="inlineStr">
        <is>
          <t>信托金条</t>
        </is>
      </c>
      <c r="E202" t="inlineStr">
        <is>
          <t>耘睿24-5</t>
        </is>
      </c>
      <c r="F202" t="inlineStr">
        <is>
          <t>上交所</t>
        </is>
      </c>
      <c r="G202" t="inlineStr">
        <is>
          <t>财通资管</t>
        </is>
      </c>
      <c r="H202" t="inlineStr">
        <is>
          <t>中信证券</t>
        </is>
      </c>
      <c r="I202" t="inlineStr">
        <is>
          <t>工行天津</t>
        </is>
      </c>
      <c r="J202" t="n">
        <v>10</v>
      </c>
      <c r="K202" t="inlineStr">
        <is>
          <t>11+13</t>
        </is>
      </c>
      <c r="L202" s="309" t="n">
        <v>46079</v>
      </c>
      <c r="M202" t="n">
        <v>0.0158</v>
      </c>
      <c r="N202" t="n">
        <v>0.02088</v>
      </c>
      <c r="O202" t="n">
        <v>3.77</v>
      </c>
      <c r="P202" t="inlineStr">
        <is>
          <t>优先B</t>
        </is>
      </c>
      <c r="Q202" t="n">
        <v>0.03</v>
      </c>
      <c r="R202" t="n">
        <v>0.3</v>
      </c>
      <c r="S202" t="inlineStr">
        <is>
          <t>AA+</t>
        </is>
      </c>
      <c r="T202" t="n">
        <v>0.02</v>
      </c>
      <c r="U202" s="265" t="inlineStr">
        <is>
          <t>远行基金</t>
        </is>
      </c>
      <c r="V202" s="29" t="n">
        <v>0.05</v>
      </c>
    </row>
    <row r="203">
      <c r="A203" t="n">
        <v>16</v>
      </c>
      <c r="B203" t="inlineStr">
        <is>
          <t>2月</t>
        </is>
      </c>
      <c r="C203" t="inlineStr">
        <is>
          <t>消金</t>
        </is>
      </c>
      <c r="D203" t="inlineStr">
        <is>
          <t>信托金条</t>
        </is>
      </c>
      <c r="E203" t="inlineStr">
        <is>
          <t>耘睿24-5</t>
        </is>
      </c>
      <c r="F203" t="inlineStr">
        <is>
          <t>上交所</t>
        </is>
      </c>
      <c r="G203" t="inlineStr">
        <is>
          <t>财通资管</t>
        </is>
      </c>
      <c r="H203" t="inlineStr">
        <is>
          <t>中信证券</t>
        </is>
      </c>
      <c r="I203" t="inlineStr">
        <is>
          <t>工行天津</t>
        </is>
      </c>
      <c r="J203" t="n">
        <v>10</v>
      </c>
      <c r="K203" t="inlineStr">
        <is>
          <t>11+13</t>
        </is>
      </c>
      <c r="L203" s="309" t="n">
        <v>46079</v>
      </c>
      <c r="M203" t="n">
        <v>0.0158</v>
      </c>
      <c r="N203" t="n">
        <v>0.02088</v>
      </c>
      <c r="O203" t="n">
        <v>3.77</v>
      </c>
      <c r="P203" t="inlineStr">
        <is>
          <t>优先B</t>
        </is>
      </c>
      <c r="Q203" t="n">
        <v>0.03</v>
      </c>
      <c r="R203" t="n">
        <v>0.3</v>
      </c>
      <c r="S203" t="inlineStr">
        <is>
          <t>AA+</t>
        </is>
      </c>
      <c r="T203" t="n">
        <v>0.02</v>
      </c>
      <c r="U203" s="265" t="inlineStr">
        <is>
          <t>建信信托</t>
        </is>
      </c>
      <c r="V203" s="29" t="n">
        <v>0.15</v>
      </c>
    </row>
    <row r="204">
      <c r="A204" t="n">
        <v>16</v>
      </c>
      <c r="B204" t="inlineStr">
        <is>
          <t>2月</t>
        </is>
      </c>
      <c r="C204" t="inlineStr">
        <is>
          <t>消金</t>
        </is>
      </c>
      <c r="D204" t="inlineStr">
        <is>
          <t>信托金条</t>
        </is>
      </c>
      <c r="E204" t="inlineStr">
        <is>
          <t>耘睿24-5</t>
        </is>
      </c>
      <c r="F204" t="inlineStr">
        <is>
          <t>上交所</t>
        </is>
      </c>
      <c r="G204" t="inlineStr">
        <is>
          <t>财通资管</t>
        </is>
      </c>
      <c r="H204" t="inlineStr">
        <is>
          <t>中信证券</t>
        </is>
      </c>
      <c r="I204" t="inlineStr">
        <is>
          <t>工行天津</t>
        </is>
      </c>
      <c r="J204" t="n">
        <v>10</v>
      </c>
      <c r="K204" t="inlineStr">
        <is>
          <t>11+13</t>
        </is>
      </c>
      <c r="L204" s="309" t="n">
        <v>46079</v>
      </c>
      <c r="M204" t="n">
        <v>0.0158</v>
      </c>
      <c r="N204" t="n">
        <v>0.02088</v>
      </c>
      <c r="O204" t="n">
        <v>3.77</v>
      </c>
      <c r="P204" t="inlineStr">
        <is>
          <t>优先B</t>
        </is>
      </c>
      <c r="Q204" t="n">
        <v>0.03</v>
      </c>
      <c r="R204" t="n">
        <v>0.3</v>
      </c>
      <c r="S204" t="inlineStr">
        <is>
          <t>AA+</t>
        </is>
      </c>
      <c r="T204" t="n">
        <v>0.02</v>
      </c>
      <c r="U204" s="24" t="inlineStr">
        <is>
          <t>财通资管</t>
        </is>
      </c>
      <c r="V204" s="29" t="n">
        <v>0.01</v>
      </c>
    </row>
    <row r="205">
      <c r="A205" t="n">
        <v>16</v>
      </c>
      <c r="B205" t="inlineStr">
        <is>
          <t>2月</t>
        </is>
      </c>
      <c r="C205" t="inlineStr">
        <is>
          <t>消金</t>
        </is>
      </c>
      <c r="D205" t="inlineStr">
        <is>
          <t>信托金条</t>
        </is>
      </c>
      <c r="E205" t="inlineStr">
        <is>
          <t>耘睿24-5</t>
        </is>
      </c>
      <c r="F205" t="inlineStr">
        <is>
          <t>上交所</t>
        </is>
      </c>
      <c r="G205" t="inlineStr">
        <is>
          <t>财通资管</t>
        </is>
      </c>
      <c r="H205" t="inlineStr">
        <is>
          <t>中信证券</t>
        </is>
      </c>
      <c r="I205" t="inlineStr">
        <is>
          <t>工行天津</t>
        </is>
      </c>
      <c r="J205" t="n">
        <v>10</v>
      </c>
      <c r="K205" t="inlineStr">
        <is>
          <t>11+13</t>
        </is>
      </c>
      <c r="L205" s="309" t="n">
        <v>46079</v>
      </c>
      <c r="M205" t="n">
        <v>0.0158</v>
      </c>
      <c r="N205" t="n">
        <v>0.02088</v>
      </c>
      <c r="O205" t="n">
        <v>3.77</v>
      </c>
      <c r="P205" s="220" t="inlineStr">
        <is>
          <t>中间级</t>
        </is>
      </c>
      <c r="Q205" s="221" t="n">
        <v>0.02</v>
      </c>
      <c r="R205" s="308" t="n">
        <v>0.2</v>
      </c>
      <c r="S205" s="221" t="inlineStr">
        <is>
          <t>AA-</t>
        </is>
      </c>
      <c r="T205" s="221" t="n">
        <v>0.031</v>
      </c>
      <c r="U205" s="265" t="inlineStr">
        <is>
          <t>沛轩投资</t>
        </is>
      </c>
      <c r="V205" s="265" t="n">
        <v>0.1</v>
      </c>
    </row>
    <row r="206">
      <c r="A206" t="n">
        <v>16</v>
      </c>
      <c r="B206" t="inlineStr">
        <is>
          <t>2月</t>
        </is>
      </c>
      <c r="C206" t="inlineStr">
        <is>
          <t>消金</t>
        </is>
      </c>
      <c r="D206" t="inlineStr">
        <is>
          <t>信托金条</t>
        </is>
      </c>
      <c r="E206" t="inlineStr">
        <is>
          <t>耘睿24-5</t>
        </is>
      </c>
      <c r="F206" t="inlineStr">
        <is>
          <t>上交所</t>
        </is>
      </c>
      <c r="G206" t="inlineStr">
        <is>
          <t>财通资管</t>
        </is>
      </c>
      <c r="H206" t="inlineStr">
        <is>
          <t>中信证券</t>
        </is>
      </c>
      <c r="I206" t="inlineStr">
        <is>
          <t>工行天津</t>
        </is>
      </c>
      <c r="J206" t="n">
        <v>10</v>
      </c>
      <c r="K206" t="inlineStr">
        <is>
          <t>11+13</t>
        </is>
      </c>
      <c r="L206" s="309" t="n">
        <v>46079</v>
      </c>
      <c r="M206" t="n">
        <v>0.0158</v>
      </c>
      <c r="N206" t="n">
        <v>0.02088</v>
      </c>
      <c r="O206" t="n">
        <v>3.77</v>
      </c>
      <c r="P206" t="inlineStr">
        <is>
          <t>中间级</t>
        </is>
      </c>
      <c r="Q206" t="n">
        <v>0.02</v>
      </c>
      <c r="R206" t="n">
        <v>0.2</v>
      </c>
      <c r="S206" t="inlineStr">
        <is>
          <t>AA-</t>
        </is>
      </c>
      <c r="T206" t="n">
        <v>0.031</v>
      </c>
      <c r="U206" s="265" t="inlineStr">
        <is>
          <t>远东宏信</t>
        </is>
      </c>
      <c r="V206" s="265" t="n">
        <v>0.05</v>
      </c>
    </row>
    <row r="207">
      <c r="A207" t="n">
        <v>16</v>
      </c>
      <c r="B207" t="inlineStr">
        <is>
          <t>2月</t>
        </is>
      </c>
      <c r="C207" t="inlineStr">
        <is>
          <t>消金</t>
        </is>
      </c>
      <c r="D207" t="inlineStr">
        <is>
          <t>信托金条</t>
        </is>
      </c>
      <c r="E207" t="inlineStr">
        <is>
          <t>耘睿24-5</t>
        </is>
      </c>
      <c r="F207" t="inlineStr">
        <is>
          <t>上交所</t>
        </is>
      </c>
      <c r="G207" t="inlineStr">
        <is>
          <t>财通资管</t>
        </is>
      </c>
      <c r="H207" t="inlineStr">
        <is>
          <t>中信证券</t>
        </is>
      </c>
      <c r="I207" t="inlineStr">
        <is>
          <t>工行天津</t>
        </is>
      </c>
      <c r="J207" t="n">
        <v>10</v>
      </c>
      <c r="K207" t="inlineStr">
        <is>
          <t>11+13</t>
        </is>
      </c>
      <c r="L207" s="309" t="n">
        <v>46079</v>
      </c>
      <c r="M207" t="n">
        <v>0.0158</v>
      </c>
      <c r="N207" t="n">
        <v>0.02088</v>
      </c>
      <c r="O207" t="n">
        <v>3.77</v>
      </c>
      <c r="P207" t="inlineStr">
        <is>
          <t>中间级</t>
        </is>
      </c>
      <c r="Q207" t="n">
        <v>0.02</v>
      </c>
      <c r="R207" t="n">
        <v>0.2</v>
      </c>
      <c r="S207" t="inlineStr">
        <is>
          <t>AA-</t>
        </is>
      </c>
      <c r="T207" t="n">
        <v>0.031</v>
      </c>
      <c r="U207" s="265" t="inlineStr">
        <is>
          <t>中泰证券自营</t>
        </is>
      </c>
      <c r="V207" s="265" t="n">
        <v>0.05</v>
      </c>
    </row>
    <row r="208">
      <c r="A208" t="n">
        <v>16</v>
      </c>
      <c r="B208" t="inlineStr">
        <is>
          <t>2月</t>
        </is>
      </c>
      <c r="C208" t="inlineStr">
        <is>
          <t>消金</t>
        </is>
      </c>
      <c r="D208" t="inlineStr">
        <is>
          <t>信托金条</t>
        </is>
      </c>
      <c r="E208" t="inlineStr">
        <is>
          <t>耘睿24-5</t>
        </is>
      </c>
      <c r="F208" t="inlineStr">
        <is>
          <t>上交所</t>
        </is>
      </c>
      <c r="G208" t="inlineStr">
        <is>
          <t>财通资管</t>
        </is>
      </c>
      <c r="H208" t="inlineStr">
        <is>
          <t>中信证券</t>
        </is>
      </c>
      <c r="I208" t="inlineStr">
        <is>
          <t>工行天津</t>
        </is>
      </c>
      <c r="J208" t="n">
        <v>10</v>
      </c>
      <c r="K208" t="inlineStr">
        <is>
          <t>11+13</t>
        </is>
      </c>
      <c r="L208" s="309" t="n">
        <v>46079</v>
      </c>
      <c r="M208" t="n">
        <v>0.0158</v>
      </c>
      <c r="N208" t="n">
        <v>0.02088</v>
      </c>
      <c r="O208" t="n">
        <v>3.77</v>
      </c>
      <c r="P208" s="227" t="inlineStr">
        <is>
          <t>受益权</t>
        </is>
      </c>
      <c r="Q208" s="231" t="n">
        <v>0.05</v>
      </c>
      <c r="R208" s="320" t="n">
        <v>0.5</v>
      </c>
      <c r="S208" s="231" t="inlineStr">
        <is>
          <t>无</t>
        </is>
      </c>
      <c r="T208" s="231" t="inlineStr">
        <is>
          <t>-</t>
        </is>
      </c>
      <c r="U208" s="24" t="inlineStr">
        <is>
          <t>员工理财</t>
        </is>
      </c>
      <c r="V208" s="226" t="n">
        <v>0.5</v>
      </c>
    </row>
    <row r="209">
      <c r="A209" s="223" t="n">
        <v>17</v>
      </c>
      <c r="B209" s="220" t="inlineStr">
        <is>
          <t>2月</t>
        </is>
      </c>
      <c r="C209" s="220" t="inlineStr">
        <is>
          <t>消金</t>
        </is>
      </c>
      <c r="D209" s="220" t="inlineStr">
        <is>
          <t>信托金条</t>
        </is>
      </c>
      <c r="E209" s="220" t="inlineStr">
        <is>
          <t>耘睿24-6</t>
        </is>
      </c>
      <c r="F209" s="220" t="inlineStr">
        <is>
          <t>上交所</t>
        </is>
      </c>
      <c r="G209" s="220" t="inlineStr">
        <is>
          <t>国泰海通</t>
        </is>
      </c>
      <c r="H209" s="220" t="inlineStr">
        <is>
          <t>平安证券</t>
        </is>
      </c>
      <c r="I209" s="220" t="inlineStr">
        <is>
          <t>民生北分</t>
        </is>
      </c>
      <c r="J209" s="220" t="n">
        <v>10</v>
      </c>
      <c r="K209" s="220" t="inlineStr">
        <is>
          <t>11+13</t>
        </is>
      </c>
      <c r="L209" s="224" t="n">
        <v>46080</v>
      </c>
      <c r="M209" s="225" t="n">
        <v>0.01595</v>
      </c>
      <c r="N209" s="311" t="n">
        <v>0.02087</v>
      </c>
      <c r="O209" s="226" t="n">
        <v>2.585</v>
      </c>
      <c r="P209" s="220" t="inlineStr">
        <is>
          <t>优先A</t>
        </is>
      </c>
      <c r="Q209" s="221" t="n">
        <v>0.9</v>
      </c>
      <c r="R209" s="308" t="n">
        <v>9</v>
      </c>
      <c r="S209" s="220" t="inlineStr">
        <is>
          <t>AAA</t>
        </is>
      </c>
      <c r="T209" s="221" t="n">
        <v>0.018</v>
      </c>
      <c r="U209" s="265" t="inlineStr">
        <is>
          <t>交银理财</t>
        </is>
      </c>
      <c r="V209" s="25" t="n">
        <v>2.25</v>
      </c>
    </row>
    <row r="210">
      <c r="A210" t="n">
        <v>17</v>
      </c>
      <c r="B210" t="inlineStr">
        <is>
          <t>2月</t>
        </is>
      </c>
      <c r="C210" t="inlineStr">
        <is>
          <t>消金</t>
        </is>
      </c>
      <c r="D210" t="inlineStr">
        <is>
          <t>信托金条</t>
        </is>
      </c>
      <c r="E210" t="inlineStr">
        <is>
          <t>耘睿24-6</t>
        </is>
      </c>
      <c r="F210" t="inlineStr">
        <is>
          <t>上交所</t>
        </is>
      </c>
      <c r="G210" t="inlineStr">
        <is>
          <t>国泰海通</t>
        </is>
      </c>
      <c r="H210" t="inlineStr">
        <is>
          <t>平安证券</t>
        </is>
      </c>
      <c r="I210" t="inlineStr">
        <is>
          <t>民生北分</t>
        </is>
      </c>
      <c r="J210" t="n">
        <v>10</v>
      </c>
      <c r="K210" t="inlineStr">
        <is>
          <t>11+13</t>
        </is>
      </c>
      <c r="L210" s="309" t="n">
        <v>46080</v>
      </c>
      <c r="M210" t="n">
        <v>0.01595</v>
      </c>
      <c r="N210" t="n">
        <v>0.02087</v>
      </c>
      <c r="O210" t="n">
        <v>2.585</v>
      </c>
      <c r="P210" t="inlineStr">
        <is>
          <t>优先A</t>
        </is>
      </c>
      <c r="Q210" t="n">
        <v>0.9</v>
      </c>
      <c r="R210" t="n">
        <v>9</v>
      </c>
      <c r="S210" t="inlineStr">
        <is>
          <t>AAA</t>
        </is>
      </c>
      <c r="T210" t="n">
        <v>0.018</v>
      </c>
      <c r="U210" s="24" t="inlineStr">
        <is>
          <t>平安理财</t>
        </is>
      </c>
      <c r="V210" s="25" t="n">
        <v>2.25</v>
      </c>
    </row>
    <row r="211">
      <c r="A211" t="n">
        <v>17</v>
      </c>
      <c r="B211" t="inlineStr">
        <is>
          <t>2月</t>
        </is>
      </c>
      <c r="C211" t="inlineStr">
        <is>
          <t>消金</t>
        </is>
      </c>
      <c r="D211" t="inlineStr">
        <is>
          <t>信托金条</t>
        </is>
      </c>
      <c r="E211" t="inlineStr">
        <is>
          <t>耘睿24-6</t>
        </is>
      </c>
      <c r="F211" t="inlineStr">
        <is>
          <t>上交所</t>
        </is>
      </c>
      <c r="G211" t="inlineStr">
        <is>
          <t>国泰海通</t>
        </is>
      </c>
      <c r="H211" t="inlineStr">
        <is>
          <t>平安证券</t>
        </is>
      </c>
      <c r="I211" t="inlineStr">
        <is>
          <t>民生北分</t>
        </is>
      </c>
      <c r="J211" t="n">
        <v>10</v>
      </c>
      <c r="K211" t="inlineStr">
        <is>
          <t>11+13</t>
        </is>
      </c>
      <c r="L211" s="309" t="n">
        <v>46080</v>
      </c>
      <c r="M211" t="n">
        <v>0.01595</v>
      </c>
      <c r="N211" t="n">
        <v>0.02087</v>
      </c>
      <c r="O211" t="n">
        <v>2.585</v>
      </c>
      <c r="P211" t="inlineStr">
        <is>
          <t>优先A</t>
        </is>
      </c>
      <c r="Q211" t="n">
        <v>0.9</v>
      </c>
      <c r="R211" t="n">
        <v>9</v>
      </c>
      <c r="S211" t="inlineStr">
        <is>
          <t>AAA</t>
        </is>
      </c>
      <c r="T211" t="n">
        <v>0.018</v>
      </c>
      <c r="U211" s="24" t="inlineStr">
        <is>
          <t>厦门国际银行</t>
        </is>
      </c>
      <c r="V211" s="25" t="n">
        <v>1.4</v>
      </c>
    </row>
    <row r="212">
      <c r="A212" t="n">
        <v>17</v>
      </c>
      <c r="B212" t="inlineStr">
        <is>
          <t>2月</t>
        </is>
      </c>
      <c r="C212" t="inlineStr">
        <is>
          <t>消金</t>
        </is>
      </c>
      <c r="D212" t="inlineStr">
        <is>
          <t>信托金条</t>
        </is>
      </c>
      <c r="E212" t="inlineStr">
        <is>
          <t>耘睿24-6</t>
        </is>
      </c>
      <c r="F212" t="inlineStr">
        <is>
          <t>上交所</t>
        </is>
      </c>
      <c r="G212" t="inlineStr">
        <is>
          <t>国泰海通</t>
        </is>
      </c>
      <c r="H212" t="inlineStr">
        <is>
          <t>平安证券</t>
        </is>
      </c>
      <c r="I212" t="inlineStr">
        <is>
          <t>民生北分</t>
        </is>
      </c>
      <c r="J212" t="n">
        <v>10</v>
      </c>
      <c r="K212" t="inlineStr">
        <is>
          <t>11+13</t>
        </is>
      </c>
      <c r="L212" s="309" t="n">
        <v>46080</v>
      </c>
      <c r="M212" t="n">
        <v>0.01595</v>
      </c>
      <c r="N212" t="n">
        <v>0.02087</v>
      </c>
      <c r="O212" t="n">
        <v>2.585</v>
      </c>
      <c r="P212" t="inlineStr">
        <is>
          <t>优先A</t>
        </is>
      </c>
      <c r="Q212" t="n">
        <v>0.9</v>
      </c>
      <c r="R212" t="n">
        <v>9</v>
      </c>
      <c r="S212" t="inlineStr">
        <is>
          <t>AAA</t>
        </is>
      </c>
      <c r="T212" t="n">
        <v>0.018</v>
      </c>
      <c r="U212" s="24" t="inlineStr">
        <is>
          <t>工银理财</t>
        </is>
      </c>
      <c r="V212" s="25" t="n">
        <v>1.3</v>
      </c>
    </row>
    <row r="213">
      <c r="A213" t="n">
        <v>17</v>
      </c>
      <c r="B213" t="inlineStr">
        <is>
          <t>2月</t>
        </is>
      </c>
      <c r="C213" t="inlineStr">
        <is>
          <t>消金</t>
        </is>
      </c>
      <c r="D213" t="inlineStr">
        <is>
          <t>信托金条</t>
        </is>
      </c>
      <c r="E213" t="inlineStr">
        <is>
          <t>耘睿24-6</t>
        </is>
      </c>
      <c r="F213" t="inlineStr">
        <is>
          <t>上交所</t>
        </is>
      </c>
      <c r="G213" t="inlineStr">
        <is>
          <t>国泰海通</t>
        </is>
      </c>
      <c r="H213" t="inlineStr">
        <is>
          <t>平安证券</t>
        </is>
      </c>
      <c r="I213" t="inlineStr">
        <is>
          <t>民生北分</t>
        </is>
      </c>
      <c r="J213" t="n">
        <v>10</v>
      </c>
      <c r="K213" t="inlineStr">
        <is>
          <t>11+13</t>
        </is>
      </c>
      <c r="L213" s="309" t="n">
        <v>46080</v>
      </c>
      <c r="M213" t="n">
        <v>0.01595</v>
      </c>
      <c r="N213" t="n">
        <v>0.02087</v>
      </c>
      <c r="O213" t="n">
        <v>2.585</v>
      </c>
      <c r="P213" t="inlineStr">
        <is>
          <t>优先A</t>
        </is>
      </c>
      <c r="Q213" t="n">
        <v>0.9</v>
      </c>
      <c r="R213" t="n">
        <v>9</v>
      </c>
      <c r="S213" t="inlineStr">
        <is>
          <t>AAA</t>
        </is>
      </c>
      <c r="T213" t="n">
        <v>0.018</v>
      </c>
      <c r="U213" s="24" t="inlineStr">
        <is>
          <t>中银理财</t>
        </is>
      </c>
      <c r="V213" s="25" t="n">
        <v>1</v>
      </c>
    </row>
    <row r="214">
      <c r="A214" t="n">
        <v>17</v>
      </c>
      <c r="B214" t="inlineStr">
        <is>
          <t>2月</t>
        </is>
      </c>
      <c r="C214" t="inlineStr">
        <is>
          <t>消金</t>
        </is>
      </c>
      <c r="D214" t="inlineStr">
        <is>
          <t>信托金条</t>
        </is>
      </c>
      <c r="E214" t="inlineStr">
        <is>
          <t>耘睿24-6</t>
        </is>
      </c>
      <c r="F214" t="inlineStr">
        <is>
          <t>上交所</t>
        </is>
      </c>
      <c r="G214" t="inlineStr">
        <is>
          <t>国泰海通</t>
        </is>
      </c>
      <c r="H214" t="inlineStr">
        <is>
          <t>平安证券</t>
        </is>
      </c>
      <c r="I214" t="inlineStr">
        <is>
          <t>民生北分</t>
        </is>
      </c>
      <c r="J214" t="n">
        <v>10</v>
      </c>
      <c r="K214" t="inlineStr">
        <is>
          <t>11+13</t>
        </is>
      </c>
      <c r="L214" s="309" t="n">
        <v>46080</v>
      </c>
      <c r="M214" t="n">
        <v>0.01595</v>
      </c>
      <c r="N214" t="n">
        <v>0.02087</v>
      </c>
      <c r="O214" t="n">
        <v>2.585</v>
      </c>
      <c r="P214" t="inlineStr">
        <is>
          <t>优先A</t>
        </is>
      </c>
      <c r="Q214" t="n">
        <v>0.9</v>
      </c>
      <c r="R214" t="n">
        <v>9</v>
      </c>
      <c r="S214" t="inlineStr">
        <is>
          <t>AAA</t>
        </is>
      </c>
      <c r="T214" t="n">
        <v>0.018</v>
      </c>
      <c r="U214" s="24" t="inlineStr">
        <is>
          <t>广银理财</t>
        </is>
      </c>
      <c r="V214" s="25" t="n">
        <v>0.8</v>
      </c>
    </row>
    <row r="215">
      <c r="A215" t="n">
        <v>17</v>
      </c>
      <c r="B215" t="inlineStr">
        <is>
          <t>2月</t>
        </is>
      </c>
      <c r="C215" t="inlineStr">
        <is>
          <t>消金</t>
        </is>
      </c>
      <c r="D215" t="inlineStr">
        <is>
          <t>信托金条</t>
        </is>
      </c>
      <c r="E215" t="inlineStr">
        <is>
          <t>耘睿24-6</t>
        </is>
      </c>
      <c r="F215" t="inlineStr">
        <is>
          <t>上交所</t>
        </is>
      </c>
      <c r="G215" t="inlineStr">
        <is>
          <t>国泰海通</t>
        </is>
      </c>
      <c r="H215" t="inlineStr">
        <is>
          <t>平安证券</t>
        </is>
      </c>
      <c r="I215" t="inlineStr">
        <is>
          <t>民生北分</t>
        </is>
      </c>
      <c r="J215" t="n">
        <v>10</v>
      </c>
      <c r="K215" t="inlineStr">
        <is>
          <t>11+13</t>
        </is>
      </c>
      <c r="L215" s="309" t="n">
        <v>46080</v>
      </c>
      <c r="M215" t="n">
        <v>0.01595</v>
      </c>
      <c r="N215" t="n">
        <v>0.02087</v>
      </c>
      <c r="O215" t="n">
        <v>2.585</v>
      </c>
      <c r="P215" s="220" t="inlineStr">
        <is>
          <t>优先B</t>
        </is>
      </c>
      <c r="Q215" s="221" t="n">
        <v>0.03</v>
      </c>
      <c r="R215" s="308" t="n">
        <v>0.3</v>
      </c>
      <c r="S215" s="221" t="inlineStr">
        <is>
          <t>AA+</t>
        </is>
      </c>
      <c r="T215" s="221" t="n">
        <v>0.02</v>
      </c>
      <c r="U215" s="265" t="inlineStr">
        <is>
          <t>建信信托</t>
        </is>
      </c>
      <c r="V215" s="29" t="n">
        <v>0.14</v>
      </c>
    </row>
    <row r="216">
      <c r="A216" t="n">
        <v>17</v>
      </c>
      <c r="B216" t="inlineStr">
        <is>
          <t>2月</t>
        </is>
      </c>
      <c r="C216" t="inlineStr">
        <is>
          <t>消金</t>
        </is>
      </c>
      <c r="D216" t="inlineStr">
        <is>
          <t>信托金条</t>
        </is>
      </c>
      <c r="E216" t="inlineStr">
        <is>
          <t>耘睿24-6</t>
        </is>
      </c>
      <c r="F216" t="inlineStr">
        <is>
          <t>上交所</t>
        </is>
      </c>
      <c r="G216" t="inlineStr">
        <is>
          <t>国泰海通</t>
        </is>
      </c>
      <c r="H216" t="inlineStr">
        <is>
          <t>平安证券</t>
        </is>
      </c>
      <c r="I216" t="inlineStr">
        <is>
          <t>民生北分</t>
        </is>
      </c>
      <c r="J216" t="n">
        <v>10</v>
      </c>
      <c r="K216" t="inlineStr">
        <is>
          <t>11+13</t>
        </is>
      </c>
      <c r="L216" s="309" t="n">
        <v>46080</v>
      </c>
      <c r="M216" t="n">
        <v>0.01595</v>
      </c>
      <c r="N216" t="n">
        <v>0.02087</v>
      </c>
      <c r="O216" t="n">
        <v>2.585</v>
      </c>
      <c r="P216" t="inlineStr">
        <is>
          <t>优先B</t>
        </is>
      </c>
      <c r="Q216" t="n">
        <v>0.03</v>
      </c>
      <c r="R216" t="n">
        <v>0.3</v>
      </c>
      <c r="S216" t="inlineStr">
        <is>
          <t>AA+</t>
        </is>
      </c>
      <c r="T216" t="n">
        <v>0.02</v>
      </c>
      <c r="U216" s="265" t="inlineStr">
        <is>
          <t>交银理财</t>
        </is>
      </c>
      <c r="V216" s="29" t="n">
        <v>0.09</v>
      </c>
    </row>
    <row r="217">
      <c r="A217" t="n">
        <v>17</v>
      </c>
      <c r="B217" t="inlineStr">
        <is>
          <t>2月</t>
        </is>
      </c>
      <c r="C217" t="inlineStr">
        <is>
          <t>消金</t>
        </is>
      </c>
      <c r="D217" t="inlineStr">
        <is>
          <t>信托金条</t>
        </is>
      </c>
      <c r="E217" t="inlineStr">
        <is>
          <t>耘睿24-6</t>
        </is>
      </c>
      <c r="F217" t="inlineStr">
        <is>
          <t>上交所</t>
        </is>
      </c>
      <c r="G217" t="inlineStr">
        <is>
          <t>国泰海通</t>
        </is>
      </c>
      <c r="H217" t="inlineStr">
        <is>
          <t>平安证券</t>
        </is>
      </c>
      <c r="I217" t="inlineStr">
        <is>
          <t>民生北分</t>
        </is>
      </c>
      <c r="J217" t="n">
        <v>10</v>
      </c>
      <c r="K217" t="inlineStr">
        <is>
          <t>11+13</t>
        </is>
      </c>
      <c r="L217" s="309" t="n">
        <v>46080</v>
      </c>
      <c r="M217" t="n">
        <v>0.01595</v>
      </c>
      <c r="N217" t="n">
        <v>0.02087</v>
      </c>
      <c r="O217" t="n">
        <v>2.585</v>
      </c>
      <c r="P217" t="inlineStr">
        <is>
          <t>优先B</t>
        </is>
      </c>
      <c r="Q217" t="n">
        <v>0.03</v>
      </c>
      <c r="R217" t="n">
        <v>0.3</v>
      </c>
      <c r="S217" t="inlineStr">
        <is>
          <t>AA+</t>
        </is>
      </c>
      <c r="T217" t="n">
        <v>0.02</v>
      </c>
      <c r="U217" s="24" t="inlineStr">
        <is>
          <t>平安理财</t>
        </is>
      </c>
      <c r="V217" s="29" t="n">
        <v>0.07000000000000001</v>
      </c>
    </row>
    <row r="218">
      <c r="A218" t="n">
        <v>17</v>
      </c>
      <c r="B218" t="inlineStr">
        <is>
          <t>2月</t>
        </is>
      </c>
      <c r="C218" t="inlineStr">
        <is>
          <t>消金</t>
        </is>
      </c>
      <c r="D218" t="inlineStr">
        <is>
          <t>信托金条</t>
        </is>
      </c>
      <c r="E218" t="inlineStr">
        <is>
          <t>耘睿24-6</t>
        </is>
      </c>
      <c r="F218" t="inlineStr">
        <is>
          <t>上交所</t>
        </is>
      </c>
      <c r="G218" t="inlineStr">
        <is>
          <t>国泰海通</t>
        </is>
      </c>
      <c r="H218" t="inlineStr">
        <is>
          <t>平安证券</t>
        </is>
      </c>
      <c r="I218" t="inlineStr">
        <is>
          <t>民生北分</t>
        </is>
      </c>
      <c r="J218" t="n">
        <v>10</v>
      </c>
      <c r="K218" t="inlineStr">
        <is>
          <t>11+13</t>
        </is>
      </c>
      <c r="L218" s="309" t="n">
        <v>46080</v>
      </c>
      <c r="M218" t="n">
        <v>0.01595</v>
      </c>
      <c r="N218" t="n">
        <v>0.02087</v>
      </c>
      <c r="O218" t="n">
        <v>2.585</v>
      </c>
      <c r="P218" s="220" t="inlineStr">
        <is>
          <t>中间级</t>
        </is>
      </c>
      <c r="Q218" s="221" t="n">
        <v>0.02</v>
      </c>
      <c r="R218" s="308" t="n">
        <v>0.2</v>
      </c>
      <c r="S218" s="221" t="inlineStr">
        <is>
          <t>AA-</t>
        </is>
      </c>
      <c r="T218" s="221" t="n">
        <v>0.031</v>
      </c>
      <c r="U218" s="24" t="inlineStr">
        <is>
          <t>德邦证券自营</t>
        </is>
      </c>
      <c r="V218" s="226" t="n">
        <v>0.1</v>
      </c>
    </row>
    <row r="219">
      <c r="A219" t="n">
        <v>17</v>
      </c>
      <c r="B219" t="inlineStr">
        <is>
          <t>2月</t>
        </is>
      </c>
      <c r="C219" t="inlineStr">
        <is>
          <t>消金</t>
        </is>
      </c>
      <c r="D219" t="inlineStr">
        <is>
          <t>信托金条</t>
        </is>
      </c>
      <c r="E219" t="inlineStr">
        <is>
          <t>耘睿24-6</t>
        </is>
      </c>
      <c r="F219" t="inlineStr">
        <is>
          <t>上交所</t>
        </is>
      </c>
      <c r="G219" t="inlineStr">
        <is>
          <t>国泰海通</t>
        </is>
      </c>
      <c r="H219" t="inlineStr">
        <is>
          <t>平安证券</t>
        </is>
      </c>
      <c r="I219" t="inlineStr">
        <is>
          <t>民生北分</t>
        </is>
      </c>
      <c r="J219" t="n">
        <v>10</v>
      </c>
      <c r="K219" t="inlineStr">
        <is>
          <t>11+13</t>
        </is>
      </c>
      <c r="L219" s="309" t="n">
        <v>46080</v>
      </c>
      <c r="M219" t="n">
        <v>0.01595</v>
      </c>
      <c r="N219" t="n">
        <v>0.02087</v>
      </c>
      <c r="O219" t="n">
        <v>2.585</v>
      </c>
      <c r="P219" t="inlineStr">
        <is>
          <t>中间级</t>
        </is>
      </c>
      <c r="Q219" t="n">
        <v>0.02</v>
      </c>
      <c r="R219" t="n">
        <v>0.2</v>
      </c>
      <c r="S219" t="inlineStr">
        <is>
          <t>AA-</t>
        </is>
      </c>
      <c r="T219" t="n">
        <v>0.031</v>
      </c>
      <c r="U219" s="24" t="inlineStr">
        <is>
          <t>中信建投衍生品</t>
        </is>
      </c>
      <c r="V219" s="226" t="n">
        <v>0.1</v>
      </c>
    </row>
    <row r="220">
      <c r="A220" t="n">
        <v>17</v>
      </c>
      <c r="B220" t="inlineStr">
        <is>
          <t>2月</t>
        </is>
      </c>
      <c r="C220" t="inlineStr">
        <is>
          <t>消金</t>
        </is>
      </c>
      <c r="D220" t="inlineStr">
        <is>
          <t>信托金条</t>
        </is>
      </c>
      <c r="E220" t="inlineStr">
        <is>
          <t>耘睿24-6</t>
        </is>
      </c>
      <c r="F220" t="inlineStr">
        <is>
          <t>上交所</t>
        </is>
      </c>
      <c r="G220" t="inlineStr">
        <is>
          <t>国泰海通</t>
        </is>
      </c>
      <c r="H220" t="inlineStr">
        <is>
          <t>平安证券</t>
        </is>
      </c>
      <c r="I220" t="inlineStr">
        <is>
          <t>民生北分</t>
        </is>
      </c>
      <c r="J220" t="n">
        <v>10</v>
      </c>
      <c r="K220" t="inlineStr">
        <is>
          <t>11+13</t>
        </is>
      </c>
      <c r="L220" s="309" t="n">
        <v>46080</v>
      </c>
      <c r="M220" t="n">
        <v>0.01595</v>
      </c>
      <c r="N220" t="n">
        <v>0.02087</v>
      </c>
      <c r="O220" t="n">
        <v>2.585</v>
      </c>
      <c r="P220" s="227" t="inlineStr">
        <is>
          <t>受益权</t>
        </is>
      </c>
      <c r="Q220" s="231" t="n">
        <v>0.05</v>
      </c>
      <c r="R220" s="320" t="n">
        <v>0.5</v>
      </c>
      <c r="S220" s="231" t="inlineStr">
        <is>
          <t>无</t>
        </is>
      </c>
      <c r="T220" s="231" t="inlineStr">
        <is>
          <t>-</t>
        </is>
      </c>
      <c r="U220" s="265" t="inlineStr">
        <is>
          <t>员工理财</t>
        </is>
      </c>
      <c r="V220" s="226" t="n">
        <v>0.5</v>
      </c>
    </row>
    <row r="221">
      <c r="A221" s="223" t="n">
        <v>18</v>
      </c>
      <c r="B221" s="265" t="inlineStr">
        <is>
          <t>2月</t>
        </is>
      </c>
      <c r="C221" s="265" t="inlineStr">
        <is>
          <t>消金</t>
        </is>
      </c>
      <c r="D221" s="265" t="inlineStr">
        <is>
          <t>信托金条</t>
        </is>
      </c>
      <c r="E221" s="265" t="inlineStr">
        <is>
          <t>京至2号1期</t>
        </is>
      </c>
      <c r="F221" s="265" t="inlineStr">
        <is>
          <t>中保登</t>
        </is>
      </c>
      <c r="G221" s="265" t="inlineStr">
        <is>
          <t>泰康资产</t>
        </is>
      </c>
      <c r="H221" s="265" t="inlineStr">
        <is>
          <t>-</t>
        </is>
      </c>
      <c r="I221" s="265" t="inlineStr">
        <is>
          <t>江苏北分</t>
        </is>
      </c>
      <c r="J221" s="265" t="n">
        <v>10</v>
      </c>
      <c r="K221" s="265" t="inlineStr">
        <is>
          <t>23+12</t>
        </is>
      </c>
      <c r="L221" s="266" t="n">
        <v>46080</v>
      </c>
      <c r="M221" s="225" t="n">
        <v>0.01595</v>
      </c>
      <c r="N221" s="311" t="n">
        <v>0.02709</v>
      </c>
      <c r="O221" s="265" t="inlineStr">
        <is>
          <t>-</t>
        </is>
      </c>
      <c r="P221" s="220" t="inlineStr">
        <is>
          <t>优先A1</t>
        </is>
      </c>
      <c r="Q221" s="221" t="n">
        <v>0.83</v>
      </c>
      <c r="R221" s="226" t="n">
        <v>8.300000000000001</v>
      </c>
      <c r="S221" s="220" t="inlineStr">
        <is>
          <t>AAA</t>
        </is>
      </c>
      <c r="T221" s="221" t="n">
        <v>0.024</v>
      </c>
      <c r="U221" s="24" t="inlineStr">
        <is>
          <t>花旗银行</t>
        </is>
      </c>
      <c r="V221" s="29" t="n">
        <v>8.300000000000001</v>
      </c>
    </row>
    <row r="222">
      <c r="A222" t="n">
        <v>18</v>
      </c>
      <c r="B222" t="inlineStr">
        <is>
          <t>2月</t>
        </is>
      </c>
      <c r="C222" t="inlineStr">
        <is>
          <t>消金</t>
        </is>
      </c>
      <c r="D222" t="inlineStr">
        <is>
          <t>信托金条</t>
        </is>
      </c>
      <c r="E222" t="inlineStr">
        <is>
          <t>京至2号1期</t>
        </is>
      </c>
      <c r="F222" t="inlineStr">
        <is>
          <t>中保登</t>
        </is>
      </c>
      <c r="G222" t="inlineStr">
        <is>
          <t>泰康资产</t>
        </is>
      </c>
      <c r="H222" t="inlineStr">
        <is>
          <t>-</t>
        </is>
      </c>
      <c r="I222" t="inlineStr">
        <is>
          <t>江苏北分</t>
        </is>
      </c>
      <c r="J222" t="n">
        <v>10</v>
      </c>
      <c r="K222" t="inlineStr">
        <is>
          <t>23+12</t>
        </is>
      </c>
      <c r="L222" s="309" t="n">
        <v>46080</v>
      </c>
      <c r="M222" t="n">
        <v>0.01595</v>
      </c>
      <c r="N222" t="n">
        <v>0.02709</v>
      </c>
      <c r="O222" t="inlineStr">
        <is>
          <t>-</t>
        </is>
      </c>
      <c r="P222" s="220" t="inlineStr">
        <is>
          <t>优先A2</t>
        </is>
      </c>
      <c r="Q222" s="221" t="n">
        <v>0.04</v>
      </c>
      <c r="R222" s="226" t="n">
        <v>0.4</v>
      </c>
      <c r="S222" s="220" t="inlineStr">
        <is>
          <t>AAA</t>
        </is>
      </c>
      <c r="T222" s="221" t="n">
        <v>0.0245</v>
      </c>
      <c r="U222" s="217" t="inlineStr">
        <is>
          <t>中信建投投顾</t>
        </is>
      </c>
      <c r="V222" s="226" t="n">
        <v>0.4</v>
      </c>
    </row>
    <row r="223">
      <c r="A223" t="n">
        <v>18</v>
      </c>
      <c r="B223" t="inlineStr">
        <is>
          <t>2月</t>
        </is>
      </c>
      <c r="C223" t="inlineStr">
        <is>
          <t>消金</t>
        </is>
      </c>
      <c r="D223" t="inlineStr">
        <is>
          <t>信托金条</t>
        </is>
      </c>
      <c r="E223" t="inlineStr">
        <is>
          <t>京至2号1期</t>
        </is>
      </c>
      <c r="F223" t="inlineStr">
        <is>
          <t>中保登</t>
        </is>
      </c>
      <c r="G223" t="inlineStr">
        <is>
          <t>泰康资产</t>
        </is>
      </c>
      <c r="H223" t="inlineStr">
        <is>
          <t>-</t>
        </is>
      </c>
      <c r="I223" t="inlineStr">
        <is>
          <t>江苏北分</t>
        </is>
      </c>
      <c r="J223" t="n">
        <v>10</v>
      </c>
      <c r="K223" t="inlineStr">
        <is>
          <t>23+12</t>
        </is>
      </c>
      <c r="L223" s="309" t="n">
        <v>46080</v>
      </c>
      <c r="M223" t="n">
        <v>0.01595</v>
      </c>
      <c r="N223" t="n">
        <v>0.02709</v>
      </c>
      <c r="O223" t="inlineStr">
        <is>
          <t>-</t>
        </is>
      </c>
      <c r="P223" s="217" t="inlineStr">
        <is>
          <t>优先B</t>
        </is>
      </c>
      <c r="Q223" s="46" t="n">
        <v>0.04</v>
      </c>
      <c r="R223" s="268" t="n">
        <v>0.4</v>
      </c>
      <c r="S223" s="220" t="inlineStr">
        <is>
          <t>AA+</t>
        </is>
      </c>
      <c r="T223" s="267" t="n">
        <v>0.0255</v>
      </c>
      <c r="U223" s="217" t="inlineStr">
        <is>
          <t>中信建投投顾</t>
        </is>
      </c>
      <c r="V223" s="226" t="n">
        <v>0.4</v>
      </c>
    </row>
    <row r="224">
      <c r="A224" t="n">
        <v>18</v>
      </c>
      <c r="B224" t="inlineStr">
        <is>
          <t>2月</t>
        </is>
      </c>
      <c r="C224" t="inlineStr">
        <is>
          <t>消金</t>
        </is>
      </c>
      <c r="D224" t="inlineStr">
        <is>
          <t>信托金条</t>
        </is>
      </c>
      <c r="E224" t="inlineStr">
        <is>
          <t>京至2号1期</t>
        </is>
      </c>
      <c r="F224" t="inlineStr">
        <is>
          <t>中保登</t>
        </is>
      </c>
      <c r="G224" t="inlineStr">
        <is>
          <t>泰康资产</t>
        </is>
      </c>
      <c r="H224" t="inlineStr">
        <is>
          <t>-</t>
        </is>
      </c>
      <c r="I224" t="inlineStr">
        <is>
          <t>江苏北分</t>
        </is>
      </c>
      <c r="J224" t="n">
        <v>10</v>
      </c>
      <c r="K224" t="inlineStr">
        <is>
          <t>23+12</t>
        </is>
      </c>
      <c r="L224" s="309" t="n">
        <v>46080</v>
      </c>
      <c r="M224" t="n">
        <v>0.01595</v>
      </c>
      <c r="N224" t="n">
        <v>0.02709</v>
      </c>
      <c r="O224" t="inlineStr">
        <is>
          <t>-</t>
        </is>
      </c>
      <c r="P224" s="223" t="inlineStr">
        <is>
          <t>中间级</t>
        </is>
      </c>
      <c r="Q224" s="267" t="n">
        <v>0.04</v>
      </c>
      <c r="R224" s="268" t="n">
        <v>0.4</v>
      </c>
      <c r="S224" s="220" t="inlineStr">
        <is>
          <t>AA-</t>
        </is>
      </c>
      <c r="T224" s="267" t="n">
        <v>0.032</v>
      </c>
      <c r="U224" s="217" t="inlineStr">
        <is>
          <t>中信建投投顾</t>
        </is>
      </c>
      <c r="V224" s="226" t="n">
        <v>0.4</v>
      </c>
    </row>
    <row r="225">
      <c r="A225" t="n">
        <v>18</v>
      </c>
      <c r="B225" t="inlineStr">
        <is>
          <t>2月</t>
        </is>
      </c>
      <c r="C225" t="inlineStr">
        <is>
          <t>消金</t>
        </is>
      </c>
      <c r="D225" t="inlineStr">
        <is>
          <t>信托金条</t>
        </is>
      </c>
      <c r="E225" t="inlineStr">
        <is>
          <t>京至2号1期</t>
        </is>
      </c>
      <c r="F225" t="inlineStr">
        <is>
          <t>中保登</t>
        </is>
      </c>
      <c r="G225" t="inlineStr">
        <is>
          <t>泰康资产</t>
        </is>
      </c>
      <c r="H225" t="inlineStr">
        <is>
          <t>-</t>
        </is>
      </c>
      <c r="I225" t="inlineStr">
        <is>
          <t>江苏北分</t>
        </is>
      </c>
      <c r="J225" t="n">
        <v>10</v>
      </c>
      <c r="K225" t="inlineStr">
        <is>
          <t>23+12</t>
        </is>
      </c>
      <c r="L225" s="309" t="n">
        <v>46080</v>
      </c>
      <c r="M225" t="n">
        <v>0.01595</v>
      </c>
      <c r="N225" t="n">
        <v>0.02709</v>
      </c>
      <c r="O225" t="inlineStr">
        <is>
          <t>-</t>
        </is>
      </c>
      <c r="P225" s="223" t="inlineStr">
        <is>
          <t>受益权</t>
        </is>
      </c>
      <c r="Q225" s="267" t="n">
        <v>0.05</v>
      </c>
      <c r="R225" s="268" t="n">
        <v>0.5</v>
      </c>
      <c r="S225" s="223" t="inlineStr">
        <is>
          <t>无</t>
        </is>
      </c>
      <c r="T225" s="267" t="n">
        <v>0.0485</v>
      </c>
      <c r="U225" s="217" t="inlineStr">
        <is>
          <t>中信建投投顾</t>
        </is>
      </c>
      <c r="V225" s="268" t="n">
        <v>0.5</v>
      </c>
    </row>
    <row r="226">
      <c r="A226" s="223" t="n">
        <v>19</v>
      </c>
      <c r="B226" s="265" t="inlineStr">
        <is>
          <t>2月</t>
        </is>
      </c>
      <c r="C226" s="265" t="inlineStr">
        <is>
          <t>消金</t>
        </is>
      </c>
      <c r="D226" s="265" t="inlineStr">
        <is>
          <t>信托金条</t>
        </is>
      </c>
      <c r="E226" s="265" t="inlineStr">
        <is>
          <t>京至2号2期</t>
        </is>
      </c>
      <c r="F226" s="265" t="inlineStr">
        <is>
          <t>中保登</t>
        </is>
      </c>
      <c r="G226" s="265" t="inlineStr">
        <is>
          <t>泰康资产</t>
        </is>
      </c>
      <c r="H226" s="265" t="inlineStr">
        <is>
          <t>-</t>
        </is>
      </c>
      <c r="I226" s="265" t="inlineStr">
        <is>
          <t>江苏北分</t>
        </is>
      </c>
      <c r="J226" s="265" t="n">
        <v>10</v>
      </c>
      <c r="K226" s="265" t="inlineStr">
        <is>
          <t>23+12</t>
        </is>
      </c>
      <c r="L226" s="266" t="n">
        <v>46080</v>
      </c>
      <c r="M226" s="225" t="n">
        <v>0.01595</v>
      </c>
      <c r="N226" s="311" t="n">
        <v>0.02709</v>
      </c>
      <c r="O226" s="265" t="inlineStr">
        <is>
          <t>-</t>
        </is>
      </c>
      <c r="P226" s="220" t="inlineStr">
        <is>
          <t>优先A1</t>
        </is>
      </c>
      <c r="Q226" s="221" t="n">
        <v>0.83</v>
      </c>
      <c r="R226" s="226" t="n">
        <v>8.300000000000001</v>
      </c>
      <c r="S226" s="220" t="inlineStr">
        <is>
          <t>AAA</t>
        </is>
      </c>
      <c r="T226" s="221" t="n">
        <v>0.024</v>
      </c>
      <c r="U226" s="24" t="inlineStr">
        <is>
          <t>花旗银行</t>
        </is>
      </c>
      <c r="V226" s="29" t="n">
        <v>8.300000000000001</v>
      </c>
    </row>
    <row r="227">
      <c r="A227" t="n">
        <v>19</v>
      </c>
      <c r="B227" t="inlineStr">
        <is>
          <t>2月</t>
        </is>
      </c>
      <c r="C227" t="inlineStr">
        <is>
          <t>消金</t>
        </is>
      </c>
      <c r="D227" t="inlineStr">
        <is>
          <t>信托金条</t>
        </is>
      </c>
      <c r="E227" t="inlineStr">
        <is>
          <t>京至2号2期</t>
        </is>
      </c>
      <c r="F227" t="inlineStr">
        <is>
          <t>中保登</t>
        </is>
      </c>
      <c r="G227" t="inlineStr">
        <is>
          <t>泰康资产</t>
        </is>
      </c>
      <c r="H227" t="inlineStr">
        <is>
          <t>-</t>
        </is>
      </c>
      <c r="I227" t="inlineStr">
        <is>
          <t>江苏北分</t>
        </is>
      </c>
      <c r="J227" t="n">
        <v>10</v>
      </c>
      <c r="K227" t="inlineStr">
        <is>
          <t>23+12</t>
        </is>
      </c>
      <c r="L227" s="309" t="n">
        <v>46080</v>
      </c>
      <c r="M227" t="n">
        <v>0.01595</v>
      </c>
      <c r="N227" t="n">
        <v>0.02709</v>
      </c>
      <c r="O227" t="inlineStr">
        <is>
          <t>-</t>
        </is>
      </c>
      <c r="P227" s="220" t="inlineStr">
        <is>
          <t>优先A2</t>
        </is>
      </c>
      <c r="Q227" s="221" t="n">
        <v>0.04</v>
      </c>
      <c r="R227" s="226" t="n">
        <v>0.4</v>
      </c>
      <c r="S227" s="220" t="inlineStr">
        <is>
          <t>AAA</t>
        </is>
      </c>
      <c r="T227" s="221" t="n">
        <v>0.0245</v>
      </c>
      <c r="U227" s="217" t="inlineStr">
        <is>
          <t>中金财富</t>
        </is>
      </c>
      <c r="V227" s="226" t="n">
        <v>0.4</v>
      </c>
    </row>
    <row r="228">
      <c r="A228" t="n">
        <v>19</v>
      </c>
      <c r="B228" t="inlineStr">
        <is>
          <t>2月</t>
        </is>
      </c>
      <c r="C228" t="inlineStr">
        <is>
          <t>消金</t>
        </is>
      </c>
      <c r="D228" t="inlineStr">
        <is>
          <t>信托金条</t>
        </is>
      </c>
      <c r="E228" t="inlineStr">
        <is>
          <t>京至2号2期</t>
        </is>
      </c>
      <c r="F228" t="inlineStr">
        <is>
          <t>中保登</t>
        </is>
      </c>
      <c r="G228" t="inlineStr">
        <is>
          <t>泰康资产</t>
        </is>
      </c>
      <c r="H228" t="inlineStr">
        <is>
          <t>-</t>
        </is>
      </c>
      <c r="I228" t="inlineStr">
        <is>
          <t>江苏北分</t>
        </is>
      </c>
      <c r="J228" t="n">
        <v>10</v>
      </c>
      <c r="K228" t="inlineStr">
        <is>
          <t>23+12</t>
        </is>
      </c>
      <c r="L228" s="309" t="n">
        <v>46080</v>
      </c>
      <c r="M228" t="n">
        <v>0.01595</v>
      </c>
      <c r="N228" t="n">
        <v>0.02709</v>
      </c>
      <c r="O228" t="inlineStr">
        <is>
          <t>-</t>
        </is>
      </c>
      <c r="P228" s="223" t="inlineStr">
        <is>
          <t>优先B</t>
        </is>
      </c>
      <c r="Q228" s="267" t="n">
        <v>0.04</v>
      </c>
      <c r="R228" s="268" t="n">
        <v>0.4</v>
      </c>
      <c r="S228" s="220" t="inlineStr">
        <is>
          <t>AA+</t>
        </is>
      </c>
      <c r="T228" s="321" t="n">
        <v>0.0255</v>
      </c>
      <c r="U228" s="217" t="inlineStr">
        <is>
          <t>中金自营</t>
        </is>
      </c>
      <c r="V228" s="226" t="n">
        <v>0.2</v>
      </c>
    </row>
    <row r="229">
      <c r="A229" t="n">
        <v>19</v>
      </c>
      <c r="B229" t="inlineStr">
        <is>
          <t>2月</t>
        </is>
      </c>
      <c r="C229" t="inlineStr">
        <is>
          <t>消金</t>
        </is>
      </c>
      <c r="D229" t="inlineStr">
        <is>
          <t>信托金条</t>
        </is>
      </c>
      <c r="E229" t="inlineStr">
        <is>
          <t>京至2号2期</t>
        </is>
      </c>
      <c r="F229" t="inlineStr">
        <is>
          <t>中保登</t>
        </is>
      </c>
      <c r="G229" t="inlineStr">
        <is>
          <t>泰康资产</t>
        </is>
      </c>
      <c r="H229" t="inlineStr">
        <is>
          <t>-</t>
        </is>
      </c>
      <c r="I229" t="inlineStr">
        <is>
          <t>江苏北分</t>
        </is>
      </c>
      <c r="J229" t="n">
        <v>10</v>
      </c>
      <c r="K229" t="inlineStr">
        <is>
          <t>23+12</t>
        </is>
      </c>
      <c r="L229" s="309" t="n">
        <v>46080</v>
      </c>
      <c r="M229" t="n">
        <v>0.01595</v>
      </c>
      <c r="N229" t="n">
        <v>0.02709</v>
      </c>
      <c r="O229" t="inlineStr">
        <is>
          <t>-</t>
        </is>
      </c>
      <c r="P229" t="inlineStr">
        <is>
          <t>优先B</t>
        </is>
      </c>
      <c r="Q229" t="n">
        <v>0.04</v>
      </c>
      <c r="R229" t="n">
        <v>0.4</v>
      </c>
      <c r="S229" t="inlineStr">
        <is>
          <t>AA+</t>
        </is>
      </c>
      <c r="T229" t="n">
        <v>0.0255</v>
      </c>
      <c r="U229" s="217" t="inlineStr">
        <is>
          <t>中信建投机构部</t>
        </is>
      </c>
      <c r="V229" s="226" t="n">
        <v>0.2</v>
      </c>
    </row>
    <row r="230">
      <c r="A230" t="n">
        <v>19</v>
      </c>
      <c r="B230" t="inlineStr">
        <is>
          <t>2月</t>
        </is>
      </c>
      <c r="C230" t="inlineStr">
        <is>
          <t>消金</t>
        </is>
      </c>
      <c r="D230" t="inlineStr">
        <is>
          <t>信托金条</t>
        </is>
      </c>
      <c r="E230" t="inlineStr">
        <is>
          <t>京至2号2期</t>
        </is>
      </c>
      <c r="F230" t="inlineStr">
        <is>
          <t>中保登</t>
        </is>
      </c>
      <c r="G230" t="inlineStr">
        <is>
          <t>泰康资产</t>
        </is>
      </c>
      <c r="H230" t="inlineStr">
        <is>
          <t>-</t>
        </is>
      </c>
      <c r="I230" t="inlineStr">
        <is>
          <t>江苏北分</t>
        </is>
      </c>
      <c r="J230" t="n">
        <v>10</v>
      </c>
      <c r="K230" t="inlineStr">
        <is>
          <t>23+12</t>
        </is>
      </c>
      <c r="L230" s="309" t="n">
        <v>46080</v>
      </c>
      <c r="M230" t="n">
        <v>0.01595</v>
      </c>
      <c r="N230" t="n">
        <v>0.02709</v>
      </c>
      <c r="O230" t="inlineStr">
        <is>
          <t>-</t>
        </is>
      </c>
      <c r="P230" s="223" t="inlineStr">
        <is>
          <t>中间级</t>
        </is>
      </c>
      <c r="Q230" s="267" t="n">
        <v>0.04</v>
      </c>
      <c r="R230" s="268" t="n">
        <v>0.4</v>
      </c>
      <c r="S230" s="220" t="inlineStr">
        <is>
          <t>AA-</t>
        </is>
      </c>
      <c r="T230" s="267" t="n">
        <v>0.032</v>
      </c>
      <c r="U230" s="217" t="inlineStr">
        <is>
          <t>中金自营</t>
        </is>
      </c>
      <c r="V230" s="226" t="n">
        <v>0.4</v>
      </c>
    </row>
    <row r="231">
      <c r="A231" t="n">
        <v>19</v>
      </c>
      <c r="B231" t="inlineStr">
        <is>
          <t>2月</t>
        </is>
      </c>
      <c r="C231" t="inlineStr">
        <is>
          <t>消金</t>
        </is>
      </c>
      <c r="D231" t="inlineStr">
        <is>
          <t>信托金条</t>
        </is>
      </c>
      <c r="E231" t="inlineStr">
        <is>
          <t>京至2号2期</t>
        </is>
      </c>
      <c r="F231" t="inlineStr">
        <is>
          <t>中保登</t>
        </is>
      </c>
      <c r="G231" t="inlineStr">
        <is>
          <t>泰康资产</t>
        </is>
      </c>
      <c r="H231" t="inlineStr">
        <is>
          <t>-</t>
        </is>
      </c>
      <c r="I231" t="inlineStr">
        <is>
          <t>江苏北分</t>
        </is>
      </c>
      <c r="J231" t="n">
        <v>10</v>
      </c>
      <c r="K231" t="inlineStr">
        <is>
          <t>23+12</t>
        </is>
      </c>
      <c r="L231" s="309" t="n">
        <v>46080</v>
      </c>
      <c r="M231" t="n">
        <v>0.01595</v>
      </c>
      <c r="N231" t="n">
        <v>0.02709</v>
      </c>
      <c r="O231" t="inlineStr">
        <is>
          <t>-</t>
        </is>
      </c>
      <c r="P231" s="223" t="inlineStr">
        <is>
          <t>受益权</t>
        </is>
      </c>
      <c r="Q231" s="267" t="n">
        <v>0.05</v>
      </c>
      <c r="R231" s="268" t="n">
        <v>0.5</v>
      </c>
      <c r="S231" s="223" t="inlineStr">
        <is>
          <t>无</t>
        </is>
      </c>
      <c r="T231" s="267" t="n">
        <v>0.0485</v>
      </c>
      <c r="U231" s="217" t="inlineStr">
        <is>
          <t>中信建投机构部</t>
        </is>
      </c>
      <c r="V231" s="268" t="n">
        <v>0.3</v>
      </c>
    </row>
    <row r="232">
      <c r="A232" t="n">
        <v>19</v>
      </c>
      <c r="B232" t="inlineStr">
        <is>
          <t>2月</t>
        </is>
      </c>
      <c r="C232" t="inlineStr">
        <is>
          <t>消金</t>
        </is>
      </c>
      <c r="D232" t="inlineStr">
        <is>
          <t>信托金条</t>
        </is>
      </c>
      <c r="E232" t="inlineStr">
        <is>
          <t>京至2号2期</t>
        </is>
      </c>
      <c r="F232" t="inlineStr">
        <is>
          <t>中保登</t>
        </is>
      </c>
      <c r="G232" t="inlineStr">
        <is>
          <t>泰康资产</t>
        </is>
      </c>
      <c r="H232" t="inlineStr">
        <is>
          <t>-</t>
        </is>
      </c>
      <c r="I232" t="inlineStr">
        <is>
          <t>江苏北分</t>
        </is>
      </c>
      <c r="J232" t="n">
        <v>10</v>
      </c>
      <c r="K232" t="inlineStr">
        <is>
          <t>23+12</t>
        </is>
      </c>
      <c r="L232" s="309" t="n">
        <v>46080</v>
      </c>
      <c r="M232" t="n">
        <v>0.01595</v>
      </c>
      <c r="N232" t="n">
        <v>0.02709</v>
      </c>
      <c r="O232" t="inlineStr">
        <is>
          <t>-</t>
        </is>
      </c>
      <c r="P232" t="inlineStr">
        <is>
          <t>受益权</t>
        </is>
      </c>
      <c r="Q232" t="n">
        <v>0.05</v>
      </c>
      <c r="R232" t="n">
        <v>0.5</v>
      </c>
      <c r="S232" t="inlineStr">
        <is>
          <t>无</t>
        </is>
      </c>
      <c r="T232" t="n">
        <v>0.0485</v>
      </c>
      <c r="U232" s="217" t="inlineStr">
        <is>
          <t>中金财富</t>
        </is>
      </c>
      <c r="V232" s="268" t="n">
        <v>0.2</v>
      </c>
    </row>
    <row r="233">
      <c r="A233" s="223" t="n">
        <v>20</v>
      </c>
      <c r="B233" s="220" t="inlineStr">
        <is>
          <t>2月</t>
        </is>
      </c>
      <c r="C233" s="220" t="inlineStr">
        <is>
          <t>消金</t>
        </is>
      </c>
      <c r="D233" s="220" t="inlineStr">
        <is>
          <t>信托金条</t>
        </is>
      </c>
      <c r="E233" s="44" t="inlineStr">
        <is>
          <t>栗泽17号</t>
        </is>
      </c>
      <c r="F233" s="220" t="inlineStr">
        <is>
          <t>平层非标</t>
        </is>
      </c>
      <c r="G233" s="220" t="inlineStr">
        <is>
          <t>中粮信托</t>
        </is>
      </c>
      <c r="H233" s="220" t="inlineStr">
        <is>
          <t>-</t>
        </is>
      </c>
      <c r="I233" s="220" t="inlineStr">
        <is>
          <t>邮储北分</t>
        </is>
      </c>
      <c r="J233" s="220" t="n">
        <v>10</v>
      </c>
      <c r="K233" s="220" t="inlineStr">
        <is>
          <t>11+1</t>
        </is>
      </c>
      <c r="L233" s="224" t="n">
        <v>46080</v>
      </c>
      <c r="M233" s="225" t="n">
        <v>0.01595</v>
      </c>
      <c r="N233" s="311" t="n">
        <v>0.02455</v>
      </c>
      <c r="O233" s="226" t="inlineStr">
        <is>
          <t>-</t>
        </is>
      </c>
      <c r="P233" s="220" t="inlineStr">
        <is>
          <t>平层</t>
        </is>
      </c>
      <c r="Q233" s="221" t="n">
        <v>1</v>
      </c>
      <c r="R233" s="308" t="n">
        <v>10</v>
      </c>
      <c r="S233" s="220" t="inlineStr">
        <is>
          <t>无</t>
        </is>
      </c>
      <c r="T233" s="221" t="n">
        <v>0.023</v>
      </c>
      <c r="U233" s="24" t="inlineStr">
        <is>
          <t>中邮理财</t>
        </is>
      </c>
      <c r="V233" s="29" t="n">
        <v>10</v>
      </c>
    </row>
    <row r="234">
      <c r="A234" s="223" t="n">
        <v>21</v>
      </c>
      <c r="B234" s="220" t="inlineStr">
        <is>
          <t>2月</t>
        </is>
      </c>
      <c r="C234" s="220" t="inlineStr">
        <is>
          <t>消金</t>
        </is>
      </c>
      <c r="D234" s="220" t="inlineStr">
        <is>
          <t>信托金条</t>
        </is>
      </c>
      <c r="E234" s="44" t="inlineStr">
        <is>
          <t>栗泽18号</t>
        </is>
      </c>
      <c r="F234" s="220" t="inlineStr">
        <is>
          <t>平层非标</t>
        </is>
      </c>
      <c r="G234" s="220" t="inlineStr">
        <is>
          <t>中粮信托</t>
        </is>
      </c>
      <c r="H234" s="220" t="inlineStr">
        <is>
          <t>-</t>
        </is>
      </c>
      <c r="I234" s="220" t="inlineStr">
        <is>
          <t>民生北分</t>
        </is>
      </c>
      <c r="J234" s="220" t="n">
        <v>10</v>
      </c>
      <c r="K234" s="220" t="inlineStr">
        <is>
          <t>11+1</t>
        </is>
      </c>
      <c r="L234" s="224" t="n">
        <v>46080</v>
      </c>
      <c r="M234" s="225" t="n">
        <v>0.01595</v>
      </c>
      <c r="N234" s="311" t="n">
        <v>0.02455</v>
      </c>
      <c r="O234" s="226" t="inlineStr">
        <is>
          <t>-</t>
        </is>
      </c>
      <c r="P234" s="220" t="inlineStr">
        <is>
          <t>平层</t>
        </is>
      </c>
      <c r="Q234" s="221" t="n">
        <v>1</v>
      </c>
      <c r="R234" s="308" t="n">
        <v>10</v>
      </c>
      <c r="S234" s="220" t="inlineStr">
        <is>
          <t>无</t>
        </is>
      </c>
      <c r="T234" s="221" t="n">
        <v>0.023</v>
      </c>
      <c r="U234" s="24" t="inlineStr">
        <is>
          <t>苏银理财</t>
        </is>
      </c>
      <c r="V234" s="29" t="n">
        <v>10</v>
      </c>
    </row>
    <row r="235">
      <c r="A235" s="223" t="n">
        <v>22</v>
      </c>
      <c r="B235" s="265" t="inlineStr">
        <is>
          <t>3月</t>
        </is>
      </c>
      <c r="C235" s="265" t="inlineStr">
        <is>
          <t>消金</t>
        </is>
      </c>
      <c r="D235" s="265" t="inlineStr">
        <is>
          <t xml:space="preserve"> 白条取现</t>
        </is>
      </c>
      <c r="E235" s="265" t="inlineStr">
        <is>
          <t>京惠4号2期</t>
        </is>
      </c>
      <c r="F235" s="265" t="inlineStr">
        <is>
          <t>中保登</t>
        </is>
      </c>
      <c r="G235" s="265" t="inlineStr">
        <is>
          <t>民生通惠</t>
        </is>
      </c>
      <c r="H235" s="265" t="inlineStr">
        <is>
          <t>-</t>
        </is>
      </c>
      <c r="I235" s="265" t="inlineStr">
        <is>
          <t>邮储北分</t>
        </is>
      </c>
      <c r="J235" s="265" t="n">
        <v>10</v>
      </c>
      <c r="K235" s="265" t="inlineStr">
        <is>
          <t>23+12</t>
        </is>
      </c>
      <c r="L235" s="266" t="n">
        <v>46086</v>
      </c>
      <c r="M235" s="225" t="n">
        <v>0.0155</v>
      </c>
      <c r="N235" s="311" t="n">
        <v>0.02709</v>
      </c>
      <c r="O235" s="265" t="inlineStr">
        <is>
          <t>-</t>
        </is>
      </c>
      <c r="P235" s="220" t="inlineStr">
        <is>
          <t>优先A1</t>
        </is>
      </c>
      <c r="Q235" s="221" t="n">
        <v>0.83</v>
      </c>
      <c r="R235" s="226" t="n">
        <v>8.300000000000001</v>
      </c>
      <c r="S235" s="220" t="inlineStr">
        <is>
          <t>AAA</t>
        </is>
      </c>
      <c r="T235" s="221" t="n">
        <v>0.024</v>
      </c>
      <c r="U235" s="24" t="inlineStr">
        <is>
          <t>花旗银行</t>
        </is>
      </c>
      <c r="V235" s="29" t="n">
        <v>8.300000000000001</v>
      </c>
    </row>
    <row r="236">
      <c r="A236" t="n">
        <v>22</v>
      </c>
      <c r="B236" t="inlineStr">
        <is>
          <t>3月</t>
        </is>
      </c>
      <c r="C236" t="inlineStr">
        <is>
          <t>消金</t>
        </is>
      </c>
      <c r="D236" t="inlineStr">
        <is>
          <t xml:space="preserve"> 白条取现</t>
        </is>
      </c>
      <c r="E236" t="inlineStr">
        <is>
          <t>京惠4号2期</t>
        </is>
      </c>
      <c r="F236" t="inlineStr">
        <is>
          <t>中保登</t>
        </is>
      </c>
      <c r="G236" t="inlineStr">
        <is>
          <t>民生通惠</t>
        </is>
      </c>
      <c r="H236" t="inlineStr">
        <is>
          <t>-</t>
        </is>
      </c>
      <c r="I236" t="inlineStr">
        <is>
          <t>邮储北分</t>
        </is>
      </c>
      <c r="J236" t="n">
        <v>10</v>
      </c>
      <c r="K236" t="inlineStr">
        <is>
          <t>23+12</t>
        </is>
      </c>
      <c r="L236" s="309" t="n">
        <v>46086</v>
      </c>
      <c r="M236" t="n">
        <v>0.0155</v>
      </c>
      <c r="N236" t="n">
        <v>0.02709</v>
      </c>
      <c r="O236" t="inlineStr">
        <is>
          <t>-</t>
        </is>
      </c>
      <c r="P236" s="220" t="inlineStr">
        <is>
          <t>优先A2</t>
        </is>
      </c>
      <c r="Q236" s="221" t="n">
        <v>0.04</v>
      </c>
      <c r="R236" s="226" t="n">
        <v>0.4</v>
      </c>
      <c r="S236" s="220" t="inlineStr">
        <is>
          <t>AAA</t>
        </is>
      </c>
      <c r="T236" s="221" t="n">
        <v>0.0245</v>
      </c>
      <c r="U236" s="217" t="inlineStr">
        <is>
          <t>中金自营</t>
        </is>
      </c>
      <c r="V236" s="226" t="n">
        <v>0.4</v>
      </c>
    </row>
    <row r="237">
      <c r="A237" t="n">
        <v>22</v>
      </c>
      <c r="B237" t="inlineStr">
        <is>
          <t>3月</t>
        </is>
      </c>
      <c r="C237" t="inlineStr">
        <is>
          <t>消金</t>
        </is>
      </c>
      <c r="D237" t="inlineStr">
        <is>
          <t xml:space="preserve"> 白条取现</t>
        </is>
      </c>
      <c r="E237" t="inlineStr">
        <is>
          <t>京惠4号2期</t>
        </is>
      </c>
      <c r="F237" t="inlineStr">
        <is>
          <t>中保登</t>
        </is>
      </c>
      <c r="G237" t="inlineStr">
        <is>
          <t>民生通惠</t>
        </is>
      </c>
      <c r="H237" t="inlineStr">
        <is>
          <t>-</t>
        </is>
      </c>
      <c r="I237" t="inlineStr">
        <is>
          <t>邮储北分</t>
        </is>
      </c>
      <c r="J237" t="n">
        <v>10</v>
      </c>
      <c r="K237" t="inlineStr">
        <is>
          <t>23+12</t>
        </is>
      </c>
      <c r="L237" s="309" t="n">
        <v>46086</v>
      </c>
      <c r="M237" t="n">
        <v>0.0155</v>
      </c>
      <c r="N237" t="n">
        <v>0.02709</v>
      </c>
      <c r="O237" t="inlineStr">
        <is>
          <t>-</t>
        </is>
      </c>
      <c r="P237" s="255" t="inlineStr">
        <is>
          <t>优先B</t>
        </is>
      </c>
      <c r="Q237" s="261" t="n">
        <v>0.04</v>
      </c>
      <c r="R237" s="263" t="n">
        <v>0.4</v>
      </c>
      <c r="S237" s="227" t="inlineStr">
        <is>
          <t>AA+</t>
        </is>
      </c>
      <c r="T237" s="269" t="n">
        <v>0.0255</v>
      </c>
      <c r="U237" s="217" t="inlineStr">
        <is>
          <t>中金自营</t>
        </is>
      </c>
      <c r="V237" s="226" t="n">
        <v>0.4</v>
      </c>
    </row>
    <row r="238">
      <c r="A238" t="n">
        <v>22</v>
      </c>
      <c r="B238" t="inlineStr">
        <is>
          <t>3月</t>
        </is>
      </c>
      <c r="C238" t="inlineStr">
        <is>
          <t>消金</t>
        </is>
      </c>
      <c r="D238" t="inlineStr">
        <is>
          <t xml:space="preserve"> 白条取现</t>
        </is>
      </c>
      <c r="E238" t="inlineStr">
        <is>
          <t>京惠4号2期</t>
        </is>
      </c>
      <c r="F238" t="inlineStr">
        <is>
          <t>中保登</t>
        </is>
      </c>
      <c r="G238" t="inlineStr">
        <is>
          <t>民生通惠</t>
        </is>
      </c>
      <c r="H238" t="inlineStr">
        <is>
          <t>-</t>
        </is>
      </c>
      <c r="I238" t="inlineStr">
        <is>
          <t>邮储北分</t>
        </is>
      </c>
      <c r="J238" t="n">
        <v>10</v>
      </c>
      <c r="K238" t="inlineStr">
        <is>
          <t>23+12</t>
        </is>
      </c>
      <c r="L238" s="309" t="n">
        <v>46086</v>
      </c>
      <c r="M238" t="n">
        <v>0.0155</v>
      </c>
      <c r="N238" t="n">
        <v>0.02709</v>
      </c>
      <c r="O238" t="inlineStr">
        <is>
          <t>-</t>
        </is>
      </c>
      <c r="P238" s="223" t="inlineStr">
        <is>
          <t>中间级</t>
        </is>
      </c>
      <c r="Q238" s="267" t="n">
        <v>0.04</v>
      </c>
      <c r="R238" s="268" t="n">
        <v>0.4</v>
      </c>
      <c r="S238" s="220" t="inlineStr">
        <is>
          <t>AA-</t>
        </is>
      </c>
      <c r="T238" s="267" t="n">
        <v>0.032</v>
      </c>
      <c r="U238" s="217" t="inlineStr">
        <is>
          <t>中金自营</t>
        </is>
      </c>
      <c r="V238" s="226" t="n">
        <v>0.4</v>
      </c>
    </row>
    <row r="239">
      <c r="A239" t="n">
        <v>22</v>
      </c>
      <c r="B239" t="inlineStr">
        <is>
          <t>3月</t>
        </is>
      </c>
      <c r="C239" t="inlineStr">
        <is>
          <t>消金</t>
        </is>
      </c>
      <c r="D239" t="inlineStr">
        <is>
          <t xml:space="preserve"> 白条取现</t>
        </is>
      </c>
      <c r="E239" t="inlineStr">
        <is>
          <t>京惠4号2期</t>
        </is>
      </c>
      <c r="F239" t="inlineStr">
        <is>
          <t>中保登</t>
        </is>
      </c>
      <c r="G239" t="inlineStr">
        <is>
          <t>民生通惠</t>
        </is>
      </c>
      <c r="H239" t="inlineStr">
        <is>
          <t>-</t>
        </is>
      </c>
      <c r="I239" t="inlineStr">
        <is>
          <t>邮储北分</t>
        </is>
      </c>
      <c r="J239" t="n">
        <v>10</v>
      </c>
      <c r="K239" t="inlineStr">
        <is>
          <t>23+12</t>
        </is>
      </c>
      <c r="L239" s="309" t="n">
        <v>46086</v>
      </c>
      <c r="M239" t="n">
        <v>0.0155</v>
      </c>
      <c r="N239" t="n">
        <v>0.02709</v>
      </c>
      <c r="O239" t="inlineStr">
        <is>
          <t>-</t>
        </is>
      </c>
      <c r="P239" s="223" t="inlineStr">
        <is>
          <t>受益权</t>
        </is>
      </c>
      <c r="Q239" s="267" t="n">
        <v>0.05</v>
      </c>
      <c r="R239" s="268" t="n">
        <v>0.5</v>
      </c>
      <c r="S239" s="223" t="inlineStr">
        <is>
          <t>无</t>
        </is>
      </c>
      <c r="T239" s="267" t="n">
        <v>0.0485</v>
      </c>
      <c r="U239" s="217" t="inlineStr">
        <is>
          <t>中金自营</t>
        </is>
      </c>
      <c r="V239" s="268" t="n">
        <v>0.25</v>
      </c>
    </row>
    <row r="240">
      <c r="A240" t="n">
        <v>22</v>
      </c>
      <c r="B240" t="inlineStr">
        <is>
          <t>3月</t>
        </is>
      </c>
      <c r="C240" t="inlineStr">
        <is>
          <t>消金</t>
        </is>
      </c>
      <c r="D240" t="inlineStr">
        <is>
          <t xml:space="preserve"> 白条取现</t>
        </is>
      </c>
      <c r="E240" t="inlineStr">
        <is>
          <t>京惠4号2期</t>
        </is>
      </c>
      <c r="F240" t="inlineStr">
        <is>
          <t>中保登</t>
        </is>
      </c>
      <c r="G240" t="inlineStr">
        <is>
          <t>民生通惠</t>
        </is>
      </c>
      <c r="H240" t="inlineStr">
        <is>
          <t>-</t>
        </is>
      </c>
      <c r="I240" t="inlineStr">
        <is>
          <t>邮储北分</t>
        </is>
      </c>
      <c r="J240" t="n">
        <v>10</v>
      </c>
      <c r="K240" t="inlineStr">
        <is>
          <t>23+12</t>
        </is>
      </c>
      <c r="L240" s="309" t="n">
        <v>46086</v>
      </c>
      <c r="M240" t="n">
        <v>0.0155</v>
      </c>
      <c r="N240" t="n">
        <v>0.02709</v>
      </c>
      <c r="O240" t="inlineStr">
        <is>
          <t>-</t>
        </is>
      </c>
      <c r="P240" t="inlineStr">
        <is>
          <t>受益权</t>
        </is>
      </c>
      <c r="Q240" t="n">
        <v>0.05</v>
      </c>
      <c r="R240" t="n">
        <v>0.5</v>
      </c>
      <c r="S240" t="inlineStr">
        <is>
          <t>无</t>
        </is>
      </c>
      <c r="T240" t="n">
        <v>0.0485</v>
      </c>
      <c r="U240" s="217" t="inlineStr">
        <is>
          <t>中金财富</t>
        </is>
      </c>
      <c r="V240" s="268" t="n">
        <v>0.25</v>
      </c>
    </row>
    <row r="241">
      <c r="A241" s="223" t="n">
        <v>23</v>
      </c>
      <c r="B241" s="220" t="inlineStr">
        <is>
          <t>3月</t>
        </is>
      </c>
      <c r="C241" s="220" t="inlineStr">
        <is>
          <t>企金</t>
        </is>
      </c>
      <c r="D241" s="220" t="inlineStr">
        <is>
          <t>信托企业主贷</t>
        </is>
      </c>
      <c r="E241" s="220" t="inlineStr">
        <is>
          <t>尚赢2-5</t>
        </is>
      </c>
      <c r="F241" s="220" t="inlineStr">
        <is>
          <t>上交所</t>
        </is>
      </c>
      <c r="G241" s="220" t="inlineStr">
        <is>
          <t>国证资管</t>
        </is>
      </c>
      <c r="H241" s="220" t="inlineStr">
        <is>
          <t>中信证券</t>
        </is>
      </c>
      <c r="I241" s="220" t="inlineStr">
        <is>
          <t>交行北分</t>
        </is>
      </c>
      <c r="J241" s="220" t="n">
        <v>5</v>
      </c>
      <c r="K241" s="220" t="inlineStr">
        <is>
          <t>9+12</t>
        </is>
      </c>
      <c r="L241" s="224" t="n">
        <v>46093</v>
      </c>
      <c r="M241" s="225" t="n">
        <v>0.0156</v>
      </c>
      <c r="N241" s="225" t="n">
        <v>0.0198</v>
      </c>
      <c r="O241" s="226" t="n">
        <v>4.51</v>
      </c>
      <c r="P241" s="220" t="inlineStr">
        <is>
          <t>优先A</t>
        </is>
      </c>
      <c r="Q241" s="231" t="n">
        <v>0.83</v>
      </c>
      <c r="R241" s="308" t="n">
        <v>4.15</v>
      </c>
      <c r="S241" s="220" t="inlineStr">
        <is>
          <t>AAA</t>
        </is>
      </c>
      <c r="T241" s="221" t="n">
        <v>0.018</v>
      </c>
      <c r="U241" s="24" t="inlineStr">
        <is>
          <t>交银理财</t>
        </is>
      </c>
      <c r="V241" s="25" t="n">
        <v>0.85</v>
      </c>
    </row>
    <row r="242">
      <c r="A242" t="n">
        <v>23</v>
      </c>
      <c r="B242" t="inlineStr">
        <is>
          <t>3月</t>
        </is>
      </c>
      <c r="C242" t="inlineStr">
        <is>
          <t>企金</t>
        </is>
      </c>
      <c r="D242" t="inlineStr">
        <is>
          <t>信托企业主贷</t>
        </is>
      </c>
      <c r="E242" t="inlineStr">
        <is>
          <t>尚赢2-5</t>
        </is>
      </c>
      <c r="F242" t="inlineStr">
        <is>
          <t>上交所</t>
        </is>
      </c>
      <c r="G242" t="inlineStr">
        <is>
          <t>国证资管</t>
        </is>
      </c>
      <c r="H242" t="inlineStr">
        <is>
          <t>中信证券</t>
        </is>
      </c>
      <c r="I242" t="inlineStr">
        <is>
          <t>交行北分</t>
        </is>
      </c>
      <c r="J242" t="n">
        <v>5</v>
      </c>
      <c r="K242" t="inlineStr">
        <is>
          <t>9+12</t>
        </is>
      </c>
      <c r="L242" s="309" t="n">
        <v>46093</v>
      </c>
      <c r="M242" t="n">
        <v>0.0156</v>
      </c>
      <c r="N242" t="n">
        <v>0.0198</v>
      </c>
      <c r="O242" t="n">
        <v>4.51</v>
      </c>
      <c r="P242" t="inlineStr">
        <is>
          <t>优先A</t>
        </is>
      </c>
      <c r="Q242" t="n">
        <v>0.83</v>
      </c>
      <c r="R242" t="n">
        <v>4.15</v>
      </c>
      <c r="S242" t="inlineStr">
        <is>
          <t>AAA</t>
        </is>
      </c>
      <c r="T242" t="n">
        <v>0.018</v>
      </c>
      <c r="U242" s="24" t="inlineStr">
        <is>
          <t>南银理财</t>
        </is>
      </c>
      <c r="V242" s="25" t="n">
        <v>0.7</v>
      </c>
    </row>
    <row r="243">
      <c r="A243" t="n">
        <v>23</v>
      </c>
      <c r="B243" t="inlineStr">
        <is>
          <t>3月</t>
        </is>
      </c>
      <c r="C243" t="inlineStr">
        <is>
          <t>企金</t>
        </is>
      </c>
      <c r="D243" t="inlineStr">
        <is>
          <t>信托企业主贷</t>
        </is>
      </c>
      <c r="E243" t="inlineStr">
        <is>
          <t>尚赢2-5</t>
        </is>
      </c>
      <c r="F243" t="inlineStr">
        <is>
          <t>上交所</t>
        </is>
      </c>
      <c r="G243" t="inlineStr">
        <is>
          <t>国证资管</t>
        </is>
      </c>
      <c r="H243" t="inlineStr">
        <is>
          <t>中信证券</t>
        </is>
      </c>
      <c r="I243" t="inlineStr">
        <is>
          <t>交行北分</t>
        </is>
      </c>
      <c r="J243" t="n">
        <v>5</v>
      </c>
      <c r="K243" t="inlineStr">
        <is>
          <t>9+12</t>
        </is>
      </c>
      <c r="L243" s="309" t="n">
        <v>46093</v>
      </c>
      <c r="M243" t="n">
        <v>0.0156</v>
      </c>
      <c r="N243" t="n">
        <v>0.0198</v>
      </c>
      <c r="O243" t="n">
        <v>4.51</v>
      </c>
      <c r="P243" t="inlineStr">
        <is>
          <t>优先A</t>
        </is>
      </c>
      <c r="Q243" t="n">
        <v>0.83</v>
      </c>
      <c r="R243" t="n">
        <v>4.15</v>
      </c>
      <c r="S243" t="inlineStr">
        <is>
          <t>AAA</t>
        </is>
      </c>
      <c r="T243" t="n">
        <v>0.018</v>
      </c>
      <c r="U243" s="24" t="inlineStr">
        <is>
          <t>易方达基金</t>
        </is>
      </c>
      <c r="V243" s="25" t="n">
        <v>0.8</v>
      </c>
    </row>
    <row r="244">
      <c r="A244" t="n">
        <v>23</v>
      </c>
      <c r="B244" t="inlineStr">
        <is>
          <t>3月</t>
        </is>
      </c>
      <c r="C244" t="inlineStr">
        <is>
          <t>企金</t>
        </is>
      </c>
      <c r="D244" t="inlineStr">
        <is>
          <t>信托企业主贷</t>
        </is>
      </c>
      <c r="E244" t="inlineStr">
        <is>
          <t>尚赢2-5</t>
        </is>
      </c>
      <c r="F244" t="inlineStr">
        <is>
          <t>上交所</t>
        </is>
      </c>
      <c r="G244" t="inlineStr">
        <is>
          <t>国证资管</t>
        </is>
      </c>
      <c r="H244" t="inlineStr">
        <is>
          <t>中信证券</t>
        </is>
      </c>
      <c r="I244" t="inlineStr">
        <is>
          <t>交行北分</t>
        </is>
      </c>
      <c r="J244" t="n">
        <v>5</v>
      </c>
      <c r="K244" t="inlineStr">
        <is>
          <t>9+12</t>
        </is>
      </c>
      <c r="L244" s="309" t="n">
        <v>46093</v>
      </c>
      <c r="M244" t="n">
        <v>0.0156</v>
      </c>
      <c r="N244" t="n">
        <v>0.0198</v>
      </c>
      <c r="O244" t="n">
        <v>4.51</v>
      </c>
      <c r="P244" t="inlineStr">
        <is>
          <t>优先A</t>
        </is>
      </c>
      <c r="Q244" t="n">
        <v>0.83</v>
      </c>
      <c r="R244" t="n">
        <v>4.15</v>
      </c>
      <c r="S244" t="inlineStr">
        <is>
          <t>AAA</t>
        </is>
      </c>
      <c r="T244" t="n">
        <v>0.018</v>
      </c>
      <c r="U244" s="24" t="inlineStr">
        <is>
          <t>苏银理财</t>
        </is>
      </c>
      <c r="V244" s="25" t="n">
        <v>0.9</v>
      </c>
    </row>
    <row r="245">
      <c r="A245" t="n">
        <v>23</v>
      </c>
      <c r="B245" t="inlineStr">
        <is>
          <t>3月</t>
        </is>
      </c>
      <c r="C245" t="inlineStr">
        <is>
          <t>企金</t>
        </is>
      </c>
      <c r="D245" t="inlineStr">
        <is>
          <t>信托企业主贷</t>
        </is>
      </c>
      <c r="E245" t="inlineStr">
        <is>
          <t>尚赢2-5</t>
        </is>
      </c>
      <c r="F245" t="inlineStr">
        <is>
          <t>上交所</t>
        </is>
      </c>
      <c r="G245" t="inlineStr">
        <is>
          <t>国证资管</t>
        </is>
      </c>
      <c r="H245" t="inlineStr">
        <is>
          <t>中信证券</t>
        </is>
      </c>
      <c r="I245" t="inlineStr">
        <is>
          <t>交行北分</t>
        </is>
      </c>
      <c r="J245" t="n">
        <v>5</v>
      </c>
      <c r="K245" t="inlineStr">
        <is>
          <t>9+12</t>
        </is>
      </c>
      <c r="L245" s="309" t="n">
        <v>46093</v>
      </c>
      <c r="M245" t="n">
        <v>0.0156</v>
      </c>
      <c r="N245" t="n">
        <v>0.0198</v>
      </c>
      <c r="O245" t="n">
        <v>4.51</v>
      </c>
      <c r="P245" t="inlineStr">
        <is>
          <t>优先A</t>
        </is>
      </c>
      <c r="Q245" t="n">
        <v>0.83</v>
      </c>
      <c r="R245" t="n">
        <v>4.15</v>
      </c>
      <c r="S245" t="inlineStr">
        <is>
          <t>AAA</t>
        </is>
      </c>
      <c r="T245" t="n">
        <v>0.018</v>
      </c>
      <c r="U245" s="24" t="inlineStr">
        <is>
          <t>中邮理财</t>
        </is>
      </c>
      <c r="V245" s="25" t="n">
        <v>0.9</v>
      </c>
    </row>
    <row r="246">
      <c r="A246" t="n">
        <v>23</v>
      </c>
      <c r="B246" t="inlineStr">
        <is>
          <t>3月</t>
        </is>
      </c>
      <c r="C246" t="inlineStr">
        <is>
          <t>企金</t>
        </is>
      </c>
      <c r="D246" t="inlineStr">
        <is>
          <t>信托企业主贷</t>
        </is>
      </c>
      <c r="E246" t="inlineStr">
        <is>
          <t>尚赢2-5</t>
        </is>
      </c>
      <c r="F246" t="inlineStr">
        <is>
          <t>上交所</t>
        </is>
      </c>
      <c r="G246" t="inlineStr">
        <is>
          <t>国证资管</t>
        </is>
      </c>
      <c r="H246" t="inlineStr">
        <is>
          <t>中信证券</t>
        </is>
      </c>
      <c r="I246" t="inlineStr">
        <is>
          <t>交行北分</t>
        </is>
      </c>
      <c r="J246" t="n">
        <v>5</v>
      </c>
      <c r="K246" t="inlineStr">
        <is>
          <t>9+12</t>
        </is>
      </c>
      <c r="L246" s="309" t="n">
        <v>46093</v>
      </c>
      <c r="M246" t="n">
        <v>0.0156</v>
      </c>
      <c r="N246" t="n">
        <v>0.0198</v>
      </c>
      <c r="O246" t="n">
        <v>4.51</v>
      </c>
      <c r="P246" s="220" t="inlineStr">
        <is>
          <t>优先B</t>
        </is>
      </c>
      <c r="Q246" s="221" t="n">
        <v>0.05</v>
      </c>
      <c r="R246" s="308" t="n">
        <v>0.25</v>
      </c>
      <c r="S246" s="221" t="inlineStr">
        <is>
          <t>AA+</t>
        </is>
      </c>
      <c r="T246" s="221" t="n">
        <v>0.0195</v>
      </c>
      <c r="U246" s="30" t="inlineStr">
        <is>
          <t>国投资管投行</t>
        </is>
      </c>
      <c r="V246" s="29" t="n">
        <v>0.03</v>
      </c>
    </row>
    <row r="247">
      <c r="A247" t="n">
        <v>23</v>
      </c>
      <c r="B247" t="inlineStr">
        <is>
          <t>3月</t>
        </is>
      </c>
      <c r="C247" t="inlineStr">
        <is>
          <t>企金</t>
        </is>
      </c>
      <c r="D247" t="inlineStr">
        <is>
          <t>信托企业主贷</t>
        </is>
      </c>
      <c r="E247" t="inlineStr">
        <is>
          <t>尚赢2-5</t>
        </is>
      </c>
      <c r="F247" t="inlineStr">
        <is>
          <t>上交所</t>
        </is>
      </c>
      <c r="G247" t="inlineStr">
        <is>
          <t>国证资管</t>
        </is>
      </c>
      <c r="H247" t="inlineStr">
        <is>
          <t>中信证券</t>
        </is>
      </c>
      <c r="I247" t="inlineStr">
        <is>
          <t>交行北分</t>
        </is>
      </c>
      <c r="J247" t="n">
        <v>5</v>
      </c>
      <c r="K247" t="inlineStr">
        <is>
          <t>9+12</t>
        </is>
      </c>
      <c r="L247" s="309" t="n">
        <v>46093</v>
      </c>
      <c r="M247" t="n">
        <v>0.0156</v>
      </c>
      <c r="N247" t="n">
        <v>0.0198</v>
      </c>
      <c r="O247" t="n">
        <v>4.51</v>
      </c>
      <c r="P247" t="inlineStr">
        <is>
          <t>优先B</t>
        </is>
      </c>
      <c r="Q247" t="n">
        <v>0.05</v>
      </c>
      <c r="R247" t="n">
        <v>0.25</v>
      </c>
      <c r="S247" t="inlineStr">
        <is>
          <t>AA+</t>
        </is>
      </c>
      <c r="T247" t="n">
        <v>0.0195</v>
      </c>
      <c r="U247" s="30" t="inlineStr">
        <is>
          <t>交银理财</t>
        </is>
      </c>
      <c r="V247" s="29" t="n">
        <v>0.07000000000000001</v>
      </c>
    </row>
    <row r="248">
      <c r="A248" t="n">
        <v>23</v>
      </c>
      <c r="B248" t="inlineStr">
        <is>
          <t>3月</t>
        </is>
      </c>
      <c r="C248" t="inlineStr">
        <is>
          <t>企金</t>
        </is>
      </c>
      <c r="D248" t="inlineStr">
        <is>
          <t>信托企业主贷</t>
        </is>
      </c>
      <c r="E248" t="inlineStr">
        <is>
          <t>尚赢2-5</t>
        </is>
      </c>
      <c r="F248" t="inlineStr">
        <is>
          <t>上交所</t>
        </is>
      </c>
      <c r="G248" t="inlineStr">
        <is>
          <t>国证资管</t>
        </is>
      </c>
      <c r="H248" t="inlineStr">
        <is>
          <t>中信证券</t>
        </is>
      </c>
      <c r="I248" t="inlineStr">
        <is>
          <t>交行北分</t>
        </is>
      </c>
      <c r="J248" t="n">
        <v>5</v>
      </c>
      <c r="K248" t="inlineStr">
        <is>
          <t>9+12</t>
        </is>
      </c>
      <c r="L248" s="309" t="n">
        <v>46093</v>
      </c>
      <c r="M248" t="n">
        <v>0.0156</v>
      </c>
      <c r="N248" t="n">
        <v>0.0198</v>
      </c>
      <c r="O248" t="n">
        <v>4.51</v>
      </c>
      <c r="P248" t="inlineStr">
        <is>
          <t>优先B</t>
        </is>
      </c>
      <c r="Q248" t="n">
        <v>0.05</v>
      </c>
      <c r="R248" t="n">
        <v>0.25</v>
      </c>
      <c r="S248" t="inlineStr">
        <is>
          <t>AA+</t>
        </is>
      </c>
      <c r="T248" t="n">
        <v>0.0195</v>
      </c>
      <c r="U248" s="30" t="inlineStr">
        <is>
          <t>国联证券投行</t>
        </is>
      </c>
      <c r="V248" s="29" t="n">
        <v>0.04</v>
      </c>
    </row>
    <row r="249">
      <c r="A249" t="n">
        <v>23</v>
      </c>
      <c r="B249" t="inlineStr">
        <is>
          <t>3月</t>
        </is>
      </c>
      <c r="C249" t="inlineStr">
        <is>
          <t>企金</t>
        </is>
      </c>
      <c r="D249" t="inlineStr">
        <is>
          <t>信托企业主贷</t>
        </is>
      </c>
      <c r="E249" t="inlineStr">
        <is>
          <t>尚赢2-5</t>
        </is>
      </c>
      <c r="F249" t="inlineStr">
        <is>
          <t>上交所</t>
        </is>
      </c>
      <c r="G249" t="inlineStr">
        <is>
          <t>国证资管</t>
        </is>
      </c>
      <c r="H249" t="inlineStr">
        <is>
          <t>中信证券</t>
        </is>
      </c>
      <c r="I249" t="inlineStr">
        <is>
          <t>交行北分</t>
        </is>
      </c>
      <c r="J249" t="n">
        <v>5</v>
      </c>
      <c r="K249" t="inlineStr">
        <is>
          <t>9+12</t>
        </is>
      </c>
      <c r="L249" s="309" t="n">
        <v>46093</v>
      </c>
      <c r="M249" t="n">
        <v>0.0156</v>
      </c>
      <c r="N249" t="n">
        <v>0.0198</v>
      </c>
      <c r="O249" t="n">
        <v>4.51</v>
      </c>
      <c r="P249" t="inlineStr">
        <is>
          <t>优先B</t>
        </is>
      </c>
      <c r="Q249" t="n">
        <v>0.05</v>
      </c>
      <c r="R249" t="n">
        <v>0.25</v>
      </c>
      <c r="S249" t="inlineStr">
        <is>
          <t>AA+</t>
        </is>
      </c>
      <c r="T249" t="n">
        <v>0.0195</v>
      </c>
      <c r="U249" s="30" t="inlineStr">
        <is>
          <t>中信证券投行</t>
        </is>
      </c>
      <c r="V249" s="29" t="n">
        <v>0.04</v>
      </c>
    </row>
    <row r="250">
      <c r="A250" t="n">
        <v>23</v>
      </c>
      <c r="B250" t="inlineStr">
        <is>
          <t>3月</t>
        </is>
      </c>
      <c r="C250" t="inlineStr">
        <is>
          <t>企金</t>
        </is>
      </c>
      <c r="D250" t="inlineStr">
        <is>
          <t>信托企业主贷</t>
        </is>
      </c>
      <c r="E250" t="inlineStr">
        <is>
          <t>尚赢2-5</t>
        </is>
      </c>
      <c r="F250" t="inlineStr">
        <is>
          <t>上交所</t>
        </is>
      </c>
      <c r="G250" t="inlineStr">
        <is>
          <t>国证资管</t>
        </is>
      </c>
      <c r="H250" t="inlineStr">
        <is>
          <t>中信证券</t>
        </is>
      </c>
      <c r="I250" t="inlineStr">
        <is>
          <t>交行北分</t>
        </is>
      </c>
      <c r="J250" t="n">
        <v>5</v>
      </c>
      <c r="K250" t="inlineStr">
        <is>
          <t>9+12</t>
        </is>
      </c>
      <c r="L250" s="309" t="n">
        <v>46093</v>
      </c>
      <c r="M250" t="n">
        <v>0.0156</v>
      </c>
      <c r="N250" t="n">
        <v>0.0198</v>
      </c>
      <c r="O250" t="n">
        <v>4.51</v>
      </c>
      <c r="P250" t="inlineStr">
        <is>
          <t>优先B</t>
        </is>
      </c>
      <c r="Q250" t="n">
        <v>0.05</v>
      </c>
      <c r="R250" t="n">
        <v>0.25</v>
      </c>
      <c r="S250" t="inlineStr">
        <is>
          <t>AA+</t>
        </is>
      </c>
      <c r="T250" t="n">
        <v>0.0195</v>
      </c>
      <c r="U250" s="30" t="inlineStr">
        <is>
          <t>苏银理财</t>
        </is>
      </c>
      <c r="V250" s="29" t="n">
        <v>0.07000000000000001</v>
      </c>
    </row>
    <row r="251">
      <c r="A251" t="n">
        <v>23</v>
      </c>
      <c r="B251" t="inlineStr">
        <is>
          <t>3月</t>
        </is>
      </c>
      <c r="C251" t="inlineStr">
        <is>
          <t>企金</t>
        </is>
      </c>
      <c r="D251" t="inlineStr">
        <is>
          <t>信托企业主贷</t>
        </is>
      </c>
      <c r="E251" t="inlineStr">
        <is>
          <t>尚赢2-5</t>
        </is>
      </c>
      <c r="F251" t="inlineStr">
        <is>
          <t>上交所</t>
        </is>
      </c>
      <c r="G251" t="inlineStr">
        <is>
          <t>国证资管</t>
        </is>
      </c>
      <c r="H251" t="inlineStr">
        <is>
          <t>中信证券</t>
        </is>
      </c>
      <c r="I251" t="inlineStr">
        <is>
          <t>交行北分</t>
        </is>
      </c>
      <c r="J251" t="n">
        <v>5</v>
      </c>
      <c r="K251" t="inlineStr">
        <is>
          <t>9+12</t>
        </is>
      </c>
      <c r="L251" s="309" t="n">
        <v>46093</v>
      </c>
      <c r="M251" t="n">
        <v>0.0156</v>
      </c>
      <c r="N251" t="n">
        <v>0.0198</v>
      </c>
      <c r="O251" t="n">
        <v>4.51</v>
      </c>
      <c r="P251" s="220" t="inlineStr">
        <is>
          <t>中间级</t>
        </is>
      </c>
      <c r="Q251" s="221" t="n">
        <v>0.07000000000000001</v>
      </c>
      <c r="R251" s="308" t="n">
        <v>0.35</v>
      </c>
      <c r="S251" s="221" t="inlineStr">
        <is>
          <t>AA-</t>
        </is>
      </c>
      <c r="T251" s="221" t="n">
        <v>0.031</v>
      </c>
      <c r="U251" s="30" t="inlineStr">
        <is>
          <t>建信信托</t>
        </is>
      </c>
      <c r="V251" s="29" t="n">
        <v>0.35</v>
      </c>
    </row>
    <row r="252">
      <c r="A252" t="n">
        <v>23</v>
      </c>
      <c r="B252" t="inlineStr">
        <is>
          <t>3月</t>
        </is>
      </c>
      <c r="C252" t="inlineStr">
        <is>
          <t>企金</t>
        </is>
      </c>
      <c r="D252" t="inlineStr">
        <is>
          <t>信托企业主贷</t>
        </is>
      </c>
      <c r="E252" t="inlineStr">
        <is>
          <t>尚赢2-5</t>
        </is>
      </c>
      <c r="F252" t="inlineStr">
        <is>
          <t>上交所</t>
        </is>
      </c>
      <c r="G252" t="inlineStr">
        <is>
          <t>国证资管</t>
        </is>
      </c>
      <c r="H252" t="inlineStr">
        <is>
          <t>中信证券</t>
        </is>
      </c>
      <c r="I252" t="inlineStr">
        <is>
          <t>交行北分</t>
        </is>
      </c>
      <c r="J252" t="n">
        <v>5</v>
      </c>
      <c r="K252" t="inlineStr">
        <is>
          <t>9+12</t>
        </is>
      </c>
      <c r="L252" s="309" t="n">
        <v>46093</v>
      </c>
      <c r="M252" t="n">
        <v>0.0156</v>
      </c>
      <c r="N252" t="n">
        <v>0.0198</v>
      </c>
      <c r="O252" t="n">
        <v>4.51</v>
      </c>
      <c r="P252" s="220" t="inlineStr">
        <is>
          <t>受益权</t>
        </is>
      </c>
      <c r="Q252" s="221" t="n">
        <v>0.05</v>
      </c>
      <c r="R252" s="308" t="n">
        <v>0.25</v>
      </c>
      <c r="S252" s="221" t="inlineStr">
        <is>
          <t>无</t>
        </is>
      </c>
      <c r="T252" s="221" t="inlineStr">
        <is>
          <t>不出表</t>
        </is>
      </c>
      <c r="U252" s="30" t="inlineStr">
        <is>
          <t>京东自持</t>
        </is>
      </c>
      <c r="V252" s="24" t="inlineStr">
        <is>
          <t>-</t>
        </is>
      </c>
    </row>
    <row r="253">
      <c r="A253" s="223" t="n">
        <v>24</v>
      </c>
      <c r="B253" s="305" t="inlineStr">
        <is>
          <t>3月</t>
        </is>
      </c>
      <c r="C253" s="305" t="inlineStr">
        <is>
          <t>消金</t>
        </is>
      </c>
      <c r="D253" s="305" t="inlineStr">
        <is>
          <t>赊销白条</t>
        </is>
      </c>
      <c r="E253" s="305" t="inlineStr">
        <is>
          <t>24东裕2号叔裕ABCP（续发）</t>
        </is>
      </c>
      <c r="F253" s="305" t="inlineStr">
        <is>
          <t>银行间</t>
        </is>
      </c>
      <c r="G253" s="305" t="inlineStr">
        <is>
          <t>中信建投</t>
        </is>
      </c>
      <c r="H253" s="305" t="inlineStr">
        <is>
          <t>南京银行/江苏银行/杭州银行/财通资管</t>
        </is>
      </c>
      <c r="I253" s="305" t="inlineStr">
        <is>
          <t>交行北分</t>
        </is>
      </c>
      <c r="J253" s="245" t="n">
        <v>9.449999999999999</v>
      </c>
      <c r="K253" s="305" t="inlineStr">
        <is>
          <t>10+2</t>
        </is>
      </c>
      <c r="L253" s="246" t="n">
        <v>46097</v>
      </c>
      <c r="M253" s="247" t="n">
        <v>0.0153</v>
      </c>
      <c r="N253" s="259" t="n">
        <v>0.0206</v>
      </c>
      <c r="O253" s="260" t="n">
        <v>4.74</v>
      </c>
      <c r="P253" s="235" t="inlineStr">
        <is>
          <t>优先级</t>
        </is>
      </c>
      <c r="Q253" s="221" t="n">
        <v>0.9</v>
      </c>
      <c r="R253" s="308" t="n">
        <v>9</v>
      </c>
      <c r="S253" s="220" t="inlineStr">
        <is>
          <t>AAA</t>
        </is>
      </c>
      <c r="T253" s="221" t="n">
        <v>0.017</v>
      </c>
      <c r="U253" s="30" t="inlineStr">
        <is>
          <t>杭州银行</t>
        </is>
      </c>
      <c r="V253" s="29" t="n">
        <v>0.3</v>
      </c>
    </row>
    <row r="254">
      <c r="A254" t="n">
        <v>24</v>
      </c>
      <c r="B254" t="inlineStr">
        <is>
          <t>3月</t>
        </is>
      </c>
      <c r="C254" t="inlineStr">
        <is>
          <t>消金</t>
        </is>
      </c>
      <c r="D254" t="inlineStr">
        <is>
          <t>赊销白条</t>
        </is>
      </c>
      <c r="E254" t="inlineStr">
        <is>
          <t>24东裕2号叔裕ABCP（续发）</t>
        </is>
      </c>
      <c r="F254" t="inlineStr">
        <is>
          <t>银行间</t>
        </is>
      </c>
      <c r="G254" t="inlineStr">
        <is>
          <t>中信建投</t>
        </is>
      </c>
      <c r="H254" t="inlineStr">
        <is>
          <t>南京银行/江苏银行/杭州银行/财通资管</t>
        </is>
      </c>
      <c r="I254" t="inlineStr">
        <is>
          <t>交行北分</t>
        </is>
      </c>
      <c r="J254" t="n">
        <v>9.449999999999999</v>
      </c>
      <c r="K254" t="inlineStr">
        <is>
          <t>10+2</t>
        </is>
      </c>
      <c r="L254" s="309" t="n">
        <v>46097</v>
      </c>
      <c r="M254" t="n">
        <v>0.0153</v>
      </c>
      <c r="N254" t="n">
        <v>0.0206</v>
      </c>
      <c r="O254" t="n">
        <v>4.74</v>
      </c>
      <c r="P254" t="inlineStr">
        <is>
          <t>优先级</t>
        </is>
      </c>
      <c r="Q254" t="n">
        <v>0.9</v>
      </c>
      <c r="R254" t="n">
        <v>9</v>
      </c>
      <c r="S254" t="inlineStr">
        <is>
          <t>AAA</t>
        </is>
      </c>
      <c r="T254" t="n">
        <v>0.017</v>
      </c>
      <c r="U254" s="30" t="inlineStr">
        <is>
          <t>南京银行</t>
        </is>
      </c>
      <c r="V254" s="308" t="n">
        <v>1</v>
      </c>
    </row>
    <row r="255">
      <c r="A255" t="n">
        <v>24</v>
      </c>
      <c r="B255" t="inlineStr">
        <is>
          <t>3月</t>
        </is>
      </c>
      <c r="C255" t="inlineStr">
        <is>
          <t>消金</t>
        </is>
      </c>
      <c r="D255" t="inlineStr">
        <is>
          <t>赊销白条</t>
        </is>
      </c>
      <c r="E255" t="inlineStr">
        <is>
          <t>24东裕2号叔裕ABCP（续发）</t>
        </is>
      </c>
      <c r="F255" t="inlineStr">
        <is>
          <t>银行间</t>
        </is>
      </c>
      <c r="G255" t="inlineStr">
        <is>
          <t>中信建投</t>
        </is>
      </c>
      <c r="H255" t="inlineStr">
        <is>
          <t>南京银行/江苏银行/杭州银行/财通资管</t>
        </is>
      </c>
      <c r="I255" t="inlineStr">
        <is>
          <t>交行北分</t>
        </is>
      </c>
      <c r="J255" t="n">
        <v>9.449999999999999</v>
      </c>
      <c r="K255" t="inlineStr">
        <is>
          <t>10+2</t>
        </is>
      </c>
      <c r="L255" s="309" t="n">
        <v>46097</v>
      </c>
      <c r="M255" t="n">
        <v>0.0153</v>
      </c>
      <c r="N255" t="n">
        <v>0.0206</v>
      </c>
      <c r="O255" t="n">
        <v>4.74</v>
      </c>
      <c r="P255" t="inlineStr">
        <is>
          <t>优先级</t>
        </is>
      </c>
      <c r="Q255" t="n">
        <v>0.9</v>
      </c>
      <c r="R255" t="n">
        <v>9</v>
      </c>
      <c r="S255" t="inlineStr">
        <is>
          <t>AAA</t>
        </is>
      </c>
      <c r="T255" t="n">
        <v>0.017</v>
      </c>
      <c r="U255" s="30" t="inlineStr">
        <is>
          <t>江苏银行</t>
        </is>
      </c>
      <c r="V255" s="308" t="n">
        <v>0.7</v>
      </c>
    </row>
    <row r="256">
      <c r="A256" t="n">
        <v>24</v>
      </c>
      <c r="B256" t="inlineStr">
        <is>
          <t>3月</t>
        </is>
      </c>
      <c r="C256" t="inlineStr">
        <is>
          <t>消金</t>
        </is>
      </c>
      <c r="D256" t="inlineStr">
        <is>
          <t>赊销白条</t>
        </is>
      </c>
      <c r="E256" t="inlineStr">
        <is>
          <t>24东裕2号叔裕ABCP（续发）</t>
        </is>
      </c>
      <c r="F256" t="inlineStr">
        <is>
          <t>银行间</t>
        </is>
      </c>
      <c r="G256" t="inlineStr">
        <is>
          <t>中信建投</t>
        </is>
      </c>
      <c r="H256" t="inlineStr">
        <is>
          <t>南京银行/江苏银行/杭州银行/财通资管</t>
        </is>
      </c>
      <c r="I256" t="inlineStr">
        <is>
          <t>交行北分</t>
        </is>
      </c>
      <c r="J256" t="n">
        <v>9.449999999999999</v>
      </c>
      <c r="K256" t="inlineStr">
        <is>
          <t>10+2</t>
        </is>
      </c>
      <c r="L256" s="309" t="n">
        <v>46097</v>
      </c>
      <c r="M256" t="n">
        <v>0.0153</v>
      </c>
      <c r="N256" t="n">
        <v>0.0206</v>
      </c>
      <c r="O256" t="n">
        <v>4.74</v>
      </c>
      <c r="P256" t="inlineStr">
        <is>
          <t>优先级</t>
        </is>
      </c>
      <c r="Q256" t="n">
        <v>0.9</v>
      </c>
      <c r="R256" t="n">
        <v>9</v>
      </c>
      <c r="S256" t="inlineStr">
        <is>
          <t>AAA</t>
        </is>
      </c>
      <c r="T256" t="n">
        <v>0.017</v>
      </c>
      <c r="U256" s="235" t="inlineStr">
        <is>
          <t>中邮理财</t>
        </is>
      </c>
      <c r="V256" s="308" t="n">
        <v>0.9</v>
      </c>
    </row>
    <row r="257">
      <c r="A257" t="n">
        <v>24</v>
      </c>
      <c r="B257" t="inlineStr">
        <is>
          <t>3月</t>
        </is>
      </c>
      <c r="C257" t="inlineStr">
        <is>
          <t>消金</t>
        </is>
      </c>
      <c r="D257" t="inlineStr">
        <is>
          <t>赊销白条</t>
        </is>
      </c>
      <c r="E257" t="inlineStr">
        <is>
          <t>24东裕2号叔裕ABCP（续发）</t>
        </is>
      </c>
      <c r="F257" t="inlineStr">
        <is>
          <t>银行间</t>
        </is>
      </c>
      <c r="G257" t="inlineStr">
        <is>
          <t>中信建投</t>
        </is>
      </c>
      <c r="H257" t="inlineStr">
        <is>
          <t>南京银行/江苏银行/杭州银行/财通资管</t>
        </is>
      </c>
      <c r="I257" t="inlineStr">
        <is>
          <t>交行北分</t>
        </is>
      </c>
      <c r="J257" t="n">
        <v>9.449999999999999</v>
      </c>
      <c r="K257" t="inlineStr">
        <is>
          <t>10+2</t>
        </is>
      </c>
      <c r="L257" s="309" t="n">
        <v>46097</v>
      </c>
      <c r="M257" t="n">
        <v>0.0153</v>
      </c>
      <c r="N257" t="n">
        <v>0.0206</v>
      </c>
      <c r="O257" t="n">
        <v>4.74</v>
      </c>
      <c r="P257" t="inlineStr">
        <is>
          <t>优先级</t>
        </is>
      </c>
      <c r="Q257" t="n">
        <v>0.9</v>
      </c>
      <c r="R257" t="n">
        <v>9</v>
      </c>
      <c r="S257" t="inlineStr">
        <is>
          <t>AAA</t>
        </is>
      </c>
      <c r="T257" t="n">
        <v>0.017</v>
      </c>
      <c r="U257" s="235" t="inlineStr">
        <is>
          <t>招银理财</t>
        </is>
      </c>
      <c r="V257" s="308" t="n">
        <v>2.7</v>
      </c>
    </row>
    <row r="258">
      <c r="A258" t="n">
        <v>24</v>
      </c>
      <c r="B258" t="inlineStr">
        <is>
          <t>3月</t>
        </is>
      </c>
      <c r="C258" t="inlineStr">
        <is>
          <t>消金</t>
        </is>
      </c>
      <c r="D258" t="inlineStr">
        <is>
          <t>赊销白条</t>
        </is>
      </c>
      <c r="E258" t="inlineStr">
        <is>
          <t>24东裕2号叔裕ABCP（续发）</t>
        </is>
      </c>
      <c r="F258" t="inlineStr">
        <is>
          <t>银行间</t>
        </is>
      </c>
      <c r="G258" t="inlineStr">
        <is>
          <t>中信建投</t>
        </is>
      </c>
      <c r="H258" t="inlineStr">
        <is>
          <t>南京银行/江苏银行/杭州银行/财通资管</t>
        </is>
      </c>
      <c r="I258" t="inlineStr">
        <is>
          <t>交行北分</t>
        </is>
      </c>
      <c r="J258" t="n">
        <v>9.449999999999999</v>
      </c>
      <c r="K258" t="inlineStr">
        <is>
          <t>10+2</t>
        </is>
      </c>
      <c r="L258" s="309" t="n">
        <v>46097</v>
      </c>
      <c r="M258" t="n">
        <v>0.0153</v>
      </c>
      <c r="N258" t="n">
        <v>0.0206</v>
      </c>
      <c r="O258" t="n">
        <v>4.74</v>
      </c>
      <c r="P258" t="inlineStr">
        <is>
          <t>优先级</t>
        </is>
      </c>
      <c r="Q258" t="n">
        <v>0.9</v>
      </c>
      <c r="R258" t="n">
        <v>9</v>
      </c>
      <c r="S258" t="inlineStr">
        <is>
          <t>AAA</t>
        </is>
      </c>
      <c r="T258" t="n">
        <v>0.017</v>
      </c>
      <c r="U258" s="235" t="inlineStr">
        <is>
          <t>交银理财</t>
        </is>
      </c>
      <c r="V258" s="308" t="n">
        <v>0.65</v>
      </c>
    </row>
    <row r="259">
      <c r="A259" t="n">
        <v>24</v>
      </c>
      <c r="B259" t="inlineStr">
        <is>
          <t>3月</t>
        </is>
      </c>
      <c r="C259" t="inlineStr">
        <is>
          <t>消金</t>
        </is>
      </c>
      <c r="D259" t="inlineStr">
        <is>
          <t>赊销白条</t>
        </is>
      </c>
      <c r="E259" t="inlineStr">
        <is>
          <t>24东裕2号叔裕ABCP（续发）</t>
        </is>
      </c>
      <c r="F259" t="inlineStr">
        <is>
          <t>银行间</t>
        </is>
      </c>
      <c r="G259" t="inlineStr">
        <is>
          <t>中信建投</t>
        </is>
      </c>
      <c r="H259" t="inlineStr">
        <is>
          <t>南京银行/江苏银行/杭州银行/财通资管</t>
        </is>
      </c>
      <c r="I259" t="inlineStr">
        <is>
          <t>交行北分</t>
        </is>
      </c>
      <c r="J259" t="n">
        <v>9.449999999999999</v>
      </c>
      <c r="K259" t="inlineStr">
        <is>
          <t>10+2</t>
        </is>
      </c>
      <c r="L259" s="309" t="n">
        <v>46097</v>
      </c>
      <c r="M259" t="n">
        <v>0.0153</v>
      </c>
      <c r="N259" t="n">
        <v>0.0206</v>
      </c>
      <c r="O259" t="n">
        <v>4.74</v>
      </c>
      <c r="P259" t="inlineStr">
        <is>
          <t>优先级</t>
        </is>
      </c>
      <c r="Q259" t="n">
        <v>0.9</v>
      </c>
      <c r="R259" t="n">
        <v>9</v>
      </c>
      <c r="S259" t="inlineStr">
        <is>
          <t>AAA</t>
        </is>
      </c>
      <c r="T259" t="n">
        <v>0.017</v>
      </c>
      <c r="U259" s="235" t="inlineStr">
        <is>
          <t>杭银理财</t>
        </is>
      </c>
      <c r="V259" s="308" t="n">
        <v>0.4</v>
      </c>
    </row>
    <row r="260">
      <c r="A260" t="n">
        <v>24</v>
      </c>
      <c r="B260" t="inlineStr">
        <is>
          <t>3月</t>
        </is>
      </c>
      <c r="C260" t="inlineStr">
        <is>
          <t>消金</t>
        </is>
      </c>
      <c r="D260" t="inlineStr">
        <is>
          <t>赊销白条</t>
        </is>
      </c>
      <c r="E260" t="inlineStr">
        <is>
          <t>24东裕2号叔裕ABCP（续发）</t>
        </is>
      </c>
      <c r="F260" t="inlineStr">
        <is>
          <t>银行间</t>
        </is>
      </c>
      <c r="G260" t="inlineStr">
        <is>
          <t>中信建投</t>
        </is>
      </c>
      <c r="H260" t="inlineStr">
        <is>
          <t>南京银行/江苏银行/杭州银行/财通资管</t>
        </is>
      </c>
      <c r="I260" t="inlineStr">
        <is>
          <t>交行北分</t>
        </is>
      </c>
      <c r="J260" t="n">
        <v>9.449999999999999</v>
      </c>
      <c r="K260" t="inlineStr">
        <is>
          <t>10+2</t>
        </is>
      </c>
      <c r="L260" s="309" t="n">
        <v>46097</v>
      </c>
      <c r="M260" t="n">
        <v>0.0153</v>
      </c>
      <c r="N260" t="n">
        <v>0.0206</v>
      </c>
      <c r="O260" t="n">
        <v>4.74</v>
      </c>
      <c r="P260" t="inlineStr">
        <is>
          <t>优先级</t>
        </is>
      </c>
      <c r="Q260" t="n">
        <v>0.9</v>
      </c>
      <c r="R260" t="n">
        <v>9</v>
      </c>
      <c r="S260" t="inlineStr">
        <is>
          <t>AAA</t>
        </is>
      </c>
      <c r="T260" t="n">
        <v>0.017</v>
      </c>
      <c r="U260" s="235" t="inlineStr">
        <is>
          <t>平安理财</t>
        </is>
      </c>
      <c r="V260" s="308" t="n">
        <v>2.25</v>
      </c>
    </row>
    <row r="261">
      <c r="A261" t="n">
        <v>24</v>
      </c>
      <c r="B261" t="inlineStr">
        <is>
          <t>3月</t>
        </is>
      </c>
      <c r="C261" t="inlineStr">
        <is>
          <t>消金</t>
        </is>
      </c>
      <c r="D261" t="inlineStr">
        <is>
          <t>赊销白条</t>
        </is>
      </c>
      <c r="E261" t="inlineStr">
        <is>
          <t>24东裕2号叔裕ABCP（续发）</t>
        </is>
      </c>
      <c r="F261" t="inlineStr">
        <is>
          <t>银行间</t>
        </is>
      </c>
      <c r="G261" t="inlineStr">
        <is>
          <t>中信建投</t>
        </is>
      </c>
      <c r="H261" t="inlineStr">
        <is>
          <t>南京银行/江苏银行/杭州银行/财通资管</t>
        </is>
      </c>
      <c r="I261" t="inlineStr">
        <is>
          <t>交行北分</t>
        </is>
      </c>
      <c r="J261" t="n">
        <v>9.449999999999999</v>
      </c>
      <c r="K261" t="inlineStr">
        <is>
          <t>10+2</t>
        </is>
      </c>
      <c r="L261" s="309" t="n">
        <v>46097</v>
      </c>
      <c r="M261" t="n">
        <v>0.0153</v>
      </c>
      <c r="N261" t="n">
        <v>0.0206</v>
      </c>
      <c r="O261" t="n">
        <v>4.74</v>
      </c>
      <c r="P261" t="inlineStr">
        <is>
          <t>优先级</t>
        </is>
      </c>
      <c r="Q261" t="n">
        <v>0.9</v>
      </c>
      <c r="R261" t="n">
        <v>9</v>
      </c>
      <c r="S261" t="inlineStr">
        <is>
          <t>AAA</t>
        </is>
      </c>
      <c r="T261" t="n">
        <v>0.017</v>
      </c>
      <c r="U261" s="235" t="inlineStr">
        <is>
          <t>财通投行</t>
        </is>
      </c>
      <c r="V261" s="308" t="n">
        <v>0.1</v>
      </c>
    </row>
    <row r="262">
      <c r="A262" t="n">
        <v>24</v>
      </c>
      <c r="B262" t="inlineStr">
        <is>
          <t>3月</t>
        </is>
      </c>
      <c r="C262" t="inlineStr">
        <is>
          <t>消金</t>
        </is>
      </c>
      <c r="D262" t="inlineStr">
        <is>
          <t>赊销白条</t>
        </is>
      </c>
      <c r="E262" t="inlineStr">
        <is>
          <t>24东裕2号叔裕ABCP（续发）</t>
        </is>
      </c>
      <c r="F262" t="inlineStr">
        <is>
          <t>银行间</t>
        </is>
      </c>
      <c r="G262" t="inlineStr">
        <is>
          <t>中信建投</t>
        </is>
      </c>
      <c r="H262" t="inlineStr">
        <is>
          <t>南京银行/江苏银行/杭州银行/财通资管</t>
        </is>
      </c>
      <c r="I262" t="inlineStr">
        <is>
          <t>交行北分</t>
        </is>
      </c>
      <c r="J262" t="n">
        <v>9.449999999999999</v>
      </c>
      <c r="K262" t="inlineStr">
        <is>
          <t>10+2</t>
        </is>
      </c>
      <c r="L262" s="309" t="n">
        <v>46097</v>
      </c>
      <c r="M262" t="n">
        <v>0.0153</v>
      </c>
      <c r="N262" t="n">
        <v>0.0206</v>
      </c>
      <c r="O262" t="n">
        <v>4.74</v>
      </c>
      <c r="P262" s="235" t="inlineStr">
        <is>
          <t>中间级</t>
        </is>
      </c>
      <c r="Q262" s="221" t="n">
        <v>0.045</v>
      </c>
      <c r="R262" s="308" t="n">
        <v>0.2</v>
      </c>
      <c r="S262" s="220" t="inlineStr">
        <is>
          <t>AA+</t>
        </is>
      </c>
      <c r="T262" s="221" t="n">
        <v>0.031</v>
      </c>
      <c r="U262" s="235" t="inlineStr">
        <is>
          <t>平安理财</t>
        </is>
      </c>
      <c r="V262" s="310" t="n">
        <v>0.135</v>
      </c>
    </row>
    <row r="263">
      <c r="A263" t="n">
        <v>24</v>
      </c>
      <c r="B263" t="inlineStr">
        <is>
          <t>3月</t>
        </is>
      </c>
      <c r="C263" t="inlineStr">
        <is>
          <t>消金</t>
        </is>
      </c>
      <c r="D263" t="inlineStr">
        <is>
          <t>赊销白条</t>
        </is>
      </c>
      <c r="E263" t="inlineStr">
        <is>
          <t>24东裕2号叔裕ABCP（续发）</t>
        </is>
      </c>
      <c r="F263" t="inlineStr">
        <is>
          <t>银行间</t>
        </is>
      </c>
      <c r="G263" t="inlineStr">
        <is>
          <t>中信建投</t>
        </is>
      </c>
      <c r="H263" t="inlineStr">
        <is>
          <t>南京银行/江苏银行/杭州银行/财通资管</t>
        </is>
      </c>
      <c r="I263" t="inlineStr">
        <is>
          <t>交行北分</t>
        </is>
      </c>
      <c r="J263" t="n">
        <v>9.449999999999999</v>
      </c>
      <c r="K263" t="inlineStr">
        <is>
          <t>10+2</t>
        </is>
      </c>
      <c r="L263" s="309" t="n">
        <v>46097</v>
      </c>
      <c r="M263" t="n">
        <v>0.0153</v>
      </c>
      <c r="N263" t="n">
        <v>0.0206</v>
      </c>
      <c r="O263" t="n">
        <v>4.74</v>
      </c>
      <c r="P263" t="inlineStr">
        <is>
          <t>中间级</t>
        </is>
      </c>
      <c r="Q263" t="n">
        <v>0.045</v>
      </c>
      <c r="R263" t="n">
        <v>0.2</v>
      </c>
      <c r="S263" t="inlineStr">
        <is>
          <t>AA+</t>
        </is>
      </c>
      <c r="T263" t="n">
        <v>0.031</v>
      </c>
      <c r="U263" s="235" t="inlineStr">
        <is>
          <t>上汽财务</t>
        </is>
      </c>
      <c r="V263" s="308" t="n">
        <v>0.18</v>
      </c>
    </row>
    <row r="264">
      <c r="A264" t="n">
        <v>24</v>
      </c>
      <c r="B264" t="inlineStr">
        <is>
          <t>3月</t>
        </is>
      </c>
      <c r="C264" t="inlineStr">
        <is>
          <t>消金</t>
        </is>
      </c>
      <c r="D264" t="inlineStr">
        <is>
          <t>赊销白条</t>
        </is>
      </c>
      <c r="E264" t="inlineStr">
        <is>
          <t>24东裕2号叔裕ABCP（续发）</t>
        </is>
      </c>
      <c r="F264" t="inlineStr">
        <is>
          <t>银行间</t>
        </is>
      </c>
      <c r="G264" t="inlineStr">
        <is>
          <t>中信建投</t>
        </is>
      </c>
      <c r="H264" t="inlineStr">
        <is>
          <t>南京银行/江苏银行/杭州银行/财通资管</t>
        </is>
      </c>
      <c r="I264" t="inlineStr">
        <is>
          <t>交行北分</t>
        </is>
      </c>
      <c r="J264" t="n">
        <v>9.449999999999999</v>
      </c>
      <c r="K264" t="inlineStr">
        <is>
          <t>10+2</t>
        </is>
      </c>
      <c r="L264" s="309" t="n">
        <v>46097</v>
      </c>
      <c r="M264" t="n">
        <v>0.0153</v>
      </c>
      <c r="N264" t="n">
        <v>0.0206</v>
      </c>
      <c r="O264" t="n">
        <v>4.74</v>
      </c>
      <c r="P264" t="inlineStr">
        <is>
          <t>中间级</t>
        </is>
      </c>
      <c r="Q264" t="n">
        <v>0.045</v>
      </c>
      <c r="R264" t="n">
        <v>0.2</v>
      </c>
      <c r="S264" t="inlineStr">
        <is>
          <t>AA+</t>
        </is>
      </c>
      <c r="T264" t="n">
        <v>0.031</v>
      </c>
      <c r="U264" s="235" t="inlineStr">
        <is>
          <t>招银理财</t>
        </is>
      </c>
      <c r="V264" s="310" t="n">
        <v>0.135</v>
      </c>
    </row>
    <row r="265">
      <c r="A265" s="223" t="n">
        <v>25</v>
      </c>
      <c r="B265" s="223" t="inlineStr">
        <is>
          <t>3月</t>
        </is>
      </c>
      <c r="C265" s="220" t="inlineStr">
        <is>
          <t>企金</t>
        </is>
      </c>
      <c r="D265" s="220" t="inlineStr">
        <is>
          <t>保理</t>
        </is>
      </c>
      <c r="E265" s="220" t="inlineStr">
        <is>
          <t>沣盈4-1</t>
        </is>
      </c>
      <c r="F265" s="220" t="inlineStr">
        <is>
          <t>银行间</t>
        </is>
      </c>
      <c r="G265" s="220" t="inlineStr">
        <is>
          <t>中信证券</t>
        </is>
      </c>
      <c r="H265" s="220" t="inlineStr">
        <is>
          <t>江苏银行/兴业证券/天津银行</t>
        </is>
      </c>
      <c r="I265" s="220" t="inlineStr">
        <is>
          <t>江苏北分</t>
        </is>
      </c>
      <c r="J265" s="220" t="n">
        <v>10</v>
      </c>
      <c r="K265" s="220" t="inlineStr">
        <is>
          <t>8+4</t>
        </is>
      </c>
      <c r="L265" s="224" t="n">
        <v>46097</v>
      </c>
      <c r="M265" s="225" t="n">
        <v>0.0153</v>
      </c>
      <c r="N265" s="225" t="n">
        <v>0.0177</v>
      </c>
      <c r="O265" s="226" t="n">
        <v>1.31</v>
      </c>
      <c r="P265" s="220" t="inlineStr">
        <is>
          <t>优先级</t>
        </is>
      </c>
      <c r="Q265" s="231" t="n">
        <v>0.99</v>
      </c>
      <c r="R265" s="308" t="n">
        <v>9.9</v>
      </c>
      <c r="S265" s="220" t="inlineStr">
        <is>
          <t>AAA</t>
        </is>
      </c>
      <c r="T265" s="221" t="n">
        <v>0.017</v>
      </c>
      <c r="U265" s="24" t="inlineStr">
        <is>
          <t>平安理财</t>
        </is>
      </c>
      <c r="V265" s="25" t="n">
        <v>2.47</v>
      </c>
    </row>
    <row r="266">
      <c r="A266" t="n">
        <v>25</v>
      </c>
      <c r="B266" t="inlineStr">
        <is>
          <t>3月</t>
        </is>
      </c>
      <c r="C266" t="inlineStr">
        <is>
          <t>企金</t>
        </is>
      </c>
      <c r="D266" t="inlineStr">
        <is>
          <t>保理</t>
        </is>
      </c>
      <c r="E266" t="inlineStr">
        <is>
          <t>沣盈4-1</t>
        </is>
      </c>
      <c r="F266" t="inlineStr">
        <is>
          <t>银行间</t>
        </is>
      </c>
      <c r="G266" t="inlineStr">
        <is>
          <t>中信证券</t>
        </is>
      </c>
      <c r="H266" t="inlineStr">
        <is>
          <t>江苏银行/兴业证券/天津银行</t>
        </is>
      </c>
      <c r="I266" t="inlineStr">
        <is>
          <t>江苏北分</t>
        </is>
      </c>
      <c r="J266" t="n">
        <v>10</v>
      </c>
      <c r="K266" t="inlineStr">
        <is>
          <t>8+4</t>
        </is>
      </c>
      <c r="L266" s="309" t="n">
        <v>46097</v>
      </c>
      <c r="M266" t="n">
        <v>0.0153</v>
      </c>
      <c r="N266" t="n">
        <v>0.0177</v>
      </c>
      <c r="O266" t="n">
        <v>1.31</v>
      </c>
      <c r="P266" t="inlineStr">
        <is>
          <t>优先级</t>
        </is>
      </c>
      <c r="Q266" t="n">
        <v>0.99</v>
      </c>
      <c r="R266" t="n">
        <v>9.9</v>
      </c>
      <c r="S266" t="inlineStr">
        <is>
          <t>AAA</t>
        </is>
      </c>
      <c r="T266" t="n">
        <v>0.017</v>
      </c>
      <c r="U266" s="217" t="inlineStr">
        <is>
          <t>工银理财</t>
        </is>
      </c>
      <c r="V266" s="25" t="n">
        <v>2.36</v>
      </c>
    </row>
    <row r="267">
      <c r="A267" t="n">
        <v>25</v>
      </c>
      <c r="B267" t="inlineStr">
        <is>
          <t>3月</t>
        </is>
      </c>
      <c r="C267" t="inlineStr">
        <is>
          <t>企金</t>
        </is>
      </c>
      <c r="D267" t="inlineStr">
        <is>
          <t>保理</t>
        </is>
      </c>
      <c r="E267" t="inlineStr">
        <is>
          <t>沣盈4-1</t>
        </is>
      </c>
      <c r="F267" t="inlineStr">
        <is>
          <t>银行间</t>
        </is>
      </c>
      <c r="G267" t="inlineStr">
        <is>
          <t>中信证券</t>
        </is>
      </c>
      <c r="H267" t="inlineStr">
        <is>
          <t>江苏银行/兴业证券/天津银行</t>
        </is>
      </c>
      <c r="I267" t="inlineStr">
        <is>
          <t>江苏北分</t>
        </is>
      </c>
      <c r="J267" t="n">
        <v>10</v>
      </c>
      <c r="K267" t="inlineStr">
        <is>
          <t>8+4</t>
        </is>
      </c>
      <c r="L267" s="309" t="n">
        <v>46097</v>
      </c>
      <c r="M267" t="n">
        <v>0.0153</v>
      </c>
      <c r="N267" t="n">
        <v>0.0177</v>
      </c>
      <c r="O267" t="n">
        <v>1.31</v>
      </c>
      <c r="P267" t="inlineStr">
        <is>
          <t>优先级</t>
        </is>
      </c>
      <c r="Q267" t="n">
        <v>0.99</v>
      </c>
      <c r="R267" t="n">
        <v>9.9</v>
      </c>
      <c r="S267" t="inlineStr">
        <is>
          <t>AAA</t>
        </is>
      </c>
      <c r="T267" t="n">
        <v>0.017</v>
      </c>
      <c r="U267" s="217" t="inlineStr">
        <is>
          <t>浦银理财</t>
        </is>
      </c>
      <c r="V267" s="25" t="n">
        <v>1.96</v>
      </c>
    </row>
    <row r="268">
      <c r="A268" t="n">
        <v>25</v>
      </c>
      <c r="B268" t="inlineStr">
        <is>
          <t>3月</t>
        </is>
      </c>
      <c r="C268" t="inlineStr">
        <is>
          <t>企金</t>
        </is>
      </c>
      <c r="D268" t="inlineStr">
        <is>
          <t>保理</t>
        </is>
      </c>
      <c r="E268" t="inlineStr">
        <is>
          <t>沣盈4-1</t>
        </is>
      </c>
      <c r="F268" t="inlineStr">
        <is>
          <t>银行间</t>
        </is>
      </c>
      <c r="G268" t="inlineStr">
        <is>
          <t>中信证券</t>
        </is>
      </c>
      <c r="H268" t="inlineStr">
        <is>
          <t>江苏银行/兴业证券/天津银行</t>
        </is>
      </c>
      <c r="I268" t="inlineStr">
        <is>
          <t>江苏北分</t>
        </is>
      </c>
      <c r="J268" t="n">
        <v>10</v>
      </c>
      <c r="K268" t="inlineStr">
        <is>
          <t>8+4</t>
        </is>
      </c>
      <c r="L268" s="309" t="n">
        <v>46097</v>
      </c>
      <c r="M268" t="n">
        <v>0.0153</v>
      </c>
      <c r="N268" t="n">
        <v>0.0177</v>
      </c>
      <c r="O268" t="n">
        <v>1.31</v>
      </c>
      <c r="P268" t="inlineStr">
        <is>
          <t>优先级</t>
        </is>
      </c>
      <c r="Q268" t="n">
        <v>0.99</v>
      </c>
      <c r="R268" t="n">
        <v>9.9</v>
      </c>
      <c r="S268" t="inlineStr">
        <is>
          <t>AAA</t>
        </is>
      </c>
      <c r="T268" t="n">
        <v>0.017</v>
      </c>
      <c r="U268" s="217" t="inlineStr">
        <is>
          <t>光大理财</t>
        </is>
      </c>
      <c r="V268" s="25" t="n">
        <v>1.8</v>
      </c>
    </row>
    <row r="269">
      <c r="A269" t="n">
        <v>25</v>
      </c>
      <c r="B269" t="inlineStr">
        <is>
          <t>3月</t>
        </is>
      </c>
      <c r="C269" t="inlineStr">
        <is>
          <t>企金</t>
        </is>
      </c>
      <c r="D269" t="inlineStr">
        <is>
          <t>保理</t>
        </is>
      </c>
      <c r="E269" t="inlineStr">
        <is>
          <t>沣盈4-1</t>
        </is>
      </c>
      <c r="F269" t="inlineStr">
        <is>
          <t>银行间</t>
        </is>
      </c>
      <c r="G269" t="inlineStr">
        <is>
          <t>中信证券</t>
        </is>
      </c>
      <c r="H269" t="inlineStr">
        <is>
          <t>江苏银行/兴业证券/天津银行</t>
        </is>
      </c>
      <c r="I269" t="inlineStr">
        <is>
          <t>江苏北分</t>
        </is>
      </c>
      <c r="J269" t="n">
        <v>10</v>
      </c>
      <c r="K269" t="inlineStr">
        <is>
          <t>8+4</t>
        </is>
      </c>
      <c r="L269" s="309" t="n">
        <v>46097</v>
      </c>
      <c r="M269" t="n">
        <v>0.0153</v>
      </c>
      <c r="N269" t="n">
        <v>0.0177</v>
      </c>
      <c r="O269" t="n">
        <v>1.31</v>
      </c>
      <c r="P269" t="inlineStr">
        <is>
          <t>优先级</t>
        </is>
      </c>
      <c r="Q269" t="n">
        <v>0.99</v>
      </c>
      <c r="R269" t="n">
        <v>9.9</v>
      </c>
      <c r="S269" t="inlineStr">
        <is>
          <t>AAA</t>
        </is>
      </c>
      <c r="T269" t="n">
        <v>0.017</v>
      </c>
      <c r="U269" s="217" t="inlineStr">
        <is>
          <t>江苏银行</t>
        </is>
      </c>
      <c r="V269" s="25" t="n">
        <v>1.31</v>
      </c>
    </row>
    <row r="270">
      <c r="A270" t="n">
        <v>25</v>
      </c>
      <c r="B270" t="inlineStr">
        <is>
          <t>3月</t>
        </is>
      </c>
      <c r="C270" t="inlineStr">
        <is>
          <t>企金</t>
        </is>
      </c>
      <c r="D270" t="inlineStr">
        <is>
          <t>保理</t>
        </is>
      </c>
      <c r="E270" t="inlineStr">
        <is>
          <t>沣盈4-1</t>
        </is>
      </c>
      <c r="F270" t="inlineStr">
        <is>
          <t>银行间</t>
        </is>
      </c>
      <c r="G270" t="inlineStr">
        <is>
          <t>中信证券</t>
        </is>
      </c>
      <c r="H270" t="inlineStr">
        <is>
          <t>江苏银行/兴业证券/天津银行</t>
        </is>
      </c>
      <c r="I270" t="inlineStr">
        <is>
          <t>江苏北分</t>
        </is>
      </c>
      <c r="J270" t="n">
        <v>10</v>
      </c>
      <c r="K270" t="inlineStr">
        <is>
          <t>8+4</t>
        </is>
      </c>
      <c r="L270" s="309" t="n">
        <v>46097</v>
      </c>
      <c r="M270" t="n">
        <v>0.0153</v>
      </c>
      <c r="N270" t="n">
        <v>0.0177</v>
      </c>
      <c r="O270" t="n">
        <v>1.31</v>
      </c>
      <c r="P270" s="220" t="inlineStr">
        <is>
          <t>次级</t>
        </is>
      </c>
      <c r="Q270" s="221" t="n">
        <v>0.01</v>
      </c>
      <c r="R270" s="308" t="n">
        <v>0.1</v>
      </c>
      <c r="S270" s="221" t="inlineStr">
        <is>
          <t>无</t>
        </is>
      </c>
      <c r="T270" s="221" t="n">
        <v>0.043</v>
      </c>
      <c r="U270" s="217" t="inlineStr">
        <is>
          <t>利曦基金</t>
        </is>
      </c>
      <c r="V270" s="25" t="n">
        <v>0.1</v>
      </c>
    </row>
    <row r="271">
      <c r="A271" s="223" t="n">
        <v>26</v>
      </c>
      <c r="B271" s="220" t="inlineStr">
        <is>
          <t>3月</t>
        </is>
      </c>
      <c r="C271" s="220" t="inlineStr">
        <is>
          <t>企金</t>
        </is>
      </c>
      <c r="D271" s="220" t="inlineStr">
        <is>
          <t>小贷企业主贷</t>
        </is>
      </c>
      <c r="E271" s="220" t="inlineStr">
        <is>
          <t>盛赢3-5</t>
        </is>
      </c>
      <c r="F271" s="220" t="inlineStr">
        <is>
          <t>上交所</t>
        </is>
      </c>
      <c r="G271" s="220" t="inlineStr">
        <is>
          <t>招商证券</t>
        </is>
      </c>
      <c r="H271" s="220" t="inlineStr">
        <is>
          <t>华福证券</t>
        </is>
      </c>
      <c r="I271" s="220" t="inlineStr">
        <is>
          <t>建行北分</t>
        </is>
      </c>
      <c r="J271" s="220" t="n">
        <v>10</v>
      </c>
      <c r="K271" s="220" t="inlineStr">
        <is>
          <t>9+12</t>
        </is>
      </c>
      <c r="L271" s="224" t="n">
        <v>46098</v>
      </c>
      <c r="M271" s="225" t="n">
        <v>0.0154</v>
      </c>
      <c r="N271" s="225" t="n">
        <v>0.0206</v>
      </c>
      <c r="O271" s="226" t="n">
        <v>1.99</v>
      </c>
      <c r="P271" s="220" t="inlineStr">
        <is>
          <t>优先A</t>
        </is>
      </c>
      <c r="Q271" s="231" t="n">
        <v>0.83</v>
      </c>
      <c r="R271" s="308" t="n">
        <v>8.300000000000001</v>
      </c>
      <c r="S271" s="220" t="inlineStr">
        <is>
          <t>AAA</t>
        </is>
      </c>
      <c r="T271" s="221" t="n">
        <v>0.0178</v>
      </c>
      <c r="U271" s="265" t="inlineStr">
        <is>
          <t>南银理财</t>
        </is>
      </c>
      <c r="V271" s="25" t="n">
        <v>2</v>
      </c>
    </row>
    <row r="272">
      <c r="A272" t="n">
        <v>26</v>
      </c>
      <c r="B272" t="inlineStr">
        <is>
          <t>3月</t>
        </is>
      </c>
      <c r="C272" t="inlineStr">
        <is>
          <t>企金</t>
        </is>
      </c>
      <c r="D272" t="inlineStr">
        <is>
          <t>小贷企业主贷</t>
        </is>
      </c>
      <c r="E272" t="inlineStr">
        <is>
          <t>盛赢3-5</t>
        </is>
      </c>
      <c r="F272" t="inlineStr">
        <is>
          <t>上交所</t>
        </is>
      </c>
      <c r="G272" t="inlineStr">
        <is>
          <t>招商证券</t>
        </is>
      </c>
      <c r="H272" t="inlineStr">
        <is>
          <t>华福证券</t>
        </is>
      </c>
      <c r="I272" t="inlineStr">
        <is>
          <t>建行北分</t>
        </is>
      </c>
      <c r="J272" t="n">
        <v>10</v>
      </c>
      <c r="K272" t="inlineStr">
        <is>
          <t>9+12</t>
        </is>
      </c>
      <c r="L272" s="309" t="n">
        <v>46098</v>
      </c>
      <c r="M272" t="n">
        <v>0.0154</v>
      </c>
      <c r="N272" t="n">
        <v>0.0206</v>
      </c>
      <c r="O272" t="n">
        <v>1.99</v>
      </c>
      <c r="P272" t="inlineStr">
        <is>
          <t>优先A</t>
        </is>
      </c>
      <c r="Q272" t="n">
        <v>0.83</v>
      </c>
      <c r="R272" t="n">
        <v>8.300000000000001</v>
      </c>
      <c r="S272" t="inlineStr">
        <is>
          <t>AAA</t>
        </is>
      </c>
      <c r="T272" t="n">
        <v>0.0178</v>
      </c>
      <c r="U272" s="24" t="inlineStr">
        <is>
          <t>招银理财</t>
        </is>
      </c>
      <c r="V272" s="25" t="n">
        <v>2.2</v>
      </c>
    </row>
    <row r="273">
      <c r="A273" t="n">
        <v>26</v>
      </c>
      <c r="B273" t="inlineStr">
        <is>
          <t>3月</t>
        </is>
      </c>
      <c r="C273" t="inlineStr">
        <is>
          <t>企金</t>
        </is>
      </c>
      <c r="D273" t="inlineStr">
        <is>
          <t>小贷企业主贷</t>
        </is>
      </c>
      <c r="E273" t="inlineStr">
        <is>
          <t>盛赢3-5</t>
        </is>
      </c>
      <c r="F273" t="inlineStr">
        <is>
          <t>上交所</t>
        </is>
      </c>
      <c r="G273" t="inlineStr">
        <is>
          <t>招商证券</t>
        </is>
      </c>
      <c r="H273" t="inlineStr">
        <is>
          <t>华福证券</t>
        </is>
      </c>
      <c r="I273" t="inlineStr">
        <is>
          <t>建行北分</t>
        </is>
      </c>
      <c r="J273" t="n">
        <v>10</v>
      </c>
      <c r="K273" t="inlineStr">
        <is>
          <t>9+12</t>
        </is>
      </c>
      <c r="L273" s="309" t="n">
        <v>46098</v>
      </c>
      <c r="M273" t="n">
        <v>0.0154</v>
      </c>
      <c r="N273" t="n">
        <v>0.0206</v>
      </c>
      <c r="O273" t="n">
        <v>1.99</v>
      </c>
      <c r="P273" t="inlineStr">
        <is>
          <t>优先A</t>
        </is>
      </c>
      <c r="Q273" t="n">
        <v>0.83</v>
      </c>
      <c r="R273" t="n">
        <v>8.300000000000001</v>
      </c>
      <c r="S273" t="inlineStr">
        <is>
          <t>AAA</t>
        </is>
      </c>
      <c r="T273" t="n">
        <v>0.0178</v>
      </c>
      <c r="U273" s="24" t="inlineStr">
        <is>
          <t>易方达基金</t>
        </is>
      </c>
      <c r="V273" s="25" t="n">
        <v>0.1</v>
      </c>
    </row>
    <row r="274">
      <c r="A274" t="n">
        <v>26</v>
      </c>
      <c r="B274" t="inlineStr">
        <is>
          <t>3月</t>
        </is>
      </c>
      <c r="C274" t="inlineStr">
        <is>
          <t>企金</t>
        </is>
      </c>
      <c r="D274" t="inlineStr">
        <is>
          <t>小贷企业主贷</t>
        </is>
      </c>
      <c r="E274" t="inlineStr">
        <is>
          <t>盛赢3-5</t>
        </is>
      </c>
      <c r="F274" t="inlineStr">
        <is>
          <t>上交所</t>
        </is>
      </c>
      <c r="G274" t="inlineStr">
        <is>
          <t>招商证券</t>
        </is>
      </c>
      <c r="H274" t="inlineStr">
        <is>
          <t>华福证券</t>
        </is>
      </c>
      <c r="I274" t="inlineStr">
        <is>
          <t>建行北分</t>
        </is>
      </c>
      <c r="J274" t="n">
        <v>10</v>
      </c>
      <c r="K274" t="inlineStr">
        <is>
          <t>9+12</t>
        </is>
      </c>
      <c r="L274" s="309" t="n">
        <v>46098</v>
      </c>
      <c r="M274" t="n">
        <v>0.0154</v>
      </c>
      <c r="N274" t="n">
        <v>0.0206</v>
      </c>
      <c r="O274" t="n">
        <v>1.99</v>
      </c>
      <c r="P274" t="inlineStr">
        <is>
          <t>优先A</t>
        </is>
      </c>
      <c r="Q274" t="n">
        <v>0.83</v>
      </c>
      <c r="R274" t="n">
        <v>8.300000000000001</v>
      </c>
      <c r="S274" t="inlineStr">
        <is>
          <t>AAA</t>
        </is>
      </c>
      <c r="T274" t="n">
        <v>0.0178</v>
      </c>
      <c r="U274" s="24" t="inlineStr">
        <is>
          <t>交银理财</t>
        </is>
      </c>
      <c r="V274" s="146" t="n">
        <v>2.49</v>
      </c>
    </row>
    <row r="275">
      <c r="A275" t="n">
        <v>26</v>
      </c>
      <c r="B275" t="inlineStr">
        <is>
          <t>3月</t>
        </is>
      </c>
      <c r="C275" t="inlineStr">
        <is>
          <t>企金</t>
        </is>
      </c>
      <c r="D275" t="inlineStr">
        <is>
          <t>小贷企业主贷</t>
        </is>
      </c>
      <c r="E275" t="inlineStr">
        <is>
          <t>盛赢3-5</t>
        </is>
      </c>
      <c r="F275" t="inlineStr">
        <is>
          <t>上交所</t>
        </is>
      </c>
      <c r="G275" t="inlineStr">
        <is>
          <t>招商证券</t>
        </is>
      </c>
      <c r="H275" t="inlineStr">
        <is>
          <t>华福证券</t>
        </is>
      </c>
      <c r="I275" t="inlineStr">
        <is>
          <t>建行北分</t>
        </is>
      </c>
      <c r="J275" t="n">
        <v>10</v>
      </c>
      <c r="K275" t="inlineStr">
        <is>
          <t>9+12</t>
        </is>
      </c>
      <c r="L275" s="309" t="n">
        <v>46098</v>
      </c>
      <c r="M275" t="n">
        <v>0.0154</v>
      </c>
      <c r="N275" t="n">
        <v>0.0206</v>
      </c>
      <c r="O275" t="n">
        <v>1.99</v>
      </c>
      <c r="P275" t="inlineStr">
        <is>
          <t>优先A</t>
        </is>
      </c>
      <c r="Q275" t="n">
        <v>0.83</v>
      </c>
      <c r="R275" t="n">
        <v>8.300000000000001</v>
      </c>
      <c r="S275" t="inlineStr">
        <is>
          <t>AAA</t>
        </is>
      </c>
      <c r="T275" t="n">
        <v>0.0178</v>
      </c>
      <c r="U275" s="24" t="inlineStr">
        <is>
          <t>苏银理财</t>
        </is>
      </c>
      <c r="V275" s="313" t="n">
        <v>1.095</v>
      </c>
    </row>
    <row r="276">
      <c r="A276" t="n">
        <v>26</v>
      </c>
      <c r="B276" t="inlineStr">
        <is>
          <t>3月</t>
        </is>
      </c>
      <c r="C276" t="inlineStr">
        <is>
          <t>企金</t>
        </is>
      </c>
      <c r="D276" t="inlineStr">
        <is>
          <t>小贷企业主贷</t>
        </is>
      </c>
      <c r="E276" t="inlineStr">
        <is>
          <t>盛赢3-5</t>
        </is>
      </c>
      <c r="F276" t="inlineStr">
        <is>
          <t>上交所</t>
        </is>
      </c>
      <c r="G276" t="inlineStr">
        <is>
          <t>招商证券</t>
        </is>
      </c>
      <c r="H276" t="inlineStr">
        <is>
          <t>华福证券</t>
        </is>
      </c>
      <c r="I276" t="inlineStr">
        <is>
          <t>建行北分</t>
        </is>
      </c>
      <c r="J276" t="n">
        <v>10</v>
      </c>
      <c r="K276" t="inlineStr">
        <is>
          <t>9+12</t>
        </is>
      </c>
      <c r="L276" s="309" t="n">
        <v>46098</v>
      </c>
      <c r="M276" t="n">
        <v>0.0154</v>
      </c>
      <c r="N276" t="n">
        <v>0.0206</v>
      </c>
      <c r="O276" t="n">
        <v>1.99</v>
      </c>
      <c r="P276" t="inlineStr">
        <is>
          <t>优先A</t>
        </is>
      </c>
      <c r="Q276" t="n">
        <v>0.83</v>
      </c>
      <c r="R276" t="n">
        <v>8.300000000000001</v>
      </c>
      <c r="S276" t="inlineStr">
        <is>
          <t>AAA</t>
        </is>
      </c>
      <c r="T276" t="n">
        <v>0.0178</v>
      </c>
      <c r="U276" s="30" t="inlineStr">
        <is>
          <t>盛际小贷</t>
        </is>
      </c>
      <c r="V276" s="313" t="n">
        <v>0.415</v>
      </c>
    </row>
    <row r="277">
      <c r="A277" t="n">
        <v>26</v>
      </c>
      <c r="B277" t="inlineStr">
        <is>
          <t>3月</t>
        </is>
      </c>
      <c r="C277" t="inlineStr">
        <is>
          <t>企金</t>
        </is>
      </c>
      <c r="D277" t="inlineStr">
        <is>
          <t>小贷企业主贷</t>
        </is>
      </c>
      <c r="E277" t="inlineStr">
        <is>
          <t>盛赢3-5</t>
        </is>
      </c>
      <c r="F277" t="inlineStr">
        <is>
          <t>上交所</t>
        </is>
      </c>
      <c r="G277" t="inlineStr">
        <is>
          <t>招商证券</t>
        </is>
      </c>
      <c r="H277" t="inlineStr">
        <is>
          <t>华福证券</t>
        </is>
      </c>
      <c r="I277" t="inlineStr">
        <is>
          <t>建行北分</t>
        </is>
      </c>
      <c r="J277" t="n">
        <v>10</v>
      </c>
      <c r="K277" t="inlineStr">
        <is>
          <t>9+12</t>
        </is>
      </c>
      <c r="L277" s="309" t="n">
        <v>46098</v>
      </c>
      <c r="M277" t="n">
        <v>0.0154</v>
      </c>
      <c r="N277" t="n">
        <v>0.0206</v>
      </c>
      <c r="O277" t="n">
        <v>1.99</v>
      </c>
      <c r="P277" s="220" t="inlineStr">
        <is>
          <t>优先B</t>
        </is>
      </c>
      <c r="Q277" s="221" t="n">
        <v>0.05</v>
      </c>
      <c r="R277" s="308" t="n">
        <v>0.5</v>
      </c>
      <c r="S277" s="221" t="inlineStr">
        <is>
          <t>AA+</t>
        </is>
      </c>
      <c r="T277" s="221" t="n">
        <v>0.0195</v>
      </c>
      <c r="U277" s="30" t="inlineStr">
        <is>
          <t>交银理财</t>
        </is>
      </c>
      <c r="V277" s="29" t="n">
        <v>0.15</v>
      </c>
    </row>
    <row r="278">
      <c r="A278" t="n">
        <v>26</v>
      </c>
      <c r="B278" t="inlineStr">
        <is>
          <t>3月</t>
        </is>
      </c>
      <c r="C278" t="inlineStr">
        <is>
          <t>企金</t>
        </is>
      </c>
      <c r="D278" t="inlineStr">
        <is>
          <t>小贷企业主贷</t>
        </is>
      </c>
      <c r="E278" t="inlineStr">
        <is>
          <t>盛赢3-5</t>
        </is>
      </c>
      <c r="F278" t="inlineStr">
        <is>
          <t>上交所</t>
        </is>
      </c>
      <c r="G278" t="inlineStr">
        <is>
          <t>招商证券</t>
        </is>
      </c>
      <c r="H278" t="inlineStr">
        <is>
          <t>华福证券</t>
        </is>
      </c>
      <c r="I278" t="inlineStr">
        <is>
          <t>建行北分</t>
        </is>
      </c>
      <c r="J278" t="n">
        <v>10</v>
      </c>
      <c r="K278" t="inlineStr">
        <is>
          <t>9+12</t>
        </is>
      </c>
      <c r="L278" s="309" t="n">
        <v>46098</v>
      </c>
      <c r="M278" t="n">
        <v>0.0154</v>
      </c>
      <c r="N278" t="n">
        <v>0.0206</v>
      </c>
      <c r="O278" t="n">
        <v>1.99</v>
      </c>
      <c r="P278" t="inlineStr">
        <is>
          <t>优先B</t>
        </is>
      </c>
      <c r="Q278" t="n">
        <v>0.05</v>
      </c>
      <c r="R278" t="n">
        <v>0.5</v>
      </c>
      <c r="S278" t="inlineStr">
        <is>
          <t>AA+</t>
        </is>
      </c>
      <c r="T278" t="n">
        <v>0.0195</v>
      </c>
      <c r="U278" s="30" t="inlineStr">
        <is>
          <t>中金投顾</t>
        </is>
      </c>
      <c r="V278" s="314" t="n">
        <v>0.275</v>
      </c>
    </row>
    <row r="279">
      <c r="A279" t="n">
        <v>26</v>
      </c>
      <c r="B279" t="inlineStr">
        <is>
          <t>3月</t>
        </is>
      </c>
      <c r="C279" t="inlineStr">
        <is>
          <t>企金</t>
        </is>
      </c>
      <c r="D279" t="inlineStr">
        <is>
          <t>小贷企业主贷</t>
        </is>
      </c>
      <c r="E279" t="inlineStr">
        <is>
          <t>盛赢3-5</t>
        </is>
      </c>
      <c r="F279" t="inlineStr">
        <is>
          <t>上交所</t>
        </is>
      </c>
      <c r="G279" t="inlineStr">
        <is>
          <t>招商证券</t>
        </is>
      </c>
      <c r="H279" t="inlineStr">
        <is>
          <t>华福证券</t>
        </is>
      </c>
      <c r="I279" t="inlineStr">
        <is>
          <t>建行北分</t>
        </is>
      </c>
      <c r="J279" t="n">
        <v>10</v>
      </c>
      <c r="K279" t="inlineStr">
        <is>
          <t>9+12</t>
        </is>
      </c>
      <c r="L279" s="309" t="n">
        <v>46098</v>
      </c>
      <c r="M279" t="n">
        <v>0.0154</v>
      </c>
      <c r="N279" t="n">
        <v>0.0206</v>
      </c>
      <c r="O279" t="n">
        <v>1.99</v>
      </c>
      <c r="P279" t="inlineStr">
        <is>
          <t>优先B</t>
        </is>
      </c>
      <c r="Q279" t="n">
        <v>0.05</v>
      </c>
      <c r="R279" t="n">
        <v>0.5</v>
      </c>
      <c r="S279" t="inlineStr">
        <is>
          <t>AA+</t>
        </is>
      </c>
      <c r="T279" t="n">
        <v>0.0195</v>
      </c>
      <c r="U279" s="30" t="inlineStr">
        <is>
          <t>申万资管</t>
        </is>
      </c>
      <c r="V279" s="29" t="n">
        <v>0.05</v>
      </c>
    </row>
    <row r="280">
      <c r="A280" t="n">
        <v>26</v>
      </c>
      <c r="B280" t="inlineStr">
        <is>
          <t>3月</t>
        </is>
      </c>
      <c r="C280" t="inlineStr">
        <is>
          <t>企金</t>
        </is>
      </c>
      <c r="D280" t="inlineStr">
        <is>
          <t>小贷企业主贷</t>
        </is>
      </c>
      <c r="E280" t="inlineStr">
        <is>
          <t>盛赢3-5</t>
        </is>
      </c>
      <c r="F280" t="inlineStr">
        <is>
          <t>上交所</t>
        </is>
      </c>
      <c r="G280" t="inlineStr">
        <is>
          <t>招商证券</t>
        </is>
      </c>
      <c r="H280" t="inlineStr">
        <is>
          <t>华福证券</t>
        </is>
      </c>
      <c r="I280" t="inlineStr">
        <is>
          <t>建行北分</t>
        </is>
      </c>
      <c r="J280" t="n">
        <v>10</v>
      </c>
      <c r="K280" t="inlineStr">
        <is>
          <t>9+12</t>
        </is>
      </c>
      <c r="L280" s="309" t="n">
        <v>46098</v>
      </c>
      <c r="M280" t="n">
        <v>0.0154</v>
      </c>
      <c r="N280" t="n">
        <v>0.0206</v>
      </c>
      <c r="O280" t="n">
        <v>1.99</v>
      </c>
      <c r="P280" t="inlineStr">
        <is>
          <t>优先B</t>
        </is>
      </c>
      <c r="Q280" t="n">
        <v>0.05</v>
      </c>
      <c r="R280" t="n">
        <v>0.5</v>
      </c>
      <c r="S280" t="inlineStr">
        <is>
          <t>AA+</t>
        </is>
      </c>
      <c r="T280" t="n">
        <v>0.0195</v>
      </c>
      <c r="U280" s="30" t="inlineStr">
        <is>
          <t>盛际小贷</t>
        </is>
      </c>
      <c r="V280" s="314" t="n">
        <v>0.025</v>
      </c>
    </row>
    <row r="281">
      <c r="A281" t="n">
        <v>26</v>
      </c>
      <c r="B281" t="inlineStr">
        <is>
          <t>3月</t>
        </is>
      </c>
      <c r="C281" t="inlineStr">
        <is>
          <t>企金</t>
        </is>
      </c>
      <c r="D281" t="inlineStr">
        <is>
          <t>小贷企业主贷</t>
        </is>
      </c>
      <c r="E281" t="inlineStr">
        <is>
          <t>盛赢3-5</t>
        </is>
      </c>
      <c r="F281" t="inlineStr">
        <is>
          <t>上交所</t>
        </is>
      </c>
      <c r="G281" t="inlineStr">
        <is>
          <t>招商证券</t>
        </is>
      </c>
      <c r="H281" t="inlineStr">
        <is>
          <t>华福证券</t>
        </is>
      </c>
      <c r="I281" t="inlineStr">
        <is>
          <t>建行北分</t>
        </is>
      </c>
      <c r="J281" t="n">
        <v>10</v>
      </c>
      <c r="K281" t="inlineStr">
        <is>
          <t>9+12</t>
        </is>
      </c>
      <c r="L281" s="309" t="n">
        <v>46098</v>
      </c>
      <c r="M281" t="n">
        <v>0.0154</v>
      </c>
      <c r="N281" t="n">
        <v>0.0206</v>
      </c>
      <c r="O281" t="n">
        <v>1.99</v>
      </c>
      <c r="P281" s="220" t="inlineStr">
        <is>
          <t>中间级</t>
        </is>
      </c>
      <c r="Q281" s="221" t="n">
        <v>0.07000000000000001</v>
      </c>
      <c r="R281" s="308" t="n">
        <v>0.7</v>
      </c>
      <c r="S281" s="221" t="inlineStr">
        <is>
          <t>AA-</t>
        </is>
      </c>
      <c r="T281" s="221" t="n">
        <v>0.031</v>
      </c>
      <c r="U281" s="217" t="inlineStr">
        <is>
          <t>建信信托</t>
        </is>
      </c>
      <c r="V281" s="314" t="n">
        <v>0.175</v>
      </c>
    </row>
    <row r="282">
      <c r="A282" t="n">
        <v>26</v>
      </c>
      <c r="B282" t="inlineStr">
        <is>
          <t>3月</t>
        </is>
      </c>
      <c r="C282" t="inlineStr">
        <is>
          <t>企金</t>
        </is>
      </c>
      <c r="D282" t="inlineStr">
        <is>
          <t>小贷企业主贷</t>
        </is>
      </c>
      <c r="E282" t="inlineStr">
        <is>
          <t>盛赢3-5</t>
        </is>
      </c>
      <c r="F282" t="inlineStr">
        <is>
          <t>上交所</t>
        </is>
      </c>
      <c r="G282" t="inlineStr">
        <is>
          <t>招商证券</t>
        </is>
      </c>
      <c r="H282" t="inlineStr">
        <is>
          <t>华福证券</t>
        </is>
      </c>
      <c r="I282" t="inlineStr">
        <is>
          <t>建行北分</t>
        </is>
      </c>
      <c r="J282" t="n">
        <v>10</v>
      </c>
      <c r="K282" t="inlineStr">
        <is>
          <t>9+12</t>
        </is>
      </c>
      <c r="L282" s="309" t="n">
        <v>46098</v>
      </c>
      <c r="M282" t="n">
        <v>0.0154</v>
      </c>
      <c r="N282" t="n">
        <v>0.0206</v>
      </c>
      <c r="O282" t="n">
        <v>1.99</v>
      </c>
      <c r="P282" t="inlineStr">
        <is>
          <t>中间级</t>
        </is>
      </c>
      <c r="Q282" t="n">
        <v>0.07000000000000001</v>
      </c>
      <c r="R282" t="n">
        <v>0.7</v>
      </c>
      <c r="S282" t="inlineStr">
        <is>
          <t>AA-</t>
        </is>
      </c>
      <c r="T282" t="n">
        <v>0.031</v>
      </c>
      <c r="U282" s="217" t="inlineStr">
        <is>
          <t>利曦基金</t>
        </is>
      </c>
      <c r="V282" s="29" t="n">
        <v>0.1</v>
      </c>
    </row>
    <row r="283">
      <c r="A283" t="n">
        <v>26</v>
      </c>
      <c r="B283" t="inlineStr">
        <is>
          <t>3月</t>
        </is>
      </c>
      <c r="C283" t="inlineStr">
        <is>
          <t>企金</t>
        </is>
      </c>
      <c r="D283" t="inlineStr">
        <is>
          <t>小贷企业主贷</t>
        </is>
      </c>
      <c r="E283" t="inlineStr">
        <is>
          <t>盛赢3-5</t>
        </is>
      </c>
      <c r="F283" t="inlineStr">
        <is>
          <t>上交所</t>
        </is>
      </c>
      <c r="G283" t="inlineStr">
        <is>
          <t>招商证券</t>
        </is>
      </c>
      <c r="H283" t="inlineStr">
        <is>
          <t>华福证券</t>
        </is>
      </c>
      <c r="I283" t="inlineStr">
        <is>
          <t>建行北分</t>
        </is>
      </c>
      <c r="J283" t="n">
        <v>10</v>
      </c>
      <c r="K283" t="inlineStr">
        <is>
          <t>9+12</t>
        </is>
      </c>
      <c r="L283" s="309" t="n">
        <v>46098</v>
      </c>
      <c r="M283" t="n">
        <v>0.0154</v>
      </c>
      <c r="N283" t="n">
        <v>0.0206</v>
      </c>
      <c r="O283" t="n">
        <v>1.99</v>
      </c>
      <c r="P283" t="inlineStr">
        <is>
          <t>中间级</t>
        </is>
      </c>
      <c r="Q283" t="n">
        <v>0.07000000000000001</v>
      </c>
      <c r="R283" t="n">
        <v>0.7</v>
      </c>
      <c r="S283" t="inlineStr">
        <is>
          <t>AA-</t>
        </is>
      </c>
      <c r="T283" t="n">
        <v>0.031</v>
      </c>
      <c r="U283" s="217" t="inlineStr">
        <is>
          <t>德邦证券自营</t>
        </is>
      </c>
      <c r="V283" s="29" t="n">
        <v>0.2</v>
      </c>
    </row>
    <row r="284">
      <c r="A284" t="n">
        <v>26</v>
      </c>
      <c r="B284" t="inlineStr">
        <is>
          <t>3月</t>
        </is>
      </c>
      <c r="C284" t="inlineStr">
        <is>
          <t>企金</t>
        </is>
      </c>
      <c r="D284" t="inlineStr">
        <is>
          <t>小贷企业主贷</t>
        </is>
      </c>
      <c r="E284" t="inlineStr">
        <is>
          <t>盛赢3-5</t>
        </is>
      </c>
      <c r="F284" t="inlineStr">
        <is>
          <t>上交所</t>
        </is>
      </c>
      <c r="G284" t="inlineStr">
        <is>
          <t>招商证券</t>
        </is>
      </c>
      <c r="H284" t="inlineStr">
        <is>
          <t>华福证券</t>
        </is>
      </c>
      <c r="I284" t="inlineStr">
        <is>
          <t>建行北分</t>
        </is>
      </c>
      <c r="J284" t="n">
        <v>10</v>
      </c>
      <c r="K284" t="inlineStr">
        <is>
          <t>9+12</t>
        </is>
      </c>
      <c r="L284" s="309" t="n">
        <v>46098</v>
      </c>
      <c r="M284" t="n">
        <v>0.0154</v>
      </c>
      <c r="N284" t="n">
        <v>0.0206</v>
      </c>
      <c r="O284" t="n">
        <v>1.99</v>
      </c>
      <c r="P284" t="inlineStr">
        <is>
          <t>中间级</t>
        </is>
      </c>
      <c r="Q284" t="n">
        <v>0.07000000000000001</v>
      </c>
      <c r="R284" t="n">
        <v>0.7</v>
      </c>
      <c r="S284" t="inlineStr">
        <is>
          <t>AA-</t>
        </is>
      </c>
      <c r="T284" t="n">
        <v>0.031</v>
      </c>
      <c r="U284" s="217" t="inlineStr">
        <is>
          <t>国泰海通自营</t>
        </is>
      </c>
      <c r="V284" s="24" t="n">
        <v>0.19</v>
      </c>
    </row>
    <row r="285">
      <c r="A285" t="n">
        <v>26</v>
      </c>
      <c r="B285" t="inlineStr">
        <is>
          <t>3月</t>
        </is>
      </c>
      <c r="C285" t="inlineStr">
        <is>
          <t>企金</t>
        </is>
      </c>
      <c r="D285" t="inlineStr">
        <is>
          <t>小贷企业主贷</t>
        </is>
      </c>
      <c r="E285" t="inlineStr">
        <is>
          <t>盛赢3-5</t>
        </is>
      </c>
      <c r="F285" t="inlineStr">
        <is>
          <t>上交所</t>
        </is>
      </c>
      <c r="G285" t="inlineStr">
        <is>
          <t>招商证券</t>
        </is>
      </c>
      <c r="H285" t="inlineStr">
        <is>
          <t>华福证券</t>
        </is>
      </c>
      <c r="I285" t="inlineStr">
        <is>
          <t>建行北分</t>
        </is>
      </c>
      <c r="J285" t="n">
        <v>10</v>
      </c>
      <c r="K285" t="inlineStr">
        <is>
          <t>9+12</t>
        </is>
      </c>
      <c r="L285" s="309" t="n">
        <v>46098</v>
      </c>
      <c r="M285" t="n">
        <v>0.0154</v>
      </c>
      <c r="N285" t="n">
        <v>0.0206</v>
      </c>
      <c r="O285" t="n">
        <v>1.99</v>
      </c>
      <c r="P285" t="inlineStr">
        <is>
          <t>中间级</t>
        </is>
      </c>
      <c r="Q285" t="n">
        <v>0.07000000000000001</v>
      </c>
      <c r="R285" t="n">
        <v>0.7</v>
      </c>
      <c r="S285" t="inlineStr">
        <is>
          <t>AA-</t>
        </is>
      </c>
      <c r="T285" t="n">
        <v>0.031</v>
      </c>
      <c r="U285" s="30" t="inlineStr">
        <is>
          <t>盛际小贷</t>
        </is>
      </c>
      <c r="V285" s="24" t="n">
        <v>0.035</v>
      </c>
    </row>
    <row r="286">
      <c r="A286" t="n">
        <v>26</v>
      </c>
      <c r="B286" t="inlineStr">
        <is>
          <t>3月</t>
        </is>
      </c>
      <c r="C286" t="inlineStr">
        <is>
          <t>企金</t>
        </is>
      </c>
      <c r="D286" t="inlineStr">
        <is>
          <t>小贷企业主贷</t>
        </is>
      </c>
      <c r="E286" t="inlineStr">
        <is>
          <t>盛赢3-5</t>
        </is>
      </c>
      <c r="F286" t="inlineStr">
        <is>
          <t>上交所</t>
        </is>
      </c>
      <c r="G286" t="inlineStr">
        <is>
          <t>招商证券</t>
        </is>
      </c>
      <c r="H286" t="inlineStr">
        <is>
          <t>华福证券</t>
        </is>
      </c>
      <c r="I286" t="inlineStr">
        <is>
          <t>建行北分</t>
        </is>
      </c>
      <c r="J286" t="n">
        <v>10</v>
      </c>
      <c r="K286" t="inlineStr">
        <is>
          <t>9+12</t>
        </is>
      </c>
      <c r="L286" s="309" t="n">
        <v>46098</v>
      </c>
      <c r="M286" t="n">
        <v>0.0154</v>
      </c>
      <c r="N286" t="n">
        <v>0.0206</v>
      </c>
      <c r="O286" t="n">
        <v>1.99</v>
      </c>
      <c r="P286" s="220" t="inlineStr">
        <is>
          <t>次级</t>
        </is>
      </c>
      <c r="Q286" s="221" t="n">
        <v>0.05</v>
      </c>
      <c r="R286" s="308" t="n">
        <v>0.5</v>
      </c>
      <c r="S286" s="221" t="inlineStr">
        <is>
          <t>无</t>
        </is>
      </c>
      <c r="T286" s="221" t="n">
        <v>0.0455</v>
      </c>
      <c r="U286" s="217" t="inlineStr">
        <is>
          <t>东家铂睿</t>
        </is>
      </c>
      <c r="V286" s="29" t="n">
        <v>0.1</v>
      </c>
    </row>
    <row r="287">
      <c r="A287" t="n">
        <v>26</v>
      </c>
      <c r="B287" t="inlineStr">
        <is>
          <t>3月</t>
        </is>
      </c>
      <c r="C287" t="inlineStr">
        <is>
          <t>企金</t>
        </is>
      </c>
      <c r="D287" t="inlineStr">
        <is>
          <t>小贷企业主贷</t>
        </is>
      </c>
      <c r="E287" t="inlineStr">
        <is>
          <t>盛赢3-5</t>
        </is>
      </c>
      <c r="F287" t="inlineStr">
        <is>
          <t>上交所</t>
        </is>
      </c>
      <c r="G287" t="inlineStr">
        <is>
          <t>招商证券</t>
        </is>
      </c>
      <c r="H287" t="inlineStr">
        <is>
          <t>华福证券</t>
        </is>
      </c>
      <c r="I287" t="inlineStr">
        <is>
          <t>建行北分</t>
        </is>
      </c>
      <c r="J287" t="n">
        <v>10</v>
      </c>
      <c r="K287" t="inlineStr">
        <is>
          <t>9+12</t>
        </is>
      </c>
      <c r="L287" s="309" t="n">
        <v>46098</v>
      </c>
      <c r="M287" t="n">
        <v>0.0154</v>
      </c>
      <c r="N287" t="n">
        <v>0.0206</v>
      </c>
      <c r="O287" t="n">
        <v>1.99</v>
      </c>
      <c r="P287" t="inlineStr">
        <is>
          <t>次级</t>
        </is>
      </c>
      <c r="Q287" t="n">
        <v>0.05</v>
      </c>
      <c r="R287" t="n">
        <v>0.5</v>
      </c>
      <c r="S287" t="inlineStr">
        <is>
          <t>无</t>
        </is>
      </c>
      <c r="T287" t="n">
        <v>0.0455</v>
      </c>
      <c r="U287" s="217" t="inlineStr">
        <is>
          <t>德邦证券自营</t>
        </is>
      </c>
      <c r="V287" s="29" t="n">
        <v>0.1</v>
      </c>
    </row>
    <row r="288">
      <c r="A288" t="n">
        <v>26</v>
      </c>
      <c r="B288" t="inlineStr">
        <is>
          <t>3月</t>
        </is>
      </c>
      <c r="C288" t="inlineStr">
        <is>
          <t>企金</t>
        </is>
      </c>
      <c r="D288" t="inlineStr">
        <is>
          <t>小贷企业主贷</t>
        </is>
      </c>
      <c r="E288" t="inlineStr">
        <is>
          <t>盛赢3-5</t>
        </is>
      </c>
      <c r="F288" t="inlineStr">
        <is>
          <t>上交所</t>
        </is>
      </c>
      <c r="G288" t="inlineStr">
        <is>
          <t>招商证券</t>
        </is>
      </c>
      <c r="H288" t="inlineStr">
        <is>
          <t>华福证券</t>
        </is>
      </c>
      <c r="I288" t="inlineStr">
        <is>
          <t>建行北分</t>
        </is>
      </c>
      <c r="J288" t="n">
        <v>10</v>
      </c>
      <c r="K288" t="inlineStr">
        <is>
          <t>9+12</t>
        </is>
      </c>
      <c r="L288" s="309" t="n">
        <v>46098</v>
      </c>
      <c r="M288" t="n">
        <v>0.0154</v>
      </c>
      <c r="N288" t="n">
        <v>0.0206</v>
      </c>
      <c r="O288" t="n">
        <v>1.99</v>
      </c>
      <c r="P288" t="inlineStr">
        <is>
          <t>次级</t>
        </is>
      </c>
      <c r="Q288" t="n">
        <v>0.05</v>
      </c>
      <c r="R288" t="n">
        <v>0.5</v>
      </c>
      <c r="S288" t="inlineStr">
        <is>
          <t>无</t>
        </is>
      </c>
      <c r="T288" t="n">
        <v>0.0455</v>
      </c>
      <c r="U288" s="217" t="inlineStr">
        <is>
          <t>利曦基金</t>
        </is>
      </c>
      <c r="V288" s="314" t="n">
        <v>0.275</v>
      </c>
    </row>
    <row r="289">
      <c r="A289" t="n">
        <v>26</v>
      </c>
      <c r="B289" t="inlineStr">
        <is>
          <t>3月</t>
        </is>
      </c>
      <c r="C289" t="inlineStr">
        <is>
          <t>企金</t>
        </is>
      </c>
      <c r="D289" t="inlineStr">
        <is>
          <t>小贷企业主贷</t>
        </is>
      </c>
      <c r="E289" t="inlineStr">
        <is>
          <t>盛赢3-5</t>
        </is>
      </c>
      <c r="F289" t="inlineStr">
        <is>
          <t>上交所</t>
        </is>
      </c>
      <c r="G289" t="inlineStr">
        <is>
          <t>招商证券</t>
        </is>
      </c>
      <c r="H289" t="inlineStr">
        <is>
          <t>华福证券</t>
        </is>
      </c>
      <c r="I289" t="inlineStr">
        <is>
          <t>建行北分</t>
        </is>
      </c>
      <c r="J289" t="n">
        <v>10</v>
      </c>
      <c r="K289" t="inlineStr">
        <is>
          <t>9+12</t>
        </is>
      </c>
      <c r="L289" s="309" t="n">
        <v>46098</v>
      </c>
      <c r="M289" t="n">
        <v>0.0154</v>
      </c>
      <c r="N289" t="n">
        <v>0.0206</v>
      </c>
      <c r="O289" t="n">
        <v>1.99</v>
      </c>
      <c r="P289" t="inlineStr">
        <is>
          <t>次级</t>
        </is>
      </c>
      <c r="Q289" t="n">
        <v>0.05</v>
      </c>
      <c r="R289" t="n">
        <v>0.5</v>
      </c>
      <c r="S289" t="inlineStr">
        <is>
          <t>无</t>
        </is>
      </c>
      <c r="T289" t="n">
        <v>0.0455</v>
      </c>
      <c r="U289" s="30" t="inlineStr">
        <is>
          <t>盛际小贷</t>
        </is>
      </c>
      <c r="V289" s="314" t="n">
        <v>0.025</v>
      </c>
    </row>
    <row r="290">
      <c r="A290" s="223" t="n">
        <v>27</v>
      </c>
      <c r="B290" s="305" t="inlineStr">
        <is>
          <t>3月</t>
        </is>
      </c>
      <c r="C290" s="305" t="inlineStr">
        <is>
          <t>消金</t>
        </is>
      </c>
      <c r="D290" s="305" t="inlineStr">
        <is>
          <t>赊销白条</t>
        </is>
      </c>
      <c r="E290" s="305" t="inlineStr">
        <is>
          <t>24东裕2号季裕ABCP（续发）</t>
        </is>
      </c>
      <c r="F290" s="305" t="inlineStr">
        <is>
          <t>银行间</t>
        </is>
      </c>
      <c r="G290" s="305" t="inlineStr">
        <is>
          <t>招商证券</t>
        </is>
      </c>
      <c r="H290" s="305" t="inlineStr">
        <is>
          <t>杭州银行/南京银行/江苏银行/中信银行</t>
        </is>
      </c>
      <c r="I290" s="305" t="inlineStr">
        <is>
          <t>平安北分</t>
        </is>
      </c>
      <c r="J290" s="245" t="n">
        <v>9.449999999999999</v>
      </c>
      <c r="K290" s="305" t="inlineStr">
        <is>
          <t>10+2</t>
        </is>
      </c>
      <c r="L290" s="246" t="n">
        <v>46104</v>
      </c>
      <c r="M290" s="247" t="n">
        <v>0.0151</v>
      </c>
      <c r="N290" s="259" t="n">
        <v>0.0203</v>
      </c>
      <c r="O290" s="260" t="n">
        <v>3.23</v>
      </c>
      <c r="P290" s="235" t="inlineStr">
        <is>
          <t>优先级</t>
        </is>
      </c>
      <c r="Q290" s="231" t="n">
        <v>0.9</v>
      </c>
      <c r="R290" s="308" t="n">
        <v>9</v>
      </c>
      <c r="S290" s="220" t="inlineStr">
        <is>
          <t>AAA</t>
        </is>
      </c>
      <c r="T290" s="221" t="n">
        <v>0.0167</v>
      </c>
      <c r="U290" s="30" t="inlineStr">
        <is>
          <t>工银理财</t>
        </is>
      </c>
      <c r="V290" s="29" t="n">
        <v>2.5</v>
      </c>
    </row>
    <row r="291">
      <c r="A291" t="n">
        <v>27</v>
      </c>
      <c r="B291" t="inlineStr">
        <is>
          <t>3月</t>
        </is>
      </c>
      <c r="C291" t="inlineStr">
        <is>
          <t>消金</t>
        </is>
      </c>
      <c r="D291" t="inlineStr">
        <is>
          <t>赊销白条</t>
        </is>
      </c>
      <c r="E291" t="inlineStr">
        <is>
          <t>24东裕2号季裕ABCP（续发）</t>
        </is>
      </c>
      <c r="F291" t="inlineStr">
        <is>
          <t>银行间</t>
        </is>
      </c>
      <c r="G291" t="inlineStr">
        <is>
          <t>招商证券</t>
        </is>
      </c>
      <c r="H291" t="inlineStr">
        <is>
          <t>杭州银行/南京银行/江苏银行/中信银行</t>
        </is>
      </c>
      <c r="I291" t="inlineStr">
        <is>
          <t>平安北分</t>
        </is>
      </c>
      <c r="J291" t="n">
        <v>9.449999999999999</v>
      </c>
      <c r="K291" t="inlineStr">
        <is>
          <t>10+2</t>
        </is>
      </c>
      <c r="L291" s="309" t="n">
        <v>46104</v>
      </c>
      <c r="M291" t="n">
        <v>0.0151</v>
      </c>
      <c r="N291" t="n">
        <v>0.0203</v>
      </c>
      <c r="O291" t="n">
        <v>3.23</v>
      </c>
      <c r="P291" t="inlineStr">
        <is>
          <t>优先级</t>
        </is>
      </c>
      <c r="Q291" t="n">
        <v>0.9</v>
      </c>
      <c r="R291" t="n">
        <v>9</v>
      </c>
      <c r="S291" t="inlineStr">
        <is>
          <t>AAA</t>
        </is>
      </c>
      <c r="T291" t="n">
        <v>0.0167</v>
      </c>
      <c r="U291" s="30" t="inlineStr">
        <is>
          <t>杭银理财</t>
        </is>
      </c>
      <c r="V291" s="308" t="n">
        <v>0.4</v>
      </c>
    </row>
    <row r="292">
      <c r="A292" t="n">
        <v>27</v>
      </c>
      <c r="B292" t="inlineStr">
        <is>
          <t>3月</t>
        </is>
      </c>
      <c r="C292" t="inlineStr">
        <is>
          <t>消金</t>
        </is>
      </c>
      <c r="D292" t="inlineStr">
        <is>
          <t>赊销白条</t>
        </is>
      </c>
      <c r="E292" t="inlineStr">
        <is>
          <t>24东裕2号季裕ABCP（续发）</t>
        </is>
      </c>
      <c r="F292" t="inlineStr">
        <is>
          <t>银行间</t>
        </is>
      </c>
      <c r="G292" t="inlineStr">
        <is>
          <t>招商证券</t>
        </is>
      </c>
      <c r="H292" t="inlineStr">
        <is>
          <t>杭州银行/南京银行/江苏银行/中信银行</t>
        </is>
      </c>
      <c r="I292" t="inlineStr">
        <is>
          <t>平安北分</t>
        </is>
      </c>
      <c r="J292" t="n">
        <v>9.449999999999999</v>
      </c>
      <c r="K292" t="inlineStr">
        <is>
          <t>10+2</t>
        </is>
      </c>
      <c r="L292" s="309" t="n">
        <v>46104</v>
      </c>
      <c r="M292" t="n">
        <v>0.0151</v>
      </c>
      <c r="N292" t="n">
        <v>0.0203</v>
      </c>
      <c r="O292" t="n">
        <v>3.23</v>
      </c>
      <c r="P292" t="inlineStr">
        <is>
          <t>优先级</t>
        </is>
      </c>
      <c r="Q292" t="n">
        <v>0.9</v>
      </c>
      <c r="R292" t="n">
        <v>9</v>
      </c>
      <c r="S292" t="inlineStr">
        <is>
          <t>AAA</t>
        </is>
      </c>
      <c r="T292" t="n">
        <v>0.0167</v>
      </c>
      <c r="U292" s="30" t="inlineStr">
        <is>
          <t>江苏银行</t>
        </is>
      </c>
      <c r="V292" s="308" t="n">
        <v>1.8</v>
      </c>
    </row>
    <row r="293">
      <c r="A293" t="n">
        <v>27</v>
      </c>
      <c r="B293" t="inlineStr">
        <is>
          <t>3月</t>
        </is>
      </c>
      <c r="C293" t="inlineStr">
        <is>
          <t>消金</t>
        </is>
      </c>
      <c r="D293" t="inlineStr">
        <is>
          <t>赊销白条</t>
        </is>
      </c>
      <c r="E293" t="inlineStr">
        <is>
          <t>24东裕2号季裕ABCP（续发）</t>
        </is>
      </c>
      <c r="F293" t="inlineStr">
        <is>
          <t>银行间</t>
        </is>
      </c>
      <c r="G293" t="inlineStr">
        <is>
          <t>招商证券</t>
        </is>
      </c>
      <c r="H293" t="inlineStr">
        <is>
          <t>杭州银行/南京银行/江苏银行/中信银行</t>
        </is>
      </c>
      <c r="I293" t="inlineStr">
        <is>
          <t>平安北分</t>
        </is>
      </c>
      <c r="J293" t="n">
        <v>9.449999999999999</v>
      </c>
      <c r="K293" t="inlineStr">
        <is>
          <t>10+2</t>
        </is>
      </c>
      <c r="L293" s="309" t="n">
        <v>46104</v>
      </c>
      <c r="M293" t="n">
        <v>0.0151</v>
      </c>
      <c r="N293" t="n">
        <v>0.0203</v>
      </c>
      <c r="O293" t="n">
        <v>3.23</v>
      </c>
      <c r="P293" t="inlineStr">
        <is>
          <t>优先级</t>
        </is>
      </c>
      <c r="Q293" t="n">
        <v>0.9</v>
      </c>
      <c r="R293" t="n">
        <v>9</v>
      </c>
      <c r="S293" t="inlineStr">
        <is>
          <t>AAA</t>
        </is>
      </c>
      <c r="T293" t="n">
        <v>0.0167</v>
      </c>
      <c r="U293" s="235" t="inlineStr">
        <is>
          <t>交银理财</t>
        </is>
      </c>
      <c r="V293" s="308" t="n">
        <v>0.3</v>
      </c>
    </row>
    <row r="294">
      <c r="A294" t="n">
        <v>27</v>
      </c>
      <c r="B294" t="inlineStr">
        <is>
          <t>3月</t>
        </is>
      </c>
      <c r="C294" t="inlineStr">
        <is>
          <t>消金</t>
        </is>
      </c>
      <c r="D294" t="inlineStr">
        <is>
          <t>赊销白条</t>
        </is>
      </c>
      <c r="E294" t="inlineStr">
        <is>
          <t>24东裕2号季裕ABCP（续发）</t>
        </is>
      </c>
      <c r="F294" t="inlineStr">
        <is>
          <t>银行间</t>
        </is>
      </c>
      <c r="G294" t="inlineStr">
        <is>
          <t>招商证券</t>
        </is>
      </c>
      <c r="H294" t="inlineStr">
        <is>
          <t>杭州银行/南京银行/江苏银行/中信银行</t>
        </is>
      </c>
      <c r="I294" t="inlineStr">
        <is>
          <t>平安北分</t>
        </is>
      </c>
      <c r="J294" t="n">
        <v>9.449999999999999</v>
      </c>
      <c r="K294" t="inlineStr">
        <is>
          <t>10+2</t>
        </is>
      </c>
      <c r="L294" s="309" t="n">
        <v>46104</v>
      </c>
      <c r="M294" t="n">
        <v>0.0151</v>
      </c>
      <c r="N294" t="n">
        <v>0.0203</v>
      </c>
      <c r="O294" t="n">
        <v>3.23</v>
      </c>
      <c r="P294" t="inlineStr">
        <is>
          <t>优先级</t>
        </is>
      </c>
      <c r="Q294" t="n">
        <v>0.9</v>
      </c>
      <c r="R294" t="n">
        <v>9</v>
      </c>
      <c r="S294" t="inlineStr">
        <is>
          <t>AAA</t>
        </is>
      </c>
      <c r="T294" t="n">
        <v>0.0167</v>
      </c>
      <c r="U294" s="235" t="inlineStr">
        <is>
          <t>南京银行</t>
        </is>
      </c>
      <c r="V294" s="308" t="n">
        <v>1</v>
      </c>
    </row>
    <row r="295">
      <c r="A295" t="n">
        <v>27</v>
      </c>
      <c r="B295" t="inlineStr">
        <is>
          <t>3月</t>
        </is>
      </c>
      <c r="C295" t="inlineStr">
        <is>
          <t>消金</t>
        </is>
      </c>
      <c r="D295" t="inlineStr">
        <is>
          <t>赊销白条</t>
        </is>
      </c>
      <c r="E295" t="inlineStr">
        <is>
          <t>24东裕2号季裕ABCP（续发）</t>
        </is>
      </c>
      <c r="F295" t="inlineStr">
        <is>
          <t>银行间</t>
        </is>
      </c>
      <c r="G295" t="inlineStr">
        <is>
          <t>招商证券</t>
        </is>
      </c>
      <c r="H295" t="inlineStr">
        <is>
          <t>杭州银行/南京银行/江苏银行/中信银行</t>
        </is>
      </c>
      <c r="I295" t="inlineStr">
        <is>
          <t>平安北分</t>
        </is>
      </c>
      <c r="J295" t="n">
        <v>9.449999999999999</v>
      </c>
      <c r="K295" t="inlineStr">
        <is>
          <t>10+2</t>
        </is>
      </c>
      <c r="L295" s="309" t="n">
        <v>46104</v>
      </c>
      <c r="M295" t="n">
        <v>0.0151</v>
      </c>
      <c r="N295" t="n">
        <v>0.0203</v>
      </c>
      <c r="O295" t="n">
        <v>3.23</v>
      </c>
      <c r="P295" t="inlineStr">
        <is>
          <t>优先级</t>
        </is>
      </c>
      <c r="Q295" t="n">
        <v>0.9</v>
      </c>
      <c r="R295" t="n">
        <v>9</v>
      </c>
      <c r="S295" t="inlineStr">
        <is>
          <t>AAA</t>
        </is>
      </c>
      <c r="T295" t="n">
        <v>0.0167</v>
      </c>
      <c r="U295" s="235" t="inlineStr">
        <is>
          <t>平安理财</t>
        </is>
      </c>
      <c r="V295" s="308" t="n">
        <v>2.11</v>
      </c>
    </row>
    <row r="296">
      <c r="A296" t="n">
        <v>27</v>
      </c>
      <c r="B296" t="inlineStr">
        <is>
          <t>3月</t>
        </is>
      </c>
      <c r="C296" t="inlineStr">
        <is>
          <t>消金</t>
        </is>
      </c>
      <c r="D296" t="inlineStr">
        <is>
          <t>赊销白条</t>
        </is>
      </c>
      <c r="E296" t="inlineStr">
        <is>
          <t>24东裕2号季裕ABCP（续发）</t>
        </is>
      </c>
      <c r="F296" t="inlineStr">
        <is>
          <t>银行间</t>
        </is>
      </c>
      <c r="G296" t="inlineStr">
        <is>
          <t>招商证券</t>
        </is>
      </c>
      <c r="H296" t="inlineStr">
        <is>
          <t>杭州银行/南京银行/江苏银行/中信银行</t>
        </is>
      </c>
      <c r="I296" t="inlineStr">
        <is>
          <t>平安北分</t>
        </is>
      </c>
      <c r="J296" t="n">
        <v>9.449999999999999</v>
      </c>
      <c r="K296" t="inlineStr">
        <is>
          <t>10+2</t>
        </is>
      </c>
      <c r="L296" s="309" t="n">
        <v>46104</v>
      </c>
      <c r="M296" t="n">
        <v>0.0151</v>
      </c>
      <c r="N296" t="n">
        <v>0.0203</v>
      </c>
      <c r="O296" t="n">
        <v>3.23</v>
      </c>
      <c r="P296" t="inlineStr">
        <is>
          <t>优先级</t>
        </is>
      </c>
      <c r="Q296" t="n">
        <v>0.9</v>
      </c>
      <c r="R296" t="n">
        <v>9</v>
      </c>
      <c r="S296" t="inlineStr">
        <is>
          <t>AAA</t>
        </is>
      </c>
      <c r="T296" t="n">
        <v>0.0167</v>
      </c>
      <c r="U296" s="235" t="inlineStr">
        <is>
          <t>兴银理财</t>
        </is>
      </c>
      <c r="V296" s="308" t="n">
        <v>0.4</v>
      </c>
    </row>
    <row r="297">
      <c r="A297" t="n">
        <v>27</v>
      </c>
      <c r="B297" t="inlineStr">
        <is>
          <t>3月</t>
        </is>
      </c>
      <c r="C297" t="inlineStr">
        <is>
          <t>消金</t>
        </is>
      </c>
      <c r="D297" t="inlineStr">
        <is>
          <t>赊销白条</t>
        </is>
      </c>
      <c r="E297" t="inlineStr">
        <is>
          <t>24东裕2号季裕ABCP（续发）</t>
        </is>
      </c>
      <c r="F297" t="inlineStr">
        <is>
          <t>银行间</t>
        </is>
      </c>
      <c r="G297" t="inlineStr">
        <is>
          <t>招商证券</t>
        </is>
      </c>
      <c r="H297" t="inlineStr">
        <is>
          <t>杭州银行/南京银行/江苏银行/中信银行</t>
        </is>
      </c>
      <c r="I297" t="inlineStr">
        <is>
          <t>平安北分</t>
        </is>
      </c>
      <c r="J297" t="n">
        <v>9.449999999999999</v>
      </c>
      <c r="K297" t="inlineStr">
        <is>
          <t>10+2</t>
        </is>
      </c>
      <c r="L297" s="309" t="n">
        <v>46104</v>
      </c>
      <c r="M297" t="n">
        <v>0.0151</v>
      </c>
      <c r="N297" t="n">
        <v>0.0203</v>
      </c>
      <c r="O297" t="n">
        <v>3.23</v>
      </c>
      <c r="P297" t="inlineStr">
        <is>
          <t>优先级</t>
        </is>
      </c>
      <c r="Q297" t="n">
        <v>0.9</v>
      </c>
      <c r="R297" t="n">
        <v>9</v>
      </c>
      <c r="S297" t="inlineStr">
        <is>
          <t>AAA</t>
        </is>
      </c>
      <c r="T297" t="n">
        <v>0.0167</v>
      </c>
      <c r="U297" s="235" t="inlineStr">
        <is>
          <t>中银理财</t>
        </is>
      </c>
      <c r="V297" s="308" t="n">
        <v>0.49</v>
      </c>
    </row>
    <row r="298">
      <c r="A298" t="n">
        <v>27</v>
      </c>
      <c r="B298" t="inlineStr">
        <is>
          <t>3月</t>
        </is>
      </c>
      <c r="C298" t="inlineStr">
        <is>
          <t>消金</t>
        </is>
      </c>
      <c r="D298" t="inlineStr">
        <is>
          <t>赊销白条</t>
        </is>
      </c>
      <c r="E298" t="inlineStr">
        <is>
          <t>24东裕2号季裕ABCP（续发）</t>
        </is>
      </c>
      <c r="F298" t="inlineStr">
        <is>
          <t>银行间</t>
        </is>
      </c>
      <c r="G298" t="inlineStr">
        <is>
          <t>招商证券</t>
        </is>
      </c>
      <c r="H298" t="inlineStr">
        <is>
          <t>杭州银行/南京银行/江苏银行/中信银行</t>
        </is>
      </c>
      <c r="I298" t="inlineStr">
        <is>
          <t>平安北分</t>
        </is>
      </c>
      <c r="J298" t="n">
        <v>9.449999999999999</v>
      </c>
      <c r="K298" t="inlineStr">
        <is>
          <t>10+2</t>
        </is>
      </c>
      <c r="L298" s="309" t="n">
        <v>46104</v>
      </c>
      <c r="M298" t="n">
        <v>0.0151</v>
      </c>
      <c r="N298" t="n">
        <v>0.0203</v>
      </c>
      <c r="O298" t="n">
        <v>3.23</v>
      </c>
      <c r="P298" s="235" t="inlineStr">
        <is>
          <t>中间级</t>
        </is>
      </c>
      <c r="Q298" s="221" t="n">
        <v>0.045</v>
      </c>
      <c r="R298" s="308" t="n">
        <v>0.2</v>
      </c>
      <c r="S298" s="220" t="inlineStr">
        <is>
          <t>AA+</t>
        </is>
      </c>
      <c r="T298" s="221" t="n">
        <v>0.031</v>
      </c>
      <c r="U298" s="235" t="inlineStr">
        <is>
          <t>平安理财</t>
        </is>
      </c>
      <c r="V298" s="310" t="n">
        <v>0.135</v>
      </c>
    </row>
    <row r="299">
      <c r="A299" t="n">
        <v>27</v>
      </c>
      <c r="B299" t="inlineStr">
        <is>
          <t>3月</t>
        </is>
      </c>
      <c r="C299" t="inlineStr">
        <is>
          <t>消金</t>
        </is>
      </c>
      <c r="D299" t="inlineStr">
        <is>
          <t>赊销白条</t>
        </is>
      </c>
      <c r="E299" t="inlineStr">
        <is>
          <t>24东裕2号季裕ABCP（续发）</t>
        </is>
      </c>
      <c r="F299" t="inlineStr">
        <is>
          <t>银行间</t>
        </is>
      </c>
      <c r="G299" t="inlineStr">
        <is>
          <t>招商证券</t>
        </is>
      </c>
      <c r="H299" t="inlineStr">
        <is>
          <t>杭州银行/南京银行/江苏银行/中信银行</t>
        </is>
      </c>
      <c r="I299" t="inlineStr">
        <is>
          <t>平安北分</t>
        </is>
      </c>
      <c r="J299" t="n">
        <v>9.449999999999999</v>
      </c>
      <c r="K299" t="inlineStr">
        <is>
          <t>10+2</t>
        </is>
      </c>
      <c r="L299" s="309" t="n">
        <v>46104</v>
      </c>
      <c r="M299" t="n">
        <v>0.0151</v>
      </c>
      <c r="N299" t="n">
        <v>0.0203</v>
      </c>
      <c r="O299" t="n">
        <v>3.23</v>
      </c>
      <c r="P299" t="inlineStr">
        <is>
          <t>中间级</t>
        </is>
      </c>
      <c r="Q299" t="n">
        <v>0.045</v>
      </c>
      <c r="R299" t="n">
        <v>0.2</v>
      </c>
      <c r="S299" t="inlineStr">
        <is>
          <t>AA+</t>
        </is>
      </c>
      <c r="T299" t="n">
        <v>0.031</v>
      </c>
      <c r="U299" s="235" t="inlineStr">
        <is>
          <t>招银理财</t>
        </is>
      </c>
      <c r="V299" s="308" t="n">
        <v>0.135</v>
      </c>
    </row>
    <row r="300">
      <c r="A300" t="n">
        <v>27</v>
      </c>
      <c r="B300" t="inlineStr">
        <is>
          <t>3月</t>
        </is>
      </c>
      <c r="C300" t="inlineStr">
        <is>
          <t>消金</t>
        </is>
      </c>
      <c r="D300" t="inlineStr">
        <is>
          <t>赊销白条</t>
        </is>
      </c>
      <c r="E300" t="inlineStr">
        <is>
          <t>24东裕2号季裕ABCP（续发）</t>
        </is>
      </c>
      <c r="F300" t="inlineStr">
        <is>
          <t>银行间</t>
        </is>
      </c>
      <c r="G300" t="inlineStr">
        <is>
          <t>招商证券</t>
        </is>
      </c>
      <c r="H300" t="inlineStr">
        <is>
          <t>杭州银行/南京银行/江苏银行/中信银行</t>
        </is>
      </c>
      <c r="I300" t="inlineStr">
        <is>
          <t>平安北分</t>
        </is>
      </c>
      <c r="J300" t="n">
        <v>9.449999999999999</v>
      </c>
      <c r="K300" t="inlineStr">
        <is>
          <t>10+2</t>
        </is>
      </c>
      <c r="L300" s="309" t="n">
        <v>46104</v>
      </c>
      <c r="M300" t="n">
        <v>0.0151</v>
      </c>
      <c r="N300" t="n">
        <v>0.0203</v>
      </c>
      <c r="O300" t="n">
        <v>3.23</v>
      </c>
      <c r="P300" t="inlineStr">
        <is>
          <t>中间级</t>
        </is>
      </c>
      <c r="Q300" t="n">
        <v>0.045</v>
      </c>
      <c r="R300" t="n">
        <v>0.2</v>
      </c>
      <c r="S300" t="inlineStr">
        <is>
          <t>AA+</t>
        </is>
      </c>
      <c r="T300" t="n">
        <v>0.031</v>
      </c>
      <c r="U300" s="235" t="inlineStr">
        <is>
          <t>国信证券自营</t>
        </is>
      </c>
      <c r="V300" s="308" t="n">
        <v>0.18</v>
      </c>
    </row>
    <row r="301">
      <c r="A301" s="223" t="n">
        <v>28</v>
      </c>
      <c r="B301" s="305" t="inlineStr">
        <is>
          <t>3月</t>
        </is>
      </c>
      <c r="C301" s="305" t="inlineStr">
        <is>
          <t>消金</t>
        </is>
      </c>
      <c r="D301" s="305" t="inlineStr">
        <is>
          <t>赊销白条</t>
        </is>
      </c>
      <c r="E301" s="305" t="inlineStr">
        <is>
          <t>东道17-1</t>
        </is>
      </c>
      <c r="F301" s="305" t="inlineStr">
        <is>
          <t>深交所</t>
        </is>
      </c>
      <c r="G301" s="305" t="inlineStr">
        <is>
          <t>国泰海通</t>
        </is>
      </c>
      <c r="H301" s="305" t="inlineStr">
        <is>
          <t>国信证券</t>
        </is>
      </c>
      <c r="I301" s="305" t="inlineStr">
        <is>
          <t>邮储中关村</t>
        </is>
      </c>
      <c r="J301" s="245" t="n">
        <v>10</v>
      </c>
      <c r="K301" s="305" t="inlineStr">
        <is>
          <t>22+2</t>
        </is>
      </c>
      <c r="L301" s="246" t="n">
        <v>46105</v>
      </c>
      <c r="M301" s="247" t="n">
        <v>0.0152</v>
      </c>
      <c r="N301" s="247" t="n">
        <v>0.0208</v>
      </c>
      <c r="O301" s="245" t="n">
        <v>2.3</v>
      </c>
      <c r="P301" s="235" t="inlineStr">
        <is>
          <t>优先A</t>
        </is>
      </c>
      <c r="Q301" s="236" t="n">
        <v>0.87</v>
      </c>
      <c r="R301" s="307" t="n">
        <v>8.699999999999999</v>
      </c>
      <c r="S301" s="235" t="inlineStr">
        <is>
          <t>AAA</t>
        </is>
      </c>
      <c r="T301" s="236" t="n">
        <v>0.0183</v>
      </c>
      <c r="U301" s="235" t="inlineStr">
        <is>
          <t>交银理财</t>
        </is>
      </c>
      <c r="V301" s="308" t="n">
        <v>1.8</v>
      </c>
    </row>
    <row r="302">
      <c r="A302" t="n">
        <v>28</v>
      </c>
      <c r="B302" t="inlineStr">
        <is>
          <t>3月</t>
        </is>
      </c>
      <c r="C302" t="inlineStr">
        <is>
          <t>消金</t>
        </is>
      </c>
      <c r="D302" t="inlineStr">
        <is>
          <t>赊销白条</t>
        </is>
      </c>
      <c r="E302" t="inlineStr">
        <is>
          <t>东道17-1</t>
        </is>
      </c>
      <c r="F302" t="inlineStr">
        <is>
          <t>深交所</t>
        </is>
      </c>
      <c r="G302" t="inlineStr">
        <is>
          <t>国泰海通</t>
        </is>
      </c>
      <c r="H302" t="inlineStr">
        <is>
          <t>国信证券</t>
        </is>
      </c>
      <c r="I302" t="inlineStr">
        <is>
          <t>邮储中关村</t>
        </is>
      </c>
      <c r="J302" t="n">
        <v>10</v>
      </c>
      <c r="K302" t="inlineStr">
        <is>
          <t>22+2</t>
        </is>
      </c>
      <c r="L302" s="309" t="n">
        <v>46105</v>
      </c>
      <c r="M302" t="n">
        <v>0.0152</v>
      </c>
      <c r="N302" t="n">
        <v>0.0208</v>
      </c>
      <c r="O302" t="n">
        <v>2.3</v>
      </c>
      <c r="P302" t="inlineStr">
        <is>
          <t>优先A</t>
        </is>
      </c>
      <c r="Q302" t="n">
        <v>0.87</v>
      </c>
      <c r="R302" t="n">
        <v>8.699999999999999</v>
      </c>
      <c r="S302" t="inlineStr">
        <is>
          <t>AAA</t>
        </is>
      </c>
      <c r="T302" t="n">
        <v>0.0183</v>
      </c>
      <c r="U302" s="235" t="inlineStr">
        <is>
          <t>国信证券投行</t>
        </is>
      </c>
      <c r="V302" s="308" t="n">
        <v>1.3</v>
      </c>
    </row>
    <row r="303">
      <c r="A303" t="n">
        <v>28</v>
      </c>
      <c r="B303" t="inlineStr">
        <is>
          <t>3月</t>
        </is>
      </c>
      <c r="C303" t="inlineStr">
        <is>
          <t>消金</t>
        </is>
      </c>
      <c r="D303" t="inlineStr">
        <is>
          <t>赊销白条</t>
        </is>
      </c>
      <c r="E303" t="inlineStr">
        <is>
          <t>东道17-1</t>
        </is>
      </c>
      <c r="F303" t="inlineStr">
        <is>
          <t>深交所</t>
        </is>
      </c>
      <c r="G303" t="inlineStr">
        <is>
          <t>国泰海通</t>
        </is>
      </c>
      <c r="H303" t="inlineStr">
        <is>
          <t>国信证券</t>
        </is>
      </c>
      <c r="I303" t="inlineStr">
        <is>
          <t>邮储中关村</t>
        </is>
      </c>
      <c r="J303" t="n">
        <v>10</v>
      </c>
      <c r="K303" t="inlineStr">
        <is>
          <t>22+2</t>
        </is>
      </c>
      <c r="L303" s="309" t="n">
        <v>46105</v>
      </c>
      <c r="M303" t="n">
        <v>0.0152</v>
      </c>
      <c r="N303" t="n">
        <v>0.0208</v>
      </c>
      <c r="O303" t="n">
        <v>2.3</v>
      </c>
      <c r="P303" t="inlineStr">
        <is>
          <t>优先A</t>
        </is>
      </c>
      <c r="Q303" t="n">
        <v>0.87</v>
      </c>
      <c r="R303" t="n">
        <v>8.699999999999999</v>
      </c>
      <c r="S303" t="inlineStr">
        <is>
          <t>AAA</t>
        </is>
      </c>
      <c r="T303" t="n">
        <v>0.0183</v>
      </c>
      <c r="U303" s="235" t="inlineStr">
        <is>
          <t>国泰海通投行</t>
        </is>
      </c>
      <c r="V303" s="308" t="n">
        <v>1.1</v>
      </c>
    </row>
    <row r="304">
      <c r="A304" t="n">
        <v>28</v>
      </c>
      <c r="B304" t="inlineStr">
        <is>
          <t>3月</t>
        </is>
      </c>
      <c r="C304" t="inlineStr">
        <is>
          <t>消金</t>
        </is>
      </c>
      <c r="D304" t="inlineStr">
        <is>
          <t>赊销白条</t>
        </is>
      </c>
      <c r="E304" t="inlineStr">
        <is>
          <t>东道17-1</t>
        </is>
      </c>
      <c r="F304" t="inlineStr">
        <is>
          <t>深交所</t>
        </is>
      </c>
      <c r="G304" t="inlineStr">
        <is>
          <t>国泰海通</t>
        </is>
      </c>
      <c r="H304" t="inlineStr">
        <is>
          <t>国信证券</t>
        </is>
      </c>
      <c r="I304" t="inlineStr">
        <is>
          <t>邮储中关村</t>
        </is>
      </c>
      <c r="J304" t="n">
        <v>10</v>
      </c>
      <c r="K304" t="inlineStr">
        <is>
          <t>22+2</t>
        </is>
      </c>
      <c r="L304" s="309" t="n">
        <v>46105</v>
      </c>
      <c r="M304" t="n">
        <v>0.0152</v>
      </c>
      <c r="N304" t="n">
        <v>0.0208</v>
      </c>
      <c r="O304" t="n">
        <v>2.3</v>
      </c>
      <c r="P304" t="inlineStr">
        <is>
          <t>优先A</t>
        </is>
      </c>
      <c r="Q304" t="n">
        <v>0.87</v>
      </c>
      <c r="R304" t="n">
        <v>8.699999999999999</v>
      </c>
      <c r="S304" t="inlineStr">
        <is>
          <t>AAA</t>
        </is>
      </c>
      <c r="T304" t="n">
        <v>0.0183</v>
      </c>
      <c r="U304" s="235" t="inlineStr">
        <is>
          <t>招银理财</t>
        </is>
      </c>
      <c r="V304" s="308" t="n">
        <v>1</v>
      </c>
    </row>
    <row r="305">
      <c r="A305" t="n">
        <v>28</v>
      </c>
      <c r="B305" t="inlineStr">
        <is>
          <t>3月</t>
        </is>
      </c>
      <c r="C305" t="inlineStr">
        <is>
          <t>消金</t>
        </is>
      </c>
      <c r="D305" t="inlineStr">
        <is>
          <t>赊销白条</t>
        </is>
      </c>
      <c r="E305" t="inlineStr">
        <is>
          <t>东道17-1</t>
        </is>
      </c>
      <c r="F305" t="inlineStr">
        <is>
          <t>深交所</t>
        </is>
      </c>
      <c r="G305" t="inlineStr">
        <is>
          <t>国泰海通</t>
        </is>
      </c>
      <c r="H305" t="inlineStr">
        <is>
          <t>国信证券</t>
        </is>
      </c>
      <c r="I305" t="inlineStr">
        <is>
          <t>邮储中关村</t>
        </is>
      </c>
      <c r="J305" t="n">
        <v>10</v>
      </c>
      <c r="K305" t="inlineStr">
        <is>
          <t>22+2</t>
        </is>
      </c>
      <c r="L305" s="309" t="n">
        <v>46105</v>
      </c>
      <c r="M305" t="n">
        <v>0.0152</v>
      </c>
      <c r="N305" t="n">
        <v>0.0208</v>
      </c>
      <c r="O305" t="n">
        <v>2.3</v>
      </c>
      <c r="P305" t="inlineStr">
        <is>
          <t>优先A</t>
        </is>
      </c>
      <c r="Q305" t="n">
        <v>0.87</v>
      </c>
      <c r="R305" t="n">
        <v>8.699999999999999</v>
      </c>
      <c r="S305" t="inlineStr">
        <is>
          <t>AAA</t>
        </is>
      </c>
      <c r="T305" t="n">
        <v>0.0183</v>
      </c>
      <c r="U305" s="235" t="inlineStr">
        <is>
          <t>青岛银行</t>
        </is>
      </c>
      <c r="V305" s="308" t="n">
        <v>1</v>
      </c>
    </row>
    <row r="306">
      <c r="A306" t="n">
        <v>28</v>
      </c>
      <c r="B306" t="inlineStr">
        <is>
          <t>3月</t>
        </is>
      </c>
      <c r="C306" t="inlineStr">
        <is>
          <t>消金</t>
        </is>
      </c>
      <c r="D306" t="inlineStr">
        <is>
          <t>赊销白条</t>
        </is>
      </c>
      <c r="E306" t="inlineStr">
        <is>
          <t>东道17-1</t>
        </is>
      </c>
      <c r="F306" t="inlineStr">
        <is>
          <t>深交所</t>
        </is>
      </c>
      <c r="G306" t="inlineStr">
        <is>
          <t>国泰海通</t>
        </is>
      </c>
      <c r="H306" t="inlineStr">
        <is>
          <t>国信证券</t>
        </is>
      </c>
      <c r="I306" t="inlineStr">
        <is>
          <t>邮储中关村</t>
        </is>
      </c>
      <c r="J306" t="n">
        <v>10</v>
      </c>
      <c r="K306" t="inlineStr">
        <is>
          <t>22+2</t>
        </is>
      </c>
      <c r="L306" s="309" t="n">
        <v>46105</v>
      </c>
      <c r="M306" t="n">
        <v>0.0152</v>
      </c>
      <c r="N306" t="n">
        <v>0.0208</v>
      </c>
      <c r="O306" t="n">
        <v>2.3</v>
      </c>
      <c r="P306" t="inlineStr">
        <is>
          <t>优先A</t>
        </is>
      </c>
      <c r="Q306" t="n">
        <v>0.87</v>
      </c>
      <c r="R306" t="n">
        <v>8.699999999999999</v>
      </c>
      <c r="S306" t="inlineStr">
        <is>
          <t>AAA</t>
        </is>
      </c>
      <c r="T306" t="n">
        <v>0.0183</v>
      </c>
      <c r="U306" s="235" t="inlineStr">
        <is>
          <t>华福证券投行</t>
        </is>
      </c>
      <c r="V306" s="310" t="n">
        <v>0.9350000000000001</v>
      </c>
    </row>
    <row r="307">
      <c r="A307" t="n">
        <v>28</v>
      </c>
      <c r="B307" t="inlineStr">
        <is>
          <t>3月</t>
        </is>
      </c>
      <c r="C307" t="inlineStr">
        <is>
          <t>消金</t>
        </is>
      </c>
      <c r="D307" t="inlineStr">
        <is>
          <t>赊销白条</t>
        </is>
      </c>
      <c r="E307" t="inlineStr">
        <is>
          <t>东道17-1</t>
        </is>
      </c>
      <c r="F307" t="inlineStr">
        <is>
          <t>深交所</t>
        </is>
      </c>
      <c r="G307" t="inlineStr">
        <is>
          <t>国泰海通</t>
        </is>
      </c>
      <c r="H307" t="inlineStr">
        <is>
          <t>国信证券</t>
        </is>
      </c>
      <c r="I307" t="inlineStr">
        <is>
          <t>邮储中关村</t>
        </is>
      </c>
      <c r="J307" t="n">
        <v>10</v>
      </c>
      <c r="K307" t="inlineStr">
        <is>
          <t>22+2</t>
        </is>
      </c>
      <c r="L307" s="309" t="n">
        <v>46105</v>
      </c>
      <c r="M307" t="n">
        <v>0.0152</v>
      </c>
      <c r="N307" t="n">
        <v>0.0208</v>
      </c>
      <c r="O307" t="n">
        <v>2.3</v>
      </c>
      <c r="P307" t="inlineStr">
        <is>
          <t>优先A</t>
        </is>
      </c>
      <c r="Q307" t="n">
        <v>0.87</v>
      </c>
      <c r="R307" t="n">
        <v>8.699999999999999</v>
      </c>
      <c r="S307" t="inlineStr">
        <is>
          <t>AAA</t>
        </is>
      </c>
      <c r="T307" t="n">
        <v>0.0183</v>
      </c>
      <c r="U307" s="235" t="inlineStr">
        <is>
          <t>国联民生投行</t>
        </is>
      </c>
      <c r="V307" s="308" t="n">
        <v>0.83</v>
      </c>
    </row>
    <row r="308">
      <c r="A308" t="n">
        <v>28</v>
      </c>
      <c r="B308" t="inlineStr">
        <is>
          <t>3月</t>
        </is>
      </c>
      <c r="C308" t="inlineStr">
        <is>
          <t>消金</t>
        </is>
      </c>
      <c r="D308" t="inlineStr">
        <is>
          <t>赊销白条</t>
        </is>
      </c>
      <c r="E308" t="inlineStr">
        <is>
          <t>东道17-1</t>
        </is>
      </c>
      <c r="F308" t="inlineStr">
        <is>
          <t>深交所</t>
        </is>
      </c>
      <c r="G308" t="inlineStr">
        <is>
          <t>国泰海通</t>
        </is>
      </c>
      <c r="H308" t="inlineStr">
        <is>
          <t>国信证券</t>
        </is>
      </c>
      <c r="I308" t="inlineStr">
        <is>
          <t>邮储中关村</t>
        </is>
      </c>
      <c r="J308" t="n">
        <v>10</v>
      </c>
      <c r="K308" t="inlineStr">
        <is>
          <t>22+2</t>
        </is>
      </c>
      <c r="L308" s="309" t="n">
        <v>46105</v>
      </c>
      <c r="M308" t="n">
        <v>0.0152</v>
      </c>
      <c r="N308" t="n">
        <v>0.0208</v>
      </c>
      <c r="O308" t="n">
        <v>2.3</v>
      </c>
      <c r="P308" t="inlineStr">
        <is>
          <t>优先A</t>
        </is>
      </c>
      <c r="Q308" t="n">
        <v>0.87</v>
      </c>
      <c r="R308" t="n">
        <v>8.699999999999999</v>
      </c>
      <c r="S308" t="inlineStr">
        <is>
          <t>AAA</t>
        </is>
      </c>
      <c r="T308" t="n">
        <v>0.0183</v>
      </c>
      <c r="U308" s="235" t="inlineStr">
        <is>
          <t>青岸投资</t>
        </is>
      </c>
      <c r="V308" s="308" t="n">
        <v>0.3</v>
      </c>
    </row>
    <row r="309">
      <c r="A309" t="n">
        <v>28</v>
      </c>
      <c r="B309" t="inlineStr">
        <is>
          <t>3月</t>
        </is>
      </c>
      <c r="C309" t="inlineStr">
        <is>
          <t>消金</t>
        </is>
      </c>
      <c r="D309" t="inlineStr">
        <is>
          <t>赊销白条</t>
        </is>
      </c>
      <c r="E309" t="inlineStr">
        <is>
          <t>东道17-1</t>
        </is>
      </c>
      <c r="F309" t="inlineStr">
        <is>
          <t>深交所</t>
        </is>
      </c>
      <c r="G309" t="inlineStr">
        <is>
          <t>国泰海通</t>
        </is>
      </c>
      <c r="H309" t="inlineStr">
        <is>
          <t>国信证券</t>
        </is>
      </c>
      <c r="I309" t="inlineStr">
        <is>
          <t>邮储中关村</t>
        </is>
      </c>
      <c r="J309" t="n">
        <v>10</v>
      </c>
      <c r="K309" t="inlineStr">
        <is>
          <t>22+2</t>
        </is>
      </c>
      <c r="L309" s="309" t="n">
        <v>46105</v>
      </c>
      <c r="M309" t="n">
        <v>0.0152</v>
      </c>
      <c r="N309" t="n">
        <v>0.0208</v>
      </c>
      <c r="O309" t="n">
        <v>2.3</v>
      </c>
      <c r="P309" t="inlineStr">
        <is>
          <t>优先A</t>
        </is>
      </c>
      <c r="Q309" t="n">
        <v>0.87</v>
      </c>
      <c r="R309" t="n">
        <v>8.699999999999999</v>
      </c>
      <c r="S309" t="inlineStr">
        <is>
          <t>AAA</t>
        </is>
      </c>
      <c r="T309" t="n">
        <v>0.0183</v>
      </c>
      <c r="U309" s="235" t="inlineStr">
        <is>
          <t>京东世贸</t>
        </is>
      </c>
      <c r="V309" s="310" t="n">
        <v>0.435</v>
      </c>
    </row>
    <row r="310">
      <c r="A310" t="n">
        <v>28</v>
      </c>
      <c r="B310" t="inlineStr">
        <is>
          <t>3月</t>
        </is>
      </c>
      <c r="C310" t="inlineStr">
        <is>
          <t>消金</t>
        </is>
      </c>
      <c r="D310" t="inlineStr">
        <is>
          <t>赊销白条</t>
        </is>
      </c>
      <c r="E310" t="inlineStr">
        <is>
          <t>东道17-1</t>
        </is>
      </c>
      <c r="F310" t="inlineStr">
        <is>
          <t>深交所</t>
        </is>
      </c>
      <c r="G310" t="inlineStr">
        <is>
          <t>国泰海通</t>
        </is>
      </c>
      <c r="H310" t="inlineStr">
        <is>
          <t>国信证券</t>
        </is>
      </c>
      <c r="I310" t="inlineStr">
        <is>
          <t>邮储中关村</t>
        </is>
      </c>
      <c r="J310" t="n">
        <v>10</v>
      </c>
      <c r="K310" t="inlineStr">
        <is>
          <t>22+2</t>
        </is>
      </c>
      <c r="L310" s="309" t="n">
        <v>46105</v>
      </c>
      <c r="M310" t="n">
        <v>0.0152</v>
      </c>
      <c r="N310" t="n">
        <v>0.0208</v>
      </c>
      <c r="O310" t="n">
        <v>2.3</v>
      </c>
      <c r="P310" s="235" t="inlineStr">
        <is>
          <t>优先B</t>
        </is>
      </c>
      <c r="Q310" s="236" t="n">
        <v>0.04</v>
      </c>
      <c r="R310" s="307" t="n">
        <v>0.4</v>
      </c>
      <c r="S310" s="235" t="inlineStr">
        <is>
          <t>AA+</t>
        </is>
      </c>
      <c r="T310" s="236" t="n">
        <v>0.019</v>
      </c>
      <c r="U310" s="235" t="inlineStr">
        <is>
          <t>交银理财</t>
        </is>
      </c>
      <c r="V310" s="308" t="n">
        <v>0.12</v>
      </c>
    </row>
    <row r="311">
      <c r="A311" t="n">
        <v>28</v>
      </c>
      <c r="B311" t="inlineStr">
        <is>
          <t>3月</t>
        </is>
      </c>
      <c r="C311" t="inlineStr">
        <is>
          <t>消金</t>
        </is>
      </c>
      <c r="D311" t="inlineStr">
        <is>
          <t>赊销白条</t>
        </is>
      </c>
      <c r="E311" t="inlineStr">
        <is>
          <t>东道17-1</t>
        </is>
      </c>
      <c r="F311" t="inlineStr">
        <is>
          <t>深交所</t>
        </is>
      </c>
      <c r="G311" t="inlineStr">
        <is>
          <t>国泰海通</t>
        </is>
      </c>
      <c r="H311" t="inlineStr">
        <is>
          <t>国信证券</t>
        </is>
      </c>
      <c r="I311" t="inlineStr">
        <is>
          <t>邮储中关村</t>
        </is>
      </c>
      <c r="J311" t="n">
        <v>10</v>
      </c>
      <c r="K311" t="inlineStr">
        <is>
          <t>22+2</t>
        </is>
      </c>
      <c r="L311" s="309" t="n">
        <v>46105</v>
      </c>
      <c r="M311" t="n">
        <v>0.0152</v>
      </c>
      <c r="N311" t="n">
        <v>0.0208</v>
      </c>
      <c r="O311" t="n">
        <v>2.3</v>
      </c>
      <c r="P311" t="inlineStr">
        <is>
          <t>优先B</t>
        </is>
      </c>
      <c r="Q311" t="n">
        <v>0.04</v>
      </c>
      <c r="R311" t="n">
        <v>0.4</v>
      </c>
      <c r="S311" t="inlineStr">
        <is>
          <t>AA+</t>
        </is>
      </c>
      <c r="T311" t="n">
        <v>0.019</v>
      </c>
      <c r="U311" s="235" t="inlineStr">
        <is>
          <t>招银理财</t>
        </is>
      </c>
      <c r="V311" s="308" t="n">
        <v>0.12</v>
      </c>
    </row>
    <row r="312">
      <c r="A312" t="n">
        <v>28</v>
      </c>
      <c r="B312" t="inlineStr">
        <is>
          <t>3月</t>
        </is>
      </c>
      <c r="C312" t="inlineStr">
        <is>
          <t>消金</t>
        </is>
      </c>
      <c r="D312" t="inlineStr">
        <is>
          <t>赊销白条</t>
        </is>
      </c>
      <c r="E312" t="inlineStr">
        <is>
          <t>东道17-1</t>
        </is>
      </c>
      <c r="F312" t="inlineStr">
        <is>
          <t>深交所</t>
        </is>
      </c>
      <c r="G312" t="inlineStr">
        <is>
          <t>国泰海通</t>
        </is>
      </c>
      <c r="H312" t="inlineStr">
        <is>
          <t>国信证券</t>
        </is>
      </c>
      <c r="I312" t="inlineStr">
        <is>
          <t>邮储中关村</t>
        </is>
      </c>
      <c r="J312" t="n">
        <v>10</v>
      </c>
      <c r="K312" t="inlineStr">
        <is>
          <t>22+2</t>
        </is>
      </c>
      <c r="L312" s="309" t="n">
        <v>46105</v>
      </c>
      <c r="M312" t="n">
        <v>0.0152</v>
      </c>
      <c r="N312" t="n">
        <v>0.0208</v>
      </c>
      <c r="O312" t="n">
        <v>2.3</v>
      </c>
      <c r="P312" t="inlineStr">
        <is>
          <t>优先B</t>
        </is>
      </c>
      <c r="Q312" t="n">
        <v>0.04</v>
      </c>
      <c r="R312" t="n">
        <v>0.4</v>
      </c>
      <c r="S312" t="inlineStr">
        <is>
          <t>AA+</t>
        </is>
      </c>
      <c r="T312" t="n">
        <v>0.019</v>
      </c>
      <c r="U312" s="235" t="inlineStr">
        <is>
          <t>国泰海通投行</t>
        </is>
      </c>
      <c r="V312" s="308" t="n">
        <v>0.08</v>
      </c>
    </row>
    <row r="313">
      <c r="A313" t="n">
        <v>28</v>
      </c>
      <c r="B313" t="inlineStr">
        <is>
          <t>3月</t>
        </is>
      </c>
      <c r="C313" t="inlineStr">
        <is>
          <t>消金</t>
        </is>
      </c>
      <c r="D313" t="inlineStr">
        <is>
          <t>赊销白条</t>
        </is>
      </c>
      <c r="E313" t="inlineStr">
        <is>
          <t>东道17-1</t>
        </is>
      </c>
      <c r="F313" t="inlineStr">
        <is>
          <t>深交所</t>
        </is>
      </c>
      <c r="G313" t="inlineStr">
        <is>
          <t>国泰海通</t>
        </is>
      </c>
      <c r="H313" t="inlineStr">
        <is>
          <t>国信证券</t>
        </is>
      </c>
      <c r="I313" t="inlineStr">
        <is>
          <t>邮储中关村</t>
        </is>
      </c>
      <c r="J313" t="n">
        <v>10</v>
      </c>
      <c r="K313" t="inlineStr">
        <is>
          <t>22+2</t>
        </is>
      </c>
      <c r="L313" s="309" t="n">
        <v>46105</v>
      </c>
      <c r="M313" t="n">
        <v>0.0152</v>
      </c>
      <c r="N313" t="n">
        <v>0.0208</v>
      </c>
      <c r="O313" t="n">
        <v>2.3</v>
      </c>
      <c r="P313" t="inlineStr">
        <is>
          <t>优先B</t>
        </is>
      </c>
      <c r="Q313" t="n">
        <v>0.04</v>
      </c>
      <c r="R313" t="n">
        <v>0.4</v>
      </c>
      <c r="S313" t="inlineStr">
        <is>
          <t>AA+</t>
        </is>
      </c>
      <c r="T313" t="n">
        <v>0.019</v>
      </c>
      <c r="U313" s="235" t="inlineStr">
        <is>
          <t>国联民生投行</t>
        </is>
      </c>
      <c r="V313" s="308" t="n">
        <v>0.06</v>
      </c>
    </row>
    <row r="314">
      <c r="A314" t="n">
        <v>28</v>
      </c>
      <c r="B314" t="inlineStr">
        <is>
          <t>3月</t>
        </is>
      </c>
      <c r="C314" t="inlineStr">
        <is>
          <t>消金</t>
        </is>
      </c>
      <c r="D314" t="inlineStr">
        <is>
          <t>赊销白条</t>
        </is>
      </c>
      <c r="E314" t="inlineStr">
        <is>
          <t>东道17-1</t>
        </is>
      </c>
      <c r="F314" t="inlineStr">
        <is>
          <t>深交所</t>
        </is>
      </c>
      <c r="G314" t="inlineStr">
        <is>
          <t>国泰海通</t>
        </is>
      </c>
      <c r="H314" t="inlineStr">
        <is>
          <t>国信证券</t>
        </is>
      </c>
      <c r="I314" t="inlineStr">
        <is>
          <t>邮储中关村</t>
        </is>
      </c>
      <c r="J314" t="n">
        <v>10</v>
      </c>
      <c r="K314" t="inlineStr">
        <is>
          <t>22+2</t>
        </is>
      </c>
      <c r="L314" s="309" t="n">
        <v>46105</v>
      </c>
      <c r="M314" t="n">
        <v>0.0152</v>
      </c>
      <c r="N314" t="n">
        <v>0.0208</v>
      </c>
      <c r="O314" t="n">
        <v>2.3</v>
      </c>
      <c r="P314" t="inlineStr">
        <is>
          <t>优先B</t>
        </is>
      </c>
      <c r="Q314" t="n">
        <v>0.04</v>
      </c>
      <c r="R314" t="n">
        <v>0.4</v>
      </c>
      <c r="S314" t="inlineStr">
        <is>
          <t>AA+</t>
        </is>
      </c>
      <c r="T314" t="n">
        <v>0.019</v>
      </c>
      <c r="U314" s="235" t="inlineStr">
        <is>
          <t>京东世贸</t>
        </is>
      </c>
      <c r="V314" s="308" t="n">
        <v>0.02</v>
      </c>
    </row>
    <row r="315">
      <c r="A315" t="n">
        <v>28</v>
      </c>
      <c r="B315" t="inlineStr">
        <is>
          <t>3月</t>
        </is>
      </c>
      <c r="C315" t="inlineStr">
        <is>
          <t>消金</t>
        </is>
      </c>
      <c r="D315" t="inlineStr">
        <is>
          <t>赊销白条</t>
        </is>
      </c>
      <c r="E315" t="inlineStr">
        <is>
          <t>东道17-1</t>
        </is>
      </c>
      <c r="F315" t="inlineStr">
        <is>
          <t>深交所</t>
        </is>
      </c>
      <c r="G315" t="inlineStr">
        <is>
          <t>国泰海通</t>
        </is>
      </c>
      <c r="H315" t="inlineStr">
        <is>
          <t>国信证券</t>
        </is>
      </c>
      <c r="I315" t="inlineStr">
        <is>
          <t>邮储中关村</t>
        </is>
      </c>
      <c r="J315" t="n">
        <v>10</v>
      </c>
      <c r="K315" t="inlineStr">
        <is>
          <t>22+2</t>
        </is>
      </c>
      <c r="L315" s="309" t="n">
        <v>46105</v>
      </c>
      <c r="M315" t="n">
        <v>0.0152</v>
      </c>
      <c r="N315" t="n">
        <v>0.0208</v>
      </c>
      <c r="O315" t="n">
        <v>2.3</v>
      </c>
      <c r="P315" s="235" t="inlineStr">
        <is>
          <t>中间级</t>
        </is>
      </c>
      <c r="Q315" s="236" t="n">
        <v>0.04</v>
      </c>
      <c r="R315" s="307" t="n">
        <v>0.4</v>
      </c>
      <c r="S315" s="235" t="inlineStr">
        <is>
          <t>A+</t>
        </is>
      </c>
      <c r="T315" s="236" t="n">
        <v>0.032</v>
      </c>
      <c r="U315" s="235" t="inlineStr">
        <is>
          <t>上汽财务</t>
        </is>
      </c>
      <c r="V315" s="308" t="n">
        <v>0.1</v>
      </c>
    </row>
    <row r="316">
      <c r="A316" t="n">
        <v>28</v>
      </c>
      <c r="B316" t="inlineStr">
        <is>
          <t>3月</t>
        </is>
      </c>
      <c r="C316" t="inlineStr">
        <is>
          <t>消金</t>
        </is>
      </c>
      <c r="D316" t="inlineStr">
        <is>
          <t>赊销白条</t>
        </is>
      </c>
      <c r="E316" t="inlineStr">
        <is>
          <t>东道17-1</t>
        </is>
      </c>
      <c r="F316" t="inlineStr">
        <is>
          <t>深交所</t>
        </is>
      </c>
      <c r="G316" t="inlineStr">
        <is>
          <t>国泰海通</t>
        </is>
      </c>
      <c r="H316" t="inlineStr">
        <is>
          <t>国信证券</t>
        </is>
      </c>
      <c r="I316" t="inlineStr">
        <is>
          <t>邮储中关村</t>
        </is>
      </c>
      <c r="J316" t="n">
        <v>10</v>
      </c>
      <c r="K316" t="inlineStr">
        <is>
          <t>22+2</t>
        </is>
      </c>
      <c r="L316" s="309" t="n">
        <v>46105</v>
      </c>
      <c r="M316" t="n">
        <v>0.0152</v>
      </c>
      <c r="N316" t="n">
        <v>0.0208</v>
      </c>
      <c r="O316" t="n">
        <v>2.3</v>
      </c>
      <c r="P316" t="inlineStr">
        <is>
          <t>中间级</t>
        </is>
      </c>
      <c r="Q316" t="n">
        <v>0.04</v>
      </c>
      <c r="R316" t="n">
        <v>0.4</v>
      </c>
      <c r="S316" t="inlineStr">
        <is>
          <t>A+</t>
        </is>
      </c>
      <c r="T316" t="n">
        <v>0.032</v>
      </c>
      <c r="U316" s="235" t="inlineStr">
        <is>
          <t>建投衍生品</t>
        </is>
      </c>
      <c r="V316" s="308" t="n">
        <v>0.16</v>
      </c>
    </row>
    <row r="317">
      <c r="A317" t="n">
        <v>28</v>
      </c>
      <c r="B317" t="inlineStr">
        <is>
          <t>3月</t>
        </is>
      </c>
      <c r="C317" t="inlineStr">
        <is>
          <t>消金</t>
        </is>
      </c>
      <c r="D317" t="inlineStr">
        <is>
          <t>赊销白条</t>
        </is>
      </c>
      <c r="E317" t="inlineStr">
        <is>
          <t>东道17-1</t>
        </is>
      </c>
      <c r="F317" t="inlineStr">
        <is>
          <t>深交所</t>
        </is>
      </c>
      <c r="G317" t="inlineStr">
        <is>
          <t>国泰海通</t>
        </is>
      </c>
      <c r="H317" t="inlineStr">
        <is>
          <t>国信证券</t>
        </is>
      </c>
      <c r="I317" t="inlineStr">
        <is>
          <t>邮储中关村</t>
        </is>
      </c>
      <c r="J317" t="n">
        <v>10</v>
      </c>
      <c r="K317" t="inlineStr">
        <is>
          <t>22+2</t>
        </is>
      </c>
      <c r="L317" s="309" t="n">
        <v>46105</v>
      </c>
      <c r="M317" t="n">
        <v>0.0152</v>
      </c>
      <c r="N317" t="n">
        <v>0.0208</v>
      </c>
      <c r="O317" t="n">
        <v>2.3</v>
      </c>
      <c r="P317" t="inlineStr">
        <is>
          <t>中间级</t>
        </is>
      </c>
      <c r="Q317" t="n">
        <v>0.04</v>
      </c>
      <c r="R317" t="n">
        <v>0.4</v>
      </c>
      <c r="S317" t="inlineStr">
        <is>
          <t>A+</t>
        </is>
      </c>
      <c r="T317" t="n">
        <v>0.032</v>
      </c>
      <c r="U317" s="235" t="inlineStr">
        <is>
          <t>利曦基金</t>
        </is>
      </c>
      <c r="V317" s="308" t="n">
        <v>0.12</v>
      </c>
    </row>
    <row r="318">
      <c r="A318" t="n">
        <v>28</v>
      </c>
      <c r="B318" t="inlineStr">
        <is>
          <t>3月</t>
        </is>
      </c>
      <c r="C318" t="inlineStr">
        <is>
          <t>消金</t>
        </is>
      </c>
      <c r="D318" t="inlineStr">
        <is>
          <t>赊销白条</t>
        </is>
      </c>
      <c r="E318" t="inlineStr">
        <is>
          <t>东道17-1</t>
        </is>
      </c>
      <c r="F318" t="inlineStr">
        <is>
          <t>深交所</t>
        </is>
      </c>
      <c r="G318" t="inlineStr">
        <is>
          <t>国泰海通</t>
        </is>
      </c>
      <c r="H318" t="inlineStr">
        <is>
          <t>国信证券</t>
        </is>
      </c>
      <c r="I318" t="inlineStr">
        <is>
          <t>邮储中关村</t>
        </is>
      </c>
      <c r="J318" t="n">
        <v>10</v>
      </c>
      <c r="K318" t="inlineStr">
        <is>
          <t>22+2</t>
        </is>
      </c>
      <c r="L318" s="309" t="n">
        <v>46105</v>
      </c>
      <c r="M318" t="n">
        <v>0.0152</v>
      </c>
      <c r="N318" t="n">
        <v>0.0208</v>
      </c>
      <c r="O318" t="n">
        <v>2.3</v>
      </c>
      <c r="P318" t="inlineStr">
        <is>
          <t>中间级</t>
        </is>
      </c>
      <c r="Q318" t="n">
        <v>0.04</v>
      </c>
      <c r="R318" t="n">
        <v>0.4</v>
      </c>
      <c r="S318" t="inlineStr">
        <is>
          <t>A+</t>
        </is>
      </c>
      <c r="T318" t="n">
        <v>0.032</v>
      </c>
      <c r="U318" s="235" t="inlineStr">
        <is>
          <t>京东世贸</t>
        </is>
      </c>
      <c r="V318" s="308" t="n">
        <v>0.02</v>
      </c>
    </row>
    <row r="319">
      <c r="A319" t="n">
        <v>28</v>
      </c>
      <c r="B319" t="inlineStr">
        <is>
          <t>3月</t>
        </is>
      </c>
      <c r="C319" t="inlineStr">
        <is>
          <t>消金</t>
        </is>
      </c>
      <c r="D319" t="inlineStr">
        <is>
          <t>赊销白条</t>
        </is>
      </c>
      <c r="E319" t="inlineStr">
        <is>
          <t>东道17-1</t>
        </is>
      </c>
      <c r="F319" t="inlineStr">
        <is>
          <t>深交所</t>
        </is>
      </c>
      <c r="G319" t="inlineStr">
        <is>
          <t>国泰海通</t>
        </is>
      </c>
      <c r="H319" t="inlineStr">
        <is>
          <t>国信证券</t>
        </is>
      </c>
      <c r="I319" t="inlineStr">
        <is>
          <t>邮储中关村</t>
        </is>
      </c>
      <c r="J319" t="n">
        <v>10</v>
      </c>
      <c r="K319" t="inlineStr">
        <is>
          <t>22+2</t>
        </is>
      </c>
      <c r="L319" s="309" t="n">
        <v>46105</v>
      </c>
      <c r="M319" t="n">
        <v>0.0152</v>
      </c>
      <c r="N319" t="n">
        <v>0.0208</v>
      </c>
      <c r="O319" t="n">
        <v>2.3</v>
      </c>
      <c r="P319" s="235" t="inlineStr">
        <is>
          <t>次级</t>
        </is>
      </c>
      <c r="Q319" s="236" t="n">
        <v>0.05</v>
      </c>
      <c r="R319" s="307" t="n">
        <v>0.5</v>
      </c>
      <c r="S319" s="235" t="inlineStr">
        <is>
          <t>无</t>
        </is>
      </c>
      <c r="T319" s="236" t="n">
        <v>0.045</v>
      </c>
      <c r="U319" s="235" t="inlineStr">
        <is>
          <t>员工理财</t>
        </is>
      </c>
      <c r="V319" s="308" t="n">
        <v>0.5</v>
      </c>
    </row>
    <row r="320">
      <c r="A320" s="223" t="n">
        <v>29</v>
      </c>
      <c r="B320" s="220" t="inlineStr">
        <is>
          <t>3月</t>
        </is>
      </c>
      <c r="C320" s="220" t="inlineStr">
        <is>
          <t>企金</t>
        </is>
      </c>
      <c r="D320" s="220" t="inlineStr">
        <is>
          <t>动产质押</t>
        </is>
      </c>
      <c r="E320" s="220" t="inlineStr">
        <is>
          <t>尚亦1-9</t>
        </is>
      </c>
      <c r="F320" s="220" t="inlineStr">
        <is>
          <t>上交所</t>
        </is>
      </c>
      <c r="G320" s="220" t="inlineStr">
        <is>
          <t>华泰资管</t>
        </is>
      </c>
      <c r="H320" s="220" t="inlineStr">
        <is>
          <t>中信建投</t>
        </is>
      </c>
      <c r="I320" s="220" t="inlineStr">
        <is>
          <t>招银北分</t>
        </is>
      </c>
      <c r="J320" s="220" t="n">
        <v>3</v>
      </c>
      <c r="K320" s="220" t="inlineStr">
        <is>
          <t>7+12</t>
        </is>
      </c>
      <c r="L320" s="224" t="n">
        <v>45740</v>
      </c>
      <c r="M320" s="225" t="n">
        <v>0.0152</v>
      </c>
      <c r="N320" s="225" t="n">
        <v>0.0211</v>
      </c>
      <c r="O320" s="226" t="n">
        <v>2.58</v>
      </c>
      <c r="P320" s="220" t="inlineStr">
        <is>
          <t>优先A</t>
        </is>
      </c>
      <c r="Q320" s="231" t="n">
        <v>0.86</v>
      </c>
      <c r="R320" s="308" t="n">
        <v>2.58</v>
      </c>
      <c r="S320" s="220" t="inlineStr">
        <is>
          <t>AAA</t>
        </is>
      </c>
      <c r="T320" s="221" t="n">
        <v>0.018</v>
      </c>
      <c r="U320" s="217" t="inlineStr">
        <is>
          <t>太平基金</t>
        </is>
      </c>
      <c r="V320" s="25" t="n">
        <v>0.2</v>
      </c>
    </row>
    <row r="321">
      <c r="A321" t="n">
        <v>29</v>
      </c>
      <c r="B321" t="inlineStr">
        <is>
          <t>3月</t>
        </is>
      </c>
      <c r="C321" t="inlineStr">
        <is>
          <t>企金</t>
        </is>
      </c>
      <c r="D321" t="inlineStr">
        <is>
          <t>动产质押</t>
        </is>
      </c>
      <c r="E321" t="inlineStr">
        <is>
          <t>尚亦1-9</t>
        </is>
      </c>
      <c r="F321" t="inlineStr">
        <is>
          <t>上交所</t>
        </is>
      </c>
      <c r="G321" t="inlineStr">
        <is>
          <t>华泰资管</t>
        </is>
      </c>
      <c r="H321" t="inlineStr">
        <is>
          <t>中信建投</t>
        </is>
      </c>
      <c r="I321" t="inlineStr">
        <is>
          <t>招银北分</t>
        </is>
      </c>
      <c r="J321" t="n">
        <v>3</v>
      </c>
      <c r="K321" t="inlineStr">
        <is>
          <t>7+12</t>
        </is>
      </c>
      <c r="L321" s="309" t="n">
        <v>45740</v>
      </c>
      <c r="M321" t="n">
        <v>0.0152</v>
      </c>
      <c r="N321" t="n">
        <v>0.0211</v>
      </c>
      <c r="O321" t="n">
        <v>2.58</v>
      </c>
      <c r="P321" t="inlineStr">
        <is>
          <t>优先A</t>
        </is>
      </c>
      <c r="Q321" t="n">
        <v>0.86</v>
      </c>
      <c r="R321" t="n">
        <v>2.58</v>
      </c>
      <c r="S321" t="inlineStr">
        <is>
          <t>AAA</t>
        </is>
      </c>
      <c r="T321" t="n">
        <v>0.018</v>
      </c>
      <c r="U321" s="217" t="inlineStr">
        <is>
          <t>招银理财</t>
        </is>
      </c>
      <c r="V321" s="25" t="n">
        <v>0.77</v>
      </c>
    </row>
    <row r="322">
      <c r="A322" t="n">
        <v>29</v>
      </c>
      <c r="B322" t="inlineStr">
        <is>
          <t>3月</t>
        </is>
      </c>
      <c r="C322" t="inlineStr">
        <is>
          <t>企金</t>
        </is>
      </c>
      <c r="D322" t="inlineStr">
        <is>
          <t>动产质押</t>
        </is>
      </c>
      <c r="E322" t="inlineStr">
        <is>
          <t>尚亦1-9</t>
        </is>
      </c>
      <c r="F322" t="inlineStr">
        <is>
          <t>上交所</t>
        </is>
      </c>
      <c r="G322" t="inlineStr">
        <is>
          <t>华泰资管</t>
        </is>
      </c>
      <c r="H322" t="inlineStr">
        <is>
          <t>中信建投</t>
        </is>
      </c>
      <c r="I322" t="inlineStr">
        <is>
          <t>招银北分</t>
        </is>
      </c>
      <c r="J322" t="n">
        <v>3</v>
      </c>
      <c r="K322" t="inlineStr">
        <is>
          <t>7+12</t>
        </is>
      </c>
      <c r="L322" s="309" t="n">
        <v>45740</v>
      </c>
      <c r="M322" t="n">
        <v>0.0152</v>
      </c>
      <c r="N322" t="n">
        <v>0.0211</v>
      </c>
      <c r="O322" t="n">
        <v>2.58</v>
      </c>
      <c r="P322" t="inlineStr">
        <is>
          <t>优先A</t>
        </is>
      </c>
      <c r="Q322" t="n">
        <v>0.86</v>
      </c>
      <c r="R322" t="n">
        <v>2.58</v>
      </c>
      <c r="S322" t="inlineStr">
        <is>
          <t>AAA</t>
        </is>
      </c>
      <c r="T322" t="n">
        <v>0.018</v>
      </c>
      <c r="U322" s="24" t="inlineStr">
        <is>
          <t>中邮理财</t>
        </is>
      </c>
      <c r="V322" s="25" t="n">
        <v>0.77</v>
      </c>
    </row>
    <row r="323">
      <c r="A323" t="n">
        <v>29</v>
      </c>
      <c r="B323" t="inlineStr">
        <is>
          <t>3月</t>
        </is>
      </c>
      <c r="C323" t="inlineStr">
        <is>
          <t>企金</t>
        </is>
      </c>
      <c r="D323" t="inlineStr">
        <is>
          <t>动产质押</t>
        </is>
      </c>
      <c r="E323" t="inlineStr">
        <is>
          <t>尚亦1-9</t>
        </is>
      </c>
      <c r="F323" t="inlineStr">
        <is>
          <t>上交所</t>
        </is>
      </c>
      <c r="G323" t="inlineStr">
        <is>
          <t>华泰资管</t>
        </is>
      </c>
      <c r="H323" t="inlineStr">
        <is>
          <t>中信建投</t>
        </is>
      </c>
      <c r="I323" t="inlineStr">
        <is>
          <t>招银北分</t>
        </is>
      </c>
      <c r="J323" t="n">
        <v>3</v>
      </c>
      <c r="K323" t="inlineStr">
        <is>
          <t>7+12</t>
        </is>
      </c>
      <c r="L323" s="309" t="n">
        <v>45740</v>
      </c>
      <c r="M323" t="n">
        <v>0.0152</v>
      </c>
      <c r="N323" t="n">
        <v>0.0211</v>
      </c>
      <c r="O323" t="n">
        <v>2.58</v>
      </c>
      <c r="P323" t="inlineStr">
        <is>
          <t>优先A</t>
        </is>
      </c>
      <c r="Q323" t="n">
        <v>0.86</v>
      </c>
      <c r="R323" t="n">
        <v>2.58</v>
      </c>
      <c r="S323" t="inlineStr">
        <is>
          <t>AAA</t>
        </is>
      </c>
      <c r="T323" t="n">
        <v>0.018</v>
      </c>
      <c r="U323" s="217" t="inlineStr">
        <is>
          <t>华泰保兴基金</t>
        </is>
      </c>
      <c r="V323" s="25" t="n">
        <v>0.2</v>
      </c>
    </row>
    <row r="324">
      <c r="A324" t="n">
        <v>29</v>
      </c>
      <c r="B324" t="inlineStr">
        <is>
          <t>3月</t>
        </is>
      </c>
      <c r="C324" t="inlineStr">
        <is>
          <t>企金</t>
        </is>
      </c>
      <c r="D324" t="inlineStr">
        <is>
          <t>动产质押</t>
        </is>
      </c>
      <c r="E324" t="inlineStr">
        <is>
          <t>尚亦1-9</t>
        </is>
      </c>
      <c r="F324" t="inlineStr">
        <is>
          <t>上交所</t>
        </is>
      </c>
      <c r="G324" t="inlineStr">
        <is>
          <t>华泰资管</t>
        </is>
      </c>
      <c r="H324" t="inlineStr">
        <is>
          <t>中信建投</t>
        </is>
      </c>
      <c r="I324" t="inlineStr">
        <is>
          <t>招银北分</t>
        </is>
      </c>
      <c r="J324" t="n">
        <v>3</v>
      </c>
      <c r="K324" t="inlineStr">
        <is>
          <t>7+12</t>
        </is>
      </c>
      <c r="L324" s="309" t="n">
        <v>45740</v>
      </c>
      <c r="M324" t="n">
        <v>0.0152</v>
      </c>
      <c r="N324" t="n">
        <v>0.0211</v>
      </c>
      <c r="O324" t="n">
        <v>2.58</v>
      </c>
      <c r="P324" t="inlineStr">
        <is>
          <t>优先A</t>
        </is>
      </c>
      <c r="Q324" t="n">
        <v>0.86</v>
      </c>
      <c r="R324" t="n">
        <v>2.58</v>
      </c>
      <c r="S324" t="inlineStr">
        <is>
          <t>AAA</t>
        </is>
      </c>
      <c r="T324" t="n">
        <v>0.018</v>
      </c>
      <c r="U324" s="217" t="inlineStr">
        <is>
          <t>易方达基金</t>
        </is>
      </c>
      <c r="V324" s="25" t="n">
        <v>0.3</v>
      </c>
    </row>
    <row r="325">
      <c r="A325" t="n">
        <v>29</v>
      </c>
      <c r="B325" t="inlineStr">
        <is>
          <t>3月</t>
        </is>
      </c>
      <c r="C325" t="inlineStr">
        <is>
          <t>企金</t>
        </is>
      </c>
      <c r="D325" t="inlineStr">
        <is>
          <t>动产质押</t>
        </is>
      </c>
      <c r="E325" t="inlineStr">
        <is>
          <t>尚亦1-9</t>
        </is>
      </c>
      <c r="F325" t="inlineStr">
        <is>
          <t>上交所</t>
        </is>
      </c>
      <c r="G325" t="inlineStr">
        <is>
          <t>华泰资管</t>
        </is>
      </c>
      <c r="H325" t="inlineStr">
        <is>
          <t>中信建投</t>
        </is>
      </c>
      <c r="I325" t="inlineStr">
        <is>
          <t>招银北分</t>
        </is>
      </c>
      <c r="J325" t="n">
        <v>3</v>
      </c>
      <c r="K325" t="inlineStr">
        <is>
          <t>7+12</t>
        </is>
      </c>
      <c r="L325" s="309" t="n">
        <v>45740</v>
      </c>
      <c r="M325" t="n">
        <v>0.0152</v>
      </c>
      <c r="N325" t="n">
        <v>0.0211</v>
      </c>
      <c r="O325" t="n">
        <v>2.58</v>
      </c>
      <c r="P325" t="inlineStr">
        <is>
          <t>优先A</t>
        </is>
      </c>
      <c r="Q325" t="n">
        <v>0.86</v>
      </c>
      <c r="R325" t="n">
        <v>2.58</v>
      </c>
      <c r="S325" t="inlineStr">
        <is>
          <t>AAA</t>
        </is>
      </c>
      <c r="T325" t="n">
        <v>0.018</v>
      </c>
      <c r="U325" s="217" t="inlineStr">
        <is>
          <t>申万宏源资管</t>
        </is>
      </c>
      <c r="V325" s="25" t="n">
        <v>0.08</v>
      </c>
    </row>
    <row r="326">
      <c r="A326" t="n">
        <v>29</v>
      </c>
      <c r="B326" t="inlineStr">
        <is>
          <t>3月</t>
        </is>
      </c>
      <c r="C326" t="inlineStr">
        <is>
          <t>企金</t>
        </is>
      </c>
      <c r="D326" t="inlineStr">
        <is>
          <t>动产质押</t>
        </is>
      </c>
      <c r="E326" t="inlineStr">
        <is>
          <t>尚亦1-9</t>
        </is>
      </c>
      <c r="F326" t="inlineStr">
        <is>
          <t>上交所</t>
        </is>
      </c>
      <c r="G326" t="inlineStr">
        <is>
          <t>华泰资管</t>
        </is>
      </c>
      <c r="H326" t="inlineStr">
        <is>
          <t>中信建投</t>
        </is>
      </c>
      <c r="I326" t="inlineStr">
        <is>
          <t>招银北分</t>
        </is>
      </c>
      <c r="J326" t="n">
        <v>3</v>
      </c>
      <c r="K326" t="inlineStr">
        <is>
          <t>7+12</t>
        </is>
      </c>
      <c r="L326" s="309" t="n">
        <v>45740</v>
      </c>
      <c r="M326" t="n">
        <v>0.0152</v>
      </c>
      <c r="N326" t="n">
        <v>0.0211</v>
      </c>
      <c r="O326" t="n">
        <v>2.58</v>
      </c>
      <c r="P326" t="inlineStr">
        <is>
          <t>优先A</t>
        </is>
      </c>
      <c r="Q326" t="n">
        <v>0.86</v>
      </c>
      <c r="R326" t="n">
        <v>2.58</v>
      </c>
      <c r="S326" t="inlineStr">
        <is>
          <t>AAA</t>
        </is>
      </c>
      <c r="T326" t="n">
        <v>0.018</v>
      </c>
      <c r="U326" s="217" t="inlineStr">
        <is>
          <t>广银理财</t>
        </is>
      </c>
      <c r="V326" s="25" t="n">
        <v>0.13</v>
      </c>
    </row>
    <row r="327">
      <c r="A327" t="n">
        <v>29</v>
      </c>
      <c r="B327" t="inlineStr">
        <is>
          <t>3月</t>
        </is>
      </c>
      <c r="C327" t="inlineStr">
        <is>
          <t>企金</t>
        </is>
      </c>
      <c r="D327" t="inlineStr">
        <is>
          <t>动产质押</t>
        </is>
      </c>
      <c r="E327" t="inlineStr">
        <is>
          <t>尚亦1-9</t>
        </is>
      </c>
      <c r="F327" t="inlineStr">
        <is>
          <t>上交所</t>
        </is>
      </c>
      <c r="G327" t="inlineStr">
        <is>
          <t>华泰资管</t>
        </is>
      </c>
      <c r="H327" t="inlineStr">
        <is>
          <t>中信建投</t>
        </is>
      </c>
      <c r="I327" t="inlineStr">
        <is>
          <t>招银北分</t>
        </is>
      </c>
      <c r="J327" t="n">
        <v>3</v>
      </c>
      <c r="K327" t="inlineStr">
        <is>
          <t>7+12</t>
        </is>
      </c>
      <c r="L327" s="309" t="n">
        <v>45740</v>
      </c>
      <c r="M327" t="n">
        <v>0.0152</v>
      </c>
      <c r="N327" t="n">
        <v>0.0211</v>
      </c>
      <c r="O327" t="n">
        <v>2.58</v>
      </c>
      <c r="P327" t="inlineStr">
        <is>
          <t>优先A</t>
        </is>
      </c>
      <c r="Q327" t="n">
        <v>0.86</v>
      </c>
      <c r="R327" t="n">
        <v>2.58</v>
      </c>
      <c r="S327" t="inlineStr">
        <is>
          <t>AAA</t>
        </is>
      </c>
      <c r="T327" t="n">
        <v>0.018</v>
      </c>
      <c r="U327" s="217" t="inlineStr">
        <is>
          <t>华夏理财</t>
        </is>
      </c>
      <c r="V327" s="25" t="n">
        <v>0.13</v>
      </c>
    </row>
    <row r="328">
      <c r="A328" t="n">
        <v>29</v>
      </c>
      <c r="B328" t="inlineStr">
        <is>
          <t>3月</t>
        </is>
      </c>
      <c r="C328" t="inlineStr">
        <is>
          <t>企金</t>
        </is>
      </c>
      <c r="D328" t="inlineStr">
        <is>
          <t>动产质押</t>
        </is>
      </c>
      <c r="E328" t="inlineStr">
        <is>
          <t>尚亦1-9</t>
        </is>
      </c>
      <c r="F328" t="inlineStr">
        <is>
          <t>上交所</t>
        </is>
      </c>
      <c r="G328" t="inlineStr">
        <is>
          <t>华泰资管</t>
        </is>
      </c>
      <c r="H328" t="inlineStr">
        <is>
          <t>中信建投</t>
        </is>
      </c>
      <c r="I328" t="inlineStr">
        <is>
          <t>招银北分</t>
        </is>
      </c>
      <c r="J328" t="n">
        <v>3</v>
      </c>
      <c r="K328" t="inlineStr">
        <is>
          <t>7+12</t>
        </is>
      </c>
      <c r="L328" s="309" t="n">
        <v>45740</v>
      </c>
      <c r="M328" t="n">
        <v>0.0152</v>
      </c>
      <c r="N328" t="n">
        <v>0.0211</v>
      </c>
      <c r="O328" t="n">
        <v>2.58</v>
      </c>
      <c r="P328" s="227" t="inlineStr">
        <is>
          <t>优先B</t>
        </is>
      </c>
      <c r="Q328" s="231" t="n">
        <v>0.04</v>
      </c>
      <c r="R328" s="320" t="n">
        <v>0.24</v>
      </c>
      <c r="S328" s="231" t="inlineStr">
        <is>
          <t>AA+</t>
        </is>
      </c>
      <c r="T328" s="231" t="n">
        <v>0.02</v>
      </c>
      <c r="U328" s="217" t="inlineStr">
        <is>
          <t>招银理财</t>
        </is>
      </c>
      <c r="V328" s="25" t="n">
        <v>0.03</v>
      </c>
    </row>
    <row r="329">
      <c r="A329" t="n">
        <v>29</v>
      </c>
      <c r="B329" t="inlineStr">
        <is>
          <t>3月</t>
        </is>
      </c>
      <c r="C329" t="inlineStr">
        <is>
          <t>企金</t>
        </is>
      </c>
      <c r="D329" t="inlineStr">
        <is>
          <t>动产质押</t>
        </is>
      </c>
      <c r="E329" t="inlineStr">
        <is>
          <t>尚亦1-9</t>
        </is>
      </c>
      <c r="F329" t="inlineStr">
        <is>
          <t>上交所</t>
        </is>
      </c>
      <c r="G329" t="inlineStr">
        <is>
          <t>华泰资管</t>
        </is>
      </c>
      <c r="H329" t="inlineStr">
        <is>
          <t>中信建投</t>
        </is>
      </c>
      <c r="I329" t="inlineStr">
        <is>
          <t>招银北分</t>
        </is>
      </c>
      <c r="J329" t="n">
        <v>3</v>
      </c>
      <c r="K329" t="inlineStr">
        <is>
          <t>7+12</t>
        </is>
      </c>
      <c r="L329" s="309" t="n">
        <v>45740</v>
      </c>
      <c r="M329" t="n">
        <v>0.0152</v>
      </c>
      <c r="N329" t="n">
        <v>0.0211</v>
      </c>
      <c r="O329" t="n">
        <v>2.58</v>
      </c>
      <c r="P329" t="inlineStr">
        <is>
          <t>优先B</t>
        </is>
      </c>
      <c r="Q329" t="n">
        <v>0.04</v>
      </c>
      <c r="R329" t="n">
        <v>0.24</v>
      </c>
      <c r="S329" t="inlineStr">
        <is>
          <t>AA+</t>
        </is>
      </c>
      <c r="T329" t="n">
        <v>0.02</v>
      </c>
      <c r="U329" s="217" t="inlineStr">
        <is>
          <t>申万宏源资管</t>
        </is>
      </c>
      <c r="V329" s="25" t="n">
        <v>0.02</v>
      </c>
    </row>
    <row r="330">
      <c r="A330" t="n">
        <v>29</v>
      </c>
      <c r="B330" t="inlineStr">
        <is>
          <t>3月</t>
        </is>
      </c>
      <c r="C330" t="inlineStr">
        <is>
          <t>企金</t>
        </is>
      </c>
      <c r="D330" t="inlineStr">
        <is>
          <t>动产质押</t>
        </is>
      </c>
      <c r="E330" t="inlineStr">
        <is>
          <t>尚亦1-9</t>
        </is>
      </c>
      <c r="F330" t="inlineStr">
        <is>
          <t>上交所</t>
        </is>
      </c>
      <c r="G330" t="inlineStr">
        <is>
          <t>华泰资管</t>
        </is>
      </c>
      <c r="H330" t="inlineStr">
        <is>
          <t>中信建投</t>
        </is>
      </c>
      <c r="I330" t="inlineStr">
        <is>
          <t>招银北分</t>
        </is>
      </c>
      <c r="J330" t="n">
        <v>3</v>
      </c>
      <c r="K330" t="inlineStr">
        <is>
          <t>7+12</t>
        </is>
      </c>
      <c r="L330" s="309" t="n">
        <v>45740</v>
      </c>
      <c r="M330" t="n">
        <v>0.0152</v>
      </c>
      <c r="N330" t="n">
        <v>0.0211</v>
      </c>
      <c r="O330" t="n">
        <v>2.58</v>
      </c>
      <c r="P330" t="inlineStr">
        <is>
          <t>优先B</t>
        </is>
      </c>
      <c r="Q330" t="n">
        <v>0.04</v>
      </c>
      <c r="R330" t="n">
        <v>0.24</v>
      </c>
      <c r="S330" t="inlineStr">
        <is>
          <t>AA+</t>
        </is>
      </c>
      <c r="T330" t="n">
        <v>0.02</v>
      </c>
      <c r="U330" s="217" t="inlineStr">
        <is>
          <t>建信信托</t>
        </is>
      </c>
      <c r="V330" s="25" t="n">
        <v>0.07000000000000001</v>
      </c>
    </row>
    <row r="331">
      <c r="A331" t="n">
        <v>29</v>
      </c>
      <c r="B331" t="inlineStr">
        <is>
          <t>3月</t>
        </is>
      </c>
      <c r="C331" t="inlineStr">
        <is>
          <t>企金</t>
        </is>
      </c>
      <c r="D331" t="inlineStr">
        <is>
          <t>动产质押</t>
        </is>
      </c>
      <c r="E331" t="inlineStr">
        <is>
          <t>尚亦1-9</t>
        </is>
      </c>
      <c r="F331" t="inlineStr">
        <is>
          <t>上交所</t>
        </is>
      </c>
      <c r="G331" t="inlineStr">
        <is>
          <t>华泰资管</t>
        </is>
      </c>
      <c r="H331" t="inlineStr">
        <is>
          <t>中信建投</t>
        </is>
      </c>
      <c r="I331" t="inlineStr">
        <is>
          <t>招银北分</t>
        </is>
      </c>
      <c r="J331" t="n">
        <v>3</v>
      </c>
      <c r="K331" t="inlineStr">
        <is>
          <t>7+12</t>
        </is>
      </c>
      <c r="L331" s="309" t="n">
        <v>45740</v>
      </c>
      <c r="M331" t="n">
        <v>0.0152</v>
      </c>
      <c r="N331" t="n">
        <v>0.0211</v>
      </c>
      <c r="O331" t="n">
        <v>2.58</v>
      </c>
      <c r="P331" s="220" t="inlineStr">
        <is>
          <t>中间级</t>
        </is>
      </c>
      <c r="Q331" s="221" t="n">
        <v>0.05</v>
      </c>
      <c r="R331" s="308" t="n">
        <v>0.3</v>
      </c>
      <c r="S331" s="221" t="inlineStr">
        <is>
          <t>A-</t>
        </is>
      </c>
      <c r="T331" s="221" t="n">
        <v>0.031</v>
      </c>
      <c r="U331" s="217" t="inlineStr">
        <is>
          <t>利曦基金</t>
        </is>
      </c>
      <c r="V331" s="313" t="n">
        <v>0.15</v>
      </c>
    </row>
    <row r="332">
      <c r="A332" t="n">
        <v>29</v>
      </c>
      <c r="B332" t="inlineStr">
        <is>
          <t>3月</t>
        </is>
      </c>
      <c r="C332" t="inlineStr">
        <is>
          <t>企金</t>
        </is>
      </c>
      <c r="D332" t="inlineStr">
        <is>
          <t>动产质押</t>
        </is>
      </c>
      <c r="E332" t="inlineStr">
        <is>
          <t>尚亦1-9</t>
        </is>
      </c>
      <c r="F332" t="inlineStr">
        <is>
          <t>上交所</t>
        </is>
      </c>
      <c r="G332" t="inlineStr">
        <is>
          <t>华泰资管</t>
        </is>
      </c>
      <c r="H332" t="inlineStr">
        <is>
          <t>中信建投</t>
        </is>
      </c>
      <c r="I332" t="inlineStr">
        <is>
          <t>招银北分</t>
        </is>
      </c>
      <c r="J332" t="n">
        <v>3</v>
      </c>
      <c r="K332" t="inlineStr">
        <is>
          <t>7+12</t>
        </is>
      </c>
      <c r="L332" s="309" t="n">
        <v>45740</v>
      </c>
      <c r="M332" t="n">
        <v>0.0152</v>
      </c>
      <c r="N332" t="n">
        <v>0.0211</v>
      </c>
      <c r="O332" t="n">
        <v>2.58</v>
      </c>
      <c r="P332" s="220" t="inlineStr">
        <is>
          <t>受益权</t>
        </is>
      </c>
      <c r="Q332" s="221" t="n">
        <v>0.05</v>
      </c>
      <c r="R332" s="308" t="n">
        <v>0.3</v>
      </c>
      <c r="S332" s="221" t="inlineStr">
        <is>
          <t>无</t>
        </is>
      </c>
      <c r="T332" s="221" t="n">
        <v>0.0525</v>
      </c>
      <c r="U332" s="217" t="inlineStr">
        <is>
          <t>西部证券自营</t>
        </is>
      </c>
      <c r="V332" s="313" t="n">
        <v>0.15</v>
      </c>
    </row>
    <row r="333">
      <c r="A333" s="223" t="n">
        <v>30</v>
      </c>
      <c r="B333" s="305" t="inlineStr">
        <is>
          <t>3月</t>
        </is>
      </c>
      <c r="C333" s="305" t="inlineStr">
        <is>
          <t>消金</t>
        </is>
      </c>
      <c r="D333" s="305" t="inlineStr">
        <is>
          <t>赊销白条</t>
        </is>
      </c>
      <c r="E333" s="305" t="inlineStr">
        <is>
          <t>东道19-2（可续发）</t>
        </is>
      </c>
      <c r="F333" s="305" t="inlineStr">
        <is>
          <t>深交所</t>
        </is>
      </c>
      <c r="G333" s="305" t="inlineStr">
        <is>
          <t>首创证券</t>
        </is>
      </c>
      <c r="H333" s="305" t="inlineStr">
        <is>
          <t>国开证券</t>
        </is>
      </c>
      <c r="I333" s="305" t="inlineStr">
        <is>
          <t>兴业北分</t>
        </is>
      </c>
      <c r="J333" s="245" t="n">
        <v>10</v>
      </c>
      <c r="K333" s="305" t="inlineStr">
        <is>
          <t>12+6+15+3</t>
        </is>
      </c>
      <c r="L333" s="246" t="n">
        <v>46107</v>
      </c>
      <c r="M333" s="247" t="n">
        <v>0.015</v>
      </c>
      <c r="N333" s="247" t="n">
        <v>0.0191</v>
      </c>
      <c r="O333" s="245" t="n">
        <v>2.34</v>
      </c>
      <c r="P333" s="235" t="inlineStr">
        <is>
          <t>优先A</t>
        </is>
      </c>
      <c r="Q333" s="236" t="n">
        <v>0.9</v>
      </c>
      <c r="R333" s="307" t="n">
        <v>9</v>
      </c>
      <c r="S333" s="235" t="inlineStr">
        <is>
          <t>AAA</t>
        </is>
      </c>
      <c r="T333" s="236" t="n">
        <v>0.0168</v>
      </c>
      <c r="U333" s="235" t="inlineStr">
        <is>
          <t>工银理财</t>
        </is>
      </c>
      <c r="V333" s="308" t="n">
        <v>2.5</v>
      </c>
    </row>
    <row r="334">
      <c r="A334" t="n">
        <v>30</v>
      </c>
      <c r="B334" t="inlineStr">
        <is>
          <t>3月</t>
        </is>
      </c>
      <c r="C334" t="inlineStr">
        <is>
          <t>消金</t>
        </is>
      </c>
      <c r="D334" t="inlineStr">
        <is>
          <t>赊销白条</t>
        </is>
      </c>
      <c r="E334" t="inlineStr">
        <is>
          <t>东道19-2（可续发）</t>
        </is>
      </c>
      <c r="F334" t="inlineStr">
        <is>
          <t>深交所</t>
        </is>
      </c>
      <c r="G334" t="inlineStr">
        <is>
          <t>首创证券</t>
        </is>
      </c>
      <c r="H334" t="inlineStr">
        <is>
          <t>国开证券</t>
        </is>
      </c>
      <c r="I334" t="inlineStr">
        <is>
          <t>兴业北分</t>
        </is>
      </c>
      <c r="J334" t="n">
        <v>10</v>
      </c>
      <c r="K334" t="inlineStr">
        <is>
          <t>12+6+15+3</t>
        </is>
      </c>
      <c r="L334" s="309" t="n">
        <v>46107</v>
      </c>
      <c r="M334" t="n">
        <v>0.015</v>
      </c>
      <c r="N334" t="n">
        <v>0.0191</v>
      </c>
      <c r="O334" t="n">
        <v>2.34</v>
      </c>
      <c r="P334" t="inlineStr">
        <is>
          <t>优先A</t>
        </is>
      </c>
      <c r="Q334" t="n">
        <v>0.9</v>
      </c>
      <c r="R334" t="n">
        <v>9</v>
      </c>
      <c r="S334" t="inlineStr">
        <is>
          <t>AAA</t>
        </is>
      </c>
      <c r="T334" t="n">
        <v>0.0168</v>
      </c>
      <c r="U334" s="235" t="inlineStr">
        <is>
          <t>兴银理财</t>
        </is>
      </c>
      <c r="V334" s="308" t="n">
        <v>2.2</v>
      </c>
    </row>
    <row r="335">
      <c r="A335" t="n">
        <v>30</v>
      </c>
      <c r="B335" t="inlineStr">
        <is>
          <t>3月</t>
        </is>
      </c>
      <c r="C335" t="inlineStr">
        <is>
          <t>消金</t>
        </is>
      </c>
      <c r="D335" t="inlineStr">
        <is>
          <t>赊销白条</t>
        </is>
      </c>
      <c r="E335" t="inlineStr">
        <is>
          <t>东道19-2（可续发）</t>
        </is>
      </c>
      <c r="F335" t="inlineStr">
        <is>
          <t>深交所</t>
        </is>
      </c>
      <c r="G335" t="inlineStr">
        <is>
          <t>首创证券</t>
        </is>
      </c>
      <c r="H335" t="inlineStr">
        <is>
          <t>国开证券</t>
        </is>
      </c>
      <c r="I335" t="inlineStr">
        <is>
          <t>兴业北分</t>
        </is>
      </c>
      <c r="J335" t="n">
        <v>10</v>
      </c>
      <c r="K335" t="inlineStr">
        <is>
          <t>12+6+15+3</t>
        </is>
      </c>
      <c r="L335" s="309" t="n">
        <v>46107</v>
      </c>
      <c r="M335" t="n">
        <v>0.015</v>
      </c>
      <c r="N335" t="n">
        <v>0.0191</v>
      </c>
      <c r="O335" t="n">
        <v>2.34</v>
      </c>
      <c r="P335" t="inlineStr">
        <is>
          <t>优先A</t>
        </is>
      </c>
      <c r="Q335" t="n">
        <v>0.9</v>
      </c>
      <c r="R335" t="n">
        <v>9</v>
      </c>
      <c r="S335" t="inlineStr">
        <is>
          <t>AAA</t>
        </is>
      </c>
      <c r="T335" t="n">
        <v>0.0168</v>
      </c>
      <c r="U335" s="235" t="inlineStr">
        <is>
          <t>招银理财</t>
        </is>
      </c>
      <c r="V335" s="308" t="n">
        <v>2.3</v>
      </c>
    </row>
    <row r="336">
      <c r="A336" t="n">
        <v>30</v>
      </c>
      <c r="B336" t="inlineStr">
        <is>
          <t>3月</t>
        </is>
      </c>
      <c r="C336" t="inlineStr">
        <is>
          <t>消金</t>
        </is>
      </c>
      <c r="D336" t="inlineStr">
        <is>
          <t>赊销白条</t>
        </is>
      </c>
      <c r="E336" t="inlineStr">
        <is>
          <t>东道19-2（可续发）</t>
        </is>
      </c>
      <c r="F336" t="inlineStr">
        <is>
          <t>深交所</t>
        </is>
      </c>
      <c r="G336" t="inlineStr">
        <is>
          <t>首创证券</t>
        </is>
      </c>
      <c r="H336" t="inlineStr">
        <is>
          <t>国开证券</t>
        </is>
      </c>
      <c r="I336" t="inlineStr">
        <is>
          <t>兴业北分</t>
        </is>
      </c>
      <c r="J336" t="n">
        <v>10</v>
      </c>
      <c r="K336" t="inlineStr">
        <is>
          <t>12+6+15+3</t>
        </is>
      </c>
      <c r="L336" s="309" t="n">
        <v>46107</v>
      </c>
      <c r="M336" t="n">
        <v>0.015</v>
      </c>
      <c r="N336" t="n">
        <v>0.0191</v>
      </c>
      <c r="O336" t="n">
        <v>2.34</v>
      </c>
      <c r="P336" t="inlineStr">
        <is>
          <t>优先A</t>
        </is>
      </c>
      <c r="Q336" t="n">
        <v>0.9</v>
      </c>
      <c r="R336" t="n">
        <v>9</v>
      </c>
      <c r="S336" t="inlineStr">
        <is>
          <t>AAA</t>
        </is>
      </c>
      <c r="T336" t="n">
        <v>0.0168</v>
      </c>
      <c r="U336" s="235" t="inlineStr">
        <is>
          <t>中银理财</t>
        </is>
      </c>
      <c r="V336" s="308" t="n">
        <v>0.8100000000000001</v>
      </c>
    </row>
    <row r="337">
      <c r="A337" t="n">
        <v>30</v>
      </c>
      <c r="B337" t="inlineStr">
        <is>
          <t>3月</t>
        </is>
      </c>
      <c r="C337" t="inlineStr">
        <is>
          <t>消金</t>
        </is>
      </c>
      <c r="D337" t="inlineStr">
        <is>
          <t>赊销白条</t>
        </is>
      </c>
      <c r="E337" t="inlineStr">
        <is>
          <t>东道19-2（可续发）</t>
        </is>
      </c>
      <c r="F337" t="inlineStr">
        <is>
          <t>深交所</t>
        </is>
      </c>
      <c r="G337" t="inlineStr">
        <is>
          <t>首创证券</t>
        </is>
      </c>
      <c r="H337" t="inlineStr">
        <is>
          <t>国开证券</t>
        </is>
      </c>
      <c r="I337" t="inlineStr">
        <is>
          <t>兴业北分</t>
        </is>
      </c>
      <c r="J337" t="n">
        <v>10</v>
      </c>
      <c r="K337" t="inlineStr">
        <is>
          <t>12+6+15+3</t>
        </is>
      </c>
      <c r="L337" s="309" t="n">
        <v>46107</v>
      </c>
      <c r="M337" t="n">
        <v>0.015</v>
      </c>
      <c r="N337" t="n">
        <v>0.0191</v>
      </c>
      <c r="O337" t="n">
        <v>2.34</v>
      </c>
      <c r="P337" t="inlineStr">
        <is>
          <t>优先A</t>
        </is>
      </c>
      <c r="Q337" t="n">
        <v>0.9</v>
      </c>
      <c r="R337" t="n">
        <v>9</v>
      </c>
      <c r="S337" t="inlineStr">
        <is>
          <t>AAA</t>
        </is>
      </c>
      <c r="T337" t="n">
        <v>0.0168</v>
      </c>
      <c r="U337" s="235" t="inlineStr">
        <is>
          <t>建信基金</t>
        </is>
      </c>
      <c r="V337" s="308" t="n">
        <v>0.74</v>
      </c>
    </row>
    <row r="338">
      <c r="A338" t="n">
        <v>30</v>
      </c>
      <c r="B338" t="inlineStr">
        <is>
          <t>3月</t>
        </is>
      </c>
      <c r="C338" t="inlineStr">
        <is>
          <t>消金</t>
        </is>
      </c>
      <c r="D338" t="inlineStr">
        <is>
          <t>赊销白条</t>
        </is>
      </c>
      <c r="E338" t="inlineStr">
        <is>
          <t>东道19-2（可续发）</t>
        </is>
      </c>
      <c r="F338" t="inlineStr">
        <is>
          <t>深交所</t>
        </is>
      </c>
      <c r="G338" t="inlineStr">
        <is>
          <t>首创证券</t>
        </is>
      </c>
      <c r="H338" t="inlineStr">
        <is>
          <t>国开证券</t>
        </is>
      </c>
      <c r="I338" t="inlineStr">
        <is>
          <t>兴业北分</t>
        </is>
      </c>
      <c r="J338" t="n">
        <v>10</v>
      </c>
      <c r="K338" t="inlineStr">
        <is>
          <t>12+6+15+3</t>
        </is>
      </c>
      <c r="L338" s="309" t="n">
        <v>46107</v>
      </c>
      <c r="M338" t="n">
        <v>0.015</v>
      </c>
      <c r="N338" t="n">
        <v>0.0191</v>
      </c>
      <c r="O338" t="n">
        <v>2.34</v>
      </c>
      <c r="P338" t="inlineStr">
        <is>
          <t>优先A</t>
        </is>
      </c>
      <c r="Q338" t="n">
        <v>0.9</v>
      </c>
      <c r="R338" t="n">
        <v>9</v>
      </c>
      <c r="S338" t="inlineStr">
        <is>
          <t>AAA</t>
        </is>
      </c>
      <c r="T338" t="n">
        <v>0.0168</v>
      </c>
      <c r="U338" s="235" t="inlineStr">
        <is>
          <t>京东世贸</t>
        </is>
      </c>
      <c r="V338" s="308" t="n">
        <v>0.45</v>
      </c>
    </row>
    <row r="339">
      <c r="A339" t="n">
        <v>30</v>
      </c>
      <c r="B339" t="inlineStr">
        <is>
          <t>3月</t>
        </is>
      </c>
      <c r="C339" t="inlineStr">
        <is>
          <t>消金</t>
        </is>
      </c>
      <c r="D339" t="inlineStr">
        <is>
          <t>赊销白条</t>
        </is>
      </c>
      <c r="E339" t="inlineStr">
        <is>
          <t>东道19-2（可续发）</t>
        </is>
      </c>
      <c r="F339" t="inlineStr">
        <is>
          <t>深交所</t>
        </is>
      </c>
      <c r="G339" t="inlineStr">
        <is>
          <t>首创证券</t>
        </is>
      </c>
      <c r="H339" t="inlineStr">
        <is>
          <t>国开证券</t>
        </is>
      </c>
      <c r="I339" t="inlineStr">
        <is>
          <t>兴业北分</t>
        </is>
      </c>
      <c r="J339" t="n">
        <v>10</v>
      </c>
      <c r="K339" t="inlineStr">
        <is>
          <t>12+6+15+3</t>
        </is>
      </c>
      <c r="L339" s="309" t="n">
        <v>46107</v>
      </c>
      <c r="M339" t="n">
        <v>0.015</v>
      </c>
      <c r="N339" t="n">
        <v>0.0191</v>
      </c>
      <c r="O339" t="n">
        <v>2.34</v>
      </c>
      <c r="P339" s="235" t="inlineStr">
        <is>
          <t>优先B</t>
        </is>
      </c>
      <c r="Q339" s="236" t="n">
        <v>0.03</v>
      </c>
      <c r="R339" s="307" t="n">
        <v>0.3</v>
      </c>
      <c r="S339" s="235" t="inlineStr">
        <is>
          <t>AA+</t>
        </is>
      </c>
      <c r="T339" s="236" t="n">
        <v>0.0185</v>
      </c>
      <c r="U339" s="235" t="inlineStr">
        <is>
          <t>招银理财</t>
        </is>
      </c>
      <c r="V339" s="308" t="n">
        <v>0.9</v>
      </c>
    </row>
    <row r="340">
      <c r="A340" t="n">
        <v>30</v>
      </c>
      <c r="B340" t="inlineStr">
        <is>
          <t>3月</t>
        </is>
      </c>
      <c r="C340" t="inlineStr">
        <is>
          <t>消金</t>
        </is>
      </c>
      <c r="D340" t="inlineStr">
        <is>
          <t>赊销白条</t>
        </is>
      </c>
      <c r="E340" t="inlineStr">
        <is>
          <t>东道19-2（可续发）</t>
        </is>
      </c>
      <c r="F340" t="inlineStr">
        <is>
          <t>深交所</t>
        </is>
      </c>
      <c r="G340" t="inlineStr">
        <is>
          <t>首创证券</t>
        </is>
      </c>
      <c r="H340" t="inlineStr">
        <is>
          <t>国开证券</t>
        </is>
      </c>
      <c r="I340" t="inlineStr">
        <is>
          <t>兴业北分</t>
        </is>
      </c>
      <c r="J340" t="n">
        <v>10</v>
      </c>
      <c r="K340" t="inlineStr">
        <is>
          <t>12+6+15+3</t>
        </is>
      </c>
      <c r="L340" s="309" t="n">
        <v>46107</v>
      </c>
      <c r="M340" t="n">
        <v>0.015</v>
      </c>
      <c r="N340" t="n">
        <v>0.0191</v>
      </c>
      <c r="O340" t="n">
        <v>2.34</v>
      </c>
      <c r="P340" t="inlineStr">
        <is>
          <t>优先B</t>
        </is>
      </c>
      <c r="Q340" t="n">
        <v>0.03</v>
      </c>
      <c r="R340" t="n">
        <v>0.3</v>
      </c>
      <c r="S340" t="inlineStr">
        <is>
          <t>AA+</t>
        </is>
      </c>
      <c r="T340" t="n">
        <v>0.0185</v>
      </c>
      <c r="U340" s="235" t="inlineStr">
        <is>
          <t>交银理财</t>
        </is>
      </c>
      <c r="V340" s="308" t="n">
        <v>0.9</v>
      </c>
    </row>
    <row r="341">
      <c r="A341" t="n">
        <v>30</v>
      </c>
      <c r="B341" t="inlineStr">
        <is>
          <t>3月</t>
        </is>
      </c>
      <c r="C341" t="inlineStr">
        <is>
          <t>消金</t>
        </is>
      </c>
      <c r="D341" t="inlineStr">
        <is>
          <t>赊销白条</t>
        </is>
      </c>
      <c r="E341" t="inlineStr">
        <is>
          <t>东道19-2（可续发）</t>
        </is>
      </c>
      <c r="F341" t="inlineStr">
        <is>
          <t>深交所</t>
        </is>
      </c>
      <c r="G341" t="inlineStr">
        <is>
          <t>首创证券</t>
        </is>
      </c>
      <c r="H341" t="inlineStr">
        <is>
          <t>国开证券</t>
        </is>
      </c>
      <c r="I341" t="inlineStr">
        <is>
          <t>兴业北分</t>
        </is>
      </c>
      <c r="J341" t="n">
        <v>10</v>
      </c>
      <c r="K341" t="inlineStr">
        <is>
          <t>12+6+15+3</t>
        </is>
      </c>
      <c r="L341" s="309" t="n">
        <v>46107</v>
      </c>
      <c r="M341" t="n">
        <v>0.015</v>
      </c>
      <c r="N341" t="n">
        <v>0.0191</v>
      </c>
      <c r="O341" t="n">
        <v>2.34</v>
      </c>
      <c r="P341" t="inlineStr">
        <is>
          <t>优先B</t>
        </is>
      </c>
      <c r="Q341" t="n">
        <v>0.03</v>
      </c>
      <c r="R341" t="n">
        <v>0.3</v>
      </c>
      <c r="S341" t="inlineStr">
        <is>
          <t>AA+</t>
        </is>
      </c>
      <c r="T341" t="n">
        <v>0.0185</v>
      </c>
      <c r="U341" s="235" t="inlineStr">
        <is>
          <t>首创证券自营</t>
        </is>
      </c>
      <c r="V341" s="308" t="n">
        <v>0.3</v>
      </c>
    </row>
    <row r="342">
      <c r="A342" t="n">
        <v>30</v>
      </c>
      <c r="B342" t="inlineStr">
        <is>
          <t>3月</t>
        </is>
      </c>
      <c r="C342" t="inlineStr">
        <is>
          <t>消金</t>
        </is>
      </c>
      <c r="D342" t="inlineStr">
        <is>
          <t>赊销白条</t>
        </is>
      </c>
      <c r="E342" t="inlineStr">
        <is>
          <t>东道19-2（可续发）</t>
        </is>
      </c>
      <c r="F342" t="inlineStr">
        <is>
          <t>深交所</t>
        </is>
      </c>
      <c r="G342" t="inlineStr">
        <is>
          <t>首创证券</t>
        </is>
      </c>
      <c r="H342" t="inlineStr">
        <is>
          <t>国开证券</t>
        </is>
      </c>
      <c r="I342" t="inlineStr">
        <is>
          <t>兴业北分</t>
        </is>
      </c>
      <c r="J342" t="n">
        <v>10</v>
      </c>
      <c r="K342" t="inlineStr">
        <is>
          <t>12+6+15+3</t>
        </is>
      </c>
      <c r="L342" s="309" t="n">
        <v>46107</v>
      </c>
      <c r="M342" t="n">
        <v>0.015</v>
      </c>
      <c r="N342" t="n">
        <v>0.0191</v>
      </c>
      <c r="O342" t="n">
        <v>2.34</v>
      </c>
      <c r="P342" t="inlineStr">
        <is>
          <t>优先B</t>
        </is>
      </c>
      <c r="Q342" t="n">
        <v>0.03</v>
      </c>
      <c r="R342" t="n">
        <v>0.3</v>
      </c>
      <c r="S342" t="inlineStr">
        <is>
          <t>AA+</t>
        </is>
      </c>
      <c r="T342" t="n">
        <v>0.0185</v>
      </c>
      <c r="U342" s="235" t="inlineStr">
        <is>
          <t>国信证券自营</t>
        </is>
      </c>
      <c r="V342" s="308" t="n">
        <v>0.75</v>
      </c>
    </row>
    <row r="343">
      <c r="A343" t="n">
        <v>30</v>
      </c>
      <c r="B343" t="inlineStr">
        <is>
          <t>3月</t>
        </is>
      </c>
      <c r="C343" t="inlineStr">
        <is>
          <t>消金</t>
        </is>
      </c>
      <c r="D343" t="inlineStr">
        <is>
          <t>赊销白条</t>
        </is>
      </c>
      <c r="E343" t="inlineStr">
        <is>
          <t>东道19-2（可续发）</t>
        </is>
      </c>
      <c r="F343" t="inlineStr">
        <is>
          <t>深交所</t>
        </is>
      </c>
      <c r="G343" t="inlineStr">
        <is>
          <t>首创证券</t>
        </is>
      </c>
      <c r="H343" t="inlineStr">
        <is>
          <t>国开证券</t>
        </is>
      </c>
      <c r="I343" t="inlineStr">
        <is>
          <t>兴业北分</t>
        </is>
      </c>
      <c r="J343" t="n">
        <v>10</v>
      </c>
      <c r="K343" t="inlineStr">
        <is>
          <t>12+6+15+3</t>
        </is>
      </c>
      <c r="L343" s="309" t="n">
        <v>46107</v>
      </c>
      <c r="M343" t="n">
        <v>0.015</v>
      </c>
      <c r="N343" t="n">
        <v>0.0191</v>
      </c>
      <c r="O343" t="n">
        <v>2.34</v>
      </c>
      <c r="P343" t="inlineStr">
        <is>
          <t>优先B</t>
        </is>
      </c>
      <c r="Q343" t="n">
        <v>0.03</v>
      </c>
      <c r="R343" t="n">
        <v>0.3</v>
      </c>
      <c r="S343" t="inlineStr">
        <is>
          <t>AA+</t>
        </is>
      </c>
      <c r="T343" t="n">
        <v>0.0185</v>
      </c>
      <c r="U343" s="235" t="inlineStr">
        <is>
          <t>京东世贸</t>
        </is>
      </c>
      <c r="V343" s="308" t="n">
        <v>0.15</v>
      </c>
    </row>
    <row r="344">
      <c r="A344" t="n">
        <v>30</v>
      </c>
      <c r="B344" t="inlineStr">
        <is>
          <t>3月</t>
        </is>
      </c>
      <c r="C344" t="inlineStr">
        <is>
          <t>消金</t>
        </is>
      </c>
      <c r="D344" t="inlineStr">
        <is>
          <t>赊销白条</t>
        </is>
      </c>
      <c r="E344" t="inlineStr">
        <is>
          <t>东道19-2（可续发）</t>
        </is>
      </c>
      <c r="F344" t="inlineStr">
        <is>
          <t>深交所</t>
        </is>
      </c>
      <c r="G344" t="inlineStr">
        <is>
          <t>首创证券</t>
        </is>
      </c>
      <c r="H344" t="inlineStr">
        <is>
          <t>国开证券</t>
        </is>
      </c>
      <c r="I344" t="inlineStr">
        <is>
          <t>兴业北分</t>
        </is>
      </c>
      <c r="J344" t="n">
        <v>10</v>
      </c>
      <c r="K344" t="inlineStr">
        <is>
          <t>12+6+15+3</t>
        </is>
      </c>
      <c r="L344" s="309" t="n">
        <v>46107</v>
      </c>
      <c r="M344" t="n">
        <v>0.015</v>
      </c>
      <c r="N344" t="n">
        <v>0.0191</v>
      </c>
      <c r="O344" t="n">
        <v>2.34</v>
      </c>
      <c r="P344" s="235" t="inlineStr">
        <is>
          <t>中间级</t>
        </is>
      </c>
      <c r="Q344" s="236" t="n">
        <v>0.02</v>
      </c>
      <c r="R344" s="307" t="n">
        <v>0.2</v>
      </c>
      <c r="S344" s="235" t="inlineStr">
        <is>
          <t>A+</t>
        </is>
      </c>
      <c r="T344" s="236" t="n">
        <v>0.031</v>
      </c>
      <c r="U344" s="235" t="inlineStr">
        <is>
          <t>招银理财</t>
        </is>
      </c>
      <c r="V344" s="308" t="n">
        <v>0.06</v>
      </c>
    </row>
    <row r="345">
      <c r="A345" t="n">
        <v>30</v>
      </c>
      <c r="B345" t="inlineStr">
        <is>
          <t>3月</t>
        </is>
      </c>
      <c r="C345" t="inlineStr">
        <is>
          <t>消金</t>
        </is>
      </c>
      <c r="D345" t="inlineStr">
        <is>
          <t>赊销白条</t>
        </is>
      </c>
      <c r="E345" t="inlineStr">
        <is>
          <t>东道19-2（可续发）</t>
        </is>
      </c>
      <c r="F345" t="inlineStr">
        <is>
          <t>深交所</t>
        </is>
      </c>
      <c r="G345" t="inlineStr">
        <is>
          <t>首创证券</t>
        </is>
      </c>
      <c r="H345" t="inlineStr">
        <is>
          <t>国开证券</t>
        </is>
      </c>
      <c r="I345" t="inlineStr">
        <is>
          <t>兴业北分</t>
        </is>
      </c>
      <c r="J345" t="n">
        <v>10</v>
      </c>
      <c r="K345" t="inlineStr">
        <is>
          <t>12+6+15+3</t>
        </is>
      </c>
      <c r="L345" s="309" t="n">
        <v>46107</v>
      </c>
      <c r="M345" t="n">
        <v>0.015</v>
      </c>
      <c r="N345" t="n">
        <v>0.0191</v>
      </c>
      <c r="O345" t="n">
        <v>2.34</v>
      </c>
      <c r="P345" t="inlineStr">
        <is>
          <t>中间级</t>
        </is>
      </c>
      <c r="Q345" t="n">
        <v>0.02</v>
      </c>
      <c r="R345" t="n">
        <v>0.2</v>
      </c>
      <c r="S345" t="inlineStr">
        <is>
          <t>A+</t>
        </is>
      </c>
      <c r="T345" t="n">
        <v>0.031</v>
      </c>
      <c r="U345" s="235" t="inlineStr">
        <is>
          <t>杭州联合银行</t>
        </is>
      </c>
      <c r="V345" s="308" t="n">
        <v>0.05</v>
      </c>
    </row>
    <row r="346">
      <c r="A346" t="n">
        <v>30</v>
      </c>
      <c r="B346" t="inlineStr">
        <is>
          <t>3月</t>
        </is>
      </c>
      <c r="C346" t="inlineStr">
        <is>
          <t>消金</t>
        </is>
      </c>
      <c r="D346" t="inlineStr">
        <is>
          <t>赊销白条</t>
        </is>
      </c>
      <c r="E346" t="inlineStr">
        <is>
          <t>东道19-2（可续发）</t>
        </is>
      </c>
      <c r="F346" t="inlineStr">
        <is>
          <t>深交所</t>
        </is>
      </c>
      <c r="G346" t="inlineStr">
        <is>
          <t>首创证券</t>
        </is>
      </c>
      <c r="H346" t="inlineStr">
        <is>
          <t>国开证券</t>
        </is>
      </c>
      <c r="I346" t="inlineStr">
        <is>
          <t>兴业北分</t>
        </is>
      </c>
      <c r="J346" t="n">
        <v>10</v>
      </c>
      <c r="K346" t="inlineStr">
        <is>
          <t>12+6+15+3</t>
        </is>
      </c>
      <c r="L346" s="309" t="n">
        <v>46107</v>
      </c>
      <c r="M346" t="n">
        <v>0.015</v>
      </c>
      <c r="N346" t="n">
        <v>0.0191</v>
      </c>
      <c r="O346" t="n">
        <v>2.34</v>
      </c>
      <c r="P346" t="inlineStr">
        <is>
          <t>中间级</t>
        </is>
      </c>
      <c r="Q346" t="n">
        <v>0.02</v>
      </c>
      <c r="R346" t="n">
        <v>0.2</v>
      </c>
      <c r="S346" t="inlineStr">
        <is>
          <t>A+</t>
        </is>
      </c>
      <c r="T346" t="n">
        <v>0.031</v>
      </c>
      <c r="U346" s="235" t="inlineStr">
        <is>
          <t>华宝证券资管</t>
        </is>
      </c>
      <c r="V346" s="308" t="n">
        <v>0.08</v>
      </c>
    </row>
    <row r="347">
      <c r="A347" t="n">
        <v>30</v>
      </c>
      <c r="B347" t="inlineStr">
        <is>
          <t>3月</t>
        </is>
      </c>
      <c r="C347" t="inlineStr">
        <is>
          <t>消金</t>
        </is>
      </c>
      <c r="D347" t="inlineStr">
        <is>
          <t>赊销白条</t>
        </is>
      </c>
      <c r="E347" t="inlineStr">
        <is>
          <t>东道19-2（可续发）</t>
        </is>
      </c>
      <c r="F347" t="inlineStr">
        <is>
          <t>深交所</t>
        </is>
      </c>
      <c r="G347" t="inlineStr">
        <is>
          <t>首创证券</t>
        </is>
      </c>
      <c r="H347" t="inlineStr">
        <is>
          <t>国开证券</t>
        </is>
      </c>
      <c r="I347" t="inlineStr">
        <is>
          <t>兴业北分</t>
        </is>
      </c>
      <c r="J347" t="n">
        <v>10</v>
      </c>
      <c r="K347" t="inlineStr">
        <is>
          <t>12+6+15+3</t>
        </is>
      </c>
      <c r="L347" s="309" t="n">
        <v>46107</v>
      </c>
      <c r="M347" t="n">
        <v>0.015</v>
      </c>
      <c r="N347" t="n">
        <v>0.0191</v>
      </c>
      <c r="O347" t="n">
        <v>2.34</v>
      </c>
      <c r="P347" t="inlineStr">
        <is>
          <t>中间级</t>
        </is>
      </c>
      <c r="Q347" t="n">
        <v>0.02</v>
      </c>
      <c r="R347" t="n">
        <v>0.2</v>
      </c>
      <c r="S347" t="inlineStr">
        <is>
          <t>A+</t>
        </is>
      </c>
      <c r="T347" t="n">
        <v>0.031</v>
      </c>
      <c r="U347" s="235" t="inlineStr">
        <is>
          <t>京东世贸</t>
        </is>
      </c>
      <c r="V347" s="308" t="n">
        <v>0.01</v>
      </c>
    </row>
    <row r="348">
      <c r="A348" t="n">
        <v>30</v>
      </c>
      <c r="B348" t="inlineStr">
        <is>
          <t>3月</t>
        </is>
      </c>
      <c r="C348" t="inlineStr">
        <is>
          <t>消金</t>
        </is>
      </c>
      <c r="D348" t="inlineStr">
        <is>
          <t>赊销白条</t>
        </is>
      </c>
      <c r="E348" t="inlineStr">
        <is>
          <t>东道19-2（可续发）</t>
        </is>
      </c>
      <c r="F348" t="inlineStr">
        <is>
          <t>深交所</t>
        </is>
      </c>
      <c r="G348" t="inlineStr">
        <is>
          <t>首创证券</t>
        </is>
      </c>
      <c r="H348" t="inlineStr">
        <is>
          <t>国开证券</t>
        </is>
      </c>
      <c r="I348" t="inlineStr">
        <is>
          <t>兴业北分</t>
        </is>
      </c>
      <c r="J348" t="n">
        <v>10</v>
      </c>
      <c r="K348" t="inlineStr">
        <is>
          <t>12+6+15+3</t>
        </is>
      </c>
      <c r="L348" s="309" t="n">
        <v>46107</v>
      </c>
      <c r="M348" t="n">
        <v>0.015</v>
      </c>
      <c r="N348" t="n">
        <v>0.0191</v>
      </c>
      <c r="O348" t="n">
        <v>2.34</v>
      </c>
      <c r="P348" s="235" t="inlineStr">
        <is>
          <t>次级</t>
        </is>
      </c>
      <c r="Q348" s="236" t="n">
        <v>0.05</v>
      </c>
      <c r="R348" s="307" t="n">
        <v>0.5</v>
      </c>
      <c r="S348" s="235" t="inlineStr">
        <is>
          <t>无</t>
        </is>
      </c>
      <c r="T348" s="236" t="n">
        <v>0.045</v>
      </c>
      <c r="U348" s="235" t="inlineStr">
        <is>
          <t>员工理财</t>
        </is>
      </c>
      <c r="V348" s="308" t="n">
        <v>0.5</v>
      </c>
    </row>
    <row r="349">
      <c r="A349" s="223" t="n">
        <v>31</v>
      </c>
      <c r="B349" s="305" t="inlineStr">
        <is>
          <t>3月</t>
        </is>
      </c>
      <c r="C349" s="305" t="inlineStr">
        <is>
          <t>消金</t>
        </is>
      </c>
      <c r="D349" s="305" t="inlineStr">
        <is>
          <t>赊销白条</t>
        </is>
      </c>
      <c r="E349" s="305" t="inlineStr">
        <is>
          <t>东道19-3（可续发）</t>
        </is>
      </c>
      <c r="F349" s="305" t="inlineStr">
        <is>
          <t>深交所</t>
        </is>
      </c>
      <c r="G349" s="305" t="inlineStr">
        <is>
          <t>首创证券</t>
        </is>
      </c>
      <c r="H349" s="305" t="inlineStr">
        <is>
          <t>申万宏源</t>
        </is>
      </c>
      <c r="I349" s="305" t="inlineStr">
        <is>
          <t>中银北分</t>
        </is>
      </c>
      <c r="J349" s="245" t="n">
        <v>10</v>
      </c>
      <c r="K349" s="305" t="inlineStr">
        <is>
          <t>12+6+15+3</t>
        </is>
      </c>
      <c r="L349" s="246" t="n">
        <v>46107</v>
      </c>
      <c r="M349" s="247" t="n">
        <v>0.015</v>
      </c>
      <c r="N349" s="247" t="n">
        <v>0.0191</v>
      </c>
      <c r="O349" s="245" t="n">
        <v>2.87</v>
      </c>
      <c r="P349" s="235" t="inlineStr">
        <is>
          <t>优先A</t>
        </is>
      </c>
      <c r="Q349" s="236" t="n">
        <v>0.9</v>
      </c>
      <c r="R349" s="307" t="n">
        <v>9</v>
      </c>
      <c r="S349" s="235" t="inlineStr">
        <is>
          <t>AAA</t>
        </is>
      </c>
      <c r="T349" s="236" t="n">
        <v>0.0168</v>
      </c>
      <c r="U349" s="235" t="inlineStr">
        <is>
          <t>工银理财</t>
        </is>
      </c>
      <c r="V349" s="308" t="n">
        <v>2.5</v>
      </c>
    </row>
    <row r="350">
      <c r="A350" t="n">
        <v>31</v>
      </c>
      <c r="B350" t="inlineStr">
        <is>
          <t>3月</t>
        </is>
      </c>
      <c r="C350" t="inlineStr">
        <is>
          <t>消金</t>
        </is>
      </c>
      <c r="D350" t="inlineStr">
        <is>
          <t>赊销白条</t>
        </is>
      </c>
      <c r="E350" t="inlineStr">
        <is>
          <t>东道19-3（可续发）</t>
        </is>
      </c>
      <c r="F350" t="inlineStr">
        <is>
          <t>深交所</t>
        </is>
      </c>
      <c r="G350" t="inlineStr">
        <is>
          <t>首创证券</t>
        </is>
      </c>
      <c r="H350" t="inlineStr">
        <is>
          <t>申万宏源</t>
        </is>
      </c>
      <c r="I350" t="inlineStr">
        <is>
          <t>中银北分</t>
        </is>
      </c>
      <c r="J350" t="n">
        <v>10</v>
      </c>
      <c r="K350" t="inlineStr">
        <is>
          <t>12+6+15+3</t>
        </is>
      </c>
      <c r="L350" s="309" t="n">
        <v>46107</v>
      </c>
      <c r="M350" t="n">
        <v>0.015</v>
      </c>
      <c r="N350" t="n">
        <v>0.0191</v>
      </c>
      <c r="O350" t="n">
        <v>2.87</v>
      </c>
      <c r="P350" t="inlineStr">
        <is>
          <t>优先A</t>
        </is>
      </c>
      <c r="Q350" t="n">
        <v>0.9</v>
      </c>
      <c r="R350" t="n">
        <v>9</v>
      </c>
      <c r="S350" t="inlineStr">
        <is>
          <t>AAA</t>
        </is>
      </c>
      <c r="T350" t="n">
        <v>0.0168</v>
      </c>
      <c r="U350" s="235" t="inlineStr">
        <is>
          <t>招银理财</t>
        </is>
      </c>
      <c r="V350" s="308" t="n">
        <v>2.7</v>
      </c>
    </row>
    <row r="351">
      <c r="A351" t="n">
        <v>31</v>
      </c>
      <c r="B351" t="inlineStr">
        <is>
          <t>3月</t>
        </is>
      </c>
      <c r="C351" t="inlineStr">
        <is>
          <t>消金</t>
        </is>
      </c>
      <c r="D351" t="inlineStr">
        <is>
          <t>赊销白条</t>
        </is>
      </c>
      <c r="E351" t="inlineStr">
        <is>
          <t>东道19-3（可续发）</t>
        </is>
      </c>
      <c r="F351" t="inlineStr">
        <is>
          <t>深交所</t>
        </is>
      </c>
      <c r="G351" t="inlineStr">
        <is>
          <t>首创证券</t>
        </is>
      </c>
      <c r="H351" t="inlineStr">
        <is>
          <t>申万宏源</t>
        </is>
      </c>
      <c r="I351" t="inlineStr">
        <is>
          <t>中银北分</t>
        </is>
      </c>
      <c r="J351" t="n">
        <v>10</v>
      </c>
      <c r="K351" t="inlineStr">
        <is>
          <t>12+6+15+3</t>
        </is>
      </c>
      <c r="L351" s="309" t="n">
        <v>46107</v>
      </c>
      <c r="M351" t="n">
        <v>0.015</v>
      </c>
      <c r="N351" t="n">
        <v>0.0191</v>
      </c>
      <c r="O351" t="n">
        <v>2.87</v>
      </c>
      <c r="P351" t="inlineStr">
        <is>
          <t>优先A</t>
        </is>
      </c>
      <c r="Q351" t="n">
        <v>0.9</v>
      </c>
      <c r="R351" t="n">
        <v>9</v>
      </c>
      <c r="S351" t="inlineStr">
        <is>
          <t>AAA</t>
        </is>
      </c>
      <c r="T351" t="n">
        <v>0.0168</v>
      </c>
      <c r="U351" s="235" t="inlineStr">
        <is>
          <t>兴银理财</t>
        </is>
      </c>
      <c r="V351" s="308" t="n">
        <v>2.2</v>
      </c>
    </row>
    <row r="352">
      <c r="A352" t="n">
        <v>31</v>
      </c>
      <c r="B352" t="inlineStr">
        <is>
          <t>3月</t>
        </is>
      </c>
      <c r="C352" t="inlineStr">
        <is>
          <t>消金</t>
        </is>
      </c>
      <c r="D352" t="inlineStr">
        <is>
          <t>赊销白条</t>
        </is>
      </c>
      <c r="E352" t="inlineStr">
        <is>
          <t>东道19-3（可续发）</t>
        </is>
      </c>
      <c r="F352" t="inlineStr">
        <is>
          <t>深交所</t>
        </is>
      </c>
      <c r="G352" t="inlineStr">
        <is>
          <t>首创证券</t>
        </is>
      </c>
      <c r="H352" t="inlineStr">
        <is>
          <t>申万宏源</t>
        </is>
      </c>
      <c r="I352" t="inlineStr">
        <is>
          <t>中银北分</t>
        </is>
      </c>
      <c r="J352" t="n">
        <v>10</v>
      </c>
      <c r="K352" t="inlineStr">
        <is>
          <t>12+6+15+3</t>
        </is>
      </c>
      <c r="L352" s="309" t="n">
        <v>46107</v>
      </c>
      <c r="M352" t="n">
        <v>0.015</v>
      </c>
      <c r="N352" t="n">
        <v>0.0191</v>
      </c>
      <c r="O352" t="n">
        <v>2.87</v>
      </c>
      <c r="P352" t="inlineStr">
        <is>
          <t>优先A</t>
        </is>
      </c>
      <c r="Q352" t="n">
        <v>0.9</v>
      </c>
      <c r="R352" t="n">
        <v>9</v>
      </c>
      <c r="S352" t="inlineStr">
        <is>
          <t>AAA</t>
        </is>
      </c>
      <c r="T352" t="n">
        <v>0.0168</v>
      </c>
      <c r="U352" s="235" t="inlineStr">
        <is>
          <t>交银理财</t>
        </is>
      </c>
      <c r="V352" s="308" t="n">
        <v>0.24</v>
      </c>
    </row>
    <row r="353">
      <c r="A353" t="n">
        <v>31</v>
      </c>
      <c r="B353" t="inlineStr">
        <is>
          <t>3月</t>
        </is>
      </c>
      <c r="C353" t="inlineStr">
        <is>
          <t>消金</t>
        </is>
      </c>
      <c r="D353" t="inlineStr">
        <is>
          <t>赊销白条</t>
        </is>
      </c>
      <c r="E353" t="inlineStr">
        <is>
          <t>东道19-3（可续发）</t>
        </is>
      </c>
      <c r="F353" t="inlineStr">
        <is>
          <t>深交所</t>
        </is>
      </c>
      <c r="G353" t="inlineStr">
        <is>
          <t>首创证券</t>
        </is>
      </c>
      <c r="H353" t="inlineStr">
        <is>
          <t>申万宏源</t>
        </is>
      </c>
      <c r="I353" t="inlineStr">
        <is>
          <t>中银北分</t>
        </is>
      </c>
      <c r="J353" t="n">
        <v>10</v>
      </c>
      <c r="K353" t="inlineStr">
        <is>
          <t>12+6+15+3</t>
        </is>
      </c>
      <c r="L353" s="309" t="n">
        <v>46107</v>
      </c>
      <c r="M353" t="n">
        <v>0.015</v>
      </c>
      <c r="N353" t="n">
        <v>0.0191</v>
      </c>
      <c r="O353" t="n">
        <v>2.87</v>
      </c>
      <c r="P353" t="inlineStr">
        <is>
          <t>优先A</t>
        </is>
      </c>
      <c r="Q353" t="n">
        <v>0.9</v>
      </c>
      <c r="R353" t="n">
        <v>9</v>
      </c>
      <c r="S353" t="inlineStr">
        <is>
          <t>AAA</t>
        </is>
      </c>
      <c r="T353" t="n">
        <v>0.0168</v>
      </c>
      <c r="U353" s="235" t="inlineStr">
        <is>
          <t>中银理财</t>
        </is>
      </c>
      <c r="V353" s="308" t="n">
        <v>0.48</v>
      </c>
    </row>
    <row r="354">
      <c r="A354" t="n">
        <v>31</v>
      </c>
      <c r="B354" t="inlineStr">
        <is>
          <t>3月</t>
        </is>
      </c>
      <c r="C354" t="inlineStr">
        <is>
          <t>消金</t>
        </is>
      </c>
      <c r="D354" t="inlineStr">
        <is>
          <t>赊销白条</t>
        </is>
      </c>
      <c r="E354" t="inlineStr">
        <is>
          <t>东道19-3（可续发）</t>
        </is>
      </c>
      <c r="F354" t="inlineStr">
        <is>
          <t>深交所</t>
        </is>
      </c>
      <c r="G354" t="inlineStr">
        <is>
          <t>首创证券</t>
        </is>
      </c>
      <c r="H354" t="inlineStr">
        <is>
          <t>申万宏源</t>
        </is>
      </c>
      <c r="I354" t="inlineStr">
        <is>
          <t>中银北分</t>
        </is>
      </c>
      <c r="J354" t="n">
        <v>10</v>
      </c>
      <c r="K354" t="inlineStr">
        <is>
          <t>12+6+15+3</t>
        </is>
      </c>
      <c r="L354" s="309" t="n">
        <v>46107</v>
      </c>
      <c r="M354" t="n">
        <v>0.015</v>
      </c>
      <c r="N354" t="n">
        <v>0.0191</v>
      </c>
      <c r="O354" t="n">
        <v>2.87</v>
      </c>
      <c r="P354" t="inlineStr">
        <is>
          <t>优先A</t>
        </is>
      </c>
      <c r="Q354" t="n">
        <v>0.9</v>
      </c>
      <c r="R354" t="n">
        <v>9</v>
      </c>
      <c r="S354" t="inlineStr">
        <is>
          <t>AAA</t>
        </is>
      </c>
      <c r="T354" t="n">
        <v>0.0168</v>
      </c>
      <c r="U354" s="235" t="inlineStr">
        <is>
          <t>建信基金</t>
        </is>
      </c>
      <c r="V354" s="308" t="n">
        <v>0.43</v>
      </c>
    </row>
    <row r="355">
      <c r="A355" t="n">
        <v>31</v>
      </c>
      <c r="B355" t="inlineStr">
        <is>
          <t>3月</t>
        </is>
      </c>
      <c r="C355" t="inlineStr">
        <is>
          <t>消金</t>
        </is>
      </c>
      <c r="D355" t="inlineStr">
        <is>
          <t>赊销白条</t>
        </is>
      </c>
      <c r="E355" t="inlineStr">
        <is>
          <t>东道19-3（可续发）</t>
        </is>
      </c>
      <c r="F355" t="inlineStr">
        <is>
          <t>深交所</t>
        </is>
      </c>
      <c r="G355" t="inlineStr">
        <is>
          <t>首创证券</t>
        </is>
      </c>
      <c r="H355" t="inlineStr">
        <is>
          <t>申万宏源</t>
        </is>
      </c>
      <c r="I355" t="inlineStr">
        <is>
          <t>中银北分</t>
        </is>
      </c>
      <c r="J355" t="n">
        <v>10</v>
      </c>
      <c r="K355" t="inlineStr">
        <is>
          <t>12+6+15+3</t>
        </is>
      </c>
      <c r="L355" s="309" t="n">
        <v>46107</v>
      </c>
      <c r="M355" t="n">
        <v>0.015</v>
      </c>
      <c r="N355" t="n">
        <v>0.0191</v>
      </c>
      <c r="O355" t="n">
        <v>2.87</v>
      </c>
      <c r="P355" t="inlineStr">
        <is>
          <t>优先A</t>
        </is>
      </c>
      <c r="Q355" t="n">
        <v>0.9</v>
      </c>
      <c r="R355" t="n">
        <v>9</v>
      </c>
      <c r="S355" t="inlineStr">
        <is>
          <t>AAA</t>
        </is>
      </c>
      <c r="T355" t="n">
        <v>0.0168</v>
      </c>
      <c r="U355" s="235" t="inlineStr">
        <is>
          <t>京东世贸</t>
        </is>
      </c>
      <c r="V355" s="308" t="n">
        <v>0.15</v>
      </c>
    </row>
    <row r="356">
      <c r="A356" t="n">
        <v>31</v>
      </c>
      <c r="B356" t="inlineStr">
        <is>
          <t>3月</t>
        </is>
      </c>
      <c r="C356" t="inlineStr">
        <is>
          <t>消金</t>
        </is>
      </c>
      <c r="D356" t="inlineStr">
        <is>
          <t>赊销白条</t>
        </is>
      </c>
      <c r="E356" t="inlineStr">
        <is>
          <t>东道19-3（可续发）</t>
        </is>
      </c>
      <c r="F356" t="inlineStr">
        <is>
          <t>深交所</t>
        </is>
      </c>
      <c r="G356" t="inlineStr">
        <is>
          <t>首创证券</t>
        </is>
      </c>
      <c r="H356" t="inlineStr">
        <is>
          <t>申万宏源</t>
        </is>
      </c>
      <c r="I356" t="inlineStr">
        <is>
          <t>中银北分</t>
        </is>
      </c>
      <c r="J356" t="n">
        <v>10</v>
      </c>
      <c r="K356" t="inlineStr">
        <is>
          <t>12+6+15+3</t>
        </is>
      </c>
      <c r="L356" s="309" t="n">
        <v>46107</v>
      </c>
      <c r="M356" t="n">
        <v>0.015</v>
      </c>
      <c r="N356" t="n">
        <v>0.0191</v>
      </c>
      <c r="O356" t="n">
        <v>2.87</v>
      </c>
      <c r="P356" s="235" t="inlineStr">
        <is>
          <t>优先B</t>
        </is>
      </c>
      <c r="Q356" s="236" t="n">
        <v>0.03</v>
      </c>
      <c r="R356" s="307" t="n">
        <v>0.3</v>
      </c>
      <c r="S356" s="235" t="inlineStr">
        <is>
          <t>AA+</t>
        </is>
      </c>
      <c r="T356" s="236" t="n">
        <v>0.0185</v>
      </c>
      <c r="U356" s="235" t="inlineStr">
        <is>
          <t>招银理财</t>
        </is>
      </c>
      <c r="V356" s="308" t="n">
        <v>0.09</v>
      </c>
    </row>
    <row r="357">
      <c r="A357" t="n">
        <v>31</v>
      </c>
      <c r="B357" t="inlineStr">
        <is>
          <t>3月</t>
        </is>
      </c>
      <c r="C357" t="inlineStr">
        <is>
          <t>消金</t>
        </is>
      </c>
      <c r="D357" t="inlineStr">
        <is>
          <t>赊销白条</t>
        </is>
      </c>
      <c r="E357" t="inlineStr">
        <is>
          <t>东道19-3（可续发）</t>
        </is>
      </c>
      <c r="F357" t="inlineStr">
        <is>
          <t>深交所</t>
        </is>
      </c>
      <c r="G357" t="inlineStr">
        <is>
          <t>首创证券</t>
        </is>
      </c>
      <c r="H357" t="inlineStr">
        <is>
          <t>申万宏源</t>
        </is>
      </c>
      <c r="I357" t="inlineStr">
        <is>
          <t>中银北分</t>
        </is>
      </c>
      <c r="J357" t="n">
        <v>10</v>
      </c>
      <c r="K357" t="inlineStr">
        <is>
          <t>12+6+15+3</t>
        </is>
      </c>
      <c r="L357" s="309" t="n">
        <v>46107</v>
      </c>
      <c r="M357" t="n">
        <v>0.015</v>
      </c>
      <c r="N357" t="n">
        <v>0.0191</v>
      </c>
      <c r="O357" t="n">
        <v>2.87</v>
      </c>
      <c r="P357" t="inlineStr">
        <is>
          <t>优先B</t>
        </is>
      </c>
      <c r="Q357" t="n">
        <v>0.03</v>
      </c>
      <c r="R357" t="n">
        <v>0.3</v>
      </c>
      <c r="S357" t="inlineStr">
        <is>
          <t>AA+</t>
        </is>
      </c>
      <c r="T357" t="n">
        <v>0.0185</v>
      </c>
      <c r="U357" s="235" t="inlineStr">
        <is>
          <t>交银理财</t>
        </is>
      </c>
      <c r="V357" s="308" t="n">
        <v>0.09</v>
      </c>
    </row>
    <row r="358">
      <c r="A358" t="n">
        <v>31</v>
      </c>
      <c r="B358" t="inlineStr">
        <is>
          <t>3月</t>
        </is>
      </c>
      <c r="C358" t="inlineStr">
        <is>
          <t>消金</t>
        </is>
      </c>
      <c r="D358" t="inlineStr">
        <is>
          <t>赊销白条</t>
        </is>
      </c>
      <c r="E358" t="inlineStr">
        <is>
          <t>东道19-3（可续发）</t>
        </is>
      </c>
      <c r="F358" t="inlineStr">
        <is>
          <t>深交所</t>
        </is>
      </c>
      <c r="G358" t="inlineStr">
        <is>
          <t>首创证券</t>
        </is>
      </c>
      <c r="H358" t="inlineStr">
        <is>
          <t>申万宏源</t>
        </is>
      </c>
      <c r="I358" t="inlineStr">
        <is>
          <t>中银北分</t>
        </is>
      </c>
      <c r="J358" t="n">
        <v>10</v>
      </c>
      <c r="K358" t="inlineStr">
        <is>
          <t>12+6+15+3</t>
        </is>
      </c>
      <c r="L358" s="309" t="n">
        <v>46107</v>
      </c>
      <c r="M358" t="n">
        <v>0.015</v>
      </c>
      <c r="N358" t="n">
        <v>0.0191</v>
      </c>
      <c r="O358" t="n">
        <v>2.87</v>
      </c>
      <c r="P358" t="inlineStr">
        <is>
          <t>优先B</t>
        </is>
      </c>
      <c r="Q358" t="n">
        <v>0.03</v>
      </c>
      <c r="R358" t="n">
        <v>0.3</v>
      </c>
      <c r="S358" t="inlineStr">
        <is>
          <t>AA+</t>
        </is>
      </c>
      <c r="T358" t="n">
        <v>0.0185</v>
      </c>
      <c r="U358" s="235" t="inlineStr">
        <is>
          <t>首创证券投行</t>
        </is>
      </c>
      <c r="V358" s="308" t="n">
        <v>0.03</v>
      </c>
    </row>
    <row r="359">
      <c r="A359" t="n">
        <v>31</v>
      </c>
      <c r="B359" t="inlineStr">
        <is>
          <t>3月</t>
        </is>
      </c>
      <c r="C359" t="inlineStr">
        <is>
          <t>消金</t>
        </is>
      </c>
      <c r="D359" t="inlineStr">
        <is>
          <t>赊销白条</t>
        </is>
      </c>
      <c r="E359" t="inlineStr">
        <is>
          <t>东道19-3（可续发）</t>
        </is>
      </c>
      <c r="F359" t="inlineStr">
        <is>
          <t>深交所</t>
        </is>
      </c>
      <c r="G359" t="inlineStr">
        <is>
          <t>首创证券</t>
        </is>
      </c>
      <c r="H359" t="inlineStr">
        <is>
          <t>申万宏源</t>
        </is>
      </c>
      <c r="I359" t="inlineStr">
        <is>
          <t>中银北分</t>
        </is>
      </c>
      <c r="J359" t="n">
        <v>10</v>
      </c>
      <c r="K359" t="inlineStr">
        <is>
          <t>12+6+15+3</t>
        </is>
      </c>
      <c r="L359" s="309" t="n">
        <v>46107</v>
      </c>
      <c r="M359" t="n">
        <v>0.015</v>
      </c>
      <c r="N359" t="n">
        <v>0.0191</v>
      </c>
      <c r="O359" t="n">
        <v>2.87</v>
      </c>
      <c r="P359" t="inlineStr">
        <is>
          <t>优先B</t>
        </is>
      </c>
      <c r="Q359" t="n">
        <v>0.03</v>
      </c>
      <c r="R359" t="n">
        <v>0.3</v>
      </c>
      <c r="S359" t="inlineStr">
        <is>
          <t>AA+</t>
        </is>
      </c>
      <c r="T359" t="n">
        <v>0.0185</v>
      </c>
      <c r="U359" s="235" t="inlineStr">
        <is>
          <t>申万宏源投行</t>
        </is>
      </c>
      <c r="V359" s="308" t="n">
        <v>0.04</v>
      </c>
    </row>
    <row r="360">
      <c r="A360" t="n">
        <v>31</v>
      </c>
      <c r="B360" t="inlineStr">
        <is>
          <t>3月</t>
        </is>
      </c>
      <c r="C360" t="inlineStr">
        <is>
          <t>消金</t>
        </is>
      </c>
      <c r="D360" t="inlineStr">
        <is>
          <t>赊销白条</t>
        </is>
      </c>
      <c r="E360" t="inlineStr">
        <is>
          <t>东道19-3（可续发）</t>
        </is>
      </c>
      <c r="F360" t="inlineStr">
        <is>
          <t>深交所</t>
        </is>
      </c>
      <c r="G360" t="inlineStr">
        <is>
          <t>首创证券</t>
        </is>
      </c>
      <c r="H360" t="inlineStr">
        <is>
          <t>申万宏源</t>
        </is>
      </c>
      <c r="I360" t="inlineStr">
        <is>
          <t>中银北分</t>
        </is>
      </c>
      <c r="J360" t="n">
        <v>10</v>
      </c>
      <c r="K360" t="inlineStr">
        <is>
          <t>12+6+15+3</t>
        </is>
      </c>
      <c r="L360" s="309" t="n">
        <v>46107</v>
      </c>
      <c r="M360" t="n">
        <v>0.015</v>
      </c>
      <c r="N360" t="n">
        <v>0.0191</v>
      </c>
      <c r="O360" t="n">
        <v>2.87</v>
      </c>
      <c r="P360" t="inlineStr">
        <is>
          <t>优先B</t>
        </is>
      </c>
      <c r="Q360" t="n">
        <v>0.03</v>
      </c>
      <c r="R360" t="n">
        <v>0.3</v>
      </c>
      <c r="S360" t="inlineStr">
        <is>
          <t>AA+</t>
        </is>
      </c>
      <c r="T360" t="n">
        <v>0.0185</v>
      </c>
      <c r="U360" s="252" t="inlineStr">
        <is>
          <t>华兴证券自营</t>
        </is>
      </c>
      <c r="V360" s="308" t="n">
        <v>0.35</v>
      </c>
    </row>
    <row r="361">
      <c r="A361" t="n">
        <v>31</v>
      </c>
      <c r="B361" t="inlineStr">
        <is>
          <t>3月</t>
        </is>
      </c>
      <c r="C361" t="inlineStr">
        <is>
          <t>消金</t>
        </is>
      </c>
      <c r="D361" t="inlineStr">
        <is>
          <t>赊销白条</t>
        </is>
      </c>
      <c r="E361" t="inlineStr">
        <is>
          <t>东道19-3（可续发）</t>
        </is>
      </c>
      <c r="F361" t="inlineStr">
        <is>
          <t>深交所</t>
        </is>
      </c>
      <c r="G361" t="inlineStr">
        <is>
          <t>首创证券</t>
        </is>
      </c>
      <c r="H361" t="inlineStr">
        <is>
          <t>申万宏源</t>
        </is>
      </c>
      <c r="I361" t="inlineStr">
        <is>
          <t>中银北分</t>
        </is>
      </c>
      <c r="J361" t="n">
        <v>10</v>
      </c>
      <c r="K361" t="inlineStr">
        <is>
          <t>12+6+15+3</t>
        </is>
      </c>
      <c r="L361" s="309" t="n">
        <v>46107</v>
      </c>
      <c r="M361" t="n">
        <v>0.015</v>
      </c>
      <c r="N361" t="n">
        <v>0.0191</v>
      </c>
      <c r="O361" t="n">
        <v>2.87</v>
      </c>
      <c r="P361" s="235" t="inlineStr">
        <is>
          <t>中间级</t>
        </is>
      </c>
      <c r="Q361" s="236" t="n">
        <v>0.02</v>
      </c>
      <c r="R361" s="307" t="n">
        <v>0.2</v>
      </c>
      <c r="S361" s="235" t="inlineStr">
        <is>
          <t>A+</t>
        </is>
      </c>
      <c r="T361" s="236" t="n">
        <v>0.031</v>
      </c>
      <c r="U361" s="235" t="inlineStr">
        <is>
          <t>建投机构部</t>
        </is>
      </c>
      <c r="V361" s="308" t="n">
        <v>0.06</v>
      </c>
    </row>
    <row r="362">
      <c r="A362" t="n">
        <v>31</v>
      </c>
      <c r="B362" t="inlineStr">
        <is>
          <t>3月</t>
        </is>
      </c>
      <c r="C362" t="inlineStr">
        <is>
          <t>消金</t>
        </is>
      </c>
      <c r="D362" t="inlineStr">
        <is>
          <t>赊销白条</t>
        </is>
      </c>
      <c r="E362" t="inlineStr">
        <is>
          <t>东道19-3（可续发）</t>
        </is>
      </c>
      <c r="F362" t="inlineStr">
        <is>
          <t>深交所</t>
        </is>
      </c>
      <c r="G362" t="inlineStr">
        <is>
          <t>首创证券</t>
        </is>
      </c>
      <c r="H362" t="inlineStr">
        <is>
          <t>申万宏源</t>
        </is>
      </c>
      <c r="I362" t="inlineStr">
        <is>
          <t>中银北分</t>
        </is>
      </c>
      <c r="J362" t="n">
        <v>10</v>
      </c>
      <c r="K362" t="inlineStr">
        <is>
          <t>12+6+15+3</t>
        </is>
      </c>
      <c r="L362" s="309" t="n">
        <v>46107</v>
      </c>
      <c r="M362" t="n">
        <v>0.015</v>
      </c>
      <c r="N362" t="n">
        <v>0.0191</v>
      </c>
      <c r="O362" t="n">
        <v>2.87</v>
      </c>
      <c r="P362" t="inlineStr">
        <is>
          <t>中间级</t>
        </is>
      </c>
      <c r="Q362" t="n">
        <v>0.02</v>
      </c>
      <c r="R362" t="n">
        <v>0.2</v>
      </c>
      <c r="S362" t="inlineStr">
        <is>
          <t>A+</t>
        </is>
      </c>
      <c r="T362" t="n">
        <v>0.031</v>
      </c>
      <c r="U362" s="235" t="inlineStr">
        <is>
          <t>中泰证券自营</t>
        </is>
      </c>
      <c r="V362" s="308" t="n">
        <v>0.07000000000000001</v>
      </c>
    </row>
    <row r="363">
      <c r="A363" t="n">
        <v>31</v>
      </c>
      <c r="B363" t="inlineStr">
        <is>
          <t>3月</t>
        </is>
      </c>
      <c r="C363" t="inlineStr">
        <is>
          <t>消金</t>
        </is>
      </c>
      <c r="D363" t="inlineStr">
        <is>
          <t>赊销白条</t>
        </is>
      </c>
      <c r="E363" t="inlineStr">
        <is>
          <t>东道19-3（可续发）</t>
        </is>
      </c>
      <c r="F363" t="inlineStr">
        <is>
          <t>深交所</t>
        </is>
      </c>
      <c r="G363" t="inlineStr">
        <is>
          <t>首创证券</t>
        </is>
      </c>
      <c r="H363" t="inlineStr">
        <is>
          <t>申万宏源</t>
        </is>
      </c>
      <c r="I363" t="inlineStr">
        <is>
          <t>中银北分</t>
        </is>
      </c>
      <c r="J363" t="n">
        <v>10</v>
      </c>
      <c r="K363" t="inlineStr">
        <is>
          <t>12+6+15+3</t>
        </is>
      </c>
      <c r="L363" s="309" t="n">
        <v>46107</v>
      </c>
      <c r="M363" t="n">
        <v>0.015</v>
      </c>
      <c r="N363" t="n">
        <v>0.0191</v>
      </c>
      <c r="O363" t="n">
        <v>2.87</v>
      </c>
      <c r="P363" t="inlineStr">
        <is>
          <t>中间级</t>
        </is>
      </c>
      <c r="Q363" t="n">
        <v>0.02</v>
      </c>
      <c r="R363" t="n">
        <v>0.2</v>
      </c>
      <c r="S363" t="inlineStr">
        <is>
          <t>A+</t>
        </is>
      </c>
      <c r="T363" t="n">
        <v>0.031</v>
      </c>
      <c r="U363" s="235" t="inlineStr">
        <is>
          <t>招银理财</t>
        </is>
      </c>
      <c r="V363" s="308" t="n">
        <v>0.06</v>
      </c>
    </row>
    <row r="364">
      <c r="A364" t="n">
        <v>31</v>
      </c>
      <c r="B364" t="inlineStr">
        <is>
          <t>3月</t>
        </is>
      </c>
      <c r="C364" t="inlineStr">
        <is>
          <t>消金</t>
        </is>
      </c>
      <c r="D364" t="inlineStr">
        <is>
          <t>赊销白条</t>
        </is>
      </c>
      <c r="E364" t="inlineStr">
        <is>
          <t>东道19-3（可续发）</t>
        </is>
      </c>
      <c r="F364" t="inlineStr">
        <is>
          <t>深交所</t>
        </is>
      </c>
      <c r="G364" t="inlineStr">
        <is>
          <t>首创证券</t>
        </is>
      </c>
      <c r="H364" t="inlineStr">
        <is>
          <t>申万宏源</t>
        </is>
      </c>
      <c r="I364" t="inlineStr">
        <is>
          <t>中银北分</t>
        </is>
      </c>
      <c r="J364" t="n">
        <v>10</v>
      </c>
      <c r="K364" t="inlineStr">
        <is>
          <t>12+6+15+3</t>
        </is>
      </c>
      <c r="L364" s="309" t="n">
        <v>46107</v>
      </c>
      <c r="M364" t="n">
        <v>0.015</v>
      </c>
      <c r="N364" t="n">
        <v>0.0191</v>
      </c>
      <c r="O364" t="n">
        <v>2.87</v>
      </c>
      <c r="P364" t="inlineStr">
        <is>
          <t>中间级</t>
        </is>
      </c>
      <c r="Q364" t="n">
        <v>0.02</v>
      </c>
      <c r="R364" t="n">
        <v>0.2</v>
      </c>
      <c r="S364" t="inlineStr">
        <is>
          <t>A+</t>
        </is>
      </c>
      <c r="T364" t="n">
        <v>0.031</v>
      </c>
      <c r="U364" s="235" t="inlineStr">
        <is>
          <t>京东世贸</t>
        </is>
      </c>
      <c r="V364" s="308" t="n">
        <v>0.01</v>
      </c>
    </row>
    <row r="365">
      <c r="A365" t="n">
        <v>31</v>
      </c>
      <c r="B365" t="inlineStr">
        <is>
          <t>3月</t>
        </is>
      </c>
      <c r="C365" t="inlineStr">
        <is>
          <t>消金</t>
        </is>
      </c>
      <c r="D365" t="inlineStr">
        <is>
          <t>赊销白条</t>
        </is>
      </c>
      <c r="E365" t="inlineStr">
        <is>
          <t>东道19-3（可续发）</t>
        </is>
      </c>
      <c r="F365" t="inlineStr">
        <is>
          <t>深交所</t>
        </is>
      </c>
      <c r="G365" t="inlineStr">
        <is>
          <t>首创证券</t>
        </is>
      </c>
      <c r="H365" t="inlineStr">
        <is>
          <t>申万宏源</t>
        </is>
      </c>
      <c r="I365" t="inlineStr">
        <is>
          <t>中银北分</t>
        </is>
      </c>
      <c r="J365" t="n">
        <v>10</v>
      </c>
      <c r="K365" t="inlineStr">
        <is>
          <t>12+6+15+3</t>
        </is>
      </c>
      <c r="L365" s="309" t="n">
        <v>46107</v>
      </c>
      <c r="M365" t="n">
        <v>0.015</v>
      </c>
      <c r="N365" t="n">
        <v>0.0191</v>
      </c>
      <c r="O365" t="n">
        <v>2.87</v>
      </c>
      <c r="P365" s="235" t="inlineStr">
        <is>
          <t>次级</t>
        </is>
      </c>
      <c r="Q365" s="236" t="n">
        <v>0.05</v>
      </c>
      <c r="R365" s="307" t="n">
        <v>0.5</v>
      </c>
      <c r="S365" s="235" t="inlineStr">
        <is>
          <t>无</t>
        </is>
      </c>
      <c r="T365" s="236" t="n">
        <v>0.045</v>
      </c>
      <c r="U365" s="235" t="inlineStr">
        <is>
          <t>建投衍生品</t>
        </is>
      </c>
      <c r="V365" s="308" t="n">
        <v>0.1</v>
      </c>
    </row>
    <row r="366">
      <c r="A366" t="n">
        <v>31</v>
      </c>
      <c r="B366" t="inlineStr">
        <is>
          <t>3月</t>
        </is>
      </c>
      <c r="C366" t="inlineStr">
        <is>
          <t>消金</t>
        </is>
      </c>
      <c r="D366" t="inlineStr">
        <is>
          <t>赊销白条</t>
        </is>
      </c>
      <c r="E366" t="inlineStr">
        <is>
          <t>东道19-3（可续发）</t>
        </is>
      </c>
      <c r="F366" t="inlineStr">
        <is>
          <t>深交所</t>
        </is>
      </c>
      <c r="G366" t="inlineStr">
        <is>
          <t>首创证券</t>
        </is>
      </c>
      <c r="H366" t="inlineStr">
        <is>
          <t>申万宏源</t>
        </is>
      </c>
      <c r="I366" t="inlineStr">
        <is>
          <t>中银北分</t>
        </is>
      </c>
      <c r="J366" t="n">
        <v>10</v>
      </c>
      <c r="K366" t="inlineStr">
        <is>
          <t>12+6+15+3</t>
        </is>
      </c>
      <c r="L366" s="309" t="n">
        <v>46107</v>
      </c>
      <c r="M366" t="n">
        <v>0.015</v>
      </c>
      <c r="N366" t="n">
        <v>0.0191</v>
      </c>
      <c r="O366" t="n">
        <v>2.87</v>
      </c>
      <c r="P366" t="inlineStr">
        <is>
          <t>次级</t>
        </is>
      </c>
      <c r="Q366" t="n">
        <v>0.05</v>
      </c>
      <c r="R366" t="n">
        <v>0.5</v>
      </c>
      <c r="S366" t="inlineStr">
        <is>
          <t>无</t>
        </is>
      </c>
      <c r="T366" t="n">
        <v>0.045</v>
      </c>
      <c r="U366" s="235" t="inlineStr">
        <is>
          <t>德邦证券自营</t>
        </is>
      </c>
      <c r="V366" s="308" t="n">
        <v>0.1</v>
      </c>
    </row>
    <row r="367">
      <c r="A367" t="n">
        <v>31</v>
      </c>
      <c r="B367" t="inlineStr">
        <is>
          <t>3月</t>
        </is>
      </c>
      <c r="C367" t="inlineStr">
        <is>
          <t>消金</t>
        </is>
      </c>
      <c r="D367" t="inlineStr">
        <is>
          <t>赊销白条</t>
        </is>
      </c>
      <c r="E367" t="inlineStr">
        <is>
          <t>东道19-3（可续发）</t>
        </is>
      </c>
      <c r="F367" t="inlineStr">
        <is>
          <t>深交所</t>
        </is>
      </c>
      <c r="G367" t="inlineStr">
        <is>
          <t>首创证券</t>
        </is>
      </c>
      <c r="H367" t="inlineStr">
        <is>
          <t>申万宏源</t>
        </is>
      </c>
      <c r="I367" t="inlineStr">
        <is>
          <t>中银北分</t>
        </is>
      </c>
      <c r="J367" t="n">
        <v>10</v>
      </c>
      <c r="K367" t="inlineStr">
        <is>
          <t>12+6+15+3</t>
        </is>
      </c>
      <c r="L367" s="309" t="n">
        <v>46107</v>
      </c>
      <c r="M367" t="n">
        <v>0.015</v>
      </c>
      <c r="N367" t="n">
        <v>0.0191</v>
      </c>
      <c r="O367" t="n">
        <v>2.87</v>
      </c>
      <c r="P367" t="inlineStr">
        <is>
          <t>次级</t>
        </is>
      </c>
      <c r="Q367" t="n">
        <v>0.05</v>
      </c>
      <c r="R367" t="n">
        <v>0.5</v>
      </c>
      <c r="S367" t="inlineStr">
        <is>
          <t>无</t>
        </is>
      </c>
      <c r="T367" t="n">
        <v>0.045</v>
      </c>
      <c r="U367" s="235" t="inlineStr">
        <is>
          <t>利曦基金</t>
        </is>
      </c>
      <c r="V367" s="308" t="n">
        <v>0.1</v>
      </c>
    </row>
    <row r="368">
      <c r="A368" t="n">
        <v>31</v>
      </c>
      <c r="B368" t="inlineStr">
        <is>
          <t>3月</t>
        </is>
      </c>
      <c r="C368" t="inlineStr">
        <is>
          <t>消金</t>
        </is>
      </c>
      <c r="D368" t="inlineStr">
        <is>
          <t>赊销白条</t>
        </is>
      </c>
      <c r="E368" t="inlineStr">
        <is>
          <t>东道19-3（可续发）</t>
        </is>
      </c>
      <c r="F368" t="inlineStr">
        <is>
          <t>深交所</t>
        </is>
      </c>
      <c r="G368" t="inlineStr">
        <is>
          <t>首创证券</t>
        </is>
      </c>
      <c r="H368" t="inlineStr">
        <is>
          <t>申万宏源</t>
        </is>
      </c>
      <c r="I368" t="inlineStr">
        <is>
          <t>中银北分</t>
        </is>
      </c>
      <c r="J368" t="n">
        <v>10</v>
      </c>
      <c r="K368" t="inlineStr">
        <is>
          <t>12+6+15+3</t>
        </is>
      </c>
      <c r="L368" s="309" t="n">
        <v>46107</v>
      </c>
      <c r="M368" t="n">
        <v>0.015</v>
      </c>
      <c r="N368" t="n">
        <v>0.0191</v>
      </c>
      <c r="O368" t="n">
        <v>2.87</v>
      </c>
      <c r="P368" t="inlineStr">
        <is>
          <t>次级</t>
        </is>
      </c>
      <c r="Q368" t="n">
        <v>0.05</v>
      </c>
      <c r="R368" t="n">
        <v>0.5</v>
      </c>
      <c r="S368" t="inlineStr">
        <is>
          <t>无</t>
        </is>
      </c>
      <c r="T368" t="n">
        <v>0.045</v>
      </c>
      <c r="U368" s="235" t="inlineStr">
        <is>
          <t>华宝证券资管</t>
        </is>
      </c>
      <c r="V368" s="310" t="n">
        <v>0.075</v>
      </c>
    </row>
    <row r="369">
      <c r="A369" t="n">
        <v>31</v>
      </c>
      <c r="B369" t="inlineStr">
        <is>
          <t>3月</t>
        </is>
      </c>
      <c r="C369" t="inlineStr">
        <is>
          <t>消金</t>
        </is>
      </c>
      <c r="D369" t="inlineStr">
        <is>
          <t>赊销白条</t>
        </is>
      </c>
      <c r="E369" t="inlineStr">
        <is>
          <t>东道19-3（可续发）</t>
        </is>
      </c>
      <c r="F369" t="inlineStr">
        <is>
          <t>深交所</t>
        </is>
      </c>
      <c r="G369" t="inlineStr">
        <is>
          <t>首创证券</t>
        </is>
      </c>
      <c r="H369" t="inlineStr">
        <is>
          <t>申万宏源</t>
        </is>
      </c>
      <c r="I369" t="inlineStr">
        <is>
          <t>中银北分</t>
        </is>
      </c>
      <c r="J369" t="n">
        <v>10</v>
      </c>
      <c r="K369" t="inlineStr">
        <is>
          <t>12+6+15+3</t>
        </is>
      </c>
      <c r="L369" s="309" t="n">
        <v>46107</v>
      </c>
      <c r="M369" t="n">
        <v>0.015</v>
      </c>
      <c r="N369" t="n">
        <v>0.0191</v>
      </c>
      <c r="O369" t="n">
        <v>2.87</v>
      </c>
      <c r="P369" t="inlineStr">
        <is>
          <t>次级</t>
        </is>
      </c>
      <c r="Q369" t="n">
        <v>0.05</v>
      </c>
      <c r="R369" t="n">
        <v>0.5</v>
      </c>
      <c r="S369" t="inlineStr">
        <is>
          <t>无</t>
        </is>
      </c>
      <c r="T369" t="n">
        <v>0.045</v>
      </c>
      <c r="U369" s="235" t="inlineStr">
        <is>
          <t>东家铂睿</t>
        </is>
      </c>
      <c r="V369" s="308" t="n">
        <v>0.1</v>
      </c>
    </row>
    <row r="370">
      <c r="A370" s="223" t="n">
        <v>32</v>
      </c>
      <c r="B370" s="305" t="inlineStr">
        <is>
          <t>3月</t>
        </is>
      </c>
      <c r="C370" s="305" t="inlineStr">
        <is>
          <t>消金</t>
        </is>
      </c>
      <c r="D370" s="305" t="inlineStr">
        <is>
          <t>白条取现</t>
        </is>
      </c>
      <c r="E370" s="305" t="inlineStr">
        <is>
          <t>耘睿23-8</t>
        </is>
      </c>
      <c r="F370" s="305" t="inlineStr">
        <is>
          <t>上交所</t>
        </is>
      </c>
      <c r="G370" s="305" t="inlineStr">
        <is>
          <t>中信建投</t>
        </is>
      </c>
      <c r="H370" s="305" t="inlineStr">
        <is>
          <t>兴业证券</t>
        </is>
      </c>
      <c r="I370" s="305" t="inlineStr">
        <is>
          <t>青岛银行总行</t>
        </is>
      </c>
      <c r="J370" s="245" t="n">
        <v>10</v>
      </c>
      <c r="K370" s="305" t="inlineStr">
        <is>
          <t>11+13</t>
        </is>
      </c>
      <c r="L370" s="246" t="n">
        <v>46107</v>
      </c>
      <c r="M370" s="247" t="n">
        <v>0.015</v>
      </c>
      <c r="N370" s="306" t="n">
        <v>0.01992</v>
      </c>
      <c r="O370" s="245" t="n">
        <v>2.97</v>
      </c>
      <c r="P370" s="235" t="inlineStr">
        <is>
          <t>优先A</t>
        </is>
      </c>
      <c r="Q370" s="236" t="n">
        <v>0.9</v>
      </c>
      <c r="R370" s="307" t="n">
        <v>9</v>
      </c>
      <c r="S370" s="235" t="inlineStr">
        <is>
          <t>AAA</t>
        </is>
      </c>
      <c r="T370" s="236" t="n">
        <v>0.017</v>
      </c>
      <c r="U370" s="235" t="inlineStr">
        <is>
          <t>交银理财</t>
        </is>
      </c>
      <c r="V370" s="308" t="n">
        <v>1.5</v>
      </c>
    </row>
    <row r="371">
      <c r="A371" t="n">
        <v>32</v>
      </c>
      <c r="B371" t="inlineStr">
        <is>
          <t>3月</t>
        </is>
      </c>
      <c r="C371" t="inlineStr">
        <is>
          <t>消金</t>
        </is>
      </c>
      <c r="D371" t="inlineStr">
        <is>
          <t>白条取现</t>
        </is>
      </c>
      <c r="E371" t="inlineStr">
        <is>
          <t>耘睿23-8</t>
        </is>
      </c>
      <c r="F371" t="inlineStr">
        <is>
          <t>上交所</t>
        </is>
      </c>
      <c r="G371" t="inlineStr">
        <is>
          <t>中信建投</t>
        </is>
      </c>
      <c r="H371" t="inlineStr">
        <is>
          <t>兴业证券</t>
        </is>
      </c>
      <c r="I371" t="inlineStr">
        <is>
          <t>青岛银行总行</t>
        </is>
      </c>
      <c r="J371" t="n">
        <v>10</v>
      </c>
      <c r="K371" t="inlineStr">
        <is>
          <t>11+13</t>
        </is>
      </c>
      <c r="L371" s="309" t="n">
        <v>46107</v>
      </c>
      <c r="M371" t="n">
        <v>0.015</v>
      </c>
      <c r="N371" t="n">
        <v>0.01992</v>
      </c>
      <c r="O371" t="n">
        <v>2.97</v>
      </c>
      <c r="P371" t="inlineStr">
        <is>
          <t>优先A</t>
        </is>
      </c>
      <c r="Q371" t="n">
        <v>0.9</v>
      </c>
      <c r="R371" t="n">
        <v>9</v>
      </c>
      <c r="S371" t="inlineStr">
        <is>
          <t>AAA</t>
        </is>
      </c>
      <c r="T371" t="n">
        <v>0.017</v>
      </c>
      <c r="U371" s="235" t="inlineStr">
        <is>
          <t>招银理财</t>
        </is>
      </c>
      <c r="V371" s="308" t="n">
        <v>1.8</v>
      </c>
    </row>
    <row r="372">
      <c r="A372" t="n">
        <v>32</v>
      </c>
      <c r="B372" t="inlineStr">
        <is>
          <t>3月</t>
        </is>
      </c>
      <c r="C372" t="inlineStr">
        <is>
          <t>消金</t>
        </is>
      </c>
      <c r="D372" t="inlineStr">
        <is>
          <t>白条取现</t>
        </is>
      </c>
      <c r="E372" t="inlineStr">
        <is>
          <t>耘睿23-8</t>
        </is>
      </c>
      <c r="F372" t="inlineStr">
        <is>
          <t>上交所</t>
        </is>
      </c>
      <c r="G372" t="inlineStr">
        <is>
          <t>中信建投</t>
        </is>
      </c>
      <c r="H372" t="inlineStr">
        <is>
          <t>兴业证券</t>
        </is>
      </c>
      <c r="I372" t="inlineStr">
        <is>
          <t>青岛银行总行</t>
        </is>
      </c>
      <c r="J372" t="n">
        <v>10</v>
      </c>
      <c r="K372" t="inlineStr">
        <is>
          <t>11+13</t>
        </is>
      </c>
      <c r="L372" s="309" t="n">
        <v>46107</v>
      </c>
      <c r="M372" t="n">
        <v>0.015</v>
      </c>
      <c r="N372" t="n">
        <v>0.01992</v>
      </c>
      <c r="O372" t="n">
        <v>2.97</v>
      </c>
      <c r="P372" t="inlineStr">
        <is>
          <t>优先A</t>
        </is>
      </c>
      <c r="Q372" t="n">
        <v>0.9</v>
      </c>
      <c r="R372" t="n">
        <v>9</v>
      </c>
      <c r="S372" t="inlineStr">
        <is>
          <t>AAA</t>
        </is>
      </c>
      <c r="T372" t="n">
        <v>0.017</v>
      </c>
      <c r="U372" s="235" t="inlineStr">
        <is>
          <t>广银理财</t>
        </is>
      </c>
      <c r="V372" s="308" t="n">
        <v>1</v>
      </c>
    </row>
    <row r="373">
      <c r="A373" t="n">
        <v>32</v>
      </c>
      <c r="B373" t="inlineStr">
        <is>
          <t>3月</t>
        </is>
      </c>
      <c r="C373" t="inlineStr">
        <is>
          <t>消金</t>
        </is>
      </c>
      <c r="D373" t="inlineStr">
        <is>
          <t>白条取现</t>
        </is>
      </c>
      <c r="E373" t="inlineStr">
        <is>
          <t>耘睿23-8</t>
        </is>
      </c>
      <c r="F373" t="inlineStr">
        <is>
          <t>上交所</t>
        </is>
      </c>
      <c r="G373" t="inlineStr">
        <is>
          <t>中信建投</t>
        </is>
      </c>
      <c r="H373" t="inlineStr">
        <is>
          <t>兴业证券</t>
        </is>
      </c>
      <c r="I373" t="inlineStr">
        <is>
          <t>青岛银行总行</t>
        </is>
      </c>
      <c r="J373" t="n">
        <v>10</v>
      </c>
      <c r="K373" t="inlineStr">
        <is>
          <t>11+13</t>
        </is>
      </c>
      <c r="L373" s="309" t="n">
        <v>46107</v>
      </c>
      <c r="M373" t="n">
        <v>0.015</v>
      </c>
      <c r="N373" t="n">
        <v>0.01992</v>
      </c>
      <c r="O373" t="n">
        <v>2.97</v>
      </c>
      <c r="P373" t="inlineStr">
        <is>
          <t>优先A</t>
        </is>
      </c>
      <c r="Q373" t="n">
        <v>0.9</v>
      </c>
      <c r="R373" t="n">
        <v>9</v>
      </c>
      <c r="S373" t="inlineStr">
        <is>
          <t>AAA</t>
        </is>
      </c>
      <c r="T373" t="n">
        <v>0.017</v>
      </c>
      <c r="U373" s="235" t="inlineStr">
        <is>
          <t>兴银理财</t>
        </is>
      </c>
      <c r="V373" s="308" t="n">
        <v>2.7</v>
      </c>
    </row>
    <row r="374">
      <c r="A374" t="n">
        <v>32</v>
      </c>
      <c r="B374" t="inlineStr">
        <is>
          <t>3月</t>
        </is>
      </c>
      <c r="C374" t="inlineStr">
        <is>
          <t>消金</t>
        </is>
      </c>
      <c r="D374" t="inlineStr">
        <is>
          <t>白条取现</t>
        </is>
      </c>
      <c r="E374" t="inlineStr">
        <is>
          <t>耘睿23-8</t>
        </is>
      </c>
      <c r="F374" t="inlineStr">
        <is>
          <t>上交所</t>
        </is>
      </c>
      <c r="G374" t="inlineStr">
        <is>
          <t>中信建投</t>
        </is>
      </c>
      <c r="H374" t="inlineStr">
        <is>
          <t>兴业证券</t>
        </is>
      </c>
      <c r="I374" t="inlineStr">
        <is>
          <t>青岛银行总行</t>
        </is>
      </c>
      <c r="J374" t="n">
        <v>10</v>
      </c>
      <c r="K374" t="inlineStr">
        <is>
          <t>11+13</t>
        </is>
      </c>
      <c r="L374" s="309" t="n">
        <v>46107</v>
      </c>
      <c r="M374" t="n">
        <v>0.015</v>
      </c>
      <c r="N374" t="n">
        <v>0.01992</v>
      </c>
      <c r="O374" t="n">
        <v>2.97</v>
      </c>
      <c r="P374" t="inlineStr">
        <is>
          <t>优先A</t>
        </is>
      </c>
      <c r="Q374" t="n">
        <v>0.9</v>
      </c>
      <c r="R374" t="n">
        <v>9</v>
      </c>
      <c r="S374" t="inlineStr">
        <is>
          <t>AAA</t>
        </is>
      </c>
      <c r="T374" t="n">
        <v>0.017</v>
      </c>
      <c r="U374" s="235" t="inlineStr">
        <is>
          <t>重庆农商行金市</t>
        </is>
      </c>
      <c r="V374" s="308" t="n">
        <v>2</v>
      </c>
    </row>
    <row r="375">
      <c r="A375" t="n">
        <v>32</v>
      </c>
      <c r="B375" t="inlineStr">
        <is>
          <t>3月</t>
        </is>
      </c>
      <c r="C375" t="inlineStr">
        <is>
          <t>消金</t>
        </is>
      </c>
      <c r="D375" t="inlineStr">
        <is>
          <t>白条取现</t>
        </is>
      </c>
      <c r="E375" t="inlineStr">
        <is>
          <t>耘睿23-8</t>
        </is>
      </c>
      <c r="F375" t="inlineStr">
        <is>
          <t>上交所</t>
        </is>
      </c>
      <c r="G375" t="inlineStr">
        <is>
          <t>中信建投</t>
        </is>
      </c>
      <c r="H375" t="inlineStr">
        <is>
          <t>兴业证券</t>
        </is>
      </c>
      <c r="I375" t="inlineStr">
        <is>
          <t>青岛银行总行</t>
        </is>
      </c>
      <c r="J375" t="n">
        <v>10</v>
      </c>
      <c r="K375" t="inlineStr">
        <is>
          <t>11+13</t>
        </is>
      </c>
      <c r="L375" s="309" t="n">
        <v>46107</v>
      </c>
      <c r="M375" t="n">
        <v>0.015</v>
      </c>
      <c r="N375" t="n">
        <v>0.01992</v>
      </c>
      <c r="O375" t="n">
        <v>2.97</v>
      </c>
      <c r="P375" s="235" t="inlineStr">
        <is>
          <t>优先B</t>
        </is>
      </c>
      <c r="Q375" s="236" t="n">
        <v>0.03</v>
      </c>
      <c r="R375" s="307" t="n">
        <v>0.3</v>
      </c>
      <c r="S375" s="235" t="inlineStr">
        <is>
          <t>AA+</t>
        </is>
      </c>
      <c r="T375" s="236" t="n">
        <v>0.0185</v>
      </c>
      <c r="U375" s="235" t="inlineStr">
        <is>
          <t>华兴证券自营</t>
        </is>
      </c>
      <c r="V375" s="308" t="n">
        <v>0.03</v>
      </c>
    </row>
    <row r="376">
      <c r="A376" t="n">
        <v>32</v>
      </c>
      <c r="B376" t="inlineStr">
        <is>
          <t>3月</t>
        </is>
      </c>
      <c r="C376" t="inlineStr">
        <is>
          <t>消金</t>
        </is>
      </c>
      <c r="D376" t="inlineStr">
        <is>
          <t>白条取现</t>
        </is>
      </c>
      <c r="E376" t="inlineStr">
        <is>
          <t>耘睿23-8</t>
        </is>
      </c>
      <c r="F376" t="inlineStr">
        <is>
          <t>上交所</t>
        </is>
      </c>
      <c r="G376" t="inlineStr">
        <is>
          <t>中信建投</t>
        </is>
      </c>
      <c r="H376" t="inlineStr">
        <is>
          <t>兴业证券</t>
        </is>
      </c>
      <c r="I376" t="inlineStr">
        <is>
          <t>青岛银行总行</t>
        </is>
      </c>
      <c r="J376" t="n">
        <v>10</v>
      </c>
      <c r="K376" t="inlineStr">
        <is>
          <t>11+13</t>
        </is>
      </c>
      <c r="L376" s="309" t="n">
        <v>46107</v>
      </c>
      <c r="M376" t="n">
        <v>0.015</v>
      </c>
      <c r="N376" t="n">
        <v>0.01992</v>
      </c>
      <c r="O376" t="n">
        <v>2.97</v>
      </c>
      <c r="P376" t="inlineStr">
        <is>
          <t>优先B</t>
        </is>
      </c>
      <c r="Q376" t="n">
        <v>0.03</v>
      </c>
      <c r="R376" t="n">
        <v>0.3</v>
      </c>
      <c r="S376" t="inlineStr">
        <is>
          <t>AA+</t>
        </is>
      </c>
      <c r="T376" t="n">
        <v>0.0185</v>
      </c>
      <c r="U376" s="235" t="inlineStr">
        <is>
          <t>交银理财</t>
        </is>
      </c>
      <c r="V376" s="308" t="n">
        <v>0.09</v>
      </c>
    </row>
    <row r="377">
      <c r="A377" t="n">
        <v>32</v>
      </c>
      <c r="B377" t="inlineStr">
        <is>
          <t>3月</t>
        </is>
      </c>
      <c r="C377" t="inlineStr">
        <is>
          <t>消金</t>
        </is>
      </c>
      <c r="D377" t="inlineStr">
        <is>
          <t>白条取现</t>
        </is>
      </c>
      <c r="E377" t="inlineStr">
        <is>
          <t>耘睿23-8</t>
        </is>
      </c>
      <c r="F377" t="inlineStr">
        <is>
          <t>上交所</t>
        </is>
      </c>
      <c r="G377" t="inlineStr">
        <is>
          <t>中信建投</t>
        </is>
      </c>
      <c r="H377" t="inlineStr">
        <is>
          <t>兴业证券</t>
        </is>
      </c>
      <c r="I377" t="inlineStr">
        <is>
          <t>青岛银行总行</t>
        </is>
      </c>
      <c r="J377" t="n">
        <v>10</v>
      </c>
      <c r="K377" t="inlineStr">
        <is>
          <t>11+13</t>
        </is>
      </c>
      <c r="L377" s="309" t="n">
        <v>46107</v>
      </c>
      <c r="M377" t="n">
        <v>0.015</v>
      </c>
      <c r="N377" t="n">
        <v>0.01992</v>
      </c>
      <c r="O377" t="n">
        <v>2.97</v>
      </c>
      <c r="P377" t="inlineStr">
        <is>
          <t>优先B</t>
        </is>
      </c>
      <c r="Q377" t="n">
        <v>0.03</v>
      </c>
      <c r="R377" t="n">
        <v>0.3</v>
      </c>
      <c r="S377" t="inlineStr">
        <is>
          <t>AA+</t>
        </is>
      </c>
      <c r="T377" t="n">
        <v>0.0185</v>
      </c>
      <c r="U377" s="235" t="inlineStr">
        <is>
          <t>重庆农商行金市</t>
        </is>
      </c>
      <c r="V377" s="308" t="n">
        <v>0.09</v>
      </c>
    </row>
    <row r="378">
      <c r="A378" t="n">
        <v>32</v>
      </c>
      <c r="B378" t="inlineStr">
        <is>
          <t>3月</t>
        </is>
      </c>
      <c r="C378" t="inlineStr">
        <is>
          <t>消金</t>
        </is>
      </c>
      <c r="D378" t="inlineStr">
        <is>
          <t>白条取现</t>
        </is>
      </c>
      <c r="E378" t="inlineStr">
        <is>
          <t>耘睿23-8</t>
        </is>
      </c>
      <c r="F378" t="inlineStr">
        <is>
          <t>上交所</t>
        </is>
      </c>
      <c r="G378" t="inlineStr">
        <is>
          <t>中信建投</t>
        </is>
      </c>
      <c r="H378" t="inlineStr">
        <is>
          <t>兴业证券</t>
        </is>
      </c>
      <c r="I378" t="inlineStr">
        <is>
          <t>青岛银行总行</t>
        </is>
      </c>
      <c r="J378" t="n">
        <v>10</v>
      </c>
      <c r="K378" t="inlineStr">
        <is>
          <t>11+13</t>
        </is>
      </c>
      <c r="L378" s="309" t="n">
        <v>46107</v>
      </c>
      <c r="M378" t="n">
        <v>0.015</v>
      </c>
      <c r="N378" t="n">
        <v>0.01992</v>
      </c>
      <c r="O378" t="n">
        <v>2.97</v>
      </c>
      <c r="P378" t="inlineStr">
        <is>
          <t>优先B</t>
        </is>
      </c>
      <c r="Q378" t="n">
        <v>0.03</v>
      </c>
      <c r="R378" t="n">
        <v>0.3</v>
      </c>
      <c r="S378" t="inlineStr">
        <is>
          <t>AA+</t>
        </is>
      </c>
      <c r="T378" t="n">
        <v>0.0185</v>
      </c>
      <c r="U378" s="235" t="inlineStr">
        <is>
          <t>招银理财</t>
        </is>
      </c>
      <c r="V378" s="308" t="n">
        <v>0.09</v>
      </c>
    </row>
    <row r="379">
      <c r="A379" t="n">
        <v>32</v>
      </c>
      <c r="B379" t="inlineStr">
        <is>
          <t>3月</t>
        </is>
      </c>
      <c r="C379" t="inlineStr">
        <is>
          <t>消金</t>
        </is>
      </c>
      <c r="D379" t="inlineStr">
        <is>
          <t>白条取现</t>
        </is>
      </c>
      <c r="E379" t="inlineStr">
        <is>
          <t>耘睿23-8</t>
        </is>
      </c>
      <c r="F379" t="inlineStr">
        <is>
          <t>上交所</t>
        </is>
      </c>
      <c r="G379" t="inlineStr">
        <is>
          <t>中信建投</t>
        </is>
      </c>
      <c r="H379" t="inlineStr">
        <is>
          <t>兴业证券</t>
        </is>
      </c>
      <c r="I379" t="inlineStr">
        <is>
          <t>青岛银行总行</t>
        </is>
      </c>
      <c r="J379" t="n">
        <v>10</v>
      </c>
      <c r="K379" t="inlineStr">
        <is>
          <t>11+13</t>
        </is>
      </c>
      <c r="L379" s="309" t="n">
        <v>46107</v>
      </c>
      <c r="M379" t="n">
        <v>0.015</v>
      </c>
      <c r="N379" t="n">
        <v>0.01992</v>
      </c>
      <c r="O379" t="n">
        <v>2.97</v>
      </c>
      <c r="P379" s="235" t="inlineStr">
        <is>
          <t>中间级</t>
        </is>
      </c>
      <c r="Q379" s="236" t="n">
        <v>0.02</v>
      </c>
      <c r="R379" s="307" t="n">
        <v>0.2</v>
      </c>
      <c r="S379" s="235" t="inlineStr">
        <is>
          <t>A+</t>
        </is>
      </c>
      <c r="T379" s="236" t="n">
        <v>0.031</v>
      </c>
      <c r="U379" s="235" t="inlineStr">
        <is>
          <t>建信信托</t>
        </is>
      </c>
      <c r="V379" s="308" t="n">
        <v>0.1</v>
      </c>
    </row>
    <row r="380">
      <c r="A380" t="n">
        <v>32</v>
      </c>
      <c r="B380" t="inlineStr">
        <is>
          <t>3月</t>
        </is>
      </c>
      <c r="C380" t="inlineStr">
        <is>
          <t>消金</t>
        </is>
      </c>
      <c r="D380" t="inlineStr">
        <is>
          <t>白条取现</t>
        </is>
      </c>
      <c r="E380" t="inlineStr">
        <is>
          <t>耘睿23-8</t>
        </is>
      </c>
      <c r="F380" t="inlineStr">
        <is>
          <t>上交所</t>
        </is>
      </c>
      <c r="G380" t="inlineStr">
        <is>
          <t>中信建投</t>
        </is>
      </c>
      <c r="H380" t="inlineStr">
        <is>
          <t>兴业证券</t>
        </is>
      </c>
      <c r="I380" t="inlineStr">
        <is>
          <t>青岛银行总行</t>
        </is>
      </c>
      <c r="J380" t="n">
        <v>10</v>
      </c>
      <c r="K380" t="inlineStr">
        <is>
          <t>11+13</t>
        </is>
      </c>
      <c r="L380" s="309" t="n">
        <v>46107</v>
      </c>
      <c r="M380" t="n">
        <v>0.015</v>
      </c>
      <c r="N380" t="n">
        <v>0.01992</v>
      </c>
      <c r="O380" t="n">
        <v>2.97</v>
      </c>
      <c r="P380" t="inlineStr">
        <is>
          <t>中间级</t>
        </is>
      </c>
      <c r="Q380" t="n">
        <v>0.02</v>
      </c>
      <c r="R380" t="n">
        <v>0.2</v>
      </c>
      <c r="S380" t="inlineStr">
        <is>
          <t>A+</t>
        </is>
      </c>
      <c r="T380" t="n">
        <v>0.031</v>
      </c>
      <c r="U380" s="235" t="inlineStr">
        <is>
          <t>申万宏源自营</t>
        </is>
      </c>
      <c r="V380" s="308" t="n">
        <v>0.1</v>
      </c>
    </row>
    <row r="381">
      <c r="A381" t="n">
        <v>32</v>
      </c>
      <c r="B381" t="inlineStr">
        <is>
          <t>3月</t>
        </is>
      </c>
      <c r="C381" t="inlineStr">
        <is>
          <t>消金</t>
        </is>
      </c>
      <c r="D381" t="inlineStr">
        <is>
          <t>白条取现</t>
        </is>
      </c>
      <c r="E381" t="inlineStr">
        <is>
          <t>耘睿23-8</t>
        </is>
      </c>
      <c r="F381" t="inlineStr">
        <is>
          <t>上交所</t>
        </is>
      </c>
      <c r="G381" t="inlineStr">
        <is>
          <t>中信建投</t>
        </is>
      </c>
      <c r="H381" t="inlineStr">
        <is>
          <t>兴业证券</t>
        </is>
      </c>
      <c r="I381" t="inlineStr">
        <is>
          <t>青岛银行总行</t>
        </is>
      </c>
      <c r="J381" t="n">
        <v>10</v>
      </c>
      <c r="K381" t="inlineStr">
        <is>
          <t>11+13</t>
        </is>
      </c>
      <c r="L381" s="309" t="n">
        <v>46107</v>
      </c>
      <c r="M381" t="n">
        <v>0.015</v>
      </c>
      <c r="N381" t="n">
        <v>0.01992</v>
      </c>
      <c r="O381" t="n">
        <v>2.97</v>
      </c>
      <c r="P381" s="235" t="inlineStr">
        <is>
          <t>次级</t>
        </is>
      </c>
      <c r="Q381" s="236" t="n">
        <v>0.05</v>
      </c>
      <c r="R381" s="307" t="n">
        <v>0.5</v>
      </c>
      <c r="S381" s="235" t="inlineStr">
        <is>
          <t>无</t>
        </is>
      </c>
      <c r="T381" s="236" t="n">
        <v>0.0505</v>
      </c>
      <c r="U381" s="235" t="inlineStr">
        <is>
          <t>中信证券自营</t>
        </is>
      </c>
      <c r="V381" s="310" t="n">
        <v>0.075</v>
      </c>
    </row>
    <row r="382">
      <c r="A382" t="n">
        <v>32</v>
      </c>
      <c r="B382" t="inlineStr">
        <is>
          <t>3月</t>
        </is>
      </c>
      <c r="C382" t="inlineStr">
        <is>
          <t>消金</t>
        </is>
      </c>
      <c r="D382" t="inlineStr">
        <is>
          <t>白条取现</t>
        </is>
      </c>
      <c r="E382" t="inlineStr">
        <is>
          <t>耘睿23-8</t>
        </is>
      </c>
      <c r="F382" t="inlineStr">
        <is>
          <t>上交所</t>
        </is>
      </c>
      <c r="G382" t="inlineStr">
        <is>
          <t>中信建投</t>
        </is>
      </c>
      <c r="H382" t="inlineStr">
        <is>
          <t>兴业证券</t>
        </is>
      </c>
      <c r="I382" t="inlineStr">
        <is>
          <t>青岛银行总行</t>
        </is>
      </c>
      <c r="J382" t="n">
        <v>10</v>
      </c>
      <c r="K382" t="inlineStr">
        <is>
          <t>11+13</t>
        </is>
      </c>
      <c r="L382" s="309" t="n">
        <v>46107</v>
      </c>
      <c r="M382" t="n">
        <v>0.015</v>
      </c>
      <c r="N382" t="n">
        <v>0.01992</v>
      </c>
      <c r="O382" t="n">
        <v>2.97</v>
      </c>
      <c r="P382" t="inlineStr">
        <is>
          <t>次级</t>
        </is>
      </c>
      <c r="Q382" t="n">
        <v>0.05</v>
      </c>
      <c r="R382" t="n">
        <v>0.5</v>
      </c>
      <c r="S382" t="inlineStr">
        <is>
          <t>无</t>
        </is>
      </c>
      <c r="T382" t="n">
        <v>0.0505</v>
      </c>
      <c r="U382" s="235" t="inlineStr">
        <is>
          <t>中金投顾</t>
        </is>
      </c>
      <c r="V382" s="310" t="n">
        <v>0.125</v>
      </c>
    </row>
    <row r="383">
      <c r="A383" t="n">
        <v>32</v>
      </c>
      <c r="B383" t="inlineStr">
        <is>
          <t>3月</t>
        </is>
      </c>
      <c r="C383" t="inlineStr">
        <is>
          <t>消金</t>
        </is>
      </c>
      <c r="D383" t="inlineStr">
        <is>
          <t>白条取现</t>
        </is>
      </c>
      <c r="E383" t="inlineStr">
        <is>
          <t>耘睿23-8</t>
        </is>
      </c>
      <c r="F383" t="inlineStr">
        <is>
          <t>上交所</t>
        </is>
      </c>
      <c r="G383" t="inlineStr">
        <is>
          <t>中信建投</t>
        </is>
      </c>
      <c r="H383" t="inlineStr">
        <is>
          <t>兴业证券</t>
        </is>
      </c>
      <c r="I383" t="inlineStr">
        <is>
          <t>青岛银行总行</t>
        </is>
      </c>
      <c r="J383" t="n">
        <v>10</v>
      </c>
      <c r="K383" t="inlineStr">
        <is>
          <t>11+13</t>
        </is>
      </c>
      <c r="L383" s="309" t="n">
        <v>46107</v>
      </c>
      <c r="M383" t="n">
        <v>0.015</v>
      </c>
      <c r="N383" t="n">
        <v>0.01992</v>
      </c>
      <c r="O383" t="n">
        <v>2.97</v>
      </c>
      <c r="P383" t="inlineStr">
        <is>
          <t>次级</t>
        </is>
      </c>
      <c r="Q383" t="n">
        <v>0.05</v>
      </c>
      <c r="R383" t="n">
        <v>0.5</v>
      </c>
      <c r="S383" t="inlineStr">
        <is>
          <t>无</t>
        </is>
      </c>
      <c r="T383" t="n">
        <v>0.0505</v>
      </c>
      <c r="U383" s="235" t="inlineStr">
        <is>
          <t>建投机构部</t>
        </is>
      </c>
      <c r="V383" s="308" t="n">
        <v>0.3</v>
      </c>
    </row>
    <row r="384">
      <c r="A384" s="223" t="n">
        <v>33</v>
      </c>
      <c r="B384" s="305" t="inlineStr">
        <is>
          <t>3月</t>
        </is>
      </c>
      <c r="C384" s="305" t="inlineStr">
        <is>
          <t>消金</t>
        </is>
      </c>
      <c r="D384" s="305" t="inlineStr">
        <is>
          <t>赊销白条</t>
        </is>
      </c>
      <c r="E384" s="305" t="inlineStr">
        <is>
          <t>禾昱9-1</t>
        </is>
      </c>
      <c r="F384" s="305" t="inlineStr">
        <is>
          <t>上交所</t>
        </is>
      </c>
      <c r="G384" s="305" t="inlineStr">
        <is>
          <t>兴业证券</t>
        </is>
      </c>
      <c r="H384" s="305" t="inlineStr">
        <is>
          <t>国联证券</t>
        </is>
      </c>
      <c r="I384" s="305" t="inlineStr">
        <is>
          <t>工行天津</t>
        </is>
      </c>
      <c r="J384" s="245" t="n">
        <v>10</v>
      </c>
      <c r="K384" s="305" t="inlineStr">
        <is>
          <t>12+5+15+3</t>
        </is>
      </c>
      <c r="L384" s="246" t="n">
        <v>46108</v>
      </c>
      <c r="M384" s="247" t="n">
        <v>0.0153</v>
      </c>
      <c r="N384" s="247" t="n">
        <v>0.0192</v>
      </c>
      <c r="O384" s="245" t="n">
        <v>3.27</v>
      </c>
      <c r="P384" s="235" t="inlineStr">
        <is>
          <t>优先A</t>
        </is>
      </c>
      <c r="Q384" s="236" t="n">
        <v>0.9</v>
      </c>
      <c r="R384" s="307" t="n">
        <v>9</v>
      </c>
      <c r="S384" s="235" t="inlineStr">
        <is>
          <t>AAA</t>
        </is>
      </c>
      <c r="T384" s="236" t="n">
        <v>0.0168</v>
      </c>
      <c r="U384" s="235" t="inlineStr">
        <is>
          <t>杭州联合银行</t>
        </is>
      </c>
      <c r="V384" s="308" t="n">
        <v>0.5</v>
      </c>
    </row>
    <row r="385">
      <c r="A385" t="n">
        <v>33</v>
      </c>
      <c r="B385" t="inlineStr">
        <is>
          <t>3月</t>
        </is>
      </c>
      <c r="C385" t="inlineStr">
        <is>
          <t>消金</t>
        </is>
      </c>
      <c r="D385" t="inlineStr">
        <is>
          <t>赊销白条</t>
        </is>
      </c>
      <c r="E385" t="inlineStr">
        <is>
          <t>禾昱9-1</t>
        </is>
      </c>
      <c r="F385" t="inlineStr">
        <is>
          <t>上交所</t>
        </is>
      </c>
      <c r="G385" t="inlineStr">
        <is>
          <t>兴业证券</t>
        </is>
      </c>
      <c r="H385" t="inlineStr">
        <is>
          <t>国联证券</t>
        </is>
      </c>
      <c r="I385" t="inlineStr">
        <is>
          <t>工行天津</t>
        </is>
      </c>
      <c r="J385" t="n">
        <v>10</v>
      </c>
      <c r="K385" t="inlineStr">
        <is>
          <t>12+5+15+3</t>
        </is>
      </c>
      <c r="L385" s="309" t="n">
        <v>46108</v>
      </c>
      <c r="M385" t="n">
        <v>0.0153</v>
      </c>
      <c r="N385" t="n">
        <v>0.0192</v>
      </c>
      <c r="O385" t="n">
        <v>3.27</v>
      </c>
      <c r="P385" t="inlineStr">
        <is>
          <t>优先A</t>
        </is>
      </c>
      <c r="Q385" t="n">
        <v>0.9</v>
      </c>
      <c r="R385" t="n">
        <v>9</v>
      </c>
      <c r="S385" t="inlineStr">
        <is>
          <t>AAA</t>
        </is>
      </c>
      <c r="T385" t="n">
        <v>0.0168</v>
      </c>
      <c r="U385" s="235" t="inlineStr">
        <is>
          <t>中邮理财</t>
        </is>
      </c>
      <c r="V385" s="308" t="n">
        <v>2.7</v>
      </c>
    </row>
    <row r="386">
      <c r="A386" t="n">
        <v>33</v>
      </c>
      <c r="B386" t="inlineStr">
        <is>
          <t>3月</t>
        </is>
      </c>
      <c r="C386" t="inlineStr">
        <is>
          <t>消金</t>
        </is>
      </c>
      <c r="D386" t="inlineStr">
        <is>
          <t>赊销白条</t>
        </is>
      </c>
      <c r="E386" t="inlineStr">
        <is>
          <t>禾昱9-1</t>
        </is>
      </c>
      <c r="F386" t="inlineStr">
        <is>
          <t>上交所</t>
        </is>
      </c>
      <c r="G386" t="inlineStr">
        <is>
          <t>兴业证券</t>
        </is>
      </c>
      <c r="H386" t="inlineStr">
        <is>
          <t>国联证券</t>
        </is>
      </c>
      <c r="I386" t="inlineStr">
        <is>
          <t>工行天津</t>
        </is>
      </c>
      <c r="J386" t="n">
        <v>10</v>
      </c>
      <c r="K386" t="inlineStr">
        <is>
          <t>12+5+15+3</t>
        </is>
      </c>
      <c r="L386" s="309" t="n">
        <v>46108</v>
      </c>
      <c r="M386" t="n">
        <v>0.0153</v>
      </c>
      <c r="N386" t="n">
        <v>0.0192</v>
      </c>
      <c r="O386" t="n">
        <v>3.27</v>
      </c>
      <c r="P386" t="inlineStr">
        <is>
          <t>优先A</t>
        </is>
      </c>
      <c r="Q386" t="n">
        <v>0.9</v>
      </c>
      <c r="R386" t="n">
        <v>9</v>
      </c>
      <c r="S386" t="inlineStr">
        <is>
          <t>AAA</t>
        </is>
      </c>
      <c r="T386" t="n">
        <v>0.0168</v>
      </c>
      <c r="U386" s="235" t="inlineStr">
        <is>
          <t>工银理财</t>
        </is>
      </c>
      <c r="V386" s="308" t="n">
        <v>2.5</v>
      </c>
    </row>
    <row r="387">
      <c r="A387" t="n">
        <v>33</v>
      </c>
      <c r="B387" t="inlineStr">
        <is>
          <t>3月</t>
        </is>
      </c>
      <c r="C387" t="inlineStr">
        <is>
          <t>消金</t>
        </is>
      </c>
      <c r="D387" t="inlineStr">
        <is>
          <t>赊销白条</t>
        </is>
      </c>
      <c r="E387" t="inlineStr">
        <is>
          <t>禾昱9-1</t>
        </is>
      </c>
      <c r="F387" t="inlineStr">
        <is>
          <t>上交所</t>
        </is>
      </c>
      <c r="G387" t="inlineStr">
        <is>
          <t>兴业证券</t>
        </is>
      </c>
      <c r="H387" t="inlineStr">
        <is>
          <t>国联证券</t>
        </is>
      </c>
      <c r="I387" t="inlineStr">
        <is>
          <t>工行天津</t>
        </is>
      </c>
      <c r="J387" t="n">
        <v>10</v>
      </c>
      <c r="K387" t="inlineStr">
        <is>
          <t>12+5+15+3</t>
        </is>
      </c>
      <c r="L387" s="309" t="n">
        <v>46108</v>
      </c>
      <c r="M387" t="n">
        <v>0.0153</v>
      </c>
      <c r="N387" t="n">
        <v>0.0192</v>
      </c>
      <c r="O387" t="n">
        <v>3.27</v>
      </c>
      <c r="P387" t="inlineStr">
        <is>
          <t>优先A</t>
        </is>
      </c>
      <c r="Q387" t="n">
        <v>0.9</v>
      </c>
      <c r="R387" t="n">
        <v>9</v>
      </c>
      <c r="S387" t="inlineStr">
        <is>
          <t>AAA</t>
        </is>
      </c>
      <c r="T387" t="n">
        <v>0.0168</v>
      </c>
      <c r="U387" s="235" t="inlineStr">
        <is>
          <t>兴业证券投行</t>
        </is>
      </c>
      <c r="V387" s="308" t="n">
        <v>0.6</v>
      </c>
    </row>
    <row r="388">
      <c r="A388" t="n">
        <v>33</v>
      </c>
      <c r="B388" t="inlineStr">
        <is>
          <t>3月</t>
        </is>
      </c>
      <c r="C388" t="inlineStr">
        <is>
          <t>消金</t>
        </is>
      </c>
      <c r="D388" t="inlineStr">
        <is>
          <t>赊销白条</t>
        </is>
      </c>
      <c r="E388" t="inlineStr">
        <is>
          <t>禾昱9-1</t>
        </is>
      </c>
      <c r="F388" t="inlineStr">
        <is>
          <t>上交所</t>
        </is>
      </c>
      <c r="G388" t="inlineStr">
        <is>
          <t>兴业证券</t>
        </is>
      </c>
      <c r="H388" t="inlineStr">
        <is>
          <t>国联证券</t>
        </is>
      </c>
      <c r="I388" t="inlineStr">
        <is>
          <t>工行天津</t>
        </is>
      </c>
      <c r="J388" t="n">
        <v>10</v>
      </c>
      <c r="K388" t="inlineStr">
        <is>
          <t>12+5+15+3</t>
        </is>
      </c>
      <c r="L388" s="309" t="n">
        <v>46108</v>
      </c>
      <c r="M388" t="n">
        <v>0.0153</v>
      </c>
      <c r="N388" t="n">
        <v>0.0192</v>
      </c>
      <c r="O388" t="n">
        <v>3.27</v>
      </c>
      <c r="P388" t="inlineStr">
        <is>
          <t>优先A</t>
        </is>
      </c>
      <c r="Q388" t="n">
        <v>0.9</v>
      </c>
      <c r="R388" t="n">
        <v>9</v>
      </c>
      <c r="S388" t="inlineStr">
        <is>
          <t>AAA</t>
        </is>
      </c>
      <c r="T388" t="n">
        <v>0.0168</v>
      </c>
      <c r="U388" s="235" t="inlineStr">
        <is>
          <t>平安理财</t>
        </is>
      </c>
      <c r="V388" s="308" t="n">
        <v>2.25</v>
      </c>
    </row>
    <row r="389">
      <c r="A389" t="n">
        <v>33</v>
      </c>
      <c r="B389" t="inlineStr">
        <is>
          <t>3月</t>
        </is>
      </c>
      <c r="C389" t="inlineStr">
        <is>
          <t>消金</t>
        </is>
      </c>
      <c r="D389" t="inlineStr">
        <is>
          <t>赊销白条</t>
        </is>
      </c>
      <c r="E389" t="inlineStr">
        <is>
          <t>禾昱9-1</t>
        </is>
      </c>
      <c r="F389" t="inlineStr">
        <is>
          <t>上交所</t>
        </is>
      </c>
      <c r="G389" t="inlineStr">
        <is>
          <t>兴业证券</t>
        </is>
      </c>
      <c r="H389" t="inlineStr">
        <is>
          <t>国联证券</t>
        </is>
      </c>
      <c r="I389" t="inlineStr">
        <is>
          <t>工行天津</t>
        </is>
      </c>
      <c r="J389" t="n">
        <v>10</v>
      </c>
      <c r="K389" t="inlineStr">
        <is>
          <t>12+5+15+3</t>
        </is>
      </c>
      <c r="L389" s="309" t="n">
        <v>46108</v>
      </c>
      <c r="M389" t="n">
        <v>0.0153</v>
      </c>
      <c r="N389" t="n">
        <v>0.0192</v>
      </c>
      <c r="O389" t="n">
        <v>3.27</v>
      </c>
      <c r="P389" t="inlineStr">
        <is>
          <t>优先A</t>
        </is>
      </c>
      <c r="Q389" t="n">
        <v>0.9</v>
      </c>
      <c r="R389" t="n">
        <v>9</v>
      </c>
      <c r="S389" t="inlineStr">
        <is>
          <t>AAA</t>
        </is>
      </c>
      <c r="T389" t="n">
        <v>0.0168</v>
      </c>
      <c r="U389" s="235" t="inlineStr">
        <is>
          <t>京东世贸</t>
        </is>
      </c>
      <c r="V389" s="308" t="n">
        <v>0.45</v>
      </c>
    </row>
    <row r="390">
      <c r="A390" t="n">
        <v>33</v>
      </c>
      <c r="B390" t="inlineStr">
        <is>
          <t>3月</t>
        </is>
      </c>
      <c r="C390" t="inlineStr">
        <is>
          <t>消金</t>
        </is>
      </c>
      <c r="D390" t="inlineStr">
        <is>
          <t>赊销白条</t>
        </is>
      </c>
      <c r="E390" t="inlineStr">
        <is>
          <t>禾昱9-1</t>
        </is>
      </c>
      <c r="F390" t="inlineStr">
        <is>
          <t>上交所</t>
        </is>
      </c>
      <c r="G390" t="inlineStr">
        <is>
          <t>兴业证券</t>
        </is>
      </c>
      <c r="H390" t="inlineStr">
        <is>
          <t>国联证券</t>
        </is>
      </c>
      <c r="I390" t="inlineStr">
        <is>
          <t>工行天津</t>
        </is>
      </c>
      <c r="J390" t="n">
        <v>10</v>
      </c>
      <c r="K390" t="inlineStr">
        <is>
          <t>12+5+15+3</t>
        </is>
      </c>
      <c r="L390" s="309" t="n">
        <v>46108</v>
      </c>
      <c r="M390" t="n">
        <v>0.0153</v>
      </c>
      <c r="N390" t="n">
        <v>0.0192</v>
      </c>
      <c r="O390" t="n">
        <v>3.27</v>
      </c>
      <c r="P390" s="235" t="inlineStr">
        <is>
          <t>优先B</t>
        </is>
      </c>
      <c r="Q390" s="236" t="n">
        <v>0.03</v>
      </c>
      <c r="R390" s="307" t="n">
        <v>0.3</v>
      </c>
      <c r="S390" s="235" t="inlineStr">
        <is>
          <t>AA+</t>
        </is>
      </c>
      <c r="T390" s="236" t="n">
        <v>0.0185</v>
      </c>
      <c r="U390" s="235" t="inlineStr">
        <is>
          <t>交银理财</t>
        </is>
      </c>
      <c r="V390" s="308" t="n">
        <v>0.09</v>
      </c>
    </row>
    <row r="391">
      <c r="A391" t="n">
        <v>33</v>
      </c>
      <c r="B391" t="inlineStr">
        <is>
          <t>3月</t>
        </is>
      </c>
      <c r="C391" t="inlineStr">
        <is>
          <t>消金</t>
        </is>
      </c>
      <c r="D391" t="inlineStr">
        <is>
          <t>赊销白条</t>
        </is>
      </c>
      <c r="E391" t="inlineStr">
        <is>
          <t>禾昱9-1</t>
        </is>
      </c>
      <c r="F391" t="inlineStr">
        <is>
          <t>上交所</t>
        </is>
      </c>
      <c r="G391" t="inlineStr">
        <is>
          <t>兴业证券</t>
        </is>
      </c>
      <c r="H391" t="inlineStr">
        <is>
          <t>国联证券</t>
        </is>
      </c>
      <c r="I391" t="inlineStr">
        <is>
          <t>工行天津</t>
        </is>
      </c>
      <c r="J391" t="n">
        <v>10</v>
      </c>
      <c r="K391" t="inlineStr">
        <is>
          <t>12+5+15+3</t>
        </is>
      </c>
      <c r="L391" s="309" t="n">
        <v>46108</v>
      </c>
      <c r="M391" t="n">
        <v>0.0153</v>
      </c>
      <c r="N391" t="n">
        <v>0.0192</v>
      </c>
      <c r="O391" t="n">
        <v>3.27</v>
      </c>
      <c r="P391" t="inlineStr">
        <is>
          <t>优先B</t>
        </is>
      </c>
      <c r="Q391" t="n">
        <v>0.03</v>
      </c>
      <c r="R391" t="n">
        <v>0.3</v>
      </c>
      <c r="S391" t="inlineStr">
        <is>
          <t>AA+</t>
        </is>
      </c>
      <c r="T391" t="n">
        <v>0.0185</v>
      </c>
      <c r="U391" s="235" t="inlineStr">
        <is>
          <t>杭州联合银行</t>
        </is>
      </c>
      <c r="V391" s="308" t="n">
        <v>0.09</v>
      </c>
      <c r="W391" s="315" t="n"/>
    </row>
    <row r="392">
      <c r="A392" t="n">
        <v>33</v>
      </c>
      <c r="B392" t="inlineStr">
        <is>
          <t>3月</t>
        </is>
      </c>
      <c r="C392" t="inlineStr">
        <is>
          <t>消金</t>
        </is>
      </c>
      <c r="D392" t="inlineStr">
        <is>
          <t>赊销白条</t>
        </is>
      </c>
      <c r="E392" t="inlineStr">
        <is>
          <t>禾昱9-1</t>
        </is>
      </c>
      <c r="F392" t="inlineStr">
        <is>
          <t>上交所</t>
        </is>
      </c>
      <c r="G392" t="inlineStr">
        <is>
          <t>兴业证券</t>
        </is>
      </c>
      <c r="H392" t="inlineStr">
        <is>
          <t>国联证券</t>
        </is>
      </c>
      <c r="I392" t="inlineStr">
        <is>
          <t>工行天津</t>
        </is>
      </c>
      <c r="J392" t="n">
        <v>10</v>
      </c>
      <c r="K392" t="inlineStr">
        <is>
          <t>12+5+15+3</t>
        </is>
      </c>
      <c r="L392" s="309" t="n">
        <v>46108</v>
      </c>
      <c r="M392" t="n">
        <v>0.0153</v>
      </c>
      <c r="N392" t="n">
        <v>0.0192</v>
      </c>
      <c r="O392" t="n">
        <v>3.27</v>
      </c>
      <c r="P392" t="inlineStr">
        <is>
          <t>优先B</t>
        </is>
      </c>
      <c r="Q392" t="n">
        <v>0.03</v>
      </c>
      <c r="R392" t="n">
        <v>0.3</v>
      </c>
      <c r="S392" t="inlineStr">
        <is>
          <t>AA+</t>
        </is>
      </c>
      <c r="T392" t="n">
        <v>0.0185</v>
      </c>
      <c r="U392" s="235" t="inlineStr">
        <is>
          <t>平安理财</t>
        </is>
      </c>
      <c r="V392" s="310" t="n">
        <v>0.075</v>
      </c>
      <c r="W392" s="315" t="n"/>
    </row>
    <row r="393">
      <c r="A393" t="n">
        <v>33</v>
      </c>
      <c r="B393" t="inlineStr">
        <is>
          <t>3月</t>
        </is>
      </c>
      <c r="C393" t="inlineStr">
        <is>
          <t>消金</t>
        </is>
      </c>
      <c r="D393" t="inlineStr">
        <is>
          <t>赊销白条</t>
        </is>
      </c>
      <c r="E393" t="inlineStr">
        <is>
          <t>禾昱9-1</t>
        </is>
      </c>
      <c r="F393" t="inlineStr">
        <is>
          <t>上交所</t>
        </is>
      </c>
      <c r="G393" t="inlineStr">
        <is>
          <t>兴业证券</t>
        </is>
      </c>
      <c r="H393" t="inlineStr">
        <is>
          <t>国联证券</t>
        </is>
      </c>
      <c r="I393" t="inlineStr">
        <is>
          <t>工行天津</t>
        </is>
      </c>
      <c r="J393" t="n">
        <v>10</v>
      </c>
      <c r="K393" t="inlineStr">
        <is>
          <t>12+5+15+3</t>
        </is>
      </c>
      <c r="L393" s="309" t="n">
        <v>46108</v>
      </c>
      <c r="M393" t="n">
        <v>0.0153</v>
      </c>
      <c r="N393" t="n">
        <v>0.0192</v>
      </c>
      <c r="O393" t="n">
        <v>3.27</v>
      </c>
      <c r="P393" t="inlineStr">
        <is>
          <t>优先B</t>
        </is>
      </c>
      <c r="Q393" t="n">
        <v>0.03</v>
      </c>
      <c r="R393" t="n">
        <v>0.3</v>
      </c>
      <c r="S393" t="inlineStr">
        <is>
          <t>AA+</t>
        </is>
      </c>
      <c r="T393" t="n">
        <v>0.0185</v>
      </c>
      <c r="U393" s="235" t="inlineStr">
        <is>
          <t>建信信托</t>
        </is>
      </c>
      <c r="V393" s="308" t="n">
        <v>0.03</v>
      </c>
    </row>
    <row r="394">
      <c r="A394" t="n">
        <v>33</v>
      </c>
      <c r="B394" t="inlineStr">
        <is>
          <t>3月</t>
        </is>
      </c>
      <c r="C394" t="inlineStr">
        <is>
          <t>消金</t>
        </is>
      </c>
      <c r="D394" t="inlineStr">
        <is>
          <t>赊销白条</t>
        </is>
      </c>
      <c r="E394" t="inlineStr">
        <is>
          <t>禾昱9-1</t>
        </is>
      </c>
      <c r="F394" t="inlineStr">
        <is>
          <t>上交所</t>
        </is>
      </c>
      <c r="G394" t="inlineStr">
        <is>
          <t>兴业证券</t>
        </is>
      </c>
      <c r="H394" t="inlineStr">
        <is>
          <t>国联证券</t>
        </is>
      </c>
      <c r="I394" t="inlineStr">
        <is>
          <t>工行天津</t>
        </is>
      </c>
      <c r="J394" t="n">
        <v>10</v>
      </c>
      <c r="K394" t="inlineStr">
        <is>
          <t>12+5+15+3</t>
        </is>
      </c>
      <c r="L394" s="309" t="n">
        <v>46108</v>
      </c>
      <c r="M394" t="n">
        <v>0.0153</v>
      </c>
      <c r="N394" t="n">
        <v>0.0192</v>
      </c>
      <c r="O394" t="n">
        <v>3.27</v>
      </c>
      <c r="P394" t="inlineStr">
        <is>
          <t>优先B</t>
        </is>
      </c>
      <c r="Q394" t="n">
        <v>0.03</v>
      </c>
      <c r="R394" t="n">
        <v>0.3</v>
      </c>
      <c r="S394" t="inlineStr">
        <is>
          <t>AA+</t>
        </is>
      </c>
      <c r="T394" t="n">
        <v>0.0185</v>
      </c>
      <c r="U394" s="252" t="inlineStr">
        <is>
          <t>京东世贸</t>
        </is>
      </c>
      <c r="V394" s="308" t="n">
        <v>0.015</v>
      </c>
    </row>
    <row r="395">
      <c r="A395" t="n">
        <v>33</v>
      </c>
      <c r="B395" t="inlineStr">
        <is>
          <t>3月</t>
        </is>
      </c>
      <c r="C395" t="inlineStr">
        <is>
          <t>消金</t>
        </is>
      </c>
      <c r="D395" t="inlineStr">
        <is>
          <t>赊销白条</t>
        </is>
      </c>
      <c r="E395" t="inlineStr">
        <is>
          <t>禾昱9-1</t>
        </is>
      </c>
      <c r="F395" t="inlineStr">
        <is>
          <t>上交所</t>
        </is>
      </c>
      <c r="G395" t="inlineStr">
        <is>
          <t>兴业证券</t>
        </is>
      </c>
      <c r="H395" t="inlineStr">
        <is>
          <t>国联证券</t>
        </is>
      </c>
      <c r="I395" t="inlineStr">
        <is>
          <t>工行天津</t>
        </is>
      </c>
      <c r="J395" t="n">
        <v>10</v>
      </c>
      <c r="K395" t="inlineStr">
        <is>
          <t>12+5+15+3</t>
        </is>
      </c>
      <c r="L395" s="309" t="n">
        <v>46108</v>
      </c>
      <c r="M395" t="n">
        <v>0.0153</v>
      </c>
      <c r="N395" t="n">
        <v>0.0192</v>
      </c>
      <c r="O395" t="n">
        <v>3.27</v>
      </c>
      <c r="P395" s="235" t="inlineStr">
        <is>
          <t>中间级</t>
        </is>
      </c>
      <c r="Q395" s="236" t="n">
        <v>0.02</v>
      </c>
      <c r="R395" s="307" t="n">
        <v>0.2</v>
      </c>
      <c r="S395" s="235" t="inlineStr">
        <is>
          <t>A+</t>
        </is>
      </c>
      <c r="T395" s="236" t="n">
        <v>0.031</v>
      </c>
      <c r="U395" s="235" t="inlineStr">
        <is>
          <t>平安理财</t>
        </is>
      </c>
      <c r="V395" s="308" t="n">
        <v>0.05</v>
      </c>
    </row>
    <row r="396">
      <c r="A396" t="n">
        <v>33</v>
      </c>
      <c r="B396" t="inlineStr">
        <is>
          <t>3月</t>
        </is>
      </c>
      <c r="C396" t="inlineStr">
        <is>
          <t>消金</t>
        </is>
      </c>
      <c r="D396" t="inlineStr">
        <is>
          <t>赊销白条</t>
        </is>
      </c>
      <c r="E396" t="inlineStr">
        <is>
          <t>禾昱9-1</t>
        </is>
      </c>
      <c r="F396" t="inlineStr">
        <is>
          <t>上交所</t>
        </is>
      </c>
      <c r="G396" t="inlineStr">
        <is>
          <t>兴业证券</t>
        </is>
      </c>
      <c r="H396" t="inlineStr">
        <is>
          <t>国联证券</t>
        </is>
      </c>
      <c r="I396" t="inlineStr">
        <is>
          <t>工行天津</t>
        </is>
      </c>
      <c r="J396" t="n">
        <v>10</v>
      </c>
      <c r="K396" t="inlineStr">
        <is>
          <t>12+5+15+3</t>
        </is>
      </c>
      <c r="L396" s="309" t="n">
        <v>46108</v>
      </c>
      <c r="M396" t="n">
        <v>0.0153</v>
      </c>
      <c r="N396" t="n">
        <v>0.0192</v>
      </c>
      <c r="O396" t="n">
        <v>3.27</v>
      </c>
      <c r="P396" t="inlineStr">
        <is>
          <t>中间级</t>
        </is>
      </c>
      <c r="Q396" t="n">
        <v>0.02</v>
      </c>
      <c r="R396" t="n">
        <v>0.2</v>
      </c>
      <c r="S396" t="inlineStr">
        <is>
          <t>A+</t>
        </is>
      </c>
      <c r="T396" t="n">
        <v>0.031</v>
      </c>
      <c r="U396" s="235" t="inlineStr">
        <is>
          <t>中金投顾</t>
        </is>
      </c>
      <c r="V396" s="308" t="n">
        <v>0.09</v>
      </c>
    </row>
    <row r="397">
      <c r="A397" t="n">
        <v>33</v>
      </c>
      <c r="B397" t="inlineStr">
        <is>
          <t>3月</t>
        </is>
      </c>
      <c r="C397" t="inlineStr">
        <is>
          <t>消金</t>
        </is>
      </c>
      <c r="D397" t="inlineStr">
        <is>
          <t>赊销白条</t>
        </is>
      </c>
      <c r="E397" t="inlineStr">
        <is>
          <t>禾昱9-1</t>
        </is>
      </c>
      <c r="F397" t="inlineStr">
        <is>
          <t>上交所</t>
        </is>
      </c>
      <c r="G397" t="inlineStr">
        <is>
          <t>兴业证券</t>
        </is>
      </c>
      <c r="H397" t="inlineStr">
        <is>
          <t>国联证券</t>
        </is>
      </c>
      <c r="I397" t="inlineStr">
        <is>
          <t>工行天津</t>
        </is>
      </c>
      <c r="J397" t="n">
        <v>10</v>
      </c>
      <c r="K397" t="inlineStr">
        <is>
          <t>12+5+15+3</t>
        </is>
      </c>
      <c r="L397" s="309" t="n">
        <v>46108</v>
      </c>
      <c r="M397" t="n">
        <v>0.0153</v>
      </c>
      <c r="N397" t="n">
        <v>0.0192</v>
      </c>
      <c r="O397" t="n">
        <v>3.27</v>
      </c>
      <c r="P397" t="inlineStr">
        <is>
          <t>中间级</t>
        </is>
      </c>
      <c r="Q397" t="n">
        <v>0.02</v>
      </c>
      <c r="R397" t="n">
        <v>0.2</v>
      </c>
      <c r="S397" t="inlineStr">
        <is>
          <t>A+</t>
        </is>
      </c>
      <c r="T397" t="n">
        <v>0.031</v>
      </c>
      <c r="U397" s="235" t="inlineStr">
        <is>
          <t>杭州联合银行</t>
        </is>
      </c>
      <c r="V397" s="308" t="n">
        <v>0.05</v>
      </c>
    </row>
    <row r="398">
      <c r="A398" t="n">
        <v>33</v>
      </c>
      <c r="B398" t="inlineStr">
        <is>
          <t>3月</t>
        </is>
      </c>
      <c r="C398" t="inlineStr">
        <is>
          <t>消金</t>
        </is>
      </c>
      <c r="D398" t="inlineStr">
        <is>
          <t>赊销白条</t>
        </is>
      </c>
      <c r="E398" t="inlineStr">
        <is>
          <t>禾昱9-1</t>
        </is>
      </c>
      <c r="F398" t="inlineStr">
        <is>
          <t>上交所</t>
        </is>
      </c>
      <c r="G398" t="inlineStr">
        <is>
          <t>兴业证券</t>
        </is>
      </c>
      <c r="H398" t="inlineStr">
        <is>
          <t>国联证券</t>
        </is>
      </c>
      <c r="I398" t="inlineStr">
        <is>
          <t>工行天津</t>
        </is>
      </c>
      <c r="J398" t="n">
        <v>10</v>
      </c>
      <c r="K398" t="inlineStr">
        <is>
          <t>12+5+15+3</t>
        </is>
      </c>
      <c r="L398" s="309" t="n">
        <v>46108</v>
      </c>
      <c r="M398" t="n">
        <v>0.0153</v>
      </c>
      <c r="N398" t="n">
        <v>0.0192</v>
      </c>
      <c r="O398" t="n">
        <v>3.27</v>
      </c>
      <c r="P398" t="inlineStr">
        <is>
          <t>中间级</t>
        </is>
      </c>
      <c r="Q398" t="n">
        <v>0.02</v>
      </c>
      <c r="R398" t="n">
        <v>0.2</v>
      </c>
      <c r="S398" t="inlineStr">
        <is>
          <t>A+</t>
        </is>
      </c>
      <c r="T398" t="n">
        <v>0.031</v>
      </c>
      <c r="U398" s="252" t="inlineStr">
        <is>
          <t>京东世贸</t>
        </is>
      </c>
      <c r="V398" s="308" t="n">
        <v>0.01</v>
      </c>
    </row>
    <row r="399">
      <c r="A399" t="n">
        <v>33</v>
      </c>
      <c r="B399" t="inlineStr">
        <is>
          <t>3月</t>
        </is>
      </c>
      <c r="C399" t="inlineStr">
        <is>
          <t>消金</t>
        </is>
      </c>
      <c r="D399" t="inlineStr">
        <is>
          <t>赊销白条</t>
        </is>
      </c>
      <c r="E399" t="inlineStr">
        <is>
          <t>禾昱9-1</t>
        </is>
      </c>
      <c r="F399" t="inlineStr">
        <is>
          <t>上交所</t>
        </is>
      </c>
      <c r="G399" t="inlineStr">
        <is>
          <t>兴业证券</t>
        </is>
      </c>
      <c r="H399" t="inlineStr">
        <is>
          <t>国联证券</t>
        </is>
      </c>
      <c r="I399" t="inlineStr">
        <is>
          <t>工行天津</t>
        </is>
      </c>
      <c r="J399" t="n">
        <v>10</v>
      </c>
      <c r="K399" t="inlineStr">
        <is>
          <t>12+5+15+3</t>
        </is>
      </c>
      <c r="L399" s="309" t="n">
        <v>46108</v>
      </c>
      <c r="M399" t="n">
        <v>0.0153</v>
      </c>
      <c r="N399" t="n">
        <v>0.0192</v>
      </c>
      <c r="O399" t="n">
        <v>3.27</v>
      </c>
      <c r="P399" s="235" t="inlineStr">
        <is>
          <t>次级</t>
        </is>
      </c>
      <c r="Q399" s="236" t="n">
        <v>0.05</v>
      </c>
      <c r="R399" s="307" t="n">
        <v>0.5</v>
      </c>
      <c r="S399" s="235" t="inlineStr">
        <is>
          <t>无</t>
        </is>
      </c>
      <c r="T399" s="236" t="n">
        <v>0.045</v>
      </c>
      <c r="U399" s="235" t="inlineStr">
        <is>
          <t>利曦基金</t>
        </is>
      </c>
      <c r="V399" s="308" t="n">
        <v>0.1</v>
      </c>
    </row>
    <row r="400">
      <c r="A400" t="n">
        <v>33</v>
      </c>
      <c r="B400" t="inlineStr">
        <is>
          <t>3月</t>
        </is>
      </c>
      <c r="C400" t="inlineStr">
        <is>
          <t>消金</t>
        </is>
      </c>
      <c r="D400" t="inlineStr">
        <is>
          <t>赊销白条</t>
        </is>
      </c>
      <c r="E400" t="inlineStr">
        <is>
          <t>禾昱9-1</t>
        </is>
      </c>
      <c r="F400" t="inlineStr">
        <is>
          <t>上交所</t>
        </is>
      </c>
      <c r="G400" t="inlineStr">
        <is>
          <t>兴业证券</t>
        </is>
      </c>
      <c r="H400" t="inlineStr">
        <is>
          <t>国联证券</t>
        </is>
      </c>
      <c r="I400" t="inlineStr">
        <is>
          <t>工行天津</t>
        </is>
      </c>
      <c r="J400" t="n">
        <v>10</v>
      </c>
      <c r="K400" t="inlineStr">
        <is>
          <t>12+5+15+3</t>
        </is>
      </c>
      <c r="L400" s="309" t="n">
        <v>46108</v>
      </c>
      <c r="M400" t="n">
        <v>0.0153</v>
      </c>
      <c r="N400" t="n">
        <v>0.0192</v>
      </c>
      <c r="O400" t="n">
        <v>3.27</v>
      </c>
      <c r="P400" t="inlineStr">
        <is>
          <t>次级</t>
        </is>
      </c>
      <c r="Q400" t="n">
        <v>0.05</v>
      </c>
      <c r="R400" t="n">
        <v>0.5</v>
      </c>
      <c r="S400" t="inlineStr">
        <is>
          <t>无</t>
        </is>
      </c>
      <c r="T400" t="n">
        <v>0.045</v>
      </c>
      <c r="U400" s="235" t="inlineStr">
        <is>
          <t>中信财富</t>
        </is>
      </c>
      <c r="V400" s="308" t="n">
        <v>0.1</v>
      </c>
    </row>
    <row r="401">
      <c r="A401" t="n">
        <v>33</v>
      </c>
      <c r="B401" t="inlineStr">
        <is>
          <t>3月</t>
        </is>
      </c>
      <c r="C401" t="inlineStr">
        <is>
          <t>消金</t>
        </is>
      </c>
      <c r="D401" t="inlineStr">
        <is>
          <t>赊销白条</t>
        </is>
      </c>
      <c r="E401" t="inlineStr">
        <is>
          <t>禾昱9-1</t>
        </is>
      </c>
      <c r="F401" t="inlineStr">
        <is>
          <t>上交所</t>
        </is>
      </c>
      <c r="G401" t="inlineStr">
        <is>
          <t>兴业证券</t>
        </is>
      </c>
      <c r="H401" t="inlineStr">
        <is>
          <t>国联证券</t>
        </is>
      </c>
      <c r="I401" t="inlineStr">
        <is>
          <t>工行天津</t>
        </is>
      </c>
      <c r="J401" t="n">
        <v>10</v>
      </c>
      <c r="K401" t="inlineStr">
        <is>
          <t>12+5+15+3</t>
        </is>
      </c>
      <c r="L401" s="309" t="n">
        <v>46108</v>
      </c>
      <c r="M401" t="n">
        <v>0.0153</v>
      </c>
      <c r="N401" t="n">
        <v>0.0192</v>
      </c>
      <c r="O401" t="n">
        <v>3.27</v>
      </c>
      <c r="P401" t="inlineStr">
        <is>
          <t>次级</t>
        </is>
      </c>
      <c r="Q401" t="n">
        <v>0.05</v>
      </c>
      <c r="R401" t="n">
        <v>0.5</v>
      </c>
      <c r="S401" t="inlineStr">
        <is>
          <t>无</t>
        </is>
      </c>
      <c r="T401" t="n">
        <v>0.045</v>
      </c>
      <c r="U401" s="235" t="inlineStr">
        <is>
          <t>中信证券自营</t>
        </is>
      </c>
      <c r="V401" s="310" t="n">
        <v>0.075</v>
      </c>
    </row>
    <row r="402">
      <c r="A402" t="n">
        <v>33</v>
      </c>
      <c r="B402" t="inlineStr">
        <is>
          <t>3月</t>
        </is>
      </c>
      <c r="C402" t="inlineStr">
        <is>
          <t>消金</t>
        </is>
      </c>
      <c r="D402" t="inlineStr">
        <is>
          <t>赊销白条</t>
        </is>
      </c>
      <c r="E402" t="inlineStr">
        <is>
          <t>禾昱9-1</t>
        </is>
      </c>
      <c r="F402" t="inlineStr">
        <is>
          <t>上交所</t>
        </is>
      </c>
      <c r="G402" t="inlineStr">
        <is>
          <t>兴业证券</t>
        </is>
      </c>
      <c r="H402" t="inlineStr">
        <is>
          <t>国联证券</t>
        </is>
      </c>
      <c r="I402" t="inlineStr">
        <is>
          <t>工行天津</t>
        </is>
      </c>
      <c r="J402" t="n">
        <v>10</v>
      </c>
      <c r="K402" t="inlineStr">
        <is>
          <t>12+5+15+3</t>
        </is>
      </c>
      <c r="L402" s="309" t="n">
        <v>46108</v>
      </c>
      <c r="M402" t="n">
        <v>0.0153</v>
      </c>
      <c r="N402" t="n">
        <v>0.0192</v>
      </c>
      <c r="O402" t="n">
        <v>3.27</v>
      </c>
      <c r="P402" t="inlineStr">
        <is>
          <t>次级</t>
        </is>
      </c>
      <c r="Q402" t="n">
        <v>0.05</v>
      </c>
      <c r="R402" t="n">
        <v>0.5</v>
      </c>
      <c r="S402" t="inlineStr">
        <is>
          <t>无</t>
        </is>
      </c>
      <c r="T402" t="n">
        <v>0.045</v>
      </c>
      <c r="U402" s="235" t="inlineStr">
        <is>
          <t>中信证券投顾</t>
        </is>
      </c>
      <c r="V402" s="308" t="n">
        <v>0.1</v>
      </c>
    </row>
    <row r="403">
      <c r="A403" t="n">
        <v>33</v>
      </c>
      <c r="B403" t="inlineStr">
        <is>
          <t>3月</t>
        </is>
      </c>
      <c r="C403" t="inlineStr">
        <is>
          <t>消金</t>
        </is>
      </c>
      <c r="D403" t="inlineStr">
        <is>
          <t>赊销白条</t>
        </is>
      </c>
      <c r="E403" t="inlineStr">
        <is>
          <t>禾昱9-1</t>
        </is>
      </c>
      <c r="F403" t="inlineStr">
        <is>
          <t>上交所</t>
        </is>
      </c>
      <c r="G403" t="inlineStr">
        <is>
          <t>兴业证券</t>
        </is>
      </c>
      <c r="H403" t="inlineStr">
        <is>
          <t>国联证券</t>
        </is>
      </c>
      <c r="I403" t="inlineStr">
        <is>
          <t>工行天津</t>
        </is>
      </c>
      <c r="J403" t="n">
        <v>10</v>
      </c>
      <c r="K403" t="inlineStr">
        <is>
          <t>12+5+15+3</t>
        </is>
      </c>
      <c r="L403" s="309" t="n">
        <v>46108</v>
      </c>
      <c r="M403" t="n">
        <v>0.0153</v>
      </c>
      <c r="N403" t="n">
        <v>0.0192</v>
      </c>
      <c r="O403" t="n">
        <v>3.27</v>
      </c>
      <c r="P403" t="inlineStr">
        <is>
          <t>次级</t>
        </is>
      </c>
      <c r="Q403" t="n">
        <v>0.05</v>
      </c>
      <c r="R403" t="n">
        <v>0.5</v>
      </c>
      <c r="S403" t="inlineStr">
        <is>
          <t>无</t>
        </is>
      </c>
      <c r="T403" t="n">
        <v>0.045</v>
      </c>
      <c r="U403" s="235" t="inlineStr">
        <is>
          <t>京东世贸</t>
        </is>
      </c>
      <c r="V403" s="310" t="n">
        <v>0.025</v>
      </c>
    </row>
    <row r="404">
      <c r="A404" t="n">
        <v>33</v>
      </c>
      <c r="B404" t="inlineStr">
        <is>
          <t>3月</t>
        </is>
      </c>
      <c r="C404" t="inlineStr">
        <is>
          <t>消金</t>
        </is>
      </c>
      <c r="D404" t="inlineStr">
        <is>
          <t>赊销白条</t>
        </is>
      </c>
      <c r="E404" t="inlineStr">
        <is>
          <t>禾昱9-1</t>
        </is>
      </c>
      <c r="F404" t="inlineStr">
        <is>
          <t>上交所</t>
        </is>
      </c>
      <c r="G404" t="inlineStr">
        <is>
          <t>兴业证券</t>
        </is>
      </c>
      <c r="H404" t="inlineStr">
        <is>
          <t>国联证券</t>
        </is>
      </c>
      <c r="I404" t="inlineStr">
        <is>
          <t>工行天津</t>
        </is>
      </c>
      <c r="J404" t="n">
        <v>10</v>
      </c>
      <c r="K404" t="inlineStr">
        <is>
          <t>12+5+15+3</t>
        </is>
      </c>
      <c r="L404" s="309" t="n">
        <v>46108</v>
      </c>
      <c r="M404" t="n">
        <v>0.0153</v>
      </c>
      <c r="N404" t="n">
        <v>0.0192</v>
      </c>
      <c r="O404" t="n">
        <v>3.27</v>
      </c>
      <c r="P404" t="inlineStr">
        <is>
          <t>次级</t>
        </is>
      </c>
      <c r="Q404" t="n">
        <v>0.05</v>
      </c>
      <c r="R404" t="n">
        <v>0.5</v>
      </c>
      <c r="S404" t="inlineStr">
        <is>
          <t>无</t>
        </is>
      </c>
      <c r="T404" t="n">
        <v>0.045</v>
      </c>
      <c r="U404" s="235" t="inlineStr">
        <is>
          <t>东家铂睿</t>
        </is>
      </c>
      <c r="V404" s="308" t="n">
        <v>0.1</v>
      </c>
    </row>
    <row r="405">
      <c r="A405" s="223" t="n">
        <v>34</v>
      </c>
      <c r="B405" s="305" t="inlineStr">
        <is>
          <t>3月</t>
        </is>
      </c>
      <c r="C405" s="305" t="inlineStr">
        <is>
          <t>消金</t>
        </is>
      </c>
      <c r="D405" s="305" t="inlineStr">
        <is>
          <t>信托金条</t>
        </is>
      </c>
      <c r="E405" s="305" t="inlineStr">
        <is>
          <t>耘睿23-9</t>
        </is>
      </c>
      <c r="F405" s="305" t="inlineStr">
        <is>
          <t>上交所</t>
        </is>
      </c>
      <c r="G405" s="305" t="inlineStr">
        <is>
          <t>中信建投</t>
        </is>
      </c>
      <c r="H405" s="305" t="inlineStr">
        <is>
          <t>兴业证券</t>
        </is>
      </c>
      <c r="I405" s="305" t="inlineStr">
        <is>
          <t>青岛银行总行</t>
        </is>
      </c>
      <c r="J405" s="245" t="n">
        <v>10</v>
      </c>
      <c r="K405" s="305" t="inlineStr">
        <is>
          <t>11+13</t>
        </is>
      </c>
      <c r="L405" s="246" t="n">
        <v>46111</v>
      </c>
      <c r="M405" s="247" t="n">
        <v>0.0153</v>
      </c>
      <c r="N405" s="306" t="n">
        <v>0.01992</v>
      </c>
      <c r="O405" s="245" t="n">
        <v>3.48</v>
      </c>
      <c r="P405" s="235" t="inlineStr">
        <is>
          <t>优先A</t>
        </is>
      </c>
      <c r="Q405" s="236" t="n">
        <v>0.9</v>
      </c>
      <c r="R405" s="307" t="n">
        <v>9</v>
      </c>
      <c r="S405" s="235" t="inlineStr">
        <is>
          <t>AAA</t>
        </is>
      </c>
      <c r="T405" s="236" t="n">
        <v>0.017</v>
      </c>
      <c r="U405" s="235" t="inlineStr">
        <is>
          <t>南银理财</t>
        </is>
      </c>
      <c r="V405" s="308" t="n">
        <v>1.8</v>
      </c>
    </row>
    <row r="406">
      <c r="A406" t="n">
        <v>34</v>
      </c>
      <c r="B406" t="inlineStr">
        <is>
          <t>3月</t>
        </is>
      </c>
      <c r="C406" t="inlineStr">
        <is>
          <t>消金</t>
        </is>
      </c>
      <c r="D406" t="inlineStr">
        <is>
          <t>信托金条</t>
        </is>
      </c>
      <c r="E406" t="inlineStr">
        <is>
          <t>耘睿23-9</t>
        </is>
      </c>
      <c r="F406" t="inlineStr">
        <is>
          <t>上交所</t>
        </is>
      </c>
      <c r="G406" t="inlineStr">
        <is>
          <t>中信建投</t>
        </is>
      </c>
      <c r="H406" t="inlineStr">
        <is>
          <t>兴业证券</t>
        </is>
      </c>
      <c r="I406" t="inlineStr">
        <is>
          <t>青岛银行总行</t>
        </is>
      </c>
      <c r="J406" t="n">
        <v>10</v>
      </c>
      <c r="K406" t="inlineStr">
        <is>
          <t>11+13</t>
        </is>
      </c>
      <c r="L406" s="309" t="n">
        <v>46111</v>
      </c>
      <c r="M406" t="n">
        <v>0.0153</v>
      </c>
      <c r="N406" t="n">
        <v>0.01992</v>
      </c>
      <c r="O406" t="n">
        <v>3.48</v>
      </c>
      <c r="P406" t="inlineStr">
        <is>
          <t>优先A</t>
        </is>
      </c>
      <c r="Q406" t="n">
        <v>0.9</v>
      </c>
      <c r="R406" t="n">
        <v>9</v>
      </c>
      <c r="S406" t="inlineStr">
        <is>
          <t>AAA</t>
        </is>
      </c>
      <c r="T406" t="n">
        <v>0.017</v>
      </c>
      <c r="U406" s="235" t="inlineStr">
        <is>
          <t>交银理财</t>
        </is>
      </c>
      <c r="V406" s="308" t="n">
        <v>2.38</v>
      </c>
    </row>
    <row r="407">
      <c r="A407" t="n">
        <v>34</v>
      </c>
      <c r="B407" t="inlineStr">
        <is>
          <t>3月</t>
        </is>
      </c>
      <c r="C407" t="inlineStr">
        <is>
          <t>消金</t>
        </is>
      </c>
      <c r="D407" t="inlineStr">
        <is>
          <t>信托金条</t>
        </is>
      </c>
      <c r="E407" t="inlineStr">
        <is>
          <t>耘睿23-9</t>
        </is>
      </c>
      <c r="F407" t="inlineStr">
        <is>
          <t>上交所</t>
        </is>
      </c>
      <c r="G407" t="inlineStr">
        <is>
          <t>中信建投</t>
        </is>
      </c>
      <c r="H407" t="inlineStr">
        <is>
          <t>兴业证券</t>
        </is>
      </c>
      <c r="I407" t="inlineStr">
        <is>
          <t>青岛银行总行</t>
        </is>
      </c>
      <c r="J407" t="n">
        <v>10</v>
      </c>
      <c r="K407" t="inlineStr">
        <is>
          <t>11+13</t>
        </is>
      </c>
      <c r="L407" s="309" t="n">
        <v>46111</v>
      </c>
      <c r="M407" t="n">
        <v>0.0153</v>
      </c>
      <c r="N407" t="n">
        <v>0.01992</v>
      </c>
      <c r="O407" t="n">
        <v>3.48</v>
      </c>
      <c r="P407" t="inlineStr">
        <is>
          <t>优先A</t>
        </is>
      </c>
      <c r="Q407" t="n">
        <v>0.9</v>
      </c>
      <c r="R407" t="n">
        <v>9</v>
      </c>
      <c r="S407" t="inlineStr">
        <is>
          <t>AAA</t>
        </is>
      </c>
      <c r="T407" t="n">
        <v>0.017</v>
      </c>
      <c r="U407" s="235" t="inlineStr">
        <is>
          <t>中银理财</t>
        </is>
      </c>
      <c r="V407" s="308" t="n">
        <v>2.38</v>
      </c>
    </row>
    <row r="408">
      <c r="A408" t="n">
        <v>34</v>
      </c>
      <c r="B408" t="inlineStr">
        <is>
          <t>3月</t>
        </is>
      </c>
      <c r="C408" t="inlineStr">
        <is>
          <t>消金</t>
        </is>
      </c>
      <c r="D408" t="inlineStr">
        <is>
          <t>信托金条</t>
        </is>
      </c>
      <c r="E408" t="inlineStr">
        <is>
          <t>耘睿23-9</t>
        </is>
      </c>
      <c r="F408" t="inlineStr">
        <is>
          <t>上交所</t>
        </is>
      </c>
      <c r="G408" t="inlineStr">
        <is>
          <t>中信建投</t>
        </is>
      </c>
      <c r="H408" t="inlineStr">
        <is>
          <t>兴业证券</t>
        </is>
      </c>
      <c r="I408" t="inlineStr">
        <is>
          <t>青岛银行总行</t>
        </is>
      </c>
      <c r="J408" t="n">
        <v>10</v>
      </c>
      <c r="K408" t="inlineStr">
        <is>
          <t>11+13</t>
        </is>
      </c>
      <c r="L408" s="309" t="n">
        <v>46111</v>
      </c>
      <c r="M408" t="n">
        <v>0.0153</v>
      </c>
      <c r="N408" t="n">
        <v>0.01992</v>
      </c>
      <c r="O408" t="n">
        <v>3.48</v>
      </c>
      <c r="P408" t="inlineStr">
        <is>
          <t>优先A</t>
        </is>
      </c>
      <c r="Q408" t="n">
        <v>0.9</v>
      </c>
      <c r="R408" t="n">
        <v>9</v>
      </c>
      <c r="S408" t="inlineStr">
        <is>
          <t>AAA</t>
        </is>
      </c>
      <c r="T408" t="n">
        <v>0.017</v>
      </c>
      <c r="U408" s="235" t="inlineStr">
        <is>
          <t>平安理财</t>
        </is>
      </c>
      <c r="V408" s="308" t="n">
        <v>0.06</v>
      </c>
    </row>
    <row r="409">
      <c r="A409" t="n">
        <v>34</v>
      </c>
      <c r="B409" t="inlineStr">
        <is>
          <t>3月</t>
        </is>
      </c>
      <c r="C409" t="inlineStr">
        <is>
          <t>消金</t>
        </is>
      </c>
      <c r="D409" t="inlineStr">
        <is>
          <t>信托金条</t>
        </is>
      </c>
      <c r="E409" t="inlineStr">
        <is>
          <t>耘睿23-9</t>
        </is>
      </c>
      <c r="F409" t="inlineStr">
        <is>
          <t>上交所</t>
        </is>
      </c>
      <c r="G409" t="inlineStr">
        <is>
          <t>中信建投</t>
        </is>
      </c>
      <c r="H409" t="inlineStr">
        <is>
          <t>兴业证券</t>
        </is>
      </c>
      <c r="I409" t="inlineStr">
        <is>
          <t>青岛银行总行</t>
        </is>
      </c>
      <c r="J409" t="n">
        <v>10</v>
      </c>
      <c r="K409" t="inlineStr">
        <is>
          <t>11+13</t>
        </is>
      </c>
      <c r="L409" s="309" t="n">
        <v>46111</v>
      </c>
      <c r="M409" t="n">
        <v>0.0153</v>
      </c>
      <c r="N409" t="n">
        <v>0.01992</v>
      </c>
      <c r="O409" t="n">
        <v>3.48</v>
      </c>
      <c r="P409" t="inlineStr">
        <is>
          <t>优先A</t>
        </is>
      </c>
      <c r="Q409" t="n">
        <v>0.9</v>
      </c>
      <c r="R409" t="n">
        <v>9</v>
      </c>
      <c r="S409" t="inlineStr">
        <is>
          <t>AAA</t>
        </is>
      </c>
      <c r="T409" t="n">
        <v>0.017</v>
      </c>
      <c r="U409" s="235" t="inlineStr">
        <is>
          <t>中邮理财</t>
        </is>
      </c>
      <c r="V409" s="308" t="n">
        <v>2.38</v>
      </c>
    </row>
    <row r="410">
      <c r="A410" t="n">
        <v>34</v>
      </c>
      <c r="B410" t="inlineStr">
        <is>
          <t>3月</t>
        </is>
      </c>
      <c r="C410" t="inlineStr">
        <is>
          <t>消金</t>
        </is>
      </c>
      <c r="D410" t="inlineStr">
        <is>
          <t>信托金条</t>
        </is>
      </c>
      <c r="E410" t="inlineStr">
        <is>
          <t>耘睿23-9</t>
        </is>
      </c>
      <c r="F410" t="inlineStr">
        <is>
          <t>上交所</t>
        </is>
      </c>
      <c r="G410" t="inlineStr">
        <is>
          <t>中信建投</t>
        </is>
      </c>
      <c r="H410" t="inlineStr">
        <is>
          <t>兴业证券</t>
        </is>
      </c>
      <c r="I410" t="inlineStr">
        <is>
          <t>青岛银行总行</t>
        </is>
      </c>
      <c r="J410" t="n">
        <v>10</v>
      </c>
      <c r="K410" t="inlineStr">
        <is>
          <t>11+13</t>
        </is>
      </c>
      <c r="L410" s="309" t="n">
        <v>46111</v>
      </c>
      <c r="M410" t="n">
        <v>0.0153</v>
      </c>
      <c r="N410" t="n">
        <v>0.01992</v>
      </c>
      <c r="O410" t="n">
        <v>3.48</v>
      </c>
      <c r="P410" s="235" t="inlineStr">
        <is>
          <t>优先B</t>
        </is>
      </c>
      <c r="Q410" s="236" t="n">
        <v>0.03</v>
      </c>
      <c r="R410" s="307" t="n">
        <v>0.3</v>
      </c>
      <c r="S410" s="235" t="inlineStr">
        <is>
          <t>AA+</t>
        </is>
      </c>
      <c r="T410" s="236" t="n">
        <v>0.0185</v>
      </c>
      <c r="U410" s="235" t="inlineStr">
        <is>
          <t>重庆农商理财</t>
        </is>
      </c>
      <c r="V410" s="308" t="n">
        <v>0.09</v>
      </c>
    </row>
    <row r="411">
      <c r="A411" t="n">
        <v>34</v>
      </c>
      <c r="B411" t="inlineStr">
        <is>
          <t>3月</t>
        </is>
      </c>
      <c r="C411" t="inlineStr">
        <is>
          <t>消金</t>
        </is>
      </c>
      <c r="D411" t="inlineStr">
        <is>
          <t>信托金条</t>
        </is>
      </c>
      <c r="E411" t="inlineStr">
        <is>
          <t>耘睿23-9</t>
        </is>
      </c>
      <c r="F411" t="inlineStr">
        <is>
          <t>上交所</t>
        </is>
      </c>
      <c r="G411" t="inlineStr">
        <is>
          <t>中信建投</t>
        </is>
      </c>
      <c r="H411" t="inlineStr">
        <is>
          <t>兴业证券</t>
        </is>
      </c>
      <c r="I411" t="inlineStr">
        <is>
          <t>青岛银行总行</t>
        </is>
      </c>
      <c r="J411" t="n">
        <v>10</v>
      </c>
      <c r="K411" t="inlineStr">
        <is>
          <t>11+13</t>
        </is>
      </c>
      <c r="L411" s="309" t="n">
        <v>46111</v>
      </c>
      <c r="M411" t="n">
        <v>0.0153</v>
      </c>
      <c r="N411" t="n">
        <v>0.01992</v>
      </c>
      <c r="O411" t="n">
        <v>3.48</v>
      </c>
      <c r="P411" t="inlineStr">
        <is>
          <t>优先B</t>
        </is>
      </c>
      <c r="Q411" t="n">
        <v>0.03</v>
      </c>
      <c r="R411" t="n">
        <v>0.3</v>
      </c>
      <c r="S411" t="inlineStr">
        <is>
          <t>AA+</t>
        </is>
      </c>
      <c r="T411" t="n">
        <v>0.0185</v>
      </c>
      <c r="U411" s="235" t="inlineStr">
        <is>
          <t>交银理财</t>
        </is>
      </c>
      <c r="V411" s="308" t="n">
        <v>0.09</v>
      </c>
    </row>
    <row r="412">
      <c r="A412" t="n">
        <v>34</v>
      </c>
      <c r="B412" t="inlineStr">
        <is>
          <t>3月</t>
        </is>
      </c>
      <c r="C412" t="inlineStr">
        <is>
          <t>消金</t>
        </is>
      </c>
      <c r="D412" t="inlineStr">
        <is>
          <t>信托金条</t>
        </is>
      </c>
      <c r="E412" t="inlineStr">
        <is>
          <t>耘睿23-9</t>
        </is>
      </c>
      <c r="F412" t="inlineStr">
        <is>
          <t>上交所</t>
        </is>
      </c>
      <c r="G412" t="inlineStr">
        <is>
          <t>中信建投</t>
        </is>
      </c>
      <c r="H412" t="inlineStr">
        <is>
          <t>兴业证券</t>
        </is>
      </c>
      <c r="I412" t="inlineStr">
        <is>
          <t>青岛银行总行</t>
        </is>
      </c>
      <c r="J412" t="n">
        <v>10</v>
      </c>
      <c r="K412" t="inlineStr">
        <is>
          <t>11+13</t>
        </is>
      </c>
      <c r="L412" s="309" t="n">
        <v>46111</v>
      </c>
      <c r="M412" t="n">
        <v>0.0153</v>
      </c>
      <c r="N412" t="n">
        <v>0.01992</v>
      </c>
      <c r="O412" t="n">
        <v>3.48</v>
      </c>
      <c r="P412" t="inlineStr">
        <is>
          <t>优先B</t>
        </is>
      </c>
      <c r="Q412" t="n">
        <v>0.03</v>
      </c>
      <c r="R412" t="n">
        <v>0.3</v>
      </c>
      <c r="S412" t="inlineStr">
        <is>
          <t>AA+</t>
        </is>
      </c>
      <c r="T412" t="n">
        <v>0.0185</v>
      </c>
      <c r="U412" s="235" t="inlineStr">
        <is>
          <t>平安理财</t>
        </is>
      </c>
      <c r="V412" s="308" t="n">
        <v>0.07000000000000001</v>
      </c>
    </row>
    <row r="413">
      <c r="A413" t="n">
        <v>34</v>
      </c>
      <c r="B413" t="inlineStr">
        <is>
          <t>3月</t>
        </is>
      </c>
      <c r="C413" t="inlineStr">
        <is>
          <t>消金</t>
        </is>
      </c>
      <c r="D413" t="inlineStr">
        <is>
          <t>信托金条</t>
        </is>
      </c>
      <c r="E413" t="inlineStr">
        <is>
          <t>耘睿23-9</t>
        </is>
      </c>
      <c r="F413" t="inlineStr">
        <is>
          <t>上交所</t>
        </is>
      </c>
      <c r="G413" t="inlineStr">
        <is>
          <t>中信建投</t>
        </is>
      </c>
      <c r="H413" t="inlineStr">
        <is>
          <t>兴业证券</t>
        </is>
      </c>
      <c r="I413" t="inlineStr">
        <is>
          <t>青岛银行总行</t>
        </is>
      </c>
      <c r="J413" t="n">
        <v>10</v>
      </c>
      <c r="K413" t="inlineStr">
        <is>
          <t>11+13</t>
        </is>
      </c>
      <c r="L413" s="309" t="n">
        <v>46111</v>
      </c>
      <c r="M413" t="n">
        <v>0.0153</v>
      </c>
      <c r="N413" t="n">
        <v>0.01992</v>
      </c>
      <c r="O413" t="n">
        <v>3.48</v>
      </c>
      <c r="P413" t="inlineStr">
        <is>
          <t>优先B</t>
        </is>
      </c>
      <c r="Q413" t="n">
        <v>0.03</v>
      </c>
      <c r="R413" t="n">
        <v>0.3</v>
      </c>
      <c r="S413" t="inlineStr">
        <is>
          <t>AA+</t>
        </is>
      </c>
      <c r="T413" t="n">
        <v>0.0185</v>
      </c>
      <c r="U413" s="235" t="inlineStr">
        <is>
          <t>中信建投投行</t>
        </is>
      </c>
      <c r="V413" s="308" t="n">
        <v>0.05</v>
      </c>
    </row>
    <row r="414">
      <c r="A414" t="n">
        <v>34</v>
      </c>
      <c r="B414" t="inlineStr">
        <is>
          <t>3月</t>
        </is>
      </c>
      <c r="C414" t="inlineStr">
        <is>
          <t>消金</t>
        </is>
      </c>
      <c r="D414" t="inlineStr">
        <is>
          <t>信托金条</t>
        </is>
      </c>
      <c r="E414" t="inlineStr">
        <is>
          <t>耘睿23-9</t>
        </is>
      </c>
      <c r="F414" t="inlineStr">
        <is>
          <t>上交所</t>
        </is>
      </c>
      <c r="G414" t="inlineStr">
        <is>
          <t>中信建投</t>
        </is>
      </c>
      <c r="H414" t="inlineStr">
        <is>
          <t>兴业证券</t>
        </is>
      </c>
      <c r="I414" t="inlineStr">
        <is>
          <t>青岛银行总行</t>
        </is>
      </c>
      <c r="J414" t="n">
        <v>10</v>
      </c>
      <c r="K414" t="inlineStr">
        <is>
          <t>11+13</t>
        </is>
      </c>
      <c r="L414" s="309" t="n">
        <v>46111</v>
      </c>
      <c r="M414" t="n">
        <v>0.0153</v>
      </c>
      <c r="N414" t="n">
        <v>0.01992</v>
      </c>
      <c r="O414" t="n">
        <v>3.48</v>
      </c>
      <c r="P414" s="235" t="inlineStr">
        <is>
          <t>中间级</t>
        </is>
      </c>
      <c r="Q414" s="236" t="n">
        <v>0.02</v>
      </c>
      <c r="R414" s="307" t="n">
        <v>0.2</v>
      </c>
      <c r="S414" s="235" t="inlineStr">
        <is>
          <t>A+</t>
        </is>
      </c>
      <c r="T414" s="236" t="n">
        <v>0.031</v>
      </c>
      <c r="U414" s="235" t="inlineStr">
        <is>
          <t>建信信托</t>
        </is>
      </c>
      <c r="V414" s="308" t="n">
        <v>0.2</v>
      </c>
    </row>
    <row r="415">
      <c r="A415" t="n">
        <v>34</v>
      </c>
      <c r="B415" t="inlineStr">
        <is>
          <t>3月</t>
        </is>
      </c>
      <c r="C415" t="inlineStr">
        <is>
          <t>消金</t>
        </is>
      </c>
      <c r="D415" t="inlineStr">
        <is>
          <t>信托金条</t>
        </is>
      </c>
      <c r="E415" t="inlineStr">
        <is>
          <t>耘睿23-9</t>
        </is>
      </c>
      <c r="F415" t="inlineStr">
        <is>
          <t>上交所</t>
        </is>
      </c>
      <c r="G415" t="inlineStr">
        <is>
          <t>中信建投</t>
        </is>
      </c>
      <c r="H415" t="inlineStr">
        <is>
          <t>兴业证券</t>
        </is>
      </c>
      <c r="I415" t="inlineStr">
        <is>
          <t>青岛银行总行</t>
        </is>
      </c>
      <c r="J415" t="n">
        <v>10</v>
      </c>
      <c r="K415" t="inlineStr">
        <is>
          <t>11+13</t>
        </is>
      </c>
      <c r="L415" s="309" t="n">
        <v>46111</v>
      </c>
      <c r="M415" t="n">
        <v>0.0153</v>
      </c>
      <c r="N415" t="n">
        <v>0.01992</v>
      </c>
      <c r="O415" t="n">
        <v>3.48</v>
      </c>
      <c r="P415" s="235" t="inlineStr">
        <is>
          <t>次级</t>
        </is>
      </c>
      <c r="Q415" s="236" t="n">
        <v>0.05</v>
      </c>
      <c r="R415" s="307" t="n">
        <v>0.5</v>
      </c>
      <c r="S415" s="235" t="inlineStr">
        <is>
          <t>无</t>
        </is>
      </c>
      <c r="T415" s="236" t="n">
        <v>0.0505</v>
      </c>
      <c r="U415" s="235" t="inlineStr">
        <is>
          <t>中信证券自营</t>
        </is>
      </c>
      <c r="V415" s="310" t="n">
        <v>0.075</v>
      </c>
    </row>
    <row r="416">
      <c r="A416" t="n">
        <v>34</v>
      </c>
      <c r="B416" t="inlineStr">
        <is>
          <t>3月</t>
        </is>
      </c>
      <c r="C416" t="inlineStr">
        <is>
          <t>消金</t>
        </is>
      </c>
      <c r="D416" t="inlineStr">
        <is>
          <t>信托金条</t>
        </is>
      </c>
      <c r="E416" t="inlineStr">
        <is>
          <t>耘睿23-9</t>
        </is>
      </c>
      <c r="F416" t="inlineStr">
        <is>
          <t>上交所</t>
        </is>
      </c>
      <c r="G416" t="inlineStr">
        <is>
          <t>中信建投</t>
        </is>
      </c>
      <c r="H416" t="inlineStr">
        <is>
          <t>兴业证券</t>
        </is>
      </c>
      <c r="I416" t="inlineStr">
        <is>
          <t>青岛银行总行</t>
        </is>
      </c>
      <c r="J416" t="n">
        <v>10</v>
      </c>
      <c r="K416" t="inlineStr">
        <is>
          <t>11+13</t>
        </is>
      </c>
      <c r="L416" s="309" t="n">
        <v>46111</v>
      </c>
      <c r="M416" t="n">
        <v>0.0153</v>
      </c>
      <c r="N416" t="n">
        <v>0.01992</v>
      </c>
      <c r="O416" t="n">
        <v>3.48</v>
      </c>
      <c r="P416" t="inlineStr">
        <is>
          <t>次级</t>
        </is>
      </c>
      <c r="Q416" t="n">
        <v>0.05</v>
      </c>
      <c r="R416" t="n">
        <v>0.5</v>
      </c>
      <c r="S416" t="inlineStr">
        <is>
          <t>无</t>
        </is>
      </c>
      <c r="T416" t="n">
        <v>0.0505</v>
      </c>
      <c r="U416" s="235" t="inlineStr">
        <is>
          <t>国信证券自营</t>
        </is>
      </c>
      <c r="V416" s="310" t="n">
        <v>0.425</v>
      </c>
    </row>
    <row r="417">
      <c r="A417" s="223" t="n">
        <v>35</v>
      </c>
      <c r="B417" s="220" t="inlineStr">
        <is>
          <t>3月</t>
        </is>
      </c>
      <c r="C417" s="220" t="inlineStr">
        <is>
          <t>消金</t>
        </is>
      </c>
      <c r="D417" s="220" t="inlineStr">
        <is>
          <t>金条&amp;白取&amp;信托白条混发</t>
        </is>
      </c>
      <c r="E417" s="223" t="inlineStr">
        <is>
          <t>栗泽19号</t>
        </is>
      </c>
      <c r="F417" s="220" t="inlineStr">
        <is>
          <t>平层非标</t>
        </is>
      </c>
      <c r="G417" s="220" t="inlineStr">
        <is>
          <t>中粮信托</t>
        </is>
      </c>
      <c r="H417" s="220" t="inlineStr">
        <is>
          <t>-</t>
        </is>
      </c>
      <c r="I417" s="220" t="inlineStr">
        <is>
          <t>南银北分</t>
        </is>
      </c>
      <c r="J417" s="220" t="n">
        <v>20</v>
      </c>
      <c r="K417" s="220" t="inlineStr">
        <is>
          <t>11+1</t>
        </is>
      </c>
      <c r="L417" s="224" t="n">
        <v>46111</v>
      </c>
      <c r="M417" s="225" t="n">
        <v>0.0153</v>
      </c>
      <c r="N417" s="311" t="n">
        <v>0.02455</v>
      </c>
      <c r="O417" s="226" t="inlineStr">
        <is>
          <t>-</t>
        </is>
      </c>
      <c r="P417" s="220" t="inlineStr">
        <is>
          <t>平层</t>
        </is>
      </c>
      <c r="Q417" s="221" t="n">
        <v>1</v>
      </c>
      <c r="R417" s="308" t="n">
        <v>20</v>
      </c>
      <c r="S417" s="220" t="inlineStr">
        <is>
          <t>无</t>
        </is>
      </c>
      <c r="T417" s="221" t="n">
        <v>0.023</v>
      </c>
      <c r="U417" s="24" t="inlineStr">
        <is>
          <t>南银理财</t>
        </is>
      </c>
      <c r="V417" s="29" t="n">
        <v>20</v>
      </c>
    </row>
    <row r="418">
      <c r="A418" s="223" t="n">
        <v>36</v>
      </c>
      <c r="B418" s="220" t="inlineStr">
        <is>
          <t>3月</t>
        </is>
      </c>
      <c r="C418" s="220" t="inlineStr">
        <is>
          <t>消金</t>
        </is>
      </c>
      <c r="D418" s="220" t="inlineStr">
        <is>
          <t>信托白条</t>
        </is>
      </c>
      <c r="E418" s="223" t="inlineStr">
        <is>
          <t>栗泽20号</t>
        </is>
      </c>
      <c r="F418" s="220" t="inlineStr">
        <is>
          <t>平层非标</t>
        </is>
      </c>
      <c r="G418" s="220" t="inlineStr">
        <is>
          <t>中粮信托</t>
        </is>
      </c>
      <c r="H418" s="220" t="inlineStr">
        <is>
          <t>-</t>
        </is>
      </c>
      <c r="I418" s="220" t="inlineStr">
        <is>
          <t>邮储北分</t>
        </is>
      </c>
      <c r="J418" s="220" t="n">
        <v>10</v>
      </c>
      <c r="K418" s="220" t="inlineStr">
        <is>
          <t>20+4</t>
        </is>
      </c>
      <c r="L418" s="224" t="n">
        <v>46111</v>
      </c>
      <c r="M418" s="225" t="n">
        <v>0.0153</v>
      </c>
      <c r="N418" s="311" t="n">
        <v>0.02575</v>
      </c>
      <c r="O418" s="226" t="inlineStr">
        <is>
          <t>-</t>
        </is>
      </c>
      <c r="P418" s="220" t="inlineStr">
        <is>
          <t>平层</t>
        </is>
      </c>
      <c r="Q418" s="221" t="n">
        <v>1</v>
      </c>
      <c r="R418" s="308" t="n">
        <v>10</v>
      </c>
      <c r="S418" s="220" t="inlineStr">
        <is>
          <t>无</t>
        </is>
      </c>
      <c r="T418" s="221" t="n">
        <v>0.0242</v>
      </c>
      <c r="U418" s="24" t="inlineStr">
        <is>
          <t>中邮理财</t>
        </is>
      </c>
      <c r="V418" s="29" t="n">
        <v>10</v>
      </c>
    </row>
    <row r="419">
      <c r="A419" s="223" t="n">
        <v>37</v>
      </c>
      <c r="B419" s="220" t="inlineStr">
        <is>
          <t>3月</t>
        </is>
      </c>
      <c r="C419" s="220" t="inlineStr">
        <is>
          <t>消金</t>
        </is>
      </c>
      <c r="D419" s="220" t="inlineStr">
        <is>
          <t>信托白条</t>
        </is>
      </c>
      <c r="E419" s="223" t="inlineStr">
        <is>
          <t>钰泽1号</t>
        </is>
      </c>
      <c r="F419" s="220" t="inlineStr">
        <is>
          <t>平层非标</t>
        </is>
      </c>
      <c r="G419" s="220" t="inlineStr">
        <is>
          <t>西藏信托</t>
        </is>
      </c>
      <c r="H419" s="220" t="inlineStr">
        <is>
          <t>-</t>
        </is>
      </c>
      <c r="I419" s="220" t="inlineStr">
        <is>
          <t>邮储北分</t>
        </is>
      </c>
      <c r="J419" s="220" t="n">
        <v>5</v>
      </c>
      <c r="K419" s="220" t="inlineStr">
        <is>
          <t>11+1</t>
        </is>
      </c>
      <c r="L419" s="224" t="n">
        <v>46111</v>
      </c>
      <c r="M419" s="225" t="n">
        <v>0.0153</v>
      </c>
      <c r="N419" s="311" t="n">
        <v>0.02455</v>
      </c>
      <c r="O419" s="226" t="inlineStr">
        <is>
          <t>-</t>
        </is>
      </c>
      <c r="P419" s="220" t="inlineStr">
        <is>
          <t>平层</t>
        </is>
      </c>
      <c r="Q419" s="221" t="n">
        <v>1</v>
      </c>
      <c r="R419" s="308" t="n">
        <v>5</v>
      </c>
      <c r="S419" s="220" t="inlineStr">
        <is>
          <t>无</t>
        </is>
      </c>
      <c r="T419" s="221" t="n">
        <v>0.023</v>
      </c>
      <c r="U419" s="24" t="inlineStr">
        <is>
          <t>中银理财</t>
        </is>
      </c>
      <c r="V419" s="29" t="n">
        <v>5</v>
      </c>
    </row>
    <row r="420">
      <c r="A420" s="223" t="n">
        <v>38</v>
      </c>
      <c r="B420" s="305" t="inlineStr">
        <is>
          <t>4月</t>
        </is>
      </c>
      <c r="C420" s="305" t="inlineStr">
        <is>
          <t>消金</t>
        </is>
      </c>
      <c r="D420" s="305" t="inlineStr">
        <is>
          <t>信托金条</t>
        </is>
      </c>
      <c r="E420" s="305" t="inlineStr">
        <is>
          <t>耘睿23-10</t>
        </is>
      </c>
      <c r="F420" s="305" t="inlineStr">
        <is>
          <t>上交所</t>
        </is>
      </c>
      <c r="G420" s="305" t="inlineStr">
        <is>
          <t>中信建投</t>
        </is>
      </c>
      <c r="H420" s="305" t="inlineStr">
        <is>
          <t>兴业证券</t>
        </is>
      </c>
      <c r="I420" s="305" t="inlineStr">
        <is>
          <t>青岛银行总行</t>
        </is>
      </c>
      <c r="J420" s="245" t="n">
        <v>9</v>
      </c>
      <c r="K420" s="305" t="inlineStr">
        <is>
          <t>11+13</t>
        </is>
      </c>
      <c r="L420" s="246" t="n">
        <v>46119</v>
      </c>
      <c r="M420" s="247" t="n">
        <v>0.0146</v>
      </c>
      <c r="N420" s="306" t="n">
        <v>0.01975</v>
      </c>
      <c r="O420" s="245" t="n">
        <v>3.53</v>
      </c>
      <c r="P420" s="235" t="inlineStr">
        <is>
          <t>优先A</t>
        </is>
      </c>
      <c r="Q420" s="236" t="n">
        <v>0.9</v>
      </c>
      <c r="R420" s="307" t="n">
        <v>8.1</v>
      </c>
      <c r="S420" s="235" t="inlineStr">
        <is>
          <t>AAA</t>
        </is>
      </c>
      <c r="T420" s="236" t="n">
        <v>0.0168</v>
      </c>
      <c r="U420" s="235" t="inlineStr">
        <is>
          <t>民生理财</t>
        </is>
      </c>
      <c r="V420" s="308" t="n">
        <v>1.5</v>
      </c>
    </row>
    <row r="421">
      <c r="A421" t="n">
        <v>38</v>
      </c>
      <c r="B421" t="inlineStr">
        <is>
          <t>4月</t>
        </is>
      </c>
      <c r="C421" t="inlineStr">
        <is>
          <t>消金</t>
        </is>
      </c>
      <c r="D421" t="inlineStr">
        <is>
          <t>信托金条</t>
        </is>
      </c>
      <c r="E421" t="inlineStr">
        <is>
          <t>耘睿23-10</t>
        </is>
      </c>
      <c r="F421" t="inlineStr">
        <is>
          <t>上交所</t>
        </is>
      </c>
      <c r="G421" t="inlineStr">
        <is>
          <t>中信建投</t>
        </is>
      </c>
      <c r="H421" t="inlineStr">
        <is>
          <t>兴业证券</t>
        </is>
      </c>
      <c r="I421" t="inlineStr">
        <is>
          <t>青岛银行总行</t>
        </is>
      </c>
      <c r="J421" t="n">
        <v>9</v>
      </c>
      <c r="K421" t="inlineStr">
        <is>
          <t>11+13</t>
        </is>
      </c>
      <c r="L421" s="309" t="n">
        <v>46119</v>
      </c>
      <c r="M421" t="n">
        <v>0.0146</v>
      </c>
      <c r="N421" t="n">
        <v>0.01975</v>
      </c>
      <c r="O421" t="n">
        <v>3.53</v>
      </c>
      <c r="P421" t="inlineStr">
        <is>
          <t>优先A</t>
        </is>
      </c>
      <c r="Q421" t="n">
        <v>0.9</v>
      </c>
      <c r="R421" t="n">
        <v>8.1</v>
      </c>
      <c r="S421" t="inlineStr">
        <is>
          <t>AAA</t>
        </is>
      </c>
      <c r="T421" t="n">
        <v>0.0168</v>
      </c>
      <c r="U421" s="235" t="inlineStr">
        <is>
          <t>交银理财</t>
        </is>
      </c>
      <c r="V421" s="308" t="n">
        <v>0.96</v>
      </c>
    </row>
    <row r="422">
      <c r="A422" t="n">
        <v>38</v>
      </c>
      <c r="B422" t="inlineStr">
        <is>
          <t>4月</t>
        </is>
      </c>
      <c r="C422" t="inlineStr">
        <is>
          <t>消金</t>
        </is>
      </c>
      <c r="D422" t="inlineStr">
        <is>
          <t>信托金条</t>
        </is>
      </c>
      <c r="E422" t="inlineStr">
        <is>
          <t>耘睿23-10</t>
        </is>
      </c>
      <c r="F422" t="inlineStr">
        <is>
          <t>上交所</t>
        </is>
      </c>
      <c r="G422" t="inlineStr">
        <is>
          <t>中信建投</t>
        </is>
      </c>
      <c r="H422" t="inlineStr">
        <is>
          <t>兴业证券</t>
        </is>
      </c>
      <c r="I422" t="inlineStr">
        <is>
          <t>青岛银行总行</t>
        </is>
      </c>
      <c r="J422" t="n">
        <v>9</v>
      </c>
      <c r="K422" t="inlineStr">
        <is>
          <t>11+13</t>
        </is>
      </c>
      <c r="L422" s="309" t="n">
        <v>46119</v>
      </c>
      <c r="M422" t="n">
        <v>0.0146</v>
      </c>
      <c r="N422" t="n">
        <v>0.01975</v>
      </c>
      <c r="O422" t="n">
        <v>3.53</v>
      </c>
      <c r="P422" t="inlineStr">
        <is>
          <t>优先A</t>
        </is>
      </c>
      <c r="Q422" t="n">
        <v>0.9</v>
      </c>
      <c r="R422" t="n">
        <v>8.1</v>
      </c>
      <c r="S422" t="inlineStr">
        <is>
          <t>AAA</t>
        </is>
      </c>
      <c r="T422" t="n">
        <v>0.0168</v>
      </c>
      <c r="U422" s="235" t="inlineStr">
        <is>
          <t>中银理财</t>
        </is>
      </c>
      <c r="V422" s="308" t="n">
        <v>2.4</v>
      </c>
    </row>
    <row r="423">
      <c r="A423" t="n">
        <v>38</v>
      </c>
      <c r="B423" t="inlineStr">
        <is>
          <t>4月</t>
        </is>
      </c>
      <c r="C423" t="inlineStr">
        <is>
          <t>消金</t>
        </is>
      </c>
      <c r="D423" t="inlineStr">
        <is>
          <t>信托金条</t>
        </is>
      </c>
      <c r="E423" t="inlineStr">
        <is>
          <t>耘睿23-10</t>
        </is>
      </c>
      <c r="F423" t="inlineStr">
        <is>
          <t>上交所</t>
        </is>
      </c>
      <c r="G423" t="inlineStr">
        <is>
          <t>中信建投</t>
        </is>
      </c>
      <c r="H423" t="inlineStr">
        <is>
          <t>兴业证券</t>
        </is>
      </c>
      <c r="I423" t="inlineStr">
        <is>
          <t>青岛银行总行</t>
        </is>
      </c>
      <c r="J423" t="n">
        <v>9</v>
      </c>
      <c r="K423" t="inlineStr">
        <is>
          <t>11+13</t>
        </is>
      </c>
      <c r="L423" s="309" t="n">
        <v>46119</v>
      </c>
      <c r="M423" t="n">
        <v>0.0146</v>
      </c>
      <c r="N423" t="n">
        <v>0.01975</v>
      </c>
      <c r="O423" t="n">
        <v>3.53</v>
      </c>
      <c r="P423" t="inlineStr">
        <is>
          <t>优先A</t>
        </is>
      </c>
      <c r="Q423" t="n">
        <v>0.9</v>
      </c>
      <c r="R423" t="n">
        <v>8.1</v>
      </c>
      <c r="S423" t="inlineStr">
        <is>
          <t>AAA</t>
        </is>
      </c>
      <c r="T423" t="n">
        <v>0.0168</v>
      </c>
      <c r="U423" s="235" t="inlineStr">
        <is>
          <t>兴银理财</t>
        </is>
      </c>
      <c r="V423" s="308" t="n">
        <v>0.2</v>
      </c>
    </row>
    <row r="424">
      <c r="A424" t="n">
        <v>38</v>
      </c>
      <c r="B424" t="inlineStr">
        <is>
          <t>4月</t>
        </is>
      </c>
      <c r="C424" t="inlineStr">
        <is>
          <t>消金</t>
        </is>
      </c>
      <c r="D424" t="inlineStr">
        <is>
          <t>信托金条</t>
        </is>
      </c>
      <c r="E424" t="inlineStr">
        <is>
          <t>耘睿23-10</t>
        </is>
      </c>
      <c r="F424" t="inlineStr">
        <is>
          <t>上交所</t>
        </is>
      </c>
      <c r="G424" t="inlineStr">
        <is>
          <t>中信建投</t>
        </is>
      </c>
      <c r="H424" t="inlineStr">
        <is>
          <t>兴业证券</t>
        </is>
      </c>
      <c r="I424" t="inlineStr">
        <is>
          <t>青岛银行总行</t>
        </is>
      </c>
      <c r="J424" t="n">
        <v>9</v>
      </c>
      <c r="K424" t="inlineStr">
        <is>
          <t>11+13</t>
        </is>
      </c>
      <c r="L424" s="309" t="n">
        <v>46119</v>
      </c>
      <c r="M424" t="n">
        <v>0.0146</v>
      </c>
      <c r="N424" t="n">
        <v>0.01975</v>
      </c>
      <c r="O424" t="n">
        <v>3.53</v>
      </c>
      <c r="P424" t="inlineStr">
        <is>
          <t>优先A</t>
        </is>
      </c>
      <c r="Q424" t="n">
        <v>0.9</v>
      </c>
      <c r="R424" t="n">
        <v>8.1</v>
      </c>
      <c r="S424" t="inlineStr">
        <is>
          <t>AAA</t>
        </is>
      </c>
      <c r="T424" t="n">
        <v>0.0168</v>
      </c>
      <c r="U424" s="235" t="inlineStr">
        <is>
          <t>厦门国际银行</t>
        </is>
      </c>
      <c r="V424" s="308" t="n">
        <v>0.15</v>
      </c>
    </row>
    <row r="425">
      <c r="A425" t="n">
        <v>38</v>
      </c>
      <c r="B425" t="inlineStr">
        <is>
          <t>4月</t>
        </is>
      </c>
      <c r="C425" t="inlineStr">
        <is>
          <t>消金</t>
        </is>
      </c>
      <c r="D425" t="inlineStr">
        <is>
          <t>信托金条</t>
        </is>
      </c>
      <c r="E425" t="inlineStr">
        <is>
          <t>耘睿23-10</t>
        </is>
      </c>
      <c r="F425" t="inlineStr">
        <is>
          <t>上交所</t>
        </is>
      </c>
      <c r="G425" t="inlineStr">
        <is>
          <t>中信建投</t>
        </is>
      </c>
      <c r="H425" t="inlineStr">
        <is>
          <t>兴业证券</t>
        </is>
      </c>
      <c r="I425" t="inlineStr">
        <is>
          <t>青岛银行总行</t>
        </is>
      </c>
      <c r="J425" t="n">
        <v>9</v>
      </c>
      <c r="K425" t="inlineStr">
        <is>
          <t>11+13</t>
        </is>
      </c>
      <c r="L425" s="309" t="n">
        <v>46119</v>
      </c>
      <c r="M425" t="n">
        <v>0.0146</v>
      </c>
      <c r="N425" t="n">
        <v>0.01975</v>
      </c>
      <c r="O425" t="n">
        <v>3.53</v>
      </c>
      <c r="P425" t="inlineStr">
        <is>
          <t>优先A</t>
        </is>
      </c>
      <c r="Q425" t="n">
        <v>0.9</v>
      </c>
      <c r="R425" t="n">
        <v>8.1</v>
      </c>
      <c r="S425" t="inlineStr">
        <is>
          <t>AAA</t>
        </is>
      </c>
      <c r="T425" t="n">
        <v>0.0168</v>
      </c>
      <c r="U425" s="235" t="inlineStr">
        <is>
          <t>苏银理财</t>
        </is>
      </c>
      <c r="V425" s="308" t="n">
        <v>0.46</v>
      </c>
    </row>
    <row r="426">
      <c r="A426" t="n">
        <v>38</v>
      </c>
      <c r="B426" t="inlineStr">
        <is>
          <t>4月</t>
        </is>
      </c>
      <c r="C426" t="inlineStr">
        <is>
          <t>消金</t>
        </is>
      </c>
      <c r="D426" t="inlineStr">
        <is>
          <t>信托金条</t>
        </is>
      </c>
      <c r="E426" t="inlineStr">
        <is>
          <t>耘睿23-10</t>
        </is>
      </c>
      <c r="F426" t="inlineStr">
        <is>
          <t>上交所</t>
        </is>
      </c>
      <c r="G426" t="inlineStr">
        <is>
          <t>中信建投</t>
        </is>
      </c>
      <c r="H426" t="inlineStr">
        <is>
          <t>兴业证券</t>
        </is>
      </c>
      <c r="I426" t="inlineStr">
        <is>
          <t>青岛银行总行</t>
        </is>
      </c>
      <c r="J426" t="n">
        <v>9</v>
      </c>
      <c r="K426" t="inlineStr">
        <is>
          <t>11+13</t>
        </is>
      </c>
      <c r="L426" s="309" t="n">
        <v>46119</v>
      </c>
      <c r="M426" t="n">
        <v>0.0146</v>
      </c>
      <c r="N426" t="n">
        <v>0.01975</v>
      </c>
      <c r="O426" t="n">
        <v>3.53</v>
      </c>
      <c r="P426" t="inlineStr">
        <is>
          <t>优先A</t>
        </is>
      </c>
      <c r="Q426" t="n">
        <v>0.9</v>
      </c>
      <c r="R426" t="n">
        <v>8.1</v>
      </c>
      <c r="S426" t="inlineStr">
        <is>
          <t>AAA</t>
        </is>
      </c>
      <c r="T426" t="n">
        <v>0.0168</v>
      </c>
      <c r="U426" s="235" t="inlineStr">
        <is>
          <t>中邮理财</t>
        </is>
      </c>
      <c r="V426" s="308" t="n">
        <v>2.43</v>
      </c>
    </row>
    <row r="427">
      <c r="A427" t="n">
        <v>38</v>
      </c>
      <c r="B427" t="inlineStr">
        <is>
          <t>4月</t>
        </is>
      </c>
      <c r="C427" t="inlineStr">
        <is>
          <t>消金</t>
        </is>
      </c>
      <c r="D427" t="inlineStr">
        <is>
          <t>信托金条</t>
        </is>
      </c>
      <c r="E427" t="inlineStr">
        <is>
          <t>耘睿23-10</t>
        </is>
      </c>
      <c r="F427" t="inlineStr">
        <is>
          <t>上交所</t>
        </is>
      </c>
      <c r="G427" t="inlineStr">
        <is>
          <t>中信建投</t>
        </is>
      </c>
      <c r="H427" t="inlineStr">
        <is>
          <t>兴业证券</t>
        </is>
      </c>
      <c r="I427" t="inlineStr">
        <is>
          <t>青岛银行总行</t>
        </is>
      </c>
      <c r="J427" t="n">
        <v>9</v>
      </c>
      <c r="K427" t="inlineStr">
        <is>
          <t>11+13</t>
        </is>
      </c>
      <c r="L427" s="309" t="n">
        <v>46119</v>
      </c>
      <c r="M427" t="n">
        <v>0.0146</v>
      </c>
      <c r="N427" t="n">
        <v>0.01975</v>
      </c>
      <c r="O427" t="n">
        <v>3.53</v>
      </c>
      <c r="P427" s="235" t="inlineStr">
        <is>
          <t>优先B</t>
        </is>
      </c>
      <c r="Q427" s="236" t="n">
        <v>0.03</v>
      </c>
      <c r="R427" s="307" t="n">
        <v>0.27</v>
      </c>
      <c r="S427" s="235" t="inlineStr">
        <is>
          <t>AA+</t>
        </is>
      </c>
      <c r="T427" s="236" t="n">
        <v>0.0185</v>
      </c>
      <c r="U427" s="235" t="inlineStr">
        <is>
          <t>民生理财</t>
        </is>
      </c>
      <c r="V427" s="308" t="n">
        <v>0.08</v>
      </c>
    </row>
    <row r="428">
      <c r="A428" t="n">
        <v>38</v>
      </c>
      <c r="B428" t="inlineStr">
        <is>
          <t>4月</t>
        </is>
      </c>
      <c r="C428" t="inlineStr">
        <is>
          <t>消金</t>
        </is>
      </c>
      <c r="D428" t="inlineStr">
        <is>
          <t>信托金条</t>
        </is>
      </c>
      <c r="E428" t="inlineStr">
        <is>
          <t>耘睿23-10</t>
        </is>
      </c>
      <c r="F428" t="inlineStr">
        <is>
          <t>上交所</t>
        </is>
      </c>
      <c r="G428" t="inlineStr">
        <is>
          <t>中信建投</t>
        </is>
      </c>
      <c r="H428" t="inlineStr">
        <is>
          <t>兴业证券</t>
        </is>
      </c>
      <c r="I428" t="inlineStr">
        <is>
          <t>青岛银行总行</t>
        </is>
      </c>
      <c r="J428" t="n">
        <v>9</v>
      </c>
      <c r="K428" t="inlineStr">
        <is>
          <t>11+13</t>
        </is>
      </c>
      <c r="L428" s="309" t="n">
        <v>46119</v>
      </c>
      <c r="M428" t="n">
        <v>0.0146</v>
      </c>
      <c r="N428" t="n">
        <v>0.01975</v>
      </c>
      <c r="O428" t="n">
        <v>3.53</v>
      </c>
      <c r="P428" t="inlineStr">
        <is>
          <t>优先B</t>
        </is>
      </c>
      <c r="Q428" t="n">
        <v>0.03</v>
      </c>
      <c r="R428" t="n">
        <v>0.27</v>
      </c>
      <c r="S428" t="inlineStr">
        <is>
          <t>AA+</t>
        </is>
      </c>
      <c r="T428" t="n">
        <v>0.0185</v>
      </c>
      <c r="U428" s="235" t="inlineStr">
        <is>
          <t>交银理财</t>
        </is>
      </c>
      <c r="V428" s="308" t="n">
        <v>0.08</v>
      </c>
    </row>
    <row r="429">
      <c r="A429" t="n">
        <v>38</v>
      </c>
      <c r="B429" t="inlineStr">
        <is>
          <t>4月</t>
        </is>
      </c>
      <c r="C429" t="inlineStr">
        <is>
          <t>消金</t>
        </is>
      </c>
      <c r="D429" t="inlineStr">
        <is>
          <t>信托金条</t>
        </is>
      </c>
      <c r="E429" t="inlineStr">
        <is>
          <t>耘睿23-10</t>
        </is>
      </c>
      <c r="F429" t="inlineStr">
        <is>
          <t>上交所</t>
        </is>
      </c>
      <c r="G429" t="inlineStr">
        <is>
          <t>中信建投</t>
        </is>
      </c>
      <c r="H429" t="inlineStr">
        <is>
          <t>兴业证券</t>
        </is>
      </c>
      <c r="I429" t="inlineStr">
        <is>
          <t>青岛银行总行</t>
        </is>
      </c>
      <c r="J429" t="n">
        <v>9</v>
      </c>
      <c r="K429" t="inlineStr">
        <is>
          <t>11+13</t>
        </is>
      </c>
      <c r="L429" s="309" t="n">
        <v>46119</v>
      </c>
      <c r="M429" t="n">
        <v>0.0146</v>
      </c>
      <c r="N429" t="n">
        <v>0.01975</v>
      </c>
      <c r="O429" t="n">
        <v>3.53</v>
      </c>
      <c r="P429" t="inlineStr">
        <is>
          <t>优先B</t>
        </is>
      </c>
      <c r="Q429" t="n">
        <v>0.03</v>
      </c>
      <c r="R429" t="n">
        <v>0.27</v>
      </c>
      <c r="S429" t="inlineStr">
        <is>
          <t>AA+</t>
        </is>
      </c>
      <c r="T429" t="n">
        <v>0.0185</v>
      </c>
      <c r="U429" s="235" t="inlineStr">
        <is>
          <t>重庆农商理财</t>
        </is>
      </c>
      <c r="V429" s="308" t="n">
        <v>0.08</v>
      </c>
    </row>
    <row r="430">
      <c r="A430" t="n">
        <v>38</v>
      </c>
      <c r="B430" t="inlineStr">
        <is>
          <t>4月</t>
        </is>
      </c>
      <c r="C430" t="inlineStr">
        <is>
          <t>消金</t>
        </is>
      </c>
      <c r="D430" t="inlineStr">
        <is>
          <t>信托金条</t>
        </is>
      </c>
      <c r="E430" t="inlineStr">
        <is>
          <t>耘睿23-10</t>
        </is>
      </c>
      <c r="F430" t="inlineStr">
        <is>
          <t>上交所</t>
        </is>
      </c>
      <c r="G430" t="inlineStr">
        <is>
          <t>中信建投</t>
        </is>
      </c>
      <c r="H430" t="inlineStr">
        <is>
          <t>兴业证券</t>
        </is>
      </c>
      <c r="I430" t="inlineStr">
        <is>
          <t>青岛银行总行</t>
        </is>
      </c>
      <c r="J430" t="n">
        <v>9</v>
      </c>
      <c r="K430" t="inlineStr">
        <is>
          <t>11+13</t>
        </is>
      </c>
      <c r="L430" s="309" t="n">
        <v>46119</v>
      </c>
      <c r="M430" t="n">
        <v>0.0146</v>
      </c>
      <c r="N430" t="n">
        <v>0.01975</v>
      </c>
      <c r="O430" t="n">
        <v>3.53</v>
      </c>
      <c r="P430" t="inlineStr">
        <is>
          <t>优先B</t>
        </is>
      </c>
      <c r="Q430" t="n">
        <v>0.03</v>
      </c>
      <c r="R430" t="n">
        <v>0.27</v>
      </c>
      <c r="S430" t="inlineStr">
        <is>
          <t>AA+</t>
        </is>
      </c>
      <c r="T430" t="n">
        <v>0.0185</v>
      </c>
      <c r="U430" s="235" t="inlineStr">
        <is>
          <t>中邮理财</t>
        </is>
      </c>
      <c r="V430" s="308" t="n">
        <v>0.03</v>
      </c>
    </row>
    <row r="431">
      <c r="A431" t="n">
        <v>38</v>
      </c>
      <c r="B431" t="inlineStr">
        <is>
          <t>4月</t>
        </is>
      </c>
      <c r="C431" t="inlineStr">
        <is>
          <t>消金</t>
        </is>
      </c>
      <c r="D431" t="inlineStr">
        <is>
          <t>信托金条</t>
        </is>
      </c>
      <c r="E431" t="inlineStr">
        <is>
          <t>耘睿23-10</t>
        </is>
      </c>
      <c r="F431" t="inlineStr">
        <is>
          <t>上交所</t>
        </is>
      </c>
      <c r="G431" t="inlineStr">
        <is>
          <t>中信建投</t>
        </is>
      </c>
      <c r="H431" t="inlineStr">
        <is>
          <t>兴业证券</t>
        </is>
      </c>
      <c r="I431" t="inlineStr">
        <is>
          <t>青岛银行总行</t>
        </is>
      </c>
      <c r="J431" t="n">
        <v>9</v>
      </c>
      <c r="K431" t="inlineStr">
        <is>
          <t>11+13</t>
        </is>
      </c>
      <c r="L431" s="309" t="n">
        <v>46119</v>
      </c>
      <c r="M431" t="n">
        <v>0.0146</v>
      </c>
      <c r="N431" t="n">
        <v>0.01975</v>
      </c>
      <c r="O431" t="n">
        <v>3.53</v>
      </c>
      <c r="P431" s="235" t="inlineStr">
        <is>
          <t>中间级</t>
        </is>
      </c>
      <c r="Q431" s="236" t="n">
        <v>0.02</v>
      </c>
      <c r="R431" s="307" t="n">
        <v>0.2</v>
      </c>
      <c r="S431" s="235" t="inlineStr">
        <is>
          <t>A+</t>
        </is>
      </c>
      <c r="T431" s="236" t="n">
        <v>0.031</v>
      </c>
      <c r="U431" s="235" t="inlineStr">
        <is>
          <t>德邦证券自营</t>
        </is>
      </c>
      <c r="V431" s="308" t="n">
        <v>0.18</v>
      </c>
    </row>
    <row r="432">
      <c r="A432" t="n">
        <v>38</v>
      </c>
      <c r="B432" t="inlineStr">
        <is>
          <t>4月</t>
        </is>
      </c>
      <c r="C432" t="inlineStr">
        <is>
          <t>消金</t>
        </is>
      </c>
      <c r="D432" t="inlineStr">
        <is>
          <t>信托金条</t>
        </is>
      </c>
      <c r="E432" t="inlineStr">
        <is>
          <t>耘睿23-10</t>
        </is>
      </c>
      <c r="F432" t="inlineStr">
        <is>
          <t>上交所</t>
        </is>
      </c>
      <c r="G432" t="inlineStr">
        <is>
          <t>中信建投</t>
        </is>
      </c>
      <c r="H432" t="inlineStr">
        <is>
          <t>兴业证券</t>
        </is>
      </c>
      <c r="I432" t="inlineStr">
        <is>
          <t>青岛银行总行</t>
        </is>
      </c>
      <c r="J432" t="n">
        <v>9</v>
      </c>
      <c r="K432" t="inlineStr">
        <is>
          <t>11+13</t>
        </is>
      </c>
      <c r="L432" s="309" t="n">
        <v>46119</v>
      </c>
      <c r="M432" t="n">
        <v>0.0146</v>
      </c>
      <c r="N432" t="n">
        <v>0.01975</v>
      </c>
      <c r="O432" t="n">
        <v>3.53</v>
      </c>
      <c r="P432" s="235" t="inlineStr">
        <is>
          <t>次级</t>
        </is>
      </c>
      <c r="Q432" s="236" t="n">
        <v>0.05</v>
      </c>
      <c r="R432" s="307" t="n">
        <v>0.45</v>
      </c>
      <c r="S432" s="235" t="inlineStr">
        <is>
          <t>无</t>
        </is>
      </c>
      <c r="T432" s="236" t="n">
        <v>0.0505</v>
      </c>
      <c r="U432" s="235" t="inlineStr">
        <is>
          <t>中信证券自营</t>
        </is>
      </c>
      <c r="V432" s="310" t="n">
        <v>0.065</v>
      </c>
    </row>
    <row r="433">
      <c r="A433" t="n">
        <v>38</v>
      </c>
      <c r="B433" t="inlineStr">
        <is>
          <t>4月</t>
        </is>
      </c>
      <c r="C433" t="inlineStr">
        <is>
          <t>消金</t>
        </is>
      </c>
      <c r="D433" t="inlineStr">
        <is>
          <t>信托金条</t>
        </is>
      </c>
      <c r="E433" t="inlineStr">
        <is>
          <t>耘睿23-10</t>
        </is>
      </c>
      <c r="F433" t="inlineStr">
        <is>
          <t>上交所</t>
        </is>
      </c>
      <c r="G433" t="inlineStr">
        <is>
          <t>中信建投</t>
        </is>
      </c>
      <c r="H433" t="inlineStr">
        <is>
          <t>兴业证券</t>
        </is>
      </c>
      <c r="I433" t="inlineStr">
        <is>
          <t>青岛银行总行</t>
        </is>
      </c>
      <c r="J433" t="n">
        <v>9</v>
      </c>
      <c r="K433" t="inlineStr">
        <is>
          <t>11+13</t>
        </is>
      </c>
      <c r="L433" s="309" t="n">
        <v>46119</v>
      </c>
      <c r="M433" t="n">
        <v>0.0146</v>
      </c>
      <c r="N433" t="n">
        <v>0.01975</v>
      </c>
      <c r="O433" t="n">
        <v>3.53</v>
      </c>
      <c r="P433" t="inlineStr">
        <is>
          <t>次级</t>
        </is>
      </c>
      <c r="Q433" t="n">
        <v>0.05</v>
      </c>
      <c r="R433" t="n">
        <v>0.45</v>
      </c>
      <c r="S433" t="inlineStr">
        <is>
          <t>无</t>
        </is>
      </c>
      <c r="T433" t="n">
        <v>0.0505</v>
      </c>
      <c r="U433" s="235" t="inlineStr">
        <is>
          <t>国信证券自营</t>
        </is>
      </c>
      <c r="V433" s="310" t="n">
        <v>0.385</v>
      </c>
    </row>
    <row r="434">
      <c r="A434" s="223" t="n">
        <v>39</v>
      </c>
      <c r="B434" s="220" t="inlineStr">
        <is>
          <t>4月</t>
        </is>
      </c>
      <c r="C434" s="220" t="inlineStr">
        <is>
          <t>企金</t>
        </is>
      </c>
      <c r="D434" s="220" t="inlineStr">
        <is>
          <t>信托企业主贷</t>
        </is>
      </c>
      <c r="E434" s="220" t="inlineStr">
        <is>
          <t>尚赢2-4</t>
        </is>
      </c>
      <c r="F434" s="220" t="inlineStr">
        <is>
          <t>上交所</t>
        </is>
      </c>
      <c r="G434" s="220" t="inlineStr">
        <is>
          <t>中信建投</t>
        </is>
      </c>
      <c r="H434" s="220" t="inlineStr">
        <is>
          <t>光大证券</t>
        </is>
      </c>
      <c r="I434" s="220" t="inlineStr">
        <is>
          <t>光大重分</t>
        </is>
      </c>
      <c r="J434" s="220" t="n">
        <v>10</v>
      </c>
      <c r="K434" s="220" t="inlineStr">
        <is>
          <t>9+12</t>
        </is>
      </c>
      <c r="L434" s="224" t="n">
        <v>46132</v>
      </c>
      <c r="M434" s="225" t="n">
        <v>0.0148</v>
      </c>
      <c r="N434" s="225" t="n">
        <v>0.02</v>
      </c>
      <c r="O434" s="226" t="n">
        <v>3.46</v>
      </c>
      <c r="P434" s="220" t="inlineStr">
        <is>
          <t>优先A</t>
        </is>
      </c>
      <c r="Q434" s="231" t="n">
        <v>0.83</v>
      </c>
      <c r="R434" s="308" t="n">
        <v>8.300000000000001</v>
      </c>
      <c r="S434" s="220" t="inlineStr">
        <is>
          <t>AAA</t>
        </is>
      </c>
      <c r="T434" s="221" t="n">
        <v>0.0167</v>
      </c>
      <c r="U434" s="24" t="inlineStr">
        <is>
          <t>南银理财</t>
        </is>
      </c>
      <c r="V434" s="25" t="n">
        <v>1</v>
      </c>
    </row>
    <row r="435">
      <c r="A435" t="n">
        <v>39</v>
      </c>
      <c r="B435" t="inlineStr">
        <is>
          <t>4月</t>
        </is>
      </c>
      <c r="C435" t="inlineStr">
        <is>
          <t>企金</t>
        </is>
      </c>
      <c r="D435" t="inlineStr">
        <is>
          <t>信托企业主贷</t>
        </is>
      </c>
      <c r="E435" t="inlineStr">
        <is>
          <t>尚赢2-4</t>
        </is>
      </c>
      <c r="F435" t="inlineStr">
        <is>
          <t>上交所</t>
        </is>
      </c>
      <c r="G435" t="inlineStr">
        <is>
          <t>中信建投</t>
        </is>
      </c>
      <c r="H435" t="inlineStr">
        <is>
          <t>光大证券</t>
        </is>
      </c>
      <c r="I435" t="inlineStr">
        <is>
          <t>光大重分</t>
        </is>
      </c>
      <c r="J435" t="n">
        <v>10</v>
      </c>
      <c r="K435" t="inlineStr">
        <is>
          <t>9+12</t>
        </is>
      </c>
      <c r="L435" s="309" t="n">
        <v>46132</v>
      </c>
      <c r="M435" t="n">
        <v>0.0148</v>
      </c>
      <c r="N435" t="n">
        <v>0.02</v>
      </c>
      <c r="O435" t="n">
        <v>3.46</v>
      </c>
      <c r="P435" t="inlineStr">
        <is>
          <t>优先A</t>
        </is>
      </c>
      <c r="Q435" t="n">
        <v>0.83</v>
      </c>
      <c r="R435" t="n">
        <v>8.300000000000001</v>
      </c>
      <c r="S435" t="inlineStr">
        <is>
          <t>AAA</t>
        </is>
      </c>
      <c r="T435" t="n">
        <v>0.0167</v>
      </c>
      <c r="U435" s="24" t="inlineStr">
        <is>
          <t>交银理财</t>
        </is>
      </c>
      <c r="V435" s="25" t="n">
        <v>0.2</v>
      </c>
    </row>
    <row r="436">
      <c r="A436" t="n">
        <v>39</v>
      </c>
      <c r="B436" t="inlineStr">
        <is>
          <t>4月</t>
        </is>
      </c>
      <c r="C436" t="inlineStr">
        <is>
          <t>企金</t>
        </is>
      </c>
      <c r="D436" t="inlineStr">
        <is>
          <t>信托企业主贷</t>
        </is>
      </c>
      <c r="E436" t="inlineStr">
        <is>
          <t>尚赢2-4</t>
        </is>
      </c>
      <c r="F436" t="inlineStr">
        <is>
          <t>上交所</t>
        </is>
      </c>
      <c r="G436" t="inlineStr">
        <is>
          <t>中信建投</t>
        </is>
      </c>
      <c r="H436" t="inlineStr">
        <is>
          <t>光大证券</t>
        </is>
      </c>
      <c r="I436" t="inlineStr">
        <is>
          <t>光大重分</t>
        </is>
      </c>
      <c r="J436" t="n">
        <v>10</v>
      </c>
      <c r="K436" t="inlineStr">
        <is>
          <t>9+12</t>
        </is>
      </c>
      <c r="L436" s="309" t="n">
        <v>46132</v>
      </c>
      <c r="M436" t="n">
        <v>0.0148</v>
      </c>
      <c r="N436" t="n">
        <v>0.02</v>
      </c>
      <c r="O436" t="n">
        <v>3.46</v>
      </c>
      <c r="P436" t="inlineStr">
        <is>
          <t>优先A</t>
        </is>
      </c>
      <c r="Q436" t="n">
        <v>0.83</v>
      </c>
      <c r="R436" t="n">
        <v>8.300000000000001</v>
      </c>
      <c r="S436" t="inlineStr">
        <is>
          <t>AAA</t>
        </is>
      </c>
      <c r="T436" t="n">
        <v>0.0167</v>
      </c>
      <c r="U436" s="24" t="inlineStr">
        <is>
          <t>民生理财</t>
        </is>
      </c>
      <c r="V436" s="25" t="n">
        <v>2.4</v>
      </c>
    </row>
    <row r="437">
      <c r="A437" t="n">
        <v>39</v>
      </c>
      <c r="B437" t="inlineStr">
        <is>
          <t>4月</t>
        </is>
      </c>
      <c r="C437" t="inlineStr">
        <is>
          <t>企金</t>
        </is>
      </c>
      <c r="D437" t="inlineStr">
        <is>
          <t>信托企业主贷</t>
        </is>
      </c>
      <c r="E437" t="inlineStr">
        <is>
          <t>尚赢2-4</t>
        </is>
      </c>
      <c r="F437" t="inlineStr">
        <is>
          <t>上交所</t>
        </is>
      </c>
      <c r="G437" t="inlineStr">
        <is>
          <t>中信建投</t>
        </is>
      </c>
      <c r="H437" t="inlineStr">
        <is>
          <t>光大证券</t>
        </is>
      </c>
      <c r="I437" t="inlineStr">
        <is>
          <t>光大重分</t>
        </is>
      </c>
      <c r="J437" t="n">
        <v>10</v>
      </c>
      <c r="K437" t="inlineStr">
        <is>
          <t>9+12</t>
        </is>
      </c>
      <c r="L437" s="309" t="n">
        <v>46132</v>
      </c>
      <c r="M437" t="n">
        <v>0.0148</v>
      </c>
      <c r="N437" t="n">
        <v>0.02</v>
      </c>
      <c r="O437" t="n">
        <v>3.46</v>
      </c>
      <c r="P437" t="inlineStr">
        <is>
          <t>优先A</t>
        </is>
      </c>
      <c r="Q437" t="n">
        <v>0.83</v>
      </c>
      <c r="R437" t="n">
        <v>8.300000000000001</v>
      </c>
      <c r="S437" t="inlineStr">
        <is>
          <t>AAA</t>
        </is>
      </c>
      <c r="T437" t="n">
        <v>0.0167</v>
      </c>
      <c r="U437" s="24" t="inlineStr">
        <is>
          <t>广银理财</t>
        </is>
      </c>
      <c r="V437" s="25" t="n">
        <v>1.5</v>
      </c>
    </row>
    <row r="438">
      <c r="A438" t="n">
        <v>39</v>
      </c>
      <c r="B438" t="inlineStr">
        <is>
          <t>4月</t>
        </is>
      </c>
      <c r="C438" t="inlineStr">
        <is>
          <t>企金</t>
        </is>
      </c>
      <c r="D438" t="inlineStr">
        <is>
          <t>信托企业主贷</t>
        </is>
      </c>
      <c r="E438" t="inlineStr">
        <is>
          <t>尚赢2-4</t>
        </is>
      </c>
      <c r="F438" t="inlineStr">
        <is>
          <t>上交所</t>
        </is>
      </c>
      <c r="G438" t="inlineStr">
        <is>
          <t>中信建投</t>
        </is>
      </c>
      <c r="H438" t="inlineStr">
        <is>
          <t>光大证券</t>
        </is>
      </c>
      <c r="I438" t="inlineStr">
        <is>
          <t>光大重分</t>
        </is>
      </c>
      <c r="J438" t="n">
        <v>10</v>
      </c>
      <c r="K438" t="inlineStr">
        <is>
          <t>9+12</t>
        </is>
      </c>
      <c r="L438" s="309" t="n">
        <v>46132</v>
      </c>
      <c r="M438" t="n">
        <v>0.0148</v>
      </c>
      <c r="N438" t="n">
        <v>0.02</v>
      </c>
      <c r="O438" t="n">
        <v>3.46</v>
      </c>
      <c r="P438" t="inlineStr">
        <is>
          <t>优先A</t>
        </is>
      </c>
      <c r="Q438" t="n">
        <v>0.83</v>
      </c>
      <c r="R438" t="n">
        <v>8.300000000000001</v>
      </c>
      <c r="S438" t="inlineStr">
        <is>
          <t>AAA</t>
        </is>
      </c>
      <c r="T438" t="n">
        <v>0.0167</v>
      </c>
      <c r="U438" s="24" t="inlineStr">
        <is>
          <t>招银理财</t>
        </is>
      </c>
      <c r="V438" s="25" t="n">
        <v>0.9</v>
      </c>
    </row>
    <row r="439">
      <c r="A439" t="n">
        <v>39</v>
      </c>
      <c r="B439" t="inlineStr">
        <is>
          <t>4月</t>
        </is>
      </c>
      <c r="C439" t="inlineStr">
        <is>
          <t>企金</t>
        </is>
      </c>
      <c r="D439" t="inlineStr">
        <is>
          <t>信托企业主贷</t>
        </is>
      </c>
      <c r="E439" t="inlineStr">
        <is>
          <t>尚赢2-4</t>
        </is>
      </c>
      <c r="F439" t="inlineStr">
        <is>
          <t>上交所</t>
        </is>
      </c>
      <c r="G439" t="inlineStr">
        <is>
          <t>中信建投</t>
        </is>
      </c>
      <c r="H439" t="inlineStr">
        <is>
          <t>光大证券</t>
        </is>
      </c>
      <c r="I439" t="inlineStr">
        <is>
          <t>光大重分</t>
        </is>
      </c>
      <c r="J439" t="n">
        <v>10</v>
      </c>
      <c r="K439" t="inlineStr">
        <is>
          <t>9+12</t>
        </is>
      </c>
      <c r="L439" s="309" t="n">
        <v>46132</v>
      </c>
      <c r="M439" t="n">
        <v>0.0148</v>
      </c>
      <c r="N439" t="n">
        <v>0.02</v>
      </c>
      <c r="O439" t="n">
        <v>3.46</v>
      </c>
      <c r="P439" t="inlineStr">
        <is>
          <t>优先A</t>
        </is>
      </c>
      <c r="Q439" t="n">
        <v>0.83</v>
      </c>
      <c r="R439" t="n">
        <v>8.300000000000001</v>
      </c>
      <c r="S439" t="inlineStr">
        <is>
          <t>AAA</t>
        </is>
      </c>
      <c r="T439" t="n">
        <v>0.0167</v>
      </c>
      <c r="U439" s="24" t="inlineStr">
        <is>
          <t>中邮理财</t>
        </is>
      </c>
      <c r="V439" s="25" t="n">
        <v>2.3</v>
      </c>
    </row>
    <row r="440">
      <c r="A440" t="n">
        <v>39</v>
      </c>
      <c r="B440" t="inlineStr">
        <is>
          <t>4月</t>
        </is>
      </c>
      <c r="C440" t="inlineStr">
        <is>
          <t>企金</t>
        </is>
      </c>
      <c r="D440" t="inlineStr">
        <is>
          <t>信托企业主贷</t>
        </is>
      </c>
      <c r="E440" t="inlineStr">
        <is>
          <t>尚赢2-4</t>
        </is>
      </c>
      <c r="F440" t="inlineStr">
        <is>
          <t>上交所</t>
        </is>
      </c>
      <c r="G440" t="inlineStr">
        <is>
          <t>中信建投</t>
        </is>
      </c>
      <c r="H440" t="inlineStr">
        <is>
          <t>光大证券</t>
        </is>
      </c>
      <c r="I440" t="inlineStr">
        <is>
          <t>光大重分</t>
        </is>
      </c>
      <c r="J440" t="n">
        <v>10</v>
      </c>
      <c r="K440" t="inlineStr">
        <is>
          <t>9+12</t>
        </is>
      </c>
      <c r="L440" s="309" t="n">
        <v>46132</v>
      </c>
      <c r="M440" t="n">
        <v>0.0148</v>
      </c>
      <c r="N440" t="n">
        <v>0.02</v>
      </c>
      <c r="O440" t="n">
        <v>3.46</v>
      </c>
      <c r="P440" s="220" t="inlineStr">
        <is>
          <t>优先B</t>
        </is>
      </c>
      <c r="Q440" s="221" t="n">
        <v>0.05</v>
      </c>
      <c r="R440" s="308" t="n">
        <v>0.5</v>
      </c>
      <c r="S440" s="221" t="inlineStr">
        <is>
          <t>AA+</t>
        </is>
      </c>
      <c r="T440" s="221" t="n">
        <v>0.0183</v>
      </c>
      <c r="U440" s="30" t="inlineStr">
        <is>
          <t>建信信托</t>
        </is>
      </c>
      <c r="V440" s="29" t="n">
        <v>0.05</v>
      </c>
    </row>
    <row r="441">
      <c r="A441" t="n">
        <v>39</v>
      </c>
      <c r="B441" t="inlineStr">
        <is>
          <t>4月</t>
        </is>
      </c>
      <c r="C441" t="inlineStr">
        <is>
          <t>企金</t>
        </is>
      </c>
      <c r="D441" t="inlineStr">
        <is>
          <t>信托企业主贷</t>
        </is>
      </c>
      <c r="E441" t="inlineStr">
        <is>
          <t>尚赢2-4</t>
        </is>
      </c>
      <c r="F441" t="inlineStr">
        <is>
          <t>上交所</t>
        </is>
      </c>
      <c r="G441" t="inlineStr">
        <is>
          <t>中信建投</t>
        </is>
      </c>
      <c r="H441" t="inlineStr">
        <is>
          <t>光大证券</t>
        </is>
      </c>
      <c r="I441" t="inlineStr">
        <is>
          <t>光大重分</t>
        </is>
      </c>
      <c r="J441" t="n">
        <v>10</v>
      </c>
      <c r="K441" t="inlineStr">
        <is>
          <t>9+12</t>
        </is>
      </c>
      <c r="L441" s="309" t="n">
        <v>46132</v>
      </c>
      <c r="M441" t="n">
        <v>0.0148</v>
      </c>
      <c r="N441" t="n">
        <v>0.02</v>
      </c>
      <c r="O441" t="n">
        <v>3.46</v>
      </c>
      <c r="P441" t="inlineStr">
        <is>
          <t>优先B</t>
        </is>
      </c>
      <c r="Q441" t="n">
        <v>0.05</v>
      </c>
      <c r="R441" t="n">
        <v>0.5</v>
      </c>
      <c r="S441" t="inlineStr">
        <is>
          <t>AA+</t>
        </is>
      </c>
      <c r="T441" t="n">
        <v>0.0183</v>
      </c>
      <c r="U441" s="30" t="inlineStr">
        <is>
          <t>交银理财</t>
        </is>
      </c>
      <c r="V441" s="29" t="n">
        <v>0.15</v>
      </c>
    </row>
    <row r="442">
      <c r="A442" t="n">
        <v>39</v>
      </c>
      <c r="B442" t="inlineStr">
        <is>
          <t>4月</t>
        </is>
      </c>
      <c r="C442" t="inlineStr">
        <is>
          <t>企金</t>
        </is>
      </c>
      <c r="D442" t="inlineStr">
        <is>
          <t>信托企业主贷</t>
        </is>
      </c>
      <c r="E442" t="inlineStr">
        <is>
          <t>尚赢2-4</t>
        </is>
      </c>
      <c r="F442" t="inlineStr">
        <is>
          <t>上交所</t>
        </is>
      </c>
      <c r="G442" t="inlineStr">
        <is>
          <t>中信建投</t>
        </is>
      </c>
      <c r="H442" t="inlineStr">
        <is>
          <t>光大证券</t>
        </is>
      </c>
      <c r="I442" t="inlineStr">
        <is>
          <t>光大重分</t>
        </is>
      </c>
      <c r="J442" t="n">
        <v>10</v>
      </c>
      <c r="K442" t="inlineStr">
        <is>
          <t>9+12</t>
        </is>
      </c>
      <c r="L442" s="309" t="n">
        <v>46132</v>
      </c>
      <c r="M442" t="n">
        <v>0.0148</v>
      </c>
      <c r="N442" t="n">
        <v>0.02</v>
      </c>
      <c r="O442" t="n">
        <v>3.46</v>
      </c>
      <c r="P442" t="inlineStr">
        <is>
          <t>优先B</t>
        </is>
      </c>
      <c r="Q442" t="n">
        <v>0.05</v>
      </c>
      <c r="R442" t="n">
        <v>0.5</v>
      </c>
      <c r="S442" t="inlineStr">
        <is>
          <t>AA+</t>
        </is>
      </c>
      <c r="T442" t="n">
        <v>0.0183</v>
      </c>
      <c r="U442" s="30" t="inlineStr">
        <is>
          <t>民生理财</t>
        </is>
      </c>
      <c r="V442" s="29" t="n">
        <v>0.15</v>
      </c>
    </row>
    <row r="443">
      <c r="A443" t="n">
        <v>39</v>
      </c>
      <c r="B443" t="inlineStr">
        <is>
          <t>4月</t>
        </is>
      </c>
      <c r="C443" t="inlineStr">
        <is>
          <t>企金</t>
        </is>
      </c>
      <c r="D443" t="inlineStr">
        <is>
          <t>信托企业主贷</t>
        </is>
      </c>
      <c r="E443" t="inlineStr">
        <is>
          <t>尚赢2-4</t>
        </is>
      </c>
      <c r="F443" t="inlineStr">
        <is>
          <t>上交所</t>
        </is>
      </c>
      <c r="G443" t="inlineStr">
        <is>
          <t>中信建投</t>
        </is>
      </c>
      <c r="H443" t="inlineStr">
        <is>
          <t>光大证券</t>
        </is>
      </c>
      <c r="I443" t="inlineStr">
        <is>
          <t>光大重分</t>
        </is>
      </c>
      <c r="J443" t="n">
        <v>10</v>
      </c>
      <c r="K443" t="inlineStr">
        <is>
          <t>9+12</t>
        </is>
      </c>
      <c r="L443" s="309" t="n">
        <v>46132</v>
      </c>
      <c r="M443" t="n">
        <v>0.0148</v>
      </c>
      <c r="N443" t="n">
        <v>0.02</v>
      </c>
      <c r="O443" t="n">
        <v>3.46</v>
      </c>
      <c r="P443" t="inlineStr">
        <is>
          <t>优先B</t>
        </is>
      </c>
      <c r="Q443" t="n">
        <v>0.05</v>
      </c>
      <c r="R443" t="n">
        <v>0.5</v>
      </c>
      <c r="S443" t="inlineStr">
        <is>
          <t>AA+</t>
        </is>
      </c>
      <c r="T443" t="n">
        <v>0.0183</v>
      </c>
      <c r="U443" s="30" t="inlineStr">
        <is>
          <t>招银理财</t>
        </is>
      </c>
      <c r="V443" s="29" t="n">
        <v>0.15</v>
      </c>
    </row>
    <row r="444">
      <c r="A444" t="n">
        <v>39</v>
      </c>
      <c r="B444" t="inlineStr">
        <is>
          <t>4月</t>
        </is>
      </c>
      <c r="C444" t="inlineStr">
        <is>
          <t>企金</t>
        </is>
      </c>
      <c r="D444" t="inlineStr">
        <is>
          <t>信托企业主贷</t>
        </is>
      </c>
      <c r="E444" t="inlineStr">
        <is>
          <t>尚赢2-4</t>
        </is>
      </c>
      <c r="F444" t="inlineStr">
        <is>
          <t>上交所</t>
        </is>
      </c>
      <c r="G444" t="inlineStr">
        <is>
          <t>中信建投</t>
        </is>
      </c>
      <c r="H444" t="inlineStr">
        <is>
          <t>光大证券</t>
        </is>
      </c>
      <c r="I444" t="inlineStr">
        <is>
          <t>光大重分</t>
        </is>
      </c>
      <c r="J444" t="n">
        <v>10</v>
      </c>
      <c r="K444" t="inlineStr">
        <is>
          <t>9+12</t>
        </is>
      </c>
      <c r="L444" s="309" t="n">
        <v>46132</v>
      </c>
      <c r="M444" t="n">
        <v>0.0148</v>
      </c>
      <c r="N444" t="n">
        <v>0.02</v>
      </c>
      <c r="O444" t="n">
        <v>3.46</v>
      </c>
      <c r="P444" s="220" t="inlineStr">
        <is>
          <t>中间级</t>
        </is>
      </c>
      <c r="Q444" s="221" t="n">
        <v>0.07000000000000001</v>
      </c>
      <c r="R444" s="308" t="n">
        <v>0.7</v>
      </c>
      <c r="S444" s="221" t="inlineStr">
        <is>
          <t>AA-</t>
        </is>
      </c>
      <c r="T444" s="221" t="n">
        <v>0.031</v>
      </c>
      <c r="U444" s="30" t="inlineStr">
        <is>
          <t>申万宏源自营</t>
        </is>
      </c>
      <c r="V444" s="29" t="n">
        <v>0.18</v>
      </c>
    </row>
    <row r="445">
      <c r="A445" t="n">
        <v>39</v>
      </c>
      <c r="B445" t="inlineStr">
        <is>
          <t>4月</t>
        </is>
      </c>
      <c r="C445" t="inlineStr">
        <is>
          <t>企金</t>
        </is>
      </c>
      <c r="D445" t="inlineStr">
        <is>
          <t>信托企业主贷</t>
        </is>
      </c>
      <c r="E445" t="inlineStr">
        <is>
          <t>尚赢2-4</t>
        </is>
      </c>
      <c r="F445" t="inlineStr">
        <is>
          <t>上交所</t>
        </is>
      </c>
      <c r="G445" t="inlineStr">
        <is>
          <t>中信建投</t>
        </is>
      </c>
      <c r="H445" t="inlineStr">
        <is>
          <t>光大证券</t>
        </is>
      </c>
      <c r="I445" t="inlineStr">
        <is>
          <t>光大重分</t>
        </is>
      </c>
      <c r="J445" t="n">
        <v>10</v>
      </c>
      <c r="K445" t="inlineStr">
        <is>
          <t>9+12</t>
        </is>
      </c>
      <c r="L445" s="309" t="n">
        <v>46132</v>
      </c>
      <c r="M445" t="n">
        <v>0.0148</v>
      </c>
      <c r="N445" t="n">
        <v>0.02</v>
      </c>
      <c r="O445" t="n">
        <v>3.46</v>
      </c>
      <c r="P445" t="inlineStr">
        <is>
          <t>中间级</t>
        </is>
      </c>
      <c r="Q445" t="n">
        <v>0.07000000000000001</v>
      </c>
      <c r="R445" t="n">
        <v>0.7</v>
      </c>
      <c r="S445" t="inlineStr">
        <is>
          <t>AA-</t>
        </is>
      </c>
      <c r="T445" t="n">
        <v>0.031</v>
      </c>
      <c r="U445" s="30" t="inlineStr">
        <is>
          <t>建信信托</t>
        </is>
      </c>
      <c r="V445" s="29" t="n">
        <v>0.3</v>
      </c>
    </row>
    <row r="446">
      <c r="A446" t="n">
        <v>39</v>
      </c>
      <c r="B446" t="inlineStr">
        <is>
          <t>4月</t>
        </is>
      </c>
      <c r="C446" t="inlineStr">
        <is>
          <t>企金</t>
        </is>
      </c>
      <c r="D446" t="inlineStr">
        <is>
          <t>信托企业主贷</t>
        </is>
      </c>
      <c r="E446" t="inlineStr">
        <is>
          <t>尚赢2-4</t>
        </is>
      </c>
      <c r="F446" t="inlineStr">
        <is>
          <t>上交所</t>
        </is>
      </c>
      <c r="G446" t="inlineStr">
        <is>
          <t>中信建投</t>
        </is>
      </c>
      <c r="H446" t="inlineStr">
        <is>
          <t>光大证券</t>
        </is>
      </c>
      <c r="I446" t="inlineStr">
        <is>
          <t>光大重分</t>
        </is>
      </c>
      <c r="J446" t="n">
        <v>10</v>
      </c>
      <c r="K446" t="inlineStr">
        <is>
          <t>9+12</t>
        </is>
      </c>
      <c r="L446" s="309" t="n">
        <v>46132</v>
      </c>
      <c r="M446" t="n">
        <v>0.0148</v>
      </c>
      <c r="N446" t="n">
        <v>0.02</v>
      </c>
      <c r="O446" t="n">
        <v>3.46</v>
      </c>
      <c r="P446" t="inlineStr">
        <is>
          <t>中间级</t>
        </is>
      </c>
      <c r="Q446" t="n">
        <v>0.07000000000000001</v>
      </c>
      <c r="R446" t="n">
        <v>0.7</v>
      </c>
      <c r="S446" t="inlineStr">
        <is>
          <t>AA-</t>
        </is>
      </c>
      <c r="T446" t="n">
        <v>0.031</v>
      </c>
      <c r="U446" s="30" t="inlineStr">
        <is>
          <t>信达证券自营</t>
        </is>
      </c>
      <c r="V446" s="29" t="n">
        <v>0.22</v>
      </c>
    </row>
    <row r="447">
      <c r="A447" t="n">
        <v>39</v>
      </c>
      <c r="B447" t="inlineStr">
        <is>
          <t>4月</t>
        </is>
      </c>
      <c r="C447" t="inlineStr">
        <is>
          <t>企金</t>
        </is>
      </c>
      <c r="D447" t="inlineStr">
        <is>
          <t>信托企业主贷</t>
        </is>
      </c>
      <c r="E447" t="inlineStr">
        <is>
          <t>尚赢2-4</t>
        </is>
      </c>
      <c r="F447" t="inlineStr">
        <is>
          <t>上交所</t>
        </is>
      </c>
      <c r="G447" t="inlineStr">
        <is>
          <t>中信建投</t>
        </is>
      </c>
      <c r="H447" t="inlineStr">
        <is>
          <t>光大证券</t>
        </is>
      </c>
      <c r="I447" t="inlineStr">
        <is>
          <t>光大重分</t>
        </is>
      </c>
      <c r="J447" t="n">
        <v>10</v>
      </c>
      <c r="K447" t="inlineStr">
        <is>
          <t>9+12</t>
        </is>
      </c>
      <c r="L447" s="309" t="n">
        <v>46132</v>
      </c>
      <c r="M447" t="n">
        <v>0.0148</v>
      </c>
      <c r="N447" t="n">
        <v>0.02</v>
      </c>
      <c r="O447" t="n">
        <v>3.46</v>
      </c>
      <c r="P447" s="220" t="inlineStr">
        <is>
          <t>受益权</t>
        </is>
      </c>
      <c r="Q447" s="221" t="n">
        <v>0.05</v>
      </c>
      <c r="R447" s="308" t="n">
        <v>0.5</v>
      </c>
      <c r="S447" s="221" t="inlineStr">
        <is>
          <t>无</t>
        </is>
      </c>
      <c r="T447" s="221" t="n">
        <v>0.0515</v>
      </c>
      <c r="U447" s="30" t="inlineStr">
        <is>
          <t>西部证券自营</t>
        </is>
      </c>
      <c r="V447" s="29" t="n">
        <v>0.1</v>
      </c>
    </row>
    <row r="448">
      <c r="A448" t="n">
        <v>39</v>
      </c>
      <c r="B448" t="inlineStr">
        <is>
          <t>4月</t>
        </is>
      </c>
      <c r="C448" t="inlineStr">
        <is>
          <t>企金</t>
        </is>
      </c>
      <c r="D448" t="inlineStr">
        <is>
          <t>信托企业主贷</t>
        </is>
      </c>
      <c r="E448" t="inlineStr">
        <is>
          <t>尚赢2-4</t>
        </is>
      </c>
      <c r="F448" t="inlineStr">
        <is>
          <t>上交所</t>
        </is>
      </c>
      <c r="G448" t="inlineStr">
        <is>
          <t>中信建投</t>
        </is>
      </c>
      <c r="H448" t="inlineStr">
        <is>
          <t>光大证券</t>
        </is>
      </c>
      <c r="I448" t="inlineStr">
        <is>
          <t>光大重分</t>
        </is>
      </c>
      <c r="J448" t="n">
        <v>10</v>
      </c>
      <c r="K448" t="inlineStr">
        <is>
          <t>9+12</t>
        </is>
      </c>
      <c r="L448" s="309" t="n">
        <v>46132</v>
      </c>
      <c r="M448" t="n">
        <v>0.0148</v>
      </c>
      <c r="N448" t="n">
        <v>0.02</v>
      </c>
      <c r="O448" t="n">
        <v>3.46</v>
      </c>
      <c r="P448" t="inlineStr">
        <is>
          <t>受益权</t>
        </is>
      </c>
      <c r="Q448" t="n">
        <v>0.05</v>
      </c>
      <c r="R448" t="n">
        <v>0.5</v>
      </c>
      <c r="S448" t="inlineStr">
        <is>
          <t>无</t>
        </is>
      </c>
      <c r="T448" t="n">
        <v>0.0515</v>
      </c>
      <c r="U448" s="30" t="inlineStr">
        <is>
          <t>国信证券自营</t>
        </is>
      </c>
      <c r="V448" s="29" t="n">
        <v>0.25</v>
      </c>
    </row>
    <row r="449">
      <c r="A449" t="n">
        <v>39</v>
      </c>
      <c r="B449" t="inlineStr">
        <is>
          <t>4月</t>
        </is>
      </c>
      <c r="C449" t="inlineStr">
        <is>
          <t>企金</t>
        </is>
      </c>
      <c r="D449" t="inlineStr">
        <is>
          <t>信托企业主贷</t>
        </is>
      </c>
      <c r="E449" t="inlineStr">
        <is>
          <t>尚赢2-4</t>
        </is>
      </c>
      <c r="F449" t="inlineStr">
        <is>
          <t>上交所</t>
        </is>
      </c>
      <c r="G449" t="inlineStr">
        <is>
          <t>中信建投</t>
        </is>
      </c>
      <c r="H449" t="inlineStr">
        <is>
          <t>光大证券</t>
        </is>
      </c>
      <c r="I449" t="inlineStr">
        <is>
          <t>光大重分</t>
        </is>
      </c>
      <c r="J449" t="n">
        <v>10</v>
      </c>
      <c r="K449" t="inlineStr">
        <is>
          <t>9+12</t>
        </is>
      </c>
      <c r="L449" s="309" t="n">
        <v>46132</v>
      </c>
      <c r="M449" t="n">
        <v>0.0148</v>
      </c>
      <c r="N449" t="n">
        <v>0.02</v>
      </c>
      <c r="O449" t="n">
        <v>3.46</v>
      </c>
      <c r="P449" t="inlineStr">
        <is>
          <t>受益权</t>
        </is>
      </c>
      <c r="Q449" t="n">
        <v>0.05</v>
      </c>
      <c r="R449" t="n">
        <v>0.5</v>
      </c>
      <c r="S449" t="inlineStr">
        <is>
          <t>无</t>
        </is>
      </c>
      <c r="T449" t="n">
        <v>0.0515</v>
      </c>
      <c r="U449" s="30" t="inlineStr">
        <is>
          <t>华兴证券自营</t>
        </is>
      </c>
      <c r="V449" s="314" t="n">
        <v>0.075</v>
      </c>
    </row>
    <row r="450">
      <c r="A450" t="n">
        <v>39</v>
      </c>
      <c r="B450" t="inlineStr">
        <is>
          <t>4月</t>
        </is>
      </c>
      <c r="C450" t="inlineStr">
        <is>
          <t>企金</t>
        </is>
      </c>
      <c r="D450" t="inlineStr">
        <is>
          <t>信托企业主贷</t>
        </is>
      </c>
      <c r="E450" t="inlineStr">
        <is>
          <t>尚赢2-4</t>
        </is>
      </c>
      <c r="F450" t="inlineStr">
        <is>
          <t>上交所</t>
        </is>
      </c>
      <c r="G450" t="inlineStr">
        <is>
          <t>中信建投</t>
        </is>
      </c>
      <c r="H450" t="inlineStr">
        <is>
          <t>光大证券</t>
        </is>
      </c>
      <c r="I450" t="inlineStr">
        <is>
          <t>光大重分</t>
        </is>
      </c>
      <c r="J450" t="n">
        <v>10</v>
      </c>
      <c r="K450" t="inlineStr">
        <is>
          <t>9+12</t>
        </is>
      </c>
      <c r="L450" s="309" t="n">
        <v>46132</v>
      </c>
      <c r="M450" t="n">
        <v>0.0148</v>
      </c>
      <c r="N450" t="n">
        <v>0.02</v>
      </c>
      <c r="O450" t="n">
        <v>3.46</v>
      </c>
      <c r="P450" t="inlineStr">
        <is>
          <t>受益权</t>
        </is>
      </c>
      <c r="Q450" t="n">
        <v>0.05</v>
      </c>
      <c r="R450" t="n">
        <v>0.5</v>
      </c>
      <c r="S450" t="inlineStr">
        <is>
          <t>无</t>
        </is>
      </c>
      <c r="T450" t="n">
        <v>0.0515</v>
      </c>
      <c r="U450" s="30" t="inlineStr">
        <is>
          <t>信达证券自营</t>
        </is>
      </c>
      <c r="V450" s="314" t="n">
        <v>0.075</v>
      </c>
    </row>
    <row r="451">
      <c r="A451" s="288" t="n">
        <v>40</v>
      </c>
      <c r="B451" s="305" t="inlineStr">
        <is>
          <t>4月</t>
        </is>
      </c>
      <c r="C451" s="305" t="inlineStr">
        <is>
          <t>消金</t>
        </is>
      </c>
      <c r="D451" s="305" t="inlineStr">
        <is>
          <t>信托金条</t>
        </is>
      </c>
      <c r="E451" s="305" t="inlineStr">
        <is>
          <t>耘睿21-1（续发）</t>
        </is>
      </c>
      <c r="F451" s="305" t="inlineStr">
        <is>
          <t>上交所</t>
        </is>
      </c>
      <c r="G451" s="305" t="inlineStr">
        <is>
          <t>招商证券</t>
        </is>
      </c>
      <c r="H451" s="305" t="inlineStr">
        <is>
          <t>东方证券</t>
        </is>
      </c>
      <c r="I451" s="305" t="inlineStr">
        <is>
          <t>上银北分</t>
        </is>
      </c>
      <c r="J451" s="245" t="n">
        <v>9.300000000000001</v>
      </c>
      <c r="K451" s="305" t="inlineStr">
        <is>
          <t>12+12</t>
        </is>
      </c>
      <c r="L451" s="246" t="n">
        <v>46134</v>
      </c>
      <c r="M451" s="247" t="n">
        <v>0.0146</v>
      </c>
      <c r="N451" s="306" t="n">
        <v>0.01932</v>
      </c>
      <c r="O451" s="245" t="n">
        <v>1.89</v>
      </c>
      <c r="P451" s="235" t="inlineStr">
        <is>
          <t>优先A</t>
        </is>
      </c>
      <c r="Q451" s="236" t="n">
        <v>0.9</v>
      </c>
      <c r="R451" s="307" t="n">
        <v>9</v>
      </c>
      <c r="S451" s="235" t="inlineStr">
        <is>
          <t>AAA</t>
        </is>
      </c>
      <c r="T451" s="236" t="n">
        <v>0.016</v>
      </c>
      <c r="U451" s="235" t="inlineStr">
        <is>
          <t>中邮理财</t>
        </is>
      </c>
      <c r="V451" s="308" t="n">
        <v>1.45</v>
      </c>
    </row>
    <row r="452">
      <c r="A452" t="n">
        <v>40</v>
      </c>
      <c r="B452" t="inlineStr">
        <is>
          <t>4月</t>
        </is>
      </c>
      <c r="C452" t="inlineStr">
        <is>
          <t>消金</t>
        </is>
      </c>
      <c r="D452" t="inlineStr">
        <is>
          <t>信托金条</t>
        </is>
      </c>
      <c r="E452" t="inlineStr">
        <is>
          <t>耘睿21-1（续发）</t>
        </is>
      </c>
      <c r="F452" t="inlineStr">
        <is>
          <t>上交所</t>
        </is>
      </c>
      <c r="G452" t="inlineStr">
        <is>
          <t>招商证券</t>
        </is>
      </c>
      <c r="H452" t="inlineStr">
        <is>
          <t>东方证券</t>
        </is>
      </c>
      <c r="I452" t="inlineStr">
        <is>
          <t>上银北分</t>
        </is>
      </c>
      <c r="J452" t="n">
        <v>9.300000000000001</v>
      </c>
      <c r="K452" t="inlineStr">
        <is>
          <t>12+12</t>
        </is>
      </c>
      <c r="L452" s="309" t="n">
        <v>46134</v>
      </c>
      <c r="M452" t="n">
        <v>0.0146</v>
      </c>
      <c r="N452" t="n">
        <v>0.01932</v>
      </c>
      <c r="O452" t="n">
        <v>1.89</v>
      </c>
      <c r="P452" t="inlineStr">
        <is>
          <t>优先A</t>
        </is>
      </c>
      <c r="Q452" t="n">
        <v>0.9</v>
      </c>
      <c r="R452" t="n">
        <v>9</v>
      </c>
      <c r="S452" t="inlineStr">
        <is>
          <t>AAA</t>
        </is>
      </c>
      <c r="T452" t="n">
        <v>0.016</v>
      </c>
      <c r="U452" s="235" t="inlineStr">
        <is>
          <t>渝农商理财</t>
        </is>
      </c>
      <c r="V452" s="308" t="n">
        <v>1</v>
      </c>
    </row>
    <row r="453">
      <c r="A453" t="n">
        <v>40</v>
      </c>
      <c r="B453" t="inlineStr">
        <is>
          <t>4月</t>
        </is>
      </c>
      <c r="C453" t="inlineStr">
        <is>
          <t>消金</t>
        </is>
      </c>
      <c r="D453" t="inlineStr">
        <is>
          <t>信托金条</t>
        </is>
      </c>
      <c r="E453" t="inlineStr">
        <is>
          <t>耘睿21-1（续发）</t>
        </is>
      </c>
      <c r="F453" t="inlineStr">
        <is>
          <t>上交所</t>
        </is>
      </c>
      <c r="G453" t="inlineStr">
        <is>
          <t>招商证券</t>
        </is>
      </c>
      <c r="H453" t="inlineStr">
        <is>
          <t>东方证券</t>
        </is>
      </c>
      <c r="I453" t="inlineStr">
        <is>
          <t>上银北分</t>
        </is>
      </c>
      <c r="J453" t="n">
        <v>9.300000000000001</v>
      </c>
      <c r="K453" t="inlineStr">
        <is>
          <t>12+12</t>
        </is>
      </c>
      <c r="L453" s="309" t="n">
        <v>46134</v>
      </c>
      <c r="M453" t="n">
        <v>0.0146</v>
      </c>
      <c r="N453" t="n">
        <v>0.01932</v>
      </c>
      <c r="O453" t="n">
        <v>1.89</v>
      </c>
      <c r="P453" t="inlineStr">
        <is>
          <t>优先A</t>
        </is>
      </c>
      <c r="Q453" t="n">
        <v>0.9</v>
      </c>
      <c r="R453" t="n">
        <v>9</v>
      </c>
      <c r="S453" t="inlineStr">
        <is>
          <t>AAA</t>
        </is>
      </c>
      <c r="T453" t="n">
        <v>0.016</v>
      </c>
      <c r="U453" s="235" t="inlineStr">
        <is>
          <t>民生理财</t>
        </is>
      </c>
      <c r="V453" s="308" t="n">
        <v>1.55</v>
      </c>
    </row>
    <row r="454">
      <c r="A454" t="n">
        <v>40</v>
      </c>
      <c r="B454" t="inlineStr">
        <is>
          <t>4月</t>
        </is>
      </c>
      <c r="C454" t="inlineStr">
        <is>
          <t>消金</t>
        </is>
      </c>
      <c r="D454" t="inlineStr">
        <is>
          <t>信托金条</t>
        </is>
      </c>
      <c r="E454" t="inlineStr">
        <is>
          <t>耘睿21-1（续发）</t>
        </is>
      </c>
      <c r="F454" t="inlineStr">
        <is>
          <t>上交所</t>
        </is>
      </c>
      <c r="G454" t="inlineStr">
        <is>
          <t>招商证券</t>
        </is>
      </c>
      <c r="H454" t="inlineStr">
        <is>
          <t>东方证券</t>
        </is>
      </c>
      <c r="I454" t="inlineStr">
        <is>
          <t>上银北分</t>
        </is>
      </c>
      <c r="J454" t="n">
        <v>9.300000000000001</v>
      </c>
      <c r="K454" t="inlineStr">
        <is>
          <t>12+12</t>
        </is>
      </c>
      <c r="L454" s="309" t="n">
        <v>46134</v>
      </c>
      <c r="M454" t="n">
        <v>0.0146</v>
      </c>
      <c r="N454" t="n">
        <v>0.01932</v>
      </c>
      <c r="O454" t="n">
        <v>1.89</v>
      </c>
      <c r="P454" t="inlineStr">
        <is>
          <t>优先A</t>
        </is>
      </c>
      <c r="Q454" t="n">
        <v>0.9</v>
      </c>
      <c r="R454" t="n">
        <v>9</v>
      </c>
      <c r="S454" t="inlineStr">
        <is>
          <t>AAA</t>
        </is>
      </c>
      <c r="T454" t="n">
        <v>0.016</v>
      </c>
      <c r="U454" s="235" t="inlineStr">
        <is>
          <t>交银理财</t>
        </is>
      </c>
      <c r="V454" s="308" t="n">
        <v>1.72</v>
      </c>
    </row>
    <row r="455">
      <c r="A455" t="n">
        <v>40</v>
      </c>
      <c r="B455" t="inlineStr">
        <is>
          <t>4月</t>
        </is>
      </c>
      <c r="C455" t="inlineStr">
        <is>
          <t>消金</t>
        </is>
      </c>
      <c r="D455" t="inlineStr">
        <is>
          <t>信托金条</t>
        </is>
      </c>
      <c r="E455" t="inlineStr">
        <is>
          <t>耘睿21-1（续发）</t>
        </is>
      </c>
      <c r="F455" t="inlineStr">
        <is>
          <t>上交所</t>
        </is>
      </c>
      <c r="G455" t="inlineStr">
        <is>
          <t>招商证券</t>
        </is>
      </c>
      <c r="H455" t="inlineStr">
        <is>
          <t>东方证券</t>
        </is>
      </c>
      <c r="I455" t="inlineStr">
        <is>
          <t>上银北分</t>
        </is>
      </c>
      <c r="J455" t="n">
        <v>9.300000000000001</v>
      </c>
      <c r="K455" t="inlineStr">
        <is>
          <t>12+12</t>
        </is>
      </c>
      <c r="L455" s="309" t="n">
        <v>46134</v>
      </c>
      <c r="M455" t="n">
        <v>0.0146</v>
      </c>
      <c r="N455" t="n">
        <v>0.01932</v>
      </c>
      <c r="O455" t="n">
        <v>1.89</v>
      </c>
      <c r="P455" t="inlineStr">
        <is>
          <t>优先A</t>
        </is>
      </c>
      <c r="Q455" t="n">
        <v>0.9</v>
      </c>
      <c r="R455" t="n">
        <v>9</v>
      </c>
      <c r="S455" t="inlineStr">
        <is>
          <t>AAA</t>
        </is>
      </c>
      <c r="T455" t="n">
        <v>0.016</v>
      </c>
      <c r="U455" s="235" t="inlineStr">
        <is>
          <t>建信理财</t>
        </is>
      </c>
      <c r="V455" s="308" t="n">
        <v>2.28</v>
      </c>
    </row>
    <row r="456">
      <c r="A456" t="n">
        <v>40</v>
      </c>
      <c r="B456" t="inlineStr">
        <is>
          <t>4月</t>
        </is>
      </c>
      <c r="C456" t="inlineStr">
        <is>
          <t>消金</t>
        </is>
      </c>
      <c r="D456" t="inlineStr">
        <is>
          <t>信托金条</t>
        </is>
      </c>
      <c r="E456" t="inlineStr">
        <is>
          <t>耘睿21-1（续发）</t>
        </is>
      </c>
      <c r="F456" t="inlineStr">
        <is>
          <t>上交所</t>
        </is>
      </c>
      <c r="G456" t="inlineStr">
        <is>
          <t>招商证券</t>
        </is>
      </c>
      <c r="H456" t="inlineStr">
        <is>
          <t>东方证券</t>
        </is>
      </c>
      <c r="I456" t="inlineStr">
        <is>
          <t>上银北分</t>
        </is>
      </c>
      <c r="J456" t="n">
        <v>9.300000000000001</v>
      </c>
      <c r="K456" t="inlineStr">
        <is>
          <t>12+12</t>
        </is>
      </c>
      <c r="L456" s="309" t="n">
        <v>46134</v>
      </c>
      <c r="M456" t="n">
        <v>0.0146</v>
      </c>
      <c r="N456" t="n">
        <v>0.01932</v>
      </c>
      <c r="O456" t="n">
        <v>1.89</v>
      </c>
      <c r="P456" t="inlineStr">
        <is>
          <t>优先A</t>
        </is>
      </c>
      <c r="Q456" t="n">
        <v>0.9</v>
      </c>
      <c r="R456" t="n">
        <v>9</v>
      </c>
      <c r="S456" t="inlineStr">
        <is>
          <t>AAA</t>
        </is>
      </c>
      <c r="T456" t="n">
        <v>0.016</v>
      </c>
      <c r="U456" s="235" t="inlineStr">
        <is>
          <t>杭州联合银行</t>
        </is>
      </c>
      <c r="V456" s="308" t="n">
        <v>1</v>
      </c>
    </row>
    <row r="457">
      <c r="A457" t="n">
        <v>40</v>
      </c>
      <c r="B457" t="inlineStr">
        <is>
          <t>4月</t>
        </is>
      </c>
      <c r="C457" t="inlineStr">
        <is>
          <t>消金</t>
        </is>
      </c>
      <c r="D457" t="inlineStr">
        <is>
          <t>信托金条</t>
        </is>
      </c>
      <c r="E457" t="inlineStr">
        <is>
          <t>耘睿21-1（续发）</t>
        </is>
      </c>
      <c r="F457" t="inlineStr">
        <is>
          <t>上交所</t>
        </is>
      </c>
      <c r="G457" t="inlineStr">
        <is>
          <t>招商证券</t>
        </is>
      </c>
      <c r="H457" t="inlineStr">
        <is>
          <t>东方证券</t>
        </is>
      </c>
      <c r="I457" t="inlineStr">
        <is>
          <t>上银北分</t>
        </is>
      </c>
      <c r="J457" t="n">
        <v>9.300000000000001</v>
      </c>
      <c r="K457" t="inlineStr">
        <is>
          <t>12+12</t>
        </is>
      </c>
      <c r="L457" s="309" t="n">
        <v>46134</v>
      </c>
      <c r="M457" t="n">
        <v>0.0146</v>
      </c>
      <c r="N457" t="n">
        <v>0.01932</v>
      </c>
      <c r="O457" t="n">
        <v>1.89</v>
      </c>
      <c r="P457" s="235" t="inlineStr">
        <is>
          <t>优先B</t>
        </is>
      </c>
      <c r="Q457" s="236" t="n">
        <v>0.03</v>
      </c>
      <c r="R457" s="307" t="n">
        <v>0.3</v>
      </c>
      <c r="S457" s="235" t="inlineStr">
        <is>
          <t>AA+</t>
        </is>
      </c>
      <c r="T457" s="236" t="n">
        <v>0.0179</v>
      </c>
      <c r="U457" s="235" t="inlineStr">
        <is>
          <t>交银理财</t>
        </is>
      </c>
      <c r="V457" s="308" t="n">
        <v>0.09</v>
      </c>
    </row>
    <row r="458">
      <c r="A458" t="n">
        <v>40</v>
      </c>
      <c r="B458" t="inlineStr">
        <is>
          <t>4月</t>
        </is>
      </c>
      <c r="C458" t="inlineStr">
        <is>
          <t>消金</t>
        </is>
      </c>
      <c r="D458" t="inlineStr">
        <is>
          <t>信托金条</t>
        </is>
      </c>
      <c r="E458" t="inlineStr">
        <is>
          <t>耘睿21-1（续发）</t>
        </is>
      </c>
      <c r="F458" t="inlineStr">
        <is>
          <t>上交所</t>
        </is>
      </c>
      <c r="G458" t="inlineStr">
        <is>
          <t>招商证券</t>
        </is>
      </c>
      <c r="H458" t="inlineStr">
        <is>
          <t>东方证券</t>
        </is>
      </c>
      <c r="I458" t="inlineStr">
        <is>
          <t>上银北分</t>
        </is>
      </c>
      <c r="J458" t="n">
        <v>9.300000000000001</v>
      </c>
      <c r="K458" t="inlineStr">
        <is>
          <t>12+12</t>
        </is>
      </c>
      <c r="L458" s="309" t="n">
        <v>46134</v>
      </c>
      <c r="M458" t="n">
        <v>0.0146</v>
      </c>
      <c r="N458" t="n">
        <v>0.01932</v>
      </c>
      <c r="O458" t="n">
        <v>1.89</v>
      </c>
      <c r="P458" t="inlineStr">
        <is>
          <t>优先B</t>
        </is>
      </c>
      <c r="Q458" t="n">
        <v>0.03</v>
      </c>
      <c r="R458" t="n">
        <v>0.3</v>
      </c>
      <c r="S458" t="inlineStr">
        <is>
          <t>AA+</t>
        </is>
      </c>
      <c r="T458" t="n">
        <v>0.0179</v>
      </c>
      <c r="U458" s="235" t="inlineStr">
        <is>
          <t>民生理财</t>
        </is>
      </c>
      <c r="V458" s="308" t="n">
        <v>0.09</v>
      </c>
    </row>
    <row r="459">
      <c r="A459" t="n">
        <v>40</v>
      </c>
      <c r="B459" t="inlineStr">
        <is>
          <t>4月</t>
        </is>
      </c>
      <c r="C459" t="inlineStr">
        <is>
          <t>消金</t>
        </is>
      </c>
      <c r="D459" t="inlineStr">
        <is>
          <t>信托金条</t>
        </is>
      </c>
      <c r="E459" t="inlineStr">
        <is>
          <t>耘睿21-1（续发）</t>
        </is>
      </c>
      <c r="F459" t="inlineStr">
        <is>
          <t>上交所</t>
        </is>
      </c>
      <c r="G459" t="inlineStr">
        <is>
          <t>招商证券</t>
        </is>
      </c>
      <c r="H459" t="inlineStr">
        <is>
          <t>东方证券</t>
        </is>
      </c>
      <c r="I459" t="inlineStr">
        <is>
          <t>上银北分</t>
        </is>
      </c>
      <c r="J459" t="n">
        <v>9.300000000000001</v>
      </c>
      <c r="K459" t="inlineStr">
        <is>
          <t>12+12</t>
        </is>
      </c>
      <c r="L459" s="309" t="n">
        <v>46134</v>
      </c>
      <c r="M459" t="n">
        <v>0.0146</v>
      </c>
      <c r="N459" t="n">
        <v>0.01932</v>
      </c>
      <c r="O459" t="n">
        <v>1.89</v>
      </c>
      <c r="P459" t="inlineStr">
        <is>
          <t>优先B</t>
        </is>
      </c>
      <c r="Q459" t="n">
        <v>0.03</v>
      </c>
      <c r="R459" t="n">
        <v>0.3</v>
      </c>
      <c r="S459" t="inlineStr">
        <is>
          <t>AA+</t>
        </is>
      </c>
      <c r="T459" t="n">
        <v>0.0179</v>
      </c>
      <c r="U459" s="235" t="inlineStr">
        <is>
          <t>渝农商理财</t>
        </is>
      </c>
      <c r="V459" s="308" t="n">
        <v>0.09</v>
      </c>
    </row>
    <row r="460">
      <c r="A460" t="n">
        <v>40</v>
      </c>
      <c r="B460" t="inlineStr">
        <is>
          <t>4月</t>
        </is>
      </c>
      <c r="C460" t="inlineStr">
        <is>
          <t>消金</t>
        </is>
      </c>
      <c r="D460" t="inlineStr">
        <is>
          <t>信托金条</t>
        </is>
      </c>
      <c r="E460" t="inlineStr">
        <is>
          <t>耘睿21-1（续发）</t>
        </is>
      </c>
      <c r="F460" t="inlineStr">
        <is>
          <t>上交所</t>
        </is>
      </c>
      <c r="G460" t="inlineStr">
        <is>
          <t>招商证券</t>
        </is>
      </c>
      <c r="H460" t="inlineStr">
        <is>
          <t>东方证券</t>
        </is>
      </c>
      <c r="I460" t="inlineStr">
        <is>
          <t>上银北分</t>
        </is>
      </c>
      <c r="J460" t="n">
        <v>9.300000000000001</v>
      </c>
      <c r="K460" t="inlineStr">
        <is>
          <t>12+12</t>
        </is>
      </c>
      <c r="L460" s="309" t="n">
        <v>46134</v>
      </c>
      <c r="M460" t="n">
        <v>0.0146</v>
      </c>
      <c r="N460" t="n">
        <v>0.01932</v>
      </c>
      <c r="O460" t="n">
        <v>1.89</v>
      </c>
      <c r="P460" t="inlineStr">
        <is>
          <t>优先B</t>
        </is>
      </c>
      <c r="Q460" t="n">
        <v>0.03</v>
      </c>
      <c r="R460" t="n">
        <v>0.3</v>
      </c>
      <c r="S460" t="inlineStr">
        <is>
          <t>AA+</t>
        </is>
      </c>
      <c r="T460" t="n">
        <v>0.0179</v>
      </c>
      <c r="U460" s="235" t="inlineStr">
        <is>
          <t>杭州联合银行</t>
        </is>
      </c>
      <c r="V460" s="308" t="n">
        <v>0.03</v>
      </c>
    </row>
    <row r="461">
      <c r="A461" s="223" t="n">
        <v>41</v>
      </c>
      <c r="B461" s="305" t="inlineStr">
        <is>
          <t>4月</t>
        </is>
      </c>
      <c r="C461" s="305" t="inlineStr">
        <is>
          <t>消金</t>
        </is>
      </c>
      <c r="D461" s="305" t="inlineStr">
        <is>
          <t>信托金条</t>
        </is>
      </c>
      <c r="E461" s="305" t="inlineStr">
        <is>
          <t>耘睿21-2（续发）</t>
        </is>
      </c>
      <c r="F461" s="305" t="inlineStr">
        <is>
          <t>上交所</t>
        </is>
      </c>
      <c r="G461" s="305" t="inlineStr">
        <is>
          <t>中信证券</t>
        </is>
      </c>
      <c r="H461" s="305" t="inlineStr">
        <is>
          <t>华福证券</t>
        </is>
      </c>
      <c r="I461" s="305" t="inlineStr">
        <is>
          <t>民生北分</t>
        </is>
      </c>
      <c r="J461" s="245" t="n">
        <v>9.300000000000001</v>
      </c>
      <c r="K461" s="305" t="inlineStr">
        <is>
          <t>11+12</t>
        </is>
      </c>
      <c r="L461" s="246" t="n">
        <v>46134</v>
      </c>
      <c r="M461" s="247" t="n">
        <v>0.0146</v>
      </c>
      <c r="N461" s="306" t="n">
        <v>0.01936</v>
      </c>
      <c r="O461" s="245" t="n">
        <v>1.8</v>
      </c>
      <c r="P461" s="235" t="inlineStr">
        <is>
          <t>优先A</t>
        </is>
      </c>
      <c r="Q461" s="236" t="n">
        <v>0.9</v>
      </c>
      <c r="R461" s="307" t="n">
        <v>9</v>
      </c>
      <c r="S461" s="235" t="inlineStr">
        <is>
          <t>AAA</t>
        </is>
      </c>
      <c r="T461" s="236" t="n">
        <v>0.016</v>
      </c>
      <c r="U461" s="235" t="inlineStr">
        <is>
          <t>中信证券投行</t>
        </is>
      </c>
      <c r="V461" s="308" t="n">
        <v>0.3</v>
      </c>
    </row>
    <row r="462">
      <c r="A462" t="n">
        <v>41</v>
      </c>
      <c r="B462" t="inlineStr">
        <is>
          <t>4月</t>
        </is>
      </c>
      <c r="C462" t="inlineStr">
        <is>
          <t>消金</t>
        </is>
      </c>
      <c r="D462" t="inlineStr">
        <is>
          <t>信托金条</t>
        </is>
      </c>
      <c r="E462" t="inlineStr">
        <is>
          <t>耘睿21-2（续发）</t>
        </is>
      </c>
      <c r="F462" t="inlineStr">
        <is>
          <t>上交所</t>
        </is>
      </c>
      <c r="G462" t="inlineStr">
        <is>
          <t>中信证券</t>
        </is>
      </c>
      <c r="H462" t="inlineStr">
        <is>
          <t>华福证券</t>
        </is>
      </c>
      <c r="I462" t="inlineStr">
        <is>
          <t>民生北分</t>
        </is>
      </c>
      <c r="J462" t="n">
        <v>9.300000000000001</v>
      </c>
      <c r="K462" t="inlineStr">
        <is>
          <t>11+12</t>
        </is>
      </c>
      <c r="L462" s="309" t="n">
        <v>46134</v>
      </c>
      <c r="M462" t="n">
        <v>0.0146</v>
      </c>
      <c r="N462" t="n">
        <v>0.01936</v>
      </c>
      <c r="O462" t="n">
        <v>1.8</v>
      </c>
      <c r="P462" t="inlineStr">
        <is>
          <t>优先A</t>
        </is>
      </c>
      <c r="Q462" t="n">
        <v>0.9</v>
      </c>
      <c r="R462" t="n">
        <v>9</v>
      </c>
      <c r="S462" t="inlineStr">
        <is>
          <t>AAA</t>
        </is>
      </c>
      <c r="T462" t="n">
        <v>0.016</v>
      </c>
      <c r="U462" s="235" t="inlineStr">
        <is>
          <t>广州银行</t>
        </is>
      </c>
      <c r="V462" s="308" t="n">
        <v>1</v>
      </c>
    </row>
    <row r="463">
      <c r="A463" t="n">
        <v>41</v>
      </c>
      <c r="B463" t="inlineStr">
        <is>
          <t>4月</t>
        </is>
      </c>
      <c r="C463" t="inlineStr">
        <is>
          <t>消金</t>
        </is>
      </c>
      <c r="D463" t="inlineStr">
        <is>
          <t>信托金条</t>
        </is>
      </c>
      <c r="E463" t="inlineStr">
        <is>
          <t>耘睿21-2（续发）</t>
        </is>
      </c>
      <c r="F463" t="inlineStr">
        <is>
          <t>上交所</t>
        </is>
      </c>
      <c r="G463" t="inlineStr">
        <is>
          <t>中信证券</t>
        </is>
      </c>
      <c r="H463" t="inlineStr">
        <is>
          <t>华福证券</t>
        </is>
      </c>
      <c r="I463" t="inlineStr">
        <is>
          <t>民生北分</t>
        </is>
      </c>
      <c r="J463" t="n">
        <v>9.300000000000001</v>
      </c>
      <c r="K463" t="inlineStr">
        <is>
          <t>11+12</t>
        </is>
      </c>
      <c r="L463" s="309" t="n">
        <v>46134</v>
      </c>
      <c r="M463" t="n">
        <v>0.0146</v>
      </c>
      <c r="N463" t="n">
        <v>0.01936</v>
      </c>
      <c r="O463" t="n">
        <v>1.8</v>
      </c>
      <c r="P463" t="inlineStr">
        <is>
          <t>优先A</t>
        </is>
      </c>
      <c r="Q463" t="n">
        <v>0.9</v>
      </c>
      <c r="R463" t="n">
        <v>9</v>
      </c>
      <c r="S463" t="inlineStr">
        <is>
          <t>AAA</t>
        </is>
      </c>
      <c r="T463" t="n">
        <v>0.016</v>
      </c>
      <c r="U463" s="235" t="inlineStr">
        <is>
          <t>交银理财</t>
        </is>
      </c>
      <c r="V463" s="308" t="n">
        <v>2</v>
      </c>
    </row>
    <row r="464">
      <c r="A464" t="n">
        <v>41</v>
      </c>
      <c r="B464" t="inlineStr">
        <is>
          <t>4月</t>
        </is>
      </c>
      <c r="C464" t="inlineStr">
        <is>
          <t>消金</t>
        </is>
      </c>
      <c r="D464" t="inlineStr">
        <is>
          <t>信托金条</t>
        </is>
      </c>
      <c r="E464" t="inlineStr">
        <is>
          <t>耘睿21-2（续发）</t>
        </is>
      </c>
      <c r="F464" t="inlineStr">
        <is>
          <t>上交所</t>
        </is>
      </c>
      <c r="G464" t="inlineStr">
        <is>
          <t>中信证券</t>
        </is>
      </c>
      <c r="H464" t="inlineStr">
        <is>
          <t>华福证券</t>
        </is>
      </c>
      <c r="I464" t="inlineStr">
        <is>
          <t>民生北分</t>
        </is>
      </c>
      <c r="J464" t="n">
        <v>9.300000000000001</v>
      </c>
      <c r="K464" t="inlineStr">
        <is>
          <t>11+12</t>
        </is>
      </c>
      <c r="L464" s="309" t="n">
        <v>46134</v>
      </c>
      <c r="M464" t="n">
        <v>0.0146</v>
      </c>
      <c r="N464" t="n">
        <v>0.01936</v>
      </c>
      <c r="O464" t="n">
        <v>1.8</v>
      </c>
      <c r="P464" t="inlineStr">
        <is>
          <t>优先A</t>
        </is>
      </c>
      <c r="Q464" t="n">
        <v>0.9</v>
      </c>
      <c r="R464" t="n">
        <v>9</v>
      </c>
      <c r="S464" t="inlineStr">
        <is>
          <t>AAA</t>
        </is>
      </c>
      <c r="T464" t="n">
        <v>0.016</v>
      </c>
      <c r="U464" s="235" t="inlineStr">
        <is>
          <t>民生理财</t>
        </is>
      </c>
      <c r="V464" s="308" t="n">
        <v>2</v>
      </c>
    </row>
    <row r="465">
      <c r="A465" t="n">
        <v>41</v>
      </c>
      <c r="B465" t="inlineStr">
        <is>
          <t>4月</t>
        </is>
      </c>
      <c r="C465" t="inlineStr">
        <is>
          <t>消金</t>
        </is>
      </c>
      <c r="D465" t="inlineStr">
        <is>
          <t>信托金条</t>
        </is>
      </c>
      <c r="E465" t="inlineStr">
        <is>
          <t>耘睿21-2（续发）</t>
        </is>
      </c>
      <c r="F465" t="inlineStr">
        <is>
          <t>上交所</t>
        </is>
      </c>
      <c r="G465" t="inlineStr">
        <is>
          <t>中信证券</t>
        </is>
      </c>
      <c r="H465" t="inlineStr">
        <is>
          <t>华福证券</t>
        </is>
      </c>
      <c r="I465" t="inlineStr">
        <is>
          <t>民生北分</t>
        </is>
      </c>
      <c r="J465" t="n">
        <v>9.300000000000001</v>
      </c>
      <c r="K465" t="inlineStr">
        <is>
          <t>11+12</t>
        </is>
      </c>
      <c r="L465" s="309" t="n">
        <v>46134</v>
      </c>
      <c r="M465" t="n">
        <v>0.0146</v>
      </c>
      <c r="N465" t="n">
        <v>0.01936</v>
      </c>
      <c r="O465" t="n">
        <v>1.8</v>
      </c>
      <c r="P465" t="inlineStr">
        <is>
          <t>优先A</t>
        </is>
      </c>
      <c r="Q465" t="n">
        <v>0.9</v>
      </c>
      <c r="R465" t="n">
        <v>9</v>
      </c>
      <c r="S465" t="inlineStr">
        <is>
          <t>AAA</t>
        </is>
      </c>
      <c r="T465" t="n">
        <v>0.016</v>
      </c>
      <c r="U465" s="235" t="inlineStr">
        <is>
          <t>招银理财</t>
        </is>
      </c>
      <c r="V465" s="308" t="n">
        <v>2.7</v>
      </c>
    </row>
    <row r="466">
      <c r="A466" t="n">
        <v>41</v>
      </c>
      <c r="B466" t="inlineStr">
        <is>
          <t>4月</t>
        </is>
      </c>
      <c r="C466" t="inlineStr">
        <is>
          <t>消金</t>
        </is>
      </c>
      <c r="D466" t="inlineStr">
        <is>
          <t>信托金条</t>
        </is>
      </c>
      <c r="E466" t="inlineStr">
        <is>
          <t>耘睿21-2（续发）</t>
        </is>
      </c>
      <c r="F466" t="inlineStr">
        <is>
          <t>上交所</t>
        </is>
      </c>
      <c r="G466" t="inlineStr">
        <is>
          <t>中信证券</t>
        </is>
      </c>
      <c r="H466" t="inlineStr">
        <is>
          <t>华福证券</t>
        </is>
      </c>
      <c r="I466" t="inlineStr">
        <is>
          <t>民生北分</t>
        </is>
      </c>
      <c r="J466" t="n">
        <v>9.300000000000001</v>
      </c>
      <c r="K466" t="inlineStr">
        <is>
          <t>11+12</t>
        </is>
      </c>
      <c r="L466" s="309" t="n">
        <v>46134</v>
      </c>
      <c r="M466" t="n">
        <v>0.0146</v>
      </c>
      <c r="N466" t="n">
        <v>0.01936</v>
      </c>
      <c r="O466" t="n">
        <v>1.8</v>
      </c>
      <c r="P466" t="inlineStr">
        <is>
          <t>优先A</t>
        </is>
      </c>
      <c r="Q466" t="n">
        <v>0.9</v>
      </c>
      <c r="R466" t="n">
        <v>9</v>
      </c>
      <c r="S466" t="inlineStr">
        <is>
          <t>AAA</t>
        </is>
      </c>
      <c r="T466" t="n">
        <v>0.016</v>
      </c>
      <c r="U466" s="235" t="inlineStr">
        <is>
          <t>杭州联合银行</t>
        </is>
      </c>
      <c r="V466" s="308" t="n">
        <v>1</v>
      </c>
    </row>
    <row r="467">
      <c r="A467" t="n">
        <v>41</v>
      </c>
      <c r="B467" t="inlineStr">
        <is>
          <t>4月</t>
        </is>
      </c>
      <c r="C467" t="inlineStr">
        <is>
          <t>消金</t>
        </is>
      </c>
      <c r="D467" t="inlineStr">
        <is>
          <t>信托金条</t>
        </is>
      </c>
      <c r="E467" t="inlineStr">
        <is>
          <t>耘睿21-2（续发）</t>
        </is>
      </c>
      <c r="F467" t="inlineStr">
        <is>
          <t>上交所</t>
        </is>
      </c>
      <c r="G467" t="inlineStr">
        <is>
          <t>中信证券</t>
        </is>
      </c>
      <c r="H467" t="inlineStr">
        <is>
          <t>华福证券</t>
        </is>
      </c>
      <c r="I467" t="inlineStr">
        <is>
          <t>民生北分</t>
        </is>
      </c>
      <c r="J467" t="n">
        <v>9.300000000000001</v>
      </c>
      <c r="K467" t="inlineStr">
        <is>
          <t>11+12</t>
        </is>
      </c>
      <c r="L467" s="309" t="n">
        <v>46134</v>
      </c>
      <c r="M467" t="n">
        <v>0.0146</v>
      </c>
      <c r="N467" t="n">
        <v>0.01936</v>
      </c>
      <c r="O467" t="n">
        <v>1.8</v>
      </c>
      <c r="P467" s="235" t="inlineStr">
        <is>
          <t>优先B</t>
        </is>
      </c>
      <c r="Q467" s="236" t="n">
        <v>0.03</v>
      </c>
      <c r="R467" s="307" t="n">
        <v>0.3</v>
      </c>
      <c r="S467" s="235" t="inlineStr">
        <is>
          <t>AA+</t>
        </is>
      </c>
      <c r="T467" s="236" t="n">
        <v>0.0179</v>
      </c>
      <c r="U467" s="235" t="inlineStr">
        <is>
          <t>交银理财</t>
        </is>
      </c>
      <c r="V467" s="308" t="n">
        <v>0.09</v>
      </c>
    </row>
    <row r="468">
      <c r="A468" t="n">
        <v>41</v>
      </c>
      <c r="B468" t="inlineStr">
        <is>
          <t>4月</t>
        </is>
      </c>
      <c r="C468" t="inlineStr">
        <is>
          <t>消金</t>
        </is>
      </c>
      <c r="D468" t="inlineStr">
        <is>
          <t>信托金条</t>
        </is>
      </c>
      <c r="E468" t="inlineStr">
        <is>
          <t>耘睿21-2（续发）</t>
        </is>
      </c>
      <c r="F468" t="inlineStr">
        <is>
          <t>上交所</t>
        </is>
      </c>
      <c r="G468" t="inlineStr">
        <is>
          <t>中信证券</t>
        </is>
      </c>
      <c r="H468" t="inlineStr">
        <is>
          <t>华福证券</t>
        </is>
      </c>
      <c r="I468" t="inlineStr">
        <is>
          <t>民生北分</t>
        </is>
      </c>
      <c r="J468" t="n">
        <v>9.300000000000001</v>
      </c>
      <c r="K468" t="inlineStr">
        <is>
          <t>11+12</t>
        </is>
      </c>
      <c r="L468" s="309" t="n">
        <v>46134</v>
      </c>
      <c r="M468" t="n">
        <v>0.0146</v>
      </c>
      <c r="N468" t="n">
        <v>0.01936</v>
      </c>
      <c r="O468" t="n">
        <v>1.8</v>
      </c>
      <c r="P468" t="inlineStr">
        <is>
          <t>优先B</t>
        </is>
      </c>
      <c r="Q468" t="n">
        <v>0.03</v>
      </c>
      <c r="R468" t="n">
        <v>0.3</v>
      </c>
      <c r="S468" t="inlineStr">
        <is>
          <t>AA+</t>
        </is>
      </c>
      <c r="T468" t="n">
        <v>0.0179</v>
      </c>
      <c r="U468" s="235" t="inlineStr">
        <is>
          <t>民生理财</t>
        </is>
      </c>
      <c r="V468" s="308" t="n">
        <v>0.09</v>
      </c>
    </row>
    <row r="469">
      <c r="A469" t="n">
        <v>41</v>
      </c>
      <c r="B469" t="inlineStr">
        <is>
          <t>4月</t>
        </is>
      </c>
      <c r="C469" t="inlineStr">
        <is>
          <t>消金</t>
        </is>
      </c>
      <c r="D469" t="inlineStr">
        <is>
          <t>信托金条</t>
        </is>
      </c>
      <c r="E469" t="inlineStr">
        <is>
          <t>耘睿21-2（续发）</t>
        </is>
      </c>
      <c r="F469" t="inlineStr">
        <is>
          <t>上交所</t>
        </is>
      </c>
      <c r="G469" t="inlineStr">
        <is>
          <t>中信证券</t>
        </is>
      </c>
      <c r="H469" t="inlineStr">
        <is>
          <t>华福证券</t>
        </is>
      </c>
      <c r="I469" t="inlineStr">
        <is>
          <t>民生北分</t>
        </is>
      </c>
      <c r="J469" t="n">
        <v>9.300000000000001</v>
      </c>
      <c r="K469" t="inlineStr">
        <is>
          <t>11+12</t>
        </is>
      </c>
      <c r="L469" s="309" t="n">
        <v>46134</v>
      </c>
      <c r="M469" t="n">
        <v>0.0146</v>
      </c>
      <c r="N469" t="n">
        <v>0.01936</v>
      </c>
      <c r="O469" t="n">
        <v>1.8</v>
      </c>
      <c r="P469" t="inlineStr">
        <is>
          <t>优先B</t>
        </is>
      </c>
      <c r="Q469" t="n">
        <v>0.03</v>
      </c>
      <c r="R469" t="n">
        <v>0.3</v>
      </c>
      <c r="S469" t="inlineStr">
        <is>
          <t>AA+</t>
        </is>
      </c>
      <c r="T469" t="n">
        <v>0.0179</v>
      </c>
      <c r="U469" s="235" t="inlineStr">
        <is>
          <t>招银理财</t>
        </is>
      </c>
      <c r="V469" s="308" t="n">
        <v>0.09</v>
      </c>
    </row>
    <row r="470">
      <c r="A470" t="n">
        <v>41</v>
      </c>
      <c r="B470" t="inlineStr">
        <is>
          <t>4月</t>
        </is>
      </c>
      <c r="C470" t="inlineStr">
        <is>
          <t>消金</t>
        </is>
      </c>
      <c r="D470" t="inlineStr">
        <is>
          <t>信托金条</t>
        </is>
      </c>
      <c r="E470" t="inlineStr">
        <is>
          <t>耘睿21-2（续发）</t>
        </is>
      </c>
      <c r="F470" t="inlineStr">
        <is>
          <t>上交所</t>
        </is>
      </c>
      <c r="G470" t="inlineStr">
        <is>
          <t>中信证券</t>
        </is>
      </c>
      <c r="H470" t="inlineStr">
        <is>
          <t>华福证券</t>
        </is>
      </c>
      <c r="I470" t="inlineStr">
        <is>
          <t>民生北分</t>
        </is>
      </c>
      <c r="J470" t="n">
        <v>9.300000000000001</v>
      </c>
      <c r="K470" t="inlineStr">
        <is>
          <t>11+12</t>
        </is>
      </c>
      <c r="L470" s="309" t="n">
        <v>46134</v>
      </c>
      <c r="M470" t="n">
        <v>0.0146</v>
      </c>
      <c r="N470" t="n">
        <v>0.01936</v>
      </c>
      <c r="O470" t="n">
        <v>1.8</v>
      </c>
      <c r="P470" t="inlineStr">
        <is>
          <t>优先B</t>
        </is>
      </c>
      <c r="Q470" t="n">
        <v>0.03</v>
      </c>
      <c r="R470" t="n">
        <v>0.3</v>
      </c>
      <c r="S470" t="inlineStr">
        <is>
          <t>AA+</t>
        </is>
      </c>
      <c r="T470" t="n">
        <v>0.0179</v>
      </c>
      <c r="U470" s="235" t="inlineStr">
        <is>
          <t>杭州联合银行</t>
        </is>
      </c>
      <c r="V470" s="308" t="n">
        <v>0.03</v>
      </c>
    </row>
    <row r="471">
      <c r="A471" s="223" t="n">
        <v>42</v>
      </c>
      <c r="B471" s="305" t="inlineStr">
        <is>
          <t>4月</t>
        </is>
      </c>
      <c r="C471" s="305" t="inlineStr">
        <is>
          <t>消金</t>
        </is>
      </c>
      <c r="D471" s="305" t="inlineStr">
        <is>
          <t>信托金条</t>
        </is>
      </c>
      <c r="E471" s="305" t="inlineStr">
        <is>
          <t>耘睿21-3（续发）</t>
        </is>
      </c>
      <c r="F471" s="305" t="inlineStr">
        <is>
          <t>上交所</t>
        </is>
      </c>
      <c r="G471" s="305" t="inlineStr">
        <is>
          <t>招商证券</t>
        </is>
      </c>
      <c r="H471" s="305" t="inlineStr">
        <is>
          <t>信达证券</t>
        </is>
      </c>
      <c r="I471" s="305" t="inlineStr">
        <is>
          <t>交银北分</t>
        </is>
      </c>
      <c r="J471" s="245" t="n">
        <v>9.300000000000001</v>
      </c>
      <c r="K471" s="305" t="inlineStr">
        <is>
          <t>11+12</t>
        </is>
      </c>
      <c r="L471" s="246" t="n">
        <v>46135</v>
      </c>
      <c r="M471" s="247" t="n">
        <v>0.0146</v>
      </c>
      <c r="N471" s="306" t="n">
        <v>0.01936</v>
      </c>
      <c r="O471" s="245" t="n">
        <v>1.89</v>
      </c>
      <c r="P471" s="235" t="inlineStr">
        <is>
          <t>优先A</t>
        </is>
      </c>
      <c r="Q471" s="236" t="n">
        <v>0.9</v>
      </c>
      <c r="R471" s="307" t="n">
        <v>9</v>
      </c>
      <c r="S471" s="235" t="inlineStr">
        <is>
          <t>AAA</t>
        </is>
      </c>
      <c r="T471" s="236" t="n">
        <v>0.016</v>
      </c>
      <c r="U471" s="235" t="inlineStr">
        <is>
          <t>中邮理财</t>
        </is>
      </c>
      <c r="V471" s="308" t="n">
        <v>1.87</v>
      </c>
    </row>
    <row r="472">
      <c r="A472" t="n">
        <v>42</v>
      </c>
      <c r="B472" t="inlineStr">
        <is>
          <t>4月</t>
        </is>
      </c>
      <c r="C472" t="inlineStr">
        <is>
          <t>消金</t>
        </is>
      </c>
      <c r="D472" t="inlineStr">
        <is>
          <t>信托金条</t>
        </is>
      </c>
      <c r="E472" t="inlineStr">
        <is>
          <t>耘睿21-3（续发）</t>
        </is>
      </c>
      <c r="F472" t="inlineStr">
        <is>
          <t>上交所</t>
        </is>
      </c>
      <c r="G472" t="inlineStr">
        <is>
          <t>招商证券</t>
        </is>
      </c>
      <c r="H472" t="inlineStr">
        <is>
          <t>信达证券</t>
        </is>
      </c>
      <c r="I472" t="inlineStr">
        <is>
          <t>交银北分</t>
        </is>
      </c>
      <c r="J472" t="n">
        <v>9.300000000000001</v>
      </c>
      <c r="K472" t="inlineStr">
        <is>
          <t>11+12</t>
        </is>
      </c>
      <c r="L472" s="309" t="n">
        <v>46135</v>
      </c>
      <c r="M472" t="n">
        <v>0.0146</v>
      </c>
      <c r="N472" t="n">
        <v>0.01936</v>
      </c>
      <c r="O472" t="n">
        <v>1.89</v>
      </c>
      <c r="P472" t="inlineStr">
        <is>
          <t>优先A</t>
        </is>
      </c>
      <c r="Q472" t="n">
        <v>0.9</v>
      </c>
      <c r="R472" t="n">
        <v>9</v>
      </c>
      <c r="S472" t="inlineStr">
        <is>
          <t>AAA</t>
        </is>
      </c>
      <c r="T472" t="n">
        <v>0.016</v>
      </c>
      <c r="U472" s="235" t="inlineStr">
        <is>
          <t>渝农商理财</t>
        </is>
      </c>
      <c r="V472" s="308" t="n">
        <v>1</v>
      </c>
    </row>
    <row r="473">
      <c r="A473" t="n">
        <v>42</v>
      </c>
      <c r="B473" t="inlineStr">
        <is>
          <t>4月</t>
        </is>
      </c>
      <c r="C473" t="inlineStr">
        <is>
          <t>消金</t>
        </is>
      </c>
      <c r="D473" t="inlineStr">
        <is>
          <t>信托金条</t>
        </is>
      </c>
      <c r="E473" t="inlineStr">
        <is>
          <t>耘睿21-3（续发）</t>
        </is>
      </c>
      <c r="F473" t="inlineStr">
        <is>
          <t>上交所</t>
        </is>
      </c>
      <c r="G473" t="inlineStr">
        <is>
          <t>招商证券</t>
        </is>
      </c>
      <c r="H473" t="inlineStr">
        <is>
          <t>信达证券</t>
        </is>
      </c>
      <c r="I473" t="inlineStr">
        <is>
          <t>交银北分</t>
        </is>
      </c>
      <c r="J473" t="n">
        <v>9.300000000000001</v>
      </c>
      <c r="K473" t="inlineStr">
        <is>
          <t>11+12</t>
        </is>
      </c>
      <c r="L473" s="309" t="n">
        <v>46135</v>
      </c>
      <c r="M473" t="n">
        <v>0.0146</v>
      </c>
      <c r="N473" t="n">
        <v>0.01936</v>
      </c>
      <c r="O473" t="n">
        <v>1.89</v>
      </c>
      <c r="P473" t="inlineStr">
        <is>
          <t>优先A</t>
        </is>
      </c>
      <c r="Q473" t="n">
        <v>0.9</v>
      </c>
      <c r="R473" t="n">
        <v>9</v>
      </c>
      <c r="S473" t="inlineStr">
        <is>
          <t>AAA</t>
        </is>
      </c>
      <c r="T473" t="n">
        <v>0.016</v>
      </c>
      <c r="U473" s="235" t="inlineStr">
        <is>
          <t>民生理财</t>
        </is>
      </c>
      <c r="V473" s="308" t="n">
        <v>1.38</v>
      </c>
    </row>
    <row r="474">
      <c r="A474" t="n">
        <v>42</v>
      </c>
      <c r="B474" t="inlineStr">
        <is>
          <t>4月</t>
        </is>
      </c>
      <c r="C474" t="inlineStr">
        <is>
          <t>消金</t>
        </is>
      </c>
      <c r="D474" t="inlineStr">
        <is>
          <t>信托金条</t>
        </is>
      </c>
      <c r="E474" t="inlineStr">
        <is>
          <t>耘睿21-3（续发）</t>
        </is>
      </c>
      <c r="F474" t="inlineStr">
        <is>
          <t>上交所</t>
        </is>
      </c>
      <c r="G474" t="inlineStr">
        <is>
          <t>招商证券</t>
        </is>
      </c>
      <c r="H474" t="inlineStr">
        <is>
          <t>信达证券</t>
        </is>
      </c>
      <c r="I474" t="inlineStr">
        <is>
          <t>交银北分</t>
        </is>
      </c>
      <c r="J474" t="n">
        <v>9.300000000000001</v>
      </c>
      <c r="K474" t="inlineStr">
        <is>
          <t>11+12</t>
        </is>
      </c>
      <c r="L474" s="309" t="n">
        <v>46135</v>
      </c>
      <c r="M474" t="n">
        <v>0.0146</v>
      </c>
      <c r="N474" t="n">
        <v>0.01936</v>
      </c>
      <c r="O474" t="n">
        <v>1.89</v>
      </c>
      <c r="P474" t="inlineStr">
        <is>
          <t>优先A</t>
        </is>
      </c>
      <c r="Q474" t="n">
        <v>0.9</v>
      </c>
      <c r="R474" t="n">
        <v>9</v>
      </c>
      <c r="S474" t="inlineStr">
        <is>
          <t>AAA</t>
        </is>
      </c>
      <c r="T474" t="n">
        <v>0.016</v>
      </c>
      <c r="U474" s="235" t="inlineStr">
        <is>
          <t>交银理财</t>
        </is>
      </c>
      <c r="V474" s="308" t="n">
        <v>1.58</v>
      </c>
    </row>
    <row r="475">
      <c r="A475" t="n">
        <v>42</v>
      </c>
      <c r="B475" t="inlineStr">
        <is>
          <t>4月</t>
        </is>
      </c>
      <c r="C475" t="inlineStr">
        <is>
          <t>消金</t>
        </is>
      </c>
      <c r="D475" t="inlineStr">
        <is>
          <t>信托金条</t>
        </is>
      </c>
      <c r="E475" t="inlineStr">
        <is>
          <t>耘睿21-3（续发）</t>
        </is>
      </c>
      <c r="F475" t="inlineStr">
        <is>
          <t>上交所</t>
        </is>
      </c>
      <c r="G475" t="inlineStr">
        <is>
          <t>招商证券</t>
        </is>
      </c>
      <c r="H475" t="inlineStr">
        <is>
          <t>信达证券</t>
        </is>
      </c>
      <c r="I475" t="inlineStr">
        <is>
          <t>交银北分</t>
        </is>
      </c>
      <c r="J475" t="n">
        <v>9.300000000000001</v>
      </c>
      <c r="K475" t="inlineStr">
        <is>
          <t>11+12</t>
        </is>
      </c>
      <c r="L475" s="309" t="n">
        <v>46135</v>
      </c>
      <c r="M475" t="n">
        <v>0.0146</v>
      </c>
      <c r="N475" t="n">
        <v>0.01936</v>
      </c>
      <c r="O475" t="n">
        <v>1.89</v>
      </c>
      <c r="P475" t="inlineStr">
        <is>
          <t>优先A</t>
        </is>
      </c>
      <c r="Q475" t="n">
        <v>0.9</v>
      </c>
      <c r="R475" t="n">
        <v>9</v>
      </c>
      <c r="S475" t="inlineStr">
        <is>
          <t>AAA</t>
        </is>
      </c>
      <c r="T475" t="n">
        <v>0.016</v>
      </c>
      <c r="U475" s="235" t="inlineStr">
        <is>
          <t>建信信托</t>
        </is>
      </c>
      <c r="V475" s="308" t="n">
        <v>2.17</v>
      </c>
    </row>
    <row r="476">
      <c r="A476" t="n">
        <v>42</v>
      </c>
      <c r="B476" t="inlineStr">
        <is>
          <t>4月</t>
        </is>
      </c>
      <c r="C476" t="inlineStr">
        <is>
          <t>消金</t>
        </is>
      </c>
      <c r="D476" t="inlineStr">
        <is>
          <t>信托金条</t>
        </is>
      </c>
      <c r="E476" t="inlineStr">
        <is>
          <t>耘睿21-3（续发）</t>
        </is>
      </c>
      <c r="F476" t="inlineStr">
        <is>
          <t>上交所</t>
        </is>
      </c>
      <c r="G476" t="inlineStr">
        <is>
          <t>招商证券</t>
        </is>
      </c>
      <c r="H476" t="inlineStr">
        <is>
          <t>信达证券</t>
        </is>
      </c>
      <c r="I476" t="inlineStr">
        <is>
          <t>交银北分</t>
        </is>
      </c>
      <c r="J476" t="n">
        <v>9.300000000000001</v>
      </c>
      <c r="K476" t="inlineStr">
        <is>
          <t>11+12</t>
        </is>
      </c>
      <c r="L476" s="309" t="n">
        <v>46135</v>
      </c>
      <c r="M476" t="n">
        <v>0.0146</v>
      </c>
      <c r="N476" t="n">
        <v>0.01936</v>
      </c>
      <c r="O476" t="n">
        <v>1.89</v>
      </c>
      <c r="P476" t="inlineStr">
        <is>
          <t>优先A</t>
        </is>
      </c>
      <c r="Q476" t="n">
        <v>0.9</v>
      </c>
      <c r="R476" t="n">
        <v>9</v>
      </c>
      <c r="S476" t="inlineStr">
        <is>
          <t>AAA</t>
        </is>
      </c>
      <c r="T476" t="n">
        <v>0.016</v>
      </c>
      <c r="U476" s="235" t="inlineStr">
        <is>
          <t>杭州联合银行</t>
        </is>
      </c>
      <c r="V476" s="308" t="n">
        <v>1</v>
      </c>
    </row>
    <row r="477">
      <c r="A477" t="n">
        <v>42</v>
      </c>
      <c r="B477" t="inlineStr">
        <is>
          <t>4月</t>
        </is>
      </c>
      <c r="C477" t="inlineStr">
        <is>
          <t>消金</t>
        </is>
      </c>
      <c r="D477" t="inlineStr">
        <is>
          <t>信托金条</t>
        </is>
      </c>
      <c r="E477" t="inlineStr">
        <is>
          <t>耘睿21-3（续发）</t>
        </is>
      </c>
      <c r="F477" t="inlineStr">
        <is>
          <t>上交所</t>
        </is>
      </c>
      <c r="G477" t="inlineStr">
        <is>
          <t>招商证券</t>
        </is>
      </c>
      <c r="H477" t="inlineStr">
        <is>
          <t>信达证券</t>
        </is>
      </c>
      <c r="I477" t="inlineStr">
        <is>
          <t>交银北分</t>
        </is>
      </c>
      <c r="J477" t="n">
        <v>9.300000000000001</v>
      </c>
      <c r="K477" t="inlineStr">
        <is>
          <t>11+12</t>
        </is>
      </c>
      <c r="L477" s="309" t="n">
        <v>46135</v>
      </c>
      <c r="M477" t="n">
        <v>0.0146</v>
      </c>
      <c r="N477" t="n">
        <v>0.01936</v>
      </c>
      <c r="O477" t="n">
        <v>1.89</v>
      </c>
      <c r="P477" s="235" t="inlineStr">
        <is>
          <t>优先B</t>
        </is>
      </c>
      <c r="Q477" s="236" t="n">
        <v>0.03</v>
      </c>
      <c r="R477" s="307" t="n">
        <v>0.3</v>
      </c>
      <c r="S477" s="235" t="inlineStr">
        <is>
          <t>AA+</t>
        </is>
      </c>
      <c r="T477" s="236" t="n">
        <v>0.0178</v>
      </c>
      <c r="U477" s="235" t="inlineStr">
        <is>
          <t>交银理财</t>
        </is>
      </c>
      <c r="V477" s="308" t="n">
        <v>0.09</v>
      </c>
    </row>
    <row r="478">
      <c r="A478" t="n">
        <v>42</v>
      </c>
      <c r="B478" t="inlineStr">
        <is>
          <t>4月</t>
        </is>
      </c>
      <c r="C478" t="inlineStr">
        <is>
          <t>消金</t>
        </is>
      </c>
      <c r="D478" t="inlineStr">
        <is>
          <t>信托金条</t>
        </is>
      </c>
      <c r="E478" t="inlineStr">
        <is>
          <t>耘睿21-3（续发）</t>
        </is>
      </c>
      <c r="F478" t="inlineStr">
        <is>
          <t>上交所</t>
        </is>
      </c>
      <c r="G478" t="inlineStr">
        <is>
          <t>招商证券</t>
        </is>
      </c>
      <c r="H478" t="inlineStr">
        <is>
          <t>信达证券</t>
        </is>
      </c>
      <c r="I478" t="inlineStr">
        <is>
          <t>交银北分</t>
        </is>
      </c>
      <c r="J478" t="n">
        <v>9.300000000000001</v>
      </c>
      <c r="K478" t="inlineStr">
        <is>
          <t>11+12</t>
        </is>
      </c>
      <c r="L478" s="309" t="n">
        <v>46135</v>
      </c>
      <c r="M478" t="n">
        <v>0.0146</v>
      </c>
      <c r="N478" t="n">
        <v>0.01936</v>
      </c>
      <c r="O478" t="n">
        <v>1.89</v>
      </c>
      <c r="P478" t="inlineStr">
        <is>
          <t>优先B</t>
        </is>
      </c>
      <c r="Q478" t="n">
        <v>0.03</v>
      </c>
      <c r="R478" t="n">
        <v>0.3</v>
      </c>
      <c r="S478" t="inlineStr">
        <is>
          <t>AA+</t>
        </is>
      </c>
      <c r="T478" t="n">
        <v>0.0178</v>
      </c>
      <c r="U478" s="235" t="inlineStr">
        <is>
          <t>民生理财</t>
        </is>
      </c>
      <c r="V478" s="308" t="n">
        <v>0.09</v>
      </c>
    </row>
    <row r="479">
      <c r="A479" t="n">
        <v>42</v>
      </c>
      <c r="B479" t="inlineStr">
        <is>
          <t>4月</t>
        </is>
      </c>
      <c r="C479" t="inlineStr">
        <is>
          <t>消金</t>
        </is>
      </c>
      <c r="D479" t="inlineStr">
        <is>
          <t>信托金条</t>
        </is>
      </c>
      <c r="E479" t="inlineStr">
        <is>
          <t>耘睿21-3（续发）</t>
        </is>
      </c>
      <c r="F479" t="inlineStr">
        <is>
          <t>上交所</t>
        </is>
      </c>
      <c r="G479" t="inlineStr">
        <is>
          <t>招商证券</t>
        </is>
      </c>
      <c r="H479" t="inlineStr">
        <is>
          <t>信达证券</t>
        </is>
      </c>
      <c r="I479" t="inlineStr">
        <is>
          <t>交银北分</t>
        </is>
      </c>
      <c r="J479" t="n">
        <v>9.300000000000001</v>
      </c>
      <c r="K479" t="inlineStr">
        <is>
          <t>11+12</t>
        </is>
      </c>
      <c r="L479" s="309" t="n">
        <v>46135</v>
      </c>
      <c r="M479" t="n">
        <v>0.0146</v>
      </c>
      <c r="N479" t="n">
        <v>0.01936</v>
      </c>
      <c r="O479" t="n">
        <v>1.89</v>
      </c>
      <c r="P479" t="inlineStr">
        <is>
          <t>优先B</t>
        </is>
      </c>
      <c r="Q479" t="n">
        <v>0.03</v>
      </c>
      <c r="R479" t="n">
        <v>0.3</v>
      </c>
      <c r="S479" t="inlineStr">
        <is>
          <t>AA+</t>
        </is>
      </c>
      <c r="T479" t="n">
        <v>0.0178</v>
      </c>
      <c r="U479" s="235" t="inlineStr">
        <is>
          <t>渝农商理财</t>
        </is>
      </c>
      <c r="V479" s="308" t="n">
        <v>0.09</v>
      </c>
    </row>
    <row r="480">
      <c r="A480" t="n">
        <v>42</v>
      </c>
      <c r="B480" t="inlineStr">
        <is>
          <t>4月</t>
        </is>
      </c>
      <c r="C480" t="inlineStr">
        <is>
          <t>消金</t>
        </is>
      </c>
      <c r="D480" t="inlineStr">
        <is>
          <t>信托金条</t>
        </is>
      </c>
      <c r="E480" t="inlineStr">
        <is>
          <t>耘睿21-3（续发）</t>
        </is>
      </c>
      <c r="F480" t="inlineStr">
        <is>
          <t>上交所</t>
        </is>
      </c>
      <c r="G480" t="inlineStr">
        <is>
          <t>招商证券</t>
        </is>
      </c>
      <c r="H480" t="inlineStr">
        <is>
          <t>信达证券</t>
        </is>
      </c>
      <c r="I480" t="inlineStr">
        <is>
          <t>交银北分</t>
        </is>
      </c>
      <c r="J480" t="n">
        <v>9.300000000000001</v>
      </c>
      <c r="K480" t="inlineStr">
        <is>
          <t>11+12</t>
        </is>
      </c>
      <c r="L480" s="309" t="n">
        <v>46135</v>
      </c>
      <c r="M480" t="n">
        <v>0.0146</v>
      </c>
      <c r="N480" t="n">
        <v>0.01936</v>
      </c>
      <c r="O480" t="n">
        <v>1.89</v>
      </c>
      <c r="P480" t="inlineStr">
        <is>
          <t>优先B</t>
        </is>
      </c>
      <c r="Q480" t="n">
        <v>0.03</v>
      </c>
      <c r="R480" t="n">
        <v>0.3</v>
      </c>
      <c r="S480" t="inlineStr">
        <is>
          <t>AA+</t>
        </is>
      </c>
      <c r="T480" t="n">
        <v>0.0178</v>
      </c>
      <c r="U480" s="235" t="inlineStr">
        <is>
          <t>杭州联合银行</t>
        </is>
      </c>
      <c r="V480" s="308" t="n">
        <v>0.03</v>
      </c>
    </row>
    <row r="481">
      <c r="A481" s="223" t="n">
        <v>43</v>
      </c>
      <c r="B481" s="223" t="inlineStr">
        <is>
          <t>4月</t>
        </is>
      </c>
      <c r="C481" s="220" t="inlineStr">
        <is>
          <t>企金</t>
        </is>
      </c>
      <c r="D481" s="220" t="inlineStr">
        <is>
          <t>保理</t>
        </is>
      </c>
      <c r="E481" s="220" t="inlineStr">
        <is>
          <t>京诚14-8</t>
        </is>
      </c>
      <c r="F481" s="220" t="inlineStr">
        <is>
          <t>上交所</t>
        </is>
      </c>
      <c r="G481" s="220" t="inlineStr">
        <is>
          <t>国泰海通</t>
        </is>
      </c>
      <c r="H481" s="220" t="inlineStr">
        <is>
          <t>华福证券</t>
        </is>
      </c>
      <c r="I481" s="220" t="inlineStr">
        <is>
          <t>渤海银行上海自贸区分行</t>
        </is>
      </c>
      <c r="J481" s="220" t="n">
        <v>10</v>
      </c>
      <c r="K481" s="220" t="inlineStr">
        <is>
          <t>3+3</t>
        </is>
      </c>
      <c r="L481" s="224" t="n">
        <v>46136</v>
      </c>
      <c r="M481" s="225" t="n">
        <v>0.0144</v>
      </c>
      <c r="N481" s="225" t="n">
        <v>0.0159</v>
      </c>
      <c r="O481" s="226" t="n">
        <v>3.91</v>
      </c>
      <c r="P481" s="220" t="inlineStr">
        <is>
          <t>优先级</t>
        </is>
      </c>
      <c r="Q481" s="221" t="n">
        <v>0.99</v>
      </c>
      <c r="R481" s="308" t="n">
        <v>9.9</v>
      </c>
      <c r="S481" s="220" t="inlineStr">
        <is>
          <t>AAA</t>
        </is>
      </c>
      <c r="T481" s="221" t="n">
        <v>0.0152</v>
      </c>
      <c r="U481" s="24" t="inlineStr">
        <is>
          <t>光大理财</t>
        </is>
      </c>
      <c r="V481" s="25" t="n">
        <v>2.47</v>
      </c>
    </row>
    <row r="482">
      <c r="A482" t="n">
        <v>43</v>
      </c>
      <c r="B482" t="inlineStr">
        <is>
          <t>4月</t>
        </is>
      </c>
      <c r="C482" t="inlineStr">
        <is>
          <t>企金</t>
        </is>
      </c>
      <c r="D482" t="inlineStr">
        <is>
          <t>保理</t>
        </is>
      </c>
      <c r="E482" t="inlineStr">
        <is>
          <t>京诚14-8</t>
        </is>
      </c>
      <c r="F482" t="inlineStr">
        <is>
          <t>上交所</t>
        </is>
      </c>
      <c r="G482" t="inlineStr">
        <is>
          <t>国泰海通</t>
        </is>
      </c>
      <c r="H482" t="inlineStr">
        <is>
          <t>华福证券</t>
        </is>
      </c>
      <c r="I482" t="inlineStr">
        <is>
          <t>渤海银行上海自贸区分行</t>
        </is>
      </c>
      <c r="J482" t="n">
        <v>10</v>
      </c>
      <c r="K482" t="inlineStr">
        <is>
          <t>3+3</t>
        </is>
      </c>
      <c r="L482" s="309" t="n">
        <v>46136</v>
      </c>
      <c r="M482" t="n">
        <v>0.0144</v>
      </c>
      <c r="N482" t="n">
        <v>0.0159</v>
      </c>
      <c r="O482" t="n">
        <v>3.91</v>
      </c>
      <c r="P482" t="inlineStr">
        <is>
          <t>优先级</t>
        </is>
      </c>
      <c r="Q482" t="n">
        <v>0.99</v>
      </c>
      <c r="R482" t="n">
        <v>9.9</v>
      </c>
      <c r="S482" t="inlineStr">
        <is>
          <t>AAA</t>
        </is>
      </c>
      <c r="T482" t="n">
        <v>0.0152</v>
      </c>
      <c r="U482" s="217" t="inlineStr">
        <is>
          <t>民生理财</t>
        </is>
      </c>
      <c r="V482" s="25" t="n">
        <v>1</v>
      </c>
    </row>
    <row r="483">
      <c r="A483" t="n">
        <v>43</v>
      </c>
      <c r="B483" t="inlineStr">
        <is>
          <t>4月</t>
        </is>
      </c>
      <c r="C483" t="inlineStr">
        <is>
          <t>企金</t>
        </is>
      </c>
      <c r="D483" t="inlineStr">
        <is>
          <t>保理</t>
        </is>
      </c>
      <c r="E483" t="inlineStr">
        <is>
          <t>京诚14-8</t>
        </is>
      </c>
      <c r="F483" t="inlineStr">
        <is>
          <t>上交所</t>
        </is>
      </c>
      <c r="G483" t="inlineStr">
        <is>
          <t>国泰海通</t>
        </is>
      </c>
      <c r="H483" t="inlineStr">
        <is>
          <t>华福证券</t>
        </is>
      </c>
      <c r="I483" t="inlineStr">
        <is>
          <t>渤海银行上海自贸区分行</t>
        </is>
      </c>
      <c r="J483" t="n">
        <v>10</v>
      </c>
      <c r="K483" t="inlineStr">
        <is>
          <t>3+3</t>
        </is>
      </c>
      <c r="L483" s="309" t="n">
        <v>46136</v>
      </c>
      <c r="M483" t="n">
        <v>0.0144</v>
      </c>
      <c r="N483" t="n">
        <v>0.0159</v>
      </c>
      <c r="O483" t="n">
        <v>3.91</v>
      </c>
      <c r="P483" t="inlineStr">
        <is>
          <t>优先级</t>
        </is>
      </c>
      <c r="Q483" t="n">
        <v>0.99</v>
      </c>
      <c r="R483" t="n">
        <v>9.9</v>
      </c>
      <c r="S483" t="inlineStr">
        <is>
          <t>AAA</t>
        </is>
      </c>
      <c r="T483" t="n">
        <v>0.0152</v>
      </c>
      <c r="U483" s="217" t="inlineStr">
        <is>
          <t>平安理财</t>
        </is>
      </c>
      <c r="V483" s="25" t="n">
        <v>2.47</v>
      </c>
    </row>
    <row r="484">
      <c r="A484" t="n">
        <v>43</v>
      </c>
      <c r="B484" t="inlineStr">
        <is>
          <t>4月</t>
        </is>
      </c>
      <c r="C484" t="inlineStr">
        <is>
          <t>企金</t>
        </is>
      </c>
      <c r="D484" t="inlineStr">
        <is>
          <t>保理</t>
        </is>
      </c>
      <c r="E484" t="inlineStr">
        <is>
          <t>京诚14-8</t>
        </is>
      </c>
      <c r="F484" t="inlineStr">
        <is>
          <t>上交所</t>
        </is>
      </c>
      <c r="G484" t="inlineStr">
        <is>
          <t>国泰海通</t>
        </is>
      </c>
      <c r="H484" t="inlineStr">
        <is>
          <t>华福证券</t>
        </is>
      </c>
      <c r="I484" t="inlineStr">
        <is>
          <t>渤海银行上海自贸区分行</t>
        </is>
      </c>
      <c r="J484" t="n">
        <v>10</v>
      </c>
      <c r="K484" t="inlineStr">
        <is>
          <t>3+3</t>
        </is>
      </c>
      <c r="L484" s="309" t="n">
        <v>46136</v>
      </c>
      <c r="M484" t="n">
        <v>0.0144</v>
      </c>
      <c r="N484" t="n">
        <v>0.0159</v>
      </c>
      <c r="O484" t="n">
        <v>3.91</v>
      </c>
      <c r="P484" t="inlineStr">
        <is>
          <t>优先级</t>
        </is>
      </c>
      <c r="Q484" t="n">
        <v>0.99</v>
      </c>
      <c r="R484" t="n">
        <v>9.9</v>
      </c>
      <c r="S484" t="inlineStr">
        <is>
          <t>AAA</t>
        </is>
      </c>
      <c r="T484" t="n">
        <v>0.0152</v>
      </c>
      <c r="U484" s="217" t="inlineStr">
        <is>
          <t>平安资产</t>
        </is>
      </c>
      <c r="V484" s="25" t="n">
        <v>3.96</v>
      </c>
    </row>
    <row r="485">
      <c r="A485" t="n">
        <v>43</v>
      </c>
      <c r="B485" t="inlineStr">
        <is>
          <t>4月</t>
        </is>
      </c>
      <c r="C485" t="inlineStr">
        <is>
          <t>企金</t>
        </is>
      </c>
      <c r="D485" t="inlineStr">
        <is>
          <t>保理</t>
        </is>
      </c>
      <c r="E485" t="inlineStr">
        <is>
          <t>京诚14-8</t>
        </is>
      </c>
      <c r="F485" t="inlineStr">
        <is>
          <t>上交所</t>
        </is>
      </c>
      <c r="G485" t="inlineStr">
        <is>
          <t>国泰海通</t>
        </is>
      </c>
      <c r="H485" t="inlineStr">
        <is>
          <t>华福证券</t>
        </is>
      </c>
      <c r="I485" t="inlineStr">
        <is>
          <t>渤海银行上海自贸区分行</t>
        </is>
      </c>
      <c r="J485" t="n">
        <v>10</v>
      </c>
      <c r="K485" t="inlineStr">
        <is>
          <t>3+3</t>
        </is>
      </c>
      <c r="L485" s="309" t="n">
        <v>46136</v>
      </c>
      <c r="M485" t="n">
        <v>0.0144</v>
      </c>
      <c r="N485" t="n">
        <v>0.0159</v>
      </c>
      <c r="O485" t="n">
        <v>3.91</v>
      </c>
      <c r="P485" s="220" t="inlineStr">
        <is>
          <t>次级</t>
        </is>
      </c>
      <c r="Q485" s="221" t="n">
        <v>0.01</v>
      </c>
      <c r="R485" s="308" t="n">
        <v>0.1</v>
      </c>
      <c r="S485" s="221" t="inlineStr">
        <is>
          <t>无</t>
        </is>
      </c>
      <c r="T485" s="221" t="n">
        <v>0.043</v>
      </c>
      <c r="U485" s="217" t="inlineStr">
        <is>
          <t>中证云</t>
        </is>
      </c>
      <c r="V485" s="25" t="n">
        <v>0.05</v>
      </c>
    </row>
    <row r="486">
      <c r="A486" t="n">
        <v>43</v>
      </c>
      <c r="B486" t="inlineStr">
        <is>
          <t>4月</t>
        </is>
      </c>
      <c r="C486" t="inlineStr">
        <is>
          <t>企金</t>
        </is>
      </c>
      <c r="D486" t="inlineStr">
        <is>
          <t>保理</t>
        </is>
      </c>
      <c r="E486" t="inlineStr">
        <is>
          <t>京诚14-8</t>
        </is>
      </c>
      <c r="F486" t="inlineStr">
        <is>
          <t>上交所</t>
        </is>
      </c>
      <c r="G486" t="inlineStr">
        <is>
          <t>国泰海通</t>
        </is>
      </c>
      <c r="H486" t="inlineStr">
        <is>
          <t>华福证券</t>
        </is>
      </c>
      <c r="I486" t="inlineStr">
        <is>
          <t>渤海银行上海自贸区分行</t>
        </is>
      </c>
      <c r="J486" t="n">
        <v>10</v>
      </c>
      <c r="K486" t="inlineStr">
        <is>
          <t>3+3</t>
        </is>
      </c>
      <c r="L486" s="309" t="n">
        <v>46136</v>
      </c>
      <c r="M486" t="n">
        <v>0.0144</v>
      </c>
      <c r="N486" t="n">
        <v>0.0159</v>
      </c>
      <c r="O486" t="n">
        <v>3.91</v>
      </c>
      <c r="P486" t="inlineStr">
        <is>
          <t>次级</t>
        </is>
      </c>
      <c r="Q486" t="n">
        <v>0.01</v>
      </c>
      <c r="R486" t="n">
        <v>0.1</v>
      </c>
      <c r="S486" t="inlineStr">
        <is>
          <t>无</t>
        </is>
      </c>
      <c r="T486" t="n">
        <v>0.043</v>
      </c>
      <c r="U486" s="217" t="inlineStr">
        <is>
          <t>思达星汇</t>
        </is>
      </c>
      <c r="V486" s="25" t="n">
        <v>0.05</v>
      </c>
    </row>
    <row r="487">
      <c r="A487" s="223" t="n">
        <v>44</v>
      </c>
      <c r="B487" s="305" t="inlineStr">
        <is>
          <t>4月</t>
        </is>
      </c>
      <c r="C487" s="305" t="inlineStr">
        <is>
          <t>消金</t>
        </is>
      </c>
      <c r="D487" s="305" t="inlineStr">
        <is>
          <t>赊销白条</t>
        </is>
      </c>
      <c r="E487" s="305" t="inlineStr">
        <is>
          <t>东裕9号伯裕</t>
        </is>
      </c>
      <c r="F487" s="305" t="inlineStr">
        <is>
          <t>银行间</t>
        </is>
      </c>
      <c r="G487" s="305" t="inlineStr">
        <is>
          <t>招商证券</t>
        </is>
      </c>
      <c r="H487" s="305" t="inlineStr">
        <is>
          <t>杭州银行/南京银行/江苏银行/厦门国际银行</t>
        </is>
      </c>
      <c r="I487" s="305" t="inlineStr">
        <is>
          <t>广发北分</t>
        </is>
      </c>
      <c r="J487" s="245" t="n">
        <v>10</v>
      </c>
      <c r="K487" s="305" t="inlineStr">
        <is>
          <t>12+12+10+2</t>
        </is>
      </c>
      <c r="L487" s="246" t="n">
        <v>46139</v>
      </c>
      <c r="M487" s="247" t="n">
        <v>0.01445</v>
      </c>
      <c r="N487" s="247" t="n">
        <v>0.0178</v>
      </c>
      <c r="O487" s="245" t="n">
        <v>2.47</v>
      </c>
      <c r="P487" s="235" t="inlineStr">
        <is>
          <t>优先A</t>
        </is>
      </c>
      <c r="Q487" s="236" t="n">
        <v>0.9</v>
      </c>
      <c r="R487" s="307" t="n">
        <v>9</v>
      </c>
      <c r="S487" s="235" t="inlineStr">
        <is>
          <t>AAA</t>
        </is>
      </c>
      <c r="T487" s="236" t="n">
        <v>0.0156</v>
      </c>
      <c r="U487" s="235" t="inlineStr">
        <is>
          <t>杭银理财</t>
        </is>
      </c>
      <c r="V487" s="308" t="n">
        <v>0.41</v>
      </c>
    </row>
    <row r="488">
      <c r="A488" t="n">
        <v>44</v>
      </c>
      <c r="B488" t="inlineStr">
        <is>
          <t>4月</t>
        </is>
      </c>
      <c r="C488" t="inlineStr">
        <is>
          <t>消金</t>
        </is>
      </c>
      <c r="D488" t="inlineStr">
        <is>
          <t>赊销白条</t>
        </is>
      </c>
      <c r="E488" t="inlineStr">
        <is>
          <t>东裕9号伯裕</t>
        </is>
      </c>
      <c r="F488" t="inlineStr">
        <is>
          <t>银行间</t>
        </is>
      </c>
      <c r="G488" t="inlineStr">
        <is>
          <t>招商证券</t>
        </is>
      </c>
      <c r="H488" t="inlineStr">
        <is>
          <t>杭州银行/南京银行/江苏银行/厦门国际银行</t>
        </is>
      </c>
      <c r="I488" t="inlineStr">
        <is>
          <t>广发北分</t>
        </is>
      </c>
      <c r="J488" t="n">
        <v>10</v>
      </c>
      <c r="K488" t="inlineStr">
        <is>
          <t>12+12+10+2</t>
        </is>
      </c>
      <c r="L488" s="309" t="n">
        <v>46139</v>
      </c>
      <c r="M488" t="n">
        <v>0.01445</v>
      </c>
      <c r="N488" t="n">
        <v>0.0178</v>
      </c>
      <c r="O488" t="n">
        <v>2.47</v>
      </c>
      <c r="P488" t="inlineStr">
        <is>
          <t>优先A</t>
        </is>
      </c>
      <c r="Q488" t="n">
        <v>0.9</v>
      </c>
      <c r="R488" t="n">
        <v>9</v>
      </c>
      <c r="S488" t="inlineStr">
        <is>
          <t>AAA</t>
        </is>
      </c>
      <c r="T488" t="n">
        <v>0.0156</v>
      </c>
      <c r="U488" s="235" t="inlineStr">
        <is>
          <t>杭州联合银行</t>
        </is>
      </c>
      <c r="V488" s="308" t="n">
        <v>0.5</v>
      </c>
    </row>
    <row r="489">
      <c r="A489" t="n">
        <v>44</v>
      </c>
      <c r="B489" t="inlineStr">
        <is>
          <t>4月</t>
        </is>
      </c>
      <c r="C489" t="inlineStr">
        <is>
          <t>消金</t>
        </is>
      </c>
      <c r="D489" t="inlineStr">
        <is>
          <t>赊销白条</t>
        </is>
      </c>
      <c r="E489" t="inlineStr">
        <is>
          <t>东裕9号伯裕</t>
        </is>
      </c>
      <c r="F489" t="inlineStr">
        <is>
          <t>银行间</t>
        </is>
      </c>
      <c r="G489" t="inlineStr">
        <is>
          <t>招商证券</t>
        </is>
      </c>
      <c r="H489" t="inlineStr">
        <is>
          <t>杭州银行/南京银行/江苏银行/厦门国际银行</t>
        </is>
      </c>
      <c r="I489" t="inlineStr">
        <is>
          <t>广发北分</t>
        </is>
      </c>
      <c r="J489" t="n">
        <v>10</v>
      </c>
      <c r="K489" t="inlineStr">
        <is>
          <t>12+12+10+2</t>
        </is>
      </c>
      <c r="L489" s="309" t="n">
        <v>46139</v>
      </c>
      <c r="M489" t="n">
        <v>0.01445</v>
      </c>
      <c r="N489" t="n">
        <v>0.0178</v>
      </c>
      <c r="O489" t="n">
        <v>2.47</v>
      </c>
      <c r="P489" t="inlineStr">
        <is>
          <t>优先A</t>
        </is>
      </c>
      <c r="Q489" t="n">
        <v>0.9</v>
      </c>
      <c r="R489" t="n">
        <v>9</v>
      </c>
      <c r="S489" t="inlineStr">
        <is>
          <t>AAA</t>
        </is>
      </c>
      <c r="T489" t="n">
        <v>0.0156</v>
      </c>
      <c r="U489" s="235" t="inlineStr">
        <is>
          <t>杭州银行</t>
        </is>
      </c>
      <c r="V489" s="308" t="n">
        <v>1.2</v>
      </c>
    </row>
    <row r="490">
      <c r="A490" t="n">
        <v>44</v>
      </c>
      <c r="B490" t="inlineStr">
        <is>
          <t>4月</t>
        </is>
      </c>
      <c r="C490" t="inlineStr">
        <is>
          <t>消金</t>
        </is>
      </c>
      <c r="D490" t="inlineStr">
        <is>
          <t>赊销白条</t>
        </is>
      </c>
      <c r="E490" t="inlineStr">
        <is>
          <t>东裕9号伯裕</t>
        </is>
      </c>
      <c r="F490" t="inlineStr">
        <is>
          <t>银行间</t>
        </is>
      </c>
      <c r="G490" t="inlineStr">
        <is>
          <t>招商证券</t>
        </is>
      </c>
      <c r="H490" t="inlineStr">
        <is>
          <t>杭州银行/南京银行/江苏银行/厦门国际银行</t>
        </is>
      </c>
      <c r="I490" t="inlineStr">
        <is>
          <t>广发北分</t>
        </is>
      </c>
      <c r="J490" t="n">
        <v>10</v>
      </c>
      <c r="K490" t="inlineStr">
        <is>
          <t>12+12+10+2</t>
        </is>
      </c>
      <c r="L490" s="309" t="n">
        <v>46139</v>
      </c>
      <c r="M490" t="n">
        <v>0.01445</v>
      </c>
      <c r="N490" t="n">
        <v>0.0178</v>
      </c>
      <c r="O490" t="n">
        <v>2.47</v>
      </c>
      <c r="P490" t="inlineStr">
        <is>
          <t>优先A</t>
        </is>
      </c>
      <c r="Q490" t="n">
        <v>0.9</v>
      </c>
      <c r="R490" t="n">
        <v>9</v>
      </c>
      <c r="S490" t="inlineStr">
        <is>
          <t>AAA</t>
        </is>
      </c>
      <c r="T490" t="n">
        <v>0.0156</v>
      </c>
      <c r="U490" s="235" t="inlineStr">
        <is>
          <t>江苏银行</t>
        </is>
      </c>
      <c r="V490" s="308" t="n">
        <v>1.8</v>
      </c>
    </row>
    <row r="491">
      <c r="A491" t="n">
        <v>44</v>
      </c>
      <c r="B491" t="inlineStr">
        <is>
          <t>4月</t>
        </is>
      </c>
      <c r="C491" t="inlineStr">
        <is>
          <t>消金</t>
        </is>
      </c>
      <c r="D491" t="inlineStr">
        <is>
          <t>赊销白条</t>
        </is>
      </c>
      <c r="E491" t="inlineStr">
        <is>
          <t>东裕9号伯裕</t>
        </is>
      </c>
      <c r="F491" t="inlineStr">
        <is>
          <t>银行间</t>
        </is>
      </c>
      <c r="G491" t="inlineStr">
        <is>
          <t>招商证券</t>
        </is>
      </c>
      <c r="H491" t="inlineStr">
        <is>
          <t>杭州银行/南京银行/江苏银行/厦门国际银行</t>
        </is>
      </c>
      <c r="I491" t="inlineStr">
        <is>
          <t>广发北分</t>
        </is>
      </c>
      <c r="J491" t="n">
        <v>10</v>
      </c>
      <c r="K491" t="inlineStr">
        <is>
          <t>12+12+10+2</t>
        </is>
      </c>
      <c r="L491" s="309" t="n">
        <v>46139</v>
      </c>
      <c r="M491" t="n">
        <v>0.01445</v>
      </c>
      <c r="N491" t="n">
        <v>0.0178</v>
      </c>
      <c r="O491" t="n">
        <v>2.47</v>
      </c>
      <c r="P491" t="inlineStr">
        <is>
          <t>优先A</t>
        </is>
      </c>
      <c r="Q491" t="n">
        <v>0.9</v>
      </c>
      <c r="R491" t="n">
        <v>9</v>
      </c>
      <c r="S491" t="inlineStr">
        <is>
          <t>AAA</t>
        </is>
      </c>
      <c r="T491" t="n">
        <v>0.0156</v>
      </c>
      <c r="U491" s="235" t="inlineStr">
        <is>
          <t>南京银行</t>
        </is>
      </c>
      <c r="V491" s="308" t="n">
        <v>0.8</v>
      </c>
    </row>
    <row r="492">
      <c r="A492" t="n">
        <v>44</v>
      </c>
      <c r="B492" t="inlineStr">
        <is>
          <t>4月</t>
        </is>
      </c>
      <c r="C492" t="inlineStr">
        <is>
          <t>消金</t>
        </is>
      </c>
      <c r="D492" t="inlineStr">
        <is>
          <t>赊销白条</t>
        </is>
      </c>
      <c r="E492" t="inlineStr">
        <is>
          <t>东裕9号伯裕</t>
        </is>
      </c>
      <c r="F492" t="inlineStr">
        <is>
          <t>银行间</t>
        </is>
      </c>
      <c r="G492" t="inlineStr">
        <is>
          <t>招商证券</t>
        </is>
      </c>
      <c r="H492" t="inlineStr">
        <is>
          <t>杭州银行/南京银行/江苏银行/厦门国际银行</t>
        </is>
      </c>
      <c r="I492" t="inlineStr">
        <is>
          <t>广发北分</t>
        </is>
      </c>
      <c r="J492" t="n">
        <v>10</v>
      </c>
      <c r="K492" t="inlineStr">
        <is>
          <t>12+12+10+2</t>
        </is>
      </c>
      <c r="L492" s="309" t="n">
        <v>46139</v>
      </c>
      <c r="M492" t="n">
        <v>0.01445</v>
      </c>
      <c r="N492" t="n">
        <v>0.0178</v>
      </c>
      <c r="O492" t="n">
        <v>2.47</v>
      </c>
      <c r="P492" t="inlineStr">
        <is>
          <t>优先A</t>
        </is>
      </c>
      <c r="Q492" t="n">
        <v>0.9</v>
      </c>
      <c r="R492" t="n">
        <v>9</v>
      </c>
      <c r="S492" t="inlineStr">
        <is>
          <t>AAA</t>
        </is>
      </c>
      <c r="T492" t="n">
        <v>0.0156</v>
      </c>
      <c r="U492" s="235" t="inlineStr">
        <is>
          <t>平安理财</t>
        </is>
      </c>
      <c r="V492" s="308" t="n">
        <v>2.7</v>
      </c>
    </row>
    <row r="493">
      <c r="A493" t="n">
        <v>44</v>
      </c>
      <c r="B493" t="inlineStr">
        <is>
          <t>4月</t>
        </is>
      </c>
      <c r="C493" t="inlineStr">
        <is>
          <t>消金</t>
        </is>
      </c>
      <c r="D493" t="inlineStr">
        <is>
          <t>赊销白条</t>
        </is>
      </c>
      <c r="E493" t="inlineStr">
        <is>
          <t>东裕9号伯裕</t>
        </is>
      </c>
      <c r="F493" t="inlineStr">
        <is>
          <t>银行间</t>
        </is>
      </c>
      <c r="G493" t="inlineStr">
        <is>
          <t>招商证券</t>
        </is>
      </c>
      <c r="H493" t="inlineStr">
        <is>
          <t>杭州银行/南京银行/江苏银行/厦门国际银行</t>
        </is>
      </c>
      <c r="I493" t="inlineStr">
        <is>
          <t>广发北分</t>
        </is>
      </c>
      <c r="J493" t="n">
        <v>10</v>
      </c>
      <c r="K493" t="inlineStr">
        <is>
          <t>12+12+10+2</t>
        </is>
      </c>
      <c r="L493" s="309" t="n">
        <v>46139</v>
      </c>
      <c r="M493" t="n">
        <v>0.01445</v>
      </c>
      <c r="N493" t="n">
        <v>0.0178</v>
      </c>
      <c r="O493" t="n">
        <v>2.47</v>
      </c>
      <c r="P493" t="inlineStr">
        <is>
          <t>优先A</t>
        </is>
      </c>
      <c r="Q493" t="n">
        <v>0.9</v>
      </c>
      <c r="R493" t="n">
        <v>9</v>
      </c>
      <c r="S493" t="inlineStr">
        <is>
          <t>AAA</t>
        </is>
      </c>
      <c r="T493" t="n">
        <v>0.0156</v>
      </c>
      <c r="U493" s="235" t="inlineStr">
        <is>
          <t>招银理财</t>
        </is>
      </c>
      <c r="V493" s="308" t="n">
        <v>1.59</v>
      </c>
    </row>
    <row r="494">
      <c r="A494" t="n">
        <v>44</v>
      </c>
      <c r="B494" t="inlineStr">
        <is>
          <t>4月</t>
        </is>
      </c>
      <c r="C494" t="inlineStr">
        <is>
          <t>消金</t>
        </is>
      </c>
      <c r="D494" t="inlineStr">
        <is>
          <t>赊销白条</t>
        </is>
      </c>
      <c r="E494" t="inlineStr">
        <is>
          <t>东裕9号伯裕</t>
        </is>
      </c>
      <c r="F494" t="inlineStr">
        <is>
          <t>银行间</t>
        </is>
      </c>
      <c r="G494" t="inlineStr">
        <is>
          <t>招商证券</t>
        </is>
      </c>
      <c r="H494" t="inlineStr">
        <is>
          <t>杭州银行/南京银行/江苏银行/厦门国际银行</t>
        </is>
      </c>
      <c r="I494" t="inlineStr">
        <is>
          <t>广发北分</t>
        </is>
      </c>
      <c r="J494" t="n">
        <v>10</v>
      </c>
      <c r="K494" t="inlineStr">
        <is>
          <t>12+12+10+2</t>
        </is>
      </c>
      <c r="L494" s="309" t="n">
        <v>46139</v>
      </c>
      <c r="M494" t="n">
        <v>0.01445</v>
      </c>
      <c r="N494" t="n">
        <v>0.0178</v>
      </c>
      <c r="O494" t="n">
        <v>2.47</v>
      </c>
      <c r="P494" s="235" t="inlineStr">
        <is>
          <t>优先B</t>
        </is>
      </c>
      <c r="Q494" s="236" t="n">
        <v>0.03</v>
      </c>
      <c r="R494" s="307" t="n">
        <v>0.3</v>
      </c>
      <c r="S494" s="235" t="inlineStr">
        <is>
          <t>AA+</t>
        </is>
      </c>
      <c r="T494" s="236" t="n">
        <v>0.0175</v>
      </c>
      <c r="U494" s="235" t="inlineStr">
        <is>
          <t>杭州联合银行</t>
        </is>
      </c>
      <c r="V494" s="322" t="n">
        <v>0.03</v>
      </c>
    </row>
    <row r="495">
      <c r="A495" t="n">
        <v>44</v>
      </c>
      <c r="B495" t="inlineStr">
        <is>
          <t>4月</t>
        </is>
      </c>
      <c r="C495" t="inlineStr">
        <is>
          <t>消金</t>
        </is>
      </c>
      <c r="D495" t="inlineStr">
        <is>
          <t>赊销白条</t>
        </is>
      </c>
      <c r="E495" t="inlineStr">
        <is>
          <t>东裕9号伯裕</t>
        </is>
      </c>
      <c r="F495" t="inlineStr">
        <is>
          <t>银行间</t>
        </is>
      </c>
      <c r="G495" t="inlineStr">
        <is>
          <t>招商证券</t>
        </is>
      </c>
      <c r="H495" t="inlineStr">
        <is>
          <t>杭州银行/南京银行/江苏银行/厦门国际银行</t>
        </is>
      </c>
      <c r="I495" t="inlineStr">
        <is>
          <t>广发北分</t>
        </is>
      </c>
      <c r="J495" t="n">
        <v>10</v>
      </c>
      <c r="K495" t="inlineStr">
        <is>
          <t>12+12+10+2</t>
        </is>
      </c>
      <c r="L495" s="309" t="n">
        <v>46139</v>
      </c>
      <c r="M495" t="n">
        <v>0.01445</v>
      </c>
      <c r="N495" t="n">
        <v>0.0178</v>
      </c>
      <c r="O495" t="n">
        <v>2.47</v>
      </c>
      <c r="P495" t="inlineStr">
        <is>
          <t>优先B</t>
        </is>
      </c>
      <c r="Q495" t="n">
        <v>0.03</v>
      </c>
      <c r="R495" t="n">
        <v>0.3</v>
      </c>
      <c r="S495" t="inlineStr">
        <is>
          <t>AA+</t>
        </is>
      </c>
      <c r="T495" t="n">
        <v>0.0175</v>
      </c>
      <c r="U495" s="235" t="inlineStr">
        <is>
          <t>交银理财</t>
        </is>
      </c>
      <c r="V495" s="308" t="n">
        <v>0.09</v>
      </c>
    </row>
    <row r="496">
      <c r="A496" t="n">
        <v>44</v>
      </c>
      <c r="B496" t="inlineStr">
        <is>
          <t>4月</t>
        </is>
      </c>
      <c r="C496" t="inlineStr">
        <is>
          <t>消金</t>
        </is>
      </c>
      <c r="D496" t="inlineStr">
        <is>
          <t>赊销白条</t>
        </is>
      </c>
      <c r="E496" t="inlineStr">
        <is>
          <t>东裕9号伯裕</t>
        </is>
      </c>
      <c r="F496" t="inlineStr">
        <is>
          <t>银行间</t>
        </is>
      </c>
      <c r="G496" t="inlineStr">
        <is>
          <t>招商证券</t>
        </is>
      </c>
      <c r="H496" t="inlineStr">
        <is>
          <t>杭州银行/南京银行/江苏银行/厦门国际银行</t>
        </is>
      </c>
      <c r="I496" t="inlineStr">
        <is>
          <t>广发北分</t>
        </is>
      </c>
      <c r="J496" t="n">
        <v>10</v>
      </c>
      <c r="K496" t="inlineStr">
        <is>
          <t>12+12+10+2</t>
        </is>
      </c>
      <c r="L496" s="309" t="n">
        <v>46139</v>
      </c>
      <c r="M496" t="n">
        <v>0.01445</v>
      </c>
      <c r="N496" t="n">
        <v>0.0178</v>
      </c>
      <c r="O496" t="n">
        <v>2.47</v>
      </c>
      <c r="P496" t="inlineStr">
        <is>
          <t>优先B</t>
        </is>
      </c>
      <c r="Q496" t="n">
        <v>0.03</v>
      </c>
      <c r="R496" t="n">
        <v>0.3</v>
      </c>
      <c r="S496" t="inlineStr">
        <is>
          <t>AA+</t>
        </is>
      </c>
      <c r="T496" t="n">
        <v>0.0175</v>
      </c>
      <c r="U496" s="235" t="inlineStr">
        <is>
          <t>平安理财</t>
        </is>
      </c>
      <c r="V496" s="308" t="n">
        <v>0.09</v>
      </c>
    </row>
    <row r="497">
      <c r="A497" t="n">
        <v>44</v>
      </c>
      <c r="B497" t="inlineStr">
        <is>
          <t>4月</t>
        </is>
      </c>
      <c r="C497" t="inlineStr">
        <is>
          <t>消金</t>
        </is>
      </c>
      <c r="D497" t="inlineStr">
        <is>
          <t>赊销白条</t>
        </is>
      </c>
      <c r="E497" t="inlineStr">
        <is>
          <t>东裕9号伯裕</t>
        </is>
      </c>
      <c r="F497" t="inlineStr">
        <is>
          <t>银行间</t>
        </is>
      </c>
      <c r="G497" t="inlineStr">
        <is>
          <t>招商证券</t>
        </is>
      </c>
      <c r="H497" t="inlineStr">
        <is>
          <t>杭州银行/南京银行/江苏银行/厦门国际银行</t>
        </is>
      </c>
      <c r="I497" t="inlineStr">
        <is>
          <t>广发北分</t>
        </is>
      </c>
      <c r="J497" t="n">
        <v>10</v>
      </c>
      <c r="K497" t="inlineStr">
        <is>
          <t>12+12+10+2</t>
        </is>
      </c>
      <c r="L497" s="309" t="n">
        <v>46139</v>
      </c>
      <c r="M497" t="n">
        <v>0.01445</v>
      </c>
      <c r="N497" t="n">
        <v>0.0178</v>
      </c>
      <c r="O497" t="n">
        <v>2.47</v>
      </c>
      <c r="P497" t="inlineStr">
        <is>
          <t>优先B</t>
        </is>
      </c>
      <c r="Q497" t="n">
        <v>0.03</v>
      </c>
      <c r="R497" t="n">
        <v>0.3</v>
      </c>
      <c r="S497" t="inlineStr">
        <is>
          <t>AA+</t>
        </is>
      </c>
      <c r="T497" t="n">
        <v>0.0175</v>
      </c>
      <c r="U497" s="235" t="inlineStr">
        <is>
          <t>招银理财</t>
        </is>
      </c>
      <c r="V497" s="308" t="n">
        <v>0.09</v>
      </c>
    </row>
    <row r="498">
      <c r="A498" t="n">
        <v>44</v>
      </c>
      <c r="B498" t="inlineStr">
        <is>
          <t>4月</t>
        </is>
      </c>
      <c r="C498" t="inlineStr">
        <is>
          <t>消金</t>
        </is>
      </c>
      <c r="D498" t="inlineStr">
        <is>
          <t>赊销白条</t>
        </is>
      </c>
      <c r="E498" t="inlineStr">
        <is>
          <t>东裕9号伯裕</t>
        </is>
      </c>
      <c r="F498" t="inlineStr">
        <is>
          <t>银行间</t>
        </is>
      </c>
      <c r="G498" t="inlineStr">
        <is>
          <t>招商证券</t>
        </is>
      </c>
      <c r="H498" t="inlineStr">
        <is>
          <t>杭州银行/南京银行/江苏银行/厦门国际银行</t>
        </is>
      </c>
      <c r="I498" t="inlineStr">
        <is>
          <t>广发北分</t>
        </is>
      </c>
      <c r="J498" t="n">
        <v>10</v>
      </c>
      <c r="K498" t="inlineStr">
        <is>
          <t>12+12+10+2</t>
        </is>
      </c>
      <c r="L498" s="309" t="n">
        <v>46139</v>
      </c>
      <c r="M498" t="n">
        <v>0.01445</v>
      </c>
      <c r="N498" t="n">
        <v>0.0178</v>
      </c>
      <c r="O498" t="n">
        <v>2.47</v>
      </c>
      <c r="P498" s="235" t="inlineStr">
        <is>
          <t>中间级</t>
        </is>
      </c>
      <c r="Q498" s="236" t="n">
        <v>0.02</v>
      </c>
      <c r="R498" s="307" t="n">
        <v>0.2</v>
      </c>
      <c r="S498" s="235" t="inlineStr">
        <is>
          <t>A+</t>
        </is>
      </c>
      <c r="T498" s="236" t="n">
        <v>0.031</v>
      </c>
      <c r="U498" s="235" t="inlineStr">
        <is>
          <t>平安理财</t>
        </is>
      </c>
      <c r="V498" s="308" t="n">
        <v>0.06</v>
      </c>
    </row>
    <row r="499">
      <c r="A499" t="n">
        <v>44</v>
      </c>
      <c r="B499" t="inlineStr">
        <is>
          <t>4月</t>
        </is>
      </c>
      <c r="C499" t="inlineStr">
        <is>
          <t>消金</t>
        </is>
      </c>
      <c r="D499" t="inlineStr">
        <is>
          <t>赊销白条</t>
        </is>
      </c>
      <c r="E499" t="inlineStr">
        <is>
          <t>东裕9号伯裕</t>
        </is>
      </c>
      <c r="F499" t="inlineStr">
        <is>
          <t>银行间</t>
        </is>
      </c>
      <c r="G499" t="inlineStr">
        <is>
          <t>招商证券</t>
        </is>
      </c>
      <c r="H499" t="inlineStr">
        <is>
          <t>杭州银行/南京银行/江苏银行/厦门国际银行</t>
        </is>
      </c>
      <c r="I499" t="inlineStr">
        <is>
          <t>广发北分</t>
        </is>
      </c>
      <c r="J499" t="n">
        <v>10</v>
      </c>
      <c r="K499" t="inlineStr">
        <is>
          <t>12+12+10+2</t>
        </is>
      </c>
      <c r="L499" s="309" t="n">
        <v>46139</v>
      </c>
      <c r="M499" t="n">
        <v>0.01445</v>
      </c>
      <c r="N499" t="n">
        <v>0.0178</v>
      </c>
      <c r="O499" t="n">
        <v>2.47</v>
      </c>
      <c r="P499" t="inlineStr">
        <is>
          <t>中间级</t>
        </is>
      </c>
      <c r="Q499" t="n">
        <v>0.02</v>
      </c>
      <c r="R499" t="n">
        <v>0.2</v>
      </c>
      <c r="S499" t="inlineStr">
        <is>
          <t>A+</t>
        </is>
      </c>
      <c r="T499" t="n">
        <v>0.031</v>
      </c>
      <c r="U499" s="235" t="inlineStr">
        <is>
          <t>招银理财</t>
        </is>
      </c>
      <c r="V499" s="308" t="n">
        <v>0.06</v>
      </c>
    </row>
    <row r="500">
      <c r="A500" t="n">
        <v>44</v>
      </c>
      <c r="B500" t="inlineStr">
        <is>
          <t>4月</t>
        </is>
      </c>
      <c r="C500" t="inlineStr">
        <is>
          <t>消金</t>
        </is>
      </c>
      <c r="D500" t="inlineStr">
        <is>
          <t>赊销白条</t>
        </is>
      </c>
      <c r="E500" t="inlineStr">
        <is>
          <t>东裕9号伯裕</t>
        </is>
      </c>
      <c r="F500" t="inlineStr">
        <is>
          <t>银行间</t>
        </is>
      </c>
      <c r="G500" t="inlineStr">
        <is>
          <t>招商证券</t>
        </is>
      </c>
      <c r="H500" t="inlineStr">
        <is>
          <t>杭州银行/南京银行/江苏银行/厦门国际银行</t>
        </is>
      </c>
      <c r="I500" t="inlineStr">
        <is>
          <t>广发北分</t>
        </is>
      </c>
      <c r="J500" t="n">
        <v>10</v>
      </c>
      <c r="K500" t="inlineStr">
        <is>
          <t>12+12+10+2</t>
        </is>
      </c>
      <c r="L500" s="309" t="n">
        <v>46139</v>
      </c>
      <c r="M500" t="n">
        <v>0.01445</v>
      </c>
      <c r="N500" t="n">
        <v>0.0178</v>
      </c>
      <c r="O500" t="n">
        <v>2.47</v>
      </c>
      <c r="P500" t="inlineStr">
        <is>
          <t>中间级</t>
        </is>
      </c>
      <c r="Q500" t="n">
        <v>0.02</v>
      </c>
      <c r="R500" t="n">
        <v>0.2</v>
      </c>
      <c r="S500" t="inlineStr">
        <is>
          <t>A+</t>
        </is>
      </c>
      <c r="T500" t="n">
        <v>0.031</v>
      </c>
      <c r="U500" s="235" t="inlineStr">
        <is>
          <t>银河固收</t>
        </is>
      </c>
      <c r="V500" s="308" t="n">
        <v>0.08</v>
      </c>
    </row>
    <row r="501">
      <c r="A501" t="n">
        <v>44</v>
      </c>
      <c r="B501" t="inlineStr">
        <is>
          <t>4月</t>
        </is>
      </c>
      <c r="C501" t="inlineStr">
        <is>
          <t>消金</t>
        </is>
      </c>
      <c r="D501" t="inlineStr">
        <is>
          <t>赊销白条</t>
        </is>
      </c>
      <c r="E501" t="inlineStr">
        <is>
          <t>东裕9号伯裕</t>
        </is>
      </c>
      <c r="F501" t="inlineStr">
        <is>
          <t>银行间</t>
        </is>
      </c>
      <c r="G501" t="inlineStr">
        <is>
          <t>招商证券</t>
        </is>
      </c>
      <c r="H501" t="inlineStr">
        <is>
          <t>杭州银行/南京银行/江苏银行/厦门国际银行</t>
        </is>
      </c>
      <c r="I501" t="inlineStr">
        <is>
          <t>广发北分</t>
        </is>
      </c>
      <c r="J501" t="n">
        <v>10</v>
      </c>
      <c r="K501" t="inlineStr">
        <is>
          <t>12+12+10+2</t>
        </is>
      </c>
      <c r="L501" s="309" t="n">
        <v>46139</v>
      </c>
      <c r="M501" t="n">
        <v>0.01445</v>
      </c>
      <c r="N501" t="n">
        <v>0.0178</v>
      </c>
      <c r="O501" t="n">
        <v>2.47</v>
      </c>
      <c r="P501" s="235" t="inlineStr">
        <is>
          <t>次级</t>
        </is>
      </c>
      <c r="Q501" s="236" t="n">
        <v>0.05</v>
      </c>
      <c r="R501" s="307" t="n">
        <v>0.5</v>
      </c>
      <c r="S501" s="235" t="inlineStr">
        <is>
          <t>无</t>
        </is>
      </c>
      <c r="T501" s="236" t="n">
        <v>0.045</v>
      </c>
      <c r="U501" s="235" t="inlineStr">
        <is>
          <t>东家铂睿</t>
        </is>
      </c>
      <c r="V501" s="308" t="n">
        <v>0.1</v>
      </c>
    </row>
    <row r="502">
      <c r="A502" t="n">
        <v>44</v>
      </c>
      <c r="B502" t="inlineStr">
        <is>
          <t>4月</t>
        </is>
      </c>
      <c r="C502" t="inlineStr">
        <is>
          <t>消金</t>
        </is>
      </c>
      <c r="D502" t="inlineStr">
        <is>
          <t>赊销白条</t>
        </is>
      </c>
      <c r="E502" t="inlineStr">
        <is>
          <t>东裕9号伯裕</t>
        </is>
      </c>
      <c r="F502" t="inlineStr">
        <is>
          <t>银行间</t>
        </is>
      </c>
      <c r="G502" t="inlineStr">
        <is>
          <t>招商证券</t>
        </is>
      </c>
      <c r="H502" t="inlineStr">
        <is>
          <t>杭州银行/南京银行/江苏银行/厦门国际银行</t>
        </is>
      </c>
      <c r="I502" t="inlineStr">
        <is>
          <t>广发北分</t>
        </is>
      </c>
      <c r="J502" t="n">
        <v>10</v>
      </c>
      <c r="K502" t="inlineStr">
        <is>
          <t>12+12+10+2</t>
        </is>
      </c>
      <c r="L502" s="309" t="n">
        <v>46139</v>
      </c>
      <c r="M502" t="n">
        <v>0.01445</v>
      </c>
      <c r="N502" t="n">
        <v>0.0178</v>
      </c>
      <c r="O502" t="n">
        <v>2.47</v>
      </c>
      <c r="P502" t="inlineStr">
        <is>
          <t>次级</t>
        </is>
      </c>
      <c r="Q502" t="n">
        <v>0.05</v>
      </c>
      <c r="R502" t="n">
        <v>0.5</v>
      </c>
      <c r="S502" t="inlineStr">
        <is>
          <t>无</t>
        </is>
      </c>
      <c r="T502" t="n">
        <v>0.045</v>
      </c>
      <c r="U502" s="235" t="inlineStr">
        <is>
          <t>中信证券自营</t>
        </is>
      </c>
      <c r="V502" s="308" t="n">
        <v>0.12</v>
      </c>
    </row>
    <row r="503">
      <c r="A503" t="n">
        <v>44</v>
      </c>
      <c r="B503" t="inlineStr">
        <is>
          <t>4月</t>
        </is>
      </c>
      <c r="C503" t="inlineStr">
        <is>
          <t>消金</t>
        </is>
      </c>
      <c r="D503" t="inlineStr">
        <is>
          <t>赊销白条</t>
        </is>
      </c>
      <c r="E503" t="inlineStr">
        <is>
          <t>东裕9号伯裕</t>
        </is>
      </c>
      <c r="F503" t="inlineStr">
        <is>
          <t>银行间</t>
        </is>
      </c>
      <c r="G503" t="inlineStr">
        <is>
          <t>招商证券</t>
        </is>
      </c>
      <c r="H503" t="inlineStr">
        <is>
          <t>杭州银行/南京银行/江苏银行/厦门国际银行</t>
        </is>
      </c>
      <c r="I503" t="inlineStr">
        <is>
          <t>广发北分</t>
        </is>
      </c>
      <c r="J503" t="n">
        <v>10</v>
      </c>
      <c r="K503" t="inlineStr">
        <is>
          <t>12+12+10+2</t>
        </is>
      </c>
      <c r="L503" s="309" t="n">
        <v>46139</v>
      </c>
      <c r="M503" t="n">
        <v>0.01445</v>
      </c>
      <c r="N503" t="n">
        <v>0.0178</v>
      </c>
      <c r="O503" t="n">
        <v>2.47</v>
      </c>
      <c r="P503" t="inlineStr">
        <is>
          <t>次级</t>
        </is>
      </c>
      <c r="Q503" t="n">
        <v>0.05</v>
      </c>
      <c r="R503" t="n">
        <v>0.5</v>
      </c>
      <c r="S503" t="inlineStr">
        <is>
          <t>无</t>
        </is>
      </c>
      <c r="T503" t="n">
        <v>0.045</v>
      </c>
      <c r="U503" s="235" t="inlineStr">
        <is>
          <t>广发证券自营</t>
        </is>
      </c>
      <c r="V503" s="310" t="n">
        <v>0.08</v>
      </c>
    </row>
    <row r="504">
      <c r="A504" t="n">
        <v>44</v>
      </c>
      <c r="B504" t="inlineStr">
        <is>
          <t>4月</t>
        </is>
      </c>
      <c r="C504" t="inlineStr">
        <is>
          <t>消金</t>
        </is>
      </c>
      <c r="D504" t="inlineStr">
        <is>
          <t>赊销白条</t>
        </is>
      </c>
      <c r="E504" t="inlineStr">
        <is>
          <t>东裕9号伯裕</t>
        </is>
      </c>
      <c r="F504" t="inlineStr">
        <is>
          <t>银行间</t>
        </is>
      </c>
      <c r="G504" t="inlineStr">
        <is>
          <t>招商证券</t>
        </is>
      </c>
      <c r="H504" t="inlineStr">
        <is>
          <t>杭州银行/南京银行/江苏银行/厦门国际银行</t>
        </is>
      </c>
      <c r="I504" t="inlineStr">
        <is>
          <t>广发北分</t>
        </is>
      </c>
      <c r="J504" t="n">
        <v>10</v>
      </c>
      <c r="K504" t="inlineStr">
        <is>
          <t>12+12+10+2</t>
        </is>
      </c>
      <c r="L504" s="309" t="n">
        <v>46139</v>
      </c>
      <c r="M504" t="n">
        <v>0.01445</v>
      </c>
      <c r="N504" t="n">
        <v>0.0178</v>
      </c>
      <c r="O504" t="n">
        <v>2.47</v>
      </c>
      <c r="P504" t="inlineStr">
        <is>
          <t>次级</t>
        </is>
      </c>
      <c r="Q504" t="n">
        <v>0.05</v>
      </c>
      <c r="R504" t="n">
        <v>0.5</v>
      </c>
      <c r="S504" t="inlineStr">
        <is>
          <t>无</t>
        </is>
      </c>
      <c r="T504" t="n">
        <v>0.045</v>
      </c>
      <c r="U504" s="235" t="inlineStr">
        <is>
          <t>远东宏信</t>
        </is>
      </c>
      <c r="V504" s="308" t="n">
        <v>0.2</v>
      </c>
    </row>
    <row r="505">
      <c r="A505" s="223" t="n">
        <v>45</v>
      </c>
      <c r="B505" s="305" t="inlineStr">
        <is>
          <t>4月</t>
        </is>
      </c>
      <c r="C505" s="305" t="inlineStr">
        <is>
          <t>消金</t>
        </is>
      </c>
      <c r="D505" s="305" t="inlineStr">
        <is>
          <t>赊销白条</t>
        </is>
      </c>
      <c r="E505" s="305" t="inlineStr">
        <is>
          <t>禾昱9-2</t>
        </is>
      </c>
      <c r="F505" s="305" t="inlineStr">
        <is>
          <t>上交所</t>
        </is>
      </c>
      <c r="G505" s="305" t="inlineStr">
        <is>
          <t>华泰资管</t>
        </is>
      </c>
      <c r="H505" s="305" t="inlineStr">
        <is>
          <t>东方证券</t>
        </is>
      </c>
      <c r="I505" s="305" t="inlineStr">
        <is>
          <t>建行北分</t>
        </is>
      </c>
      <c r="J505" s="245" t="n">
        <v>10</v>
      </c>
      <c r="K505" s="305" t="inlineStr">
        <is>
          <t>12+5+15+3</t>
        </is>
      </c>
      <c r="L505" s="246" t="n">
        <v>46139</v>
      </c>
      <c r="M505" s="247" t="n">
        <v>0.01445</v>
      </c>
      <c r="N505" s="247" t="n">
        <v>0.0184</v>
      </c>
      <c r="O505" s="245" t="n">
        <v>1.5</v>
      </c>
      <c r="P505" s="235" t="inlineStr">
        <is>
          <t>优先A</t>
        </is>
      </c>
      <c r="Q505" s="236" t="n">
        <v>0.9</v>
      </c>
      <c r="R505" s="307" t="n">
        <v>9</v>
      </c>
      <c r="S505" s="235" t="inlineStr">
        <is>
          <t>AAA</t>
        </is>
      </c>
      <c r="T505" s="236" t="n">
        <v>0.016</v>
      </c>
      <c r="U505" s="235" t="inlineStr">
        <is>
          <t>宿迁钧腾</t>
        </is>
      </c>
      <c r="V505" s="308" t="n">
        <v>0.45</v>
      </c>
    </row>
    <row r="506">
      <c r="A506" t="n">
        <v>45</v>
      </c>
      <c r="B506" t="inlineStr">
        <is>
          <t>4月</t>
        </is>
      </c>
      <c r="C506" t="inlineStr">
        <is>
          <t>消金</t>
        </is>
      </c>
      <c r="D506" t="inlineStr">
        <is>
          <t>赊销白条</t>
        </is>
      </c>
      <c r="E506" t="inlineStr">
        <is>
          <t>禾昱9-2</t>
        </is>
      </c>
      <c r="F506" t="inlineStr">
        <is>
          <t>上交所</t>
        </is>
      </c>
      <c r="G506" t="inlineStr">
        <is>
          <t>华泰资管</t>
        </is>
      </c>
      <c r="H506" t="inlineStr">
        <is>
          <t>东方证券</t>
        </is>
      </c>
      <c r="I506" t="inlineStr">
        <is>
          <t>建行北分</t>
        </is>
      </c>
      <c r="J506" t="n">
        <v>10</v>
      </c>
      <c r="K506" t="inlineStr">
        <is>
          <t>12+5+15+3</t>
        </is>
      </c>
      <c r="L506" s="309" t="n">
        <v>46139</v>
      </c>
      <c r="M506" t="n">
        <v>0.01445</v>
      </c>
      <c r="N506" t="n">
        <v>0.0184</v>
      </c>
      <c r="O506" t="n">
        <v>1.5</v>
      </c>
      <c r="P506" t="inlineStr">
        <is>
          <t>优先A</t>
        </is>
      </c>
      <c r="Q506" t="n">
        <v>0.9</v>
      </c>
      <c r="R506" t="n">
        <v>9</v>
      </c>
      <c r="S506" t="inlineStr">
        <is>
          <t>AAA</t>
        </is>
      </c>
      <c r="T506" t="n">
        <v>0.016</v>
      </c>
      <c r="U506" s="235" t="inlineStr">
        <is>
          <t>杭州联合银行</t>
        </is>
      </c>
      <c r="V506" s="308" t="n">
        <v>0.5</v>
      </c>
    </row>
    <row r="507">
      <c r="A507" t="n">
        <v>45</v>
      </c>
      <c r="B507" t="inlineStr">
        <is>
          <t>4月</t>
        </is>
      </c>
      <c r="C507" t="inlineStr">
        <is>
          <t>消金</t>
        </is>
      </c>
      <c r="D507" t="inlineStr">
        <is>
          <t>赊销白条</t>
        </is>
      </c>
      <c r="E507" t="inlineStr">
        <is>
          <t>禾昱9-2</t>
        </is>
      </c>
      <c r="F507" t="inlineStr">
        <is>
          <t>上交所</t>
        </is>
      </c>
      <c r="G507" t="inlineStr">
        <is>
          <t>华泰资管</t>
        </is>
      </c>
      <c r="H507" t="inlineStr">
        <is>
          <t>东方证券</t>
        </is>
      </c>
      <c r="I507" t="inlineStr">
        <is>
          <t>建行北分</t>
        </is>
      </c>
      <c r="J507" t="n">
        <v>10</v>
      </c>
      <c r="K507" t="inlineStr">
        <is>
          <t>12+5+15+3</t>
        </is>
      </c>
      <c r="L507" s="309" t="n">
        <v>46139</v>
      </c>
      <c r="M507" t="n">
        <v>0.01445</v>
      </c>
      <c r="N507" t="n">
        <v>0.0184</v>
      </c>
      <c r="O507" t="n">
        <v>1.5</v>
      </c>
      <c r="P507" t="inlineStr">
        <is>
          <t>优先A</t>
        </is>
      </c>
      <c r="Q507" t="n">
        <v>0.9</v>
      </c>
      <c r="R507" t="n">
        <v>9</v>
      </c>
      <c r="S507" t="inlineStr">
        <is>
          <t>AAA</t>
        </is>
      </c>
      <c r="T507" t="n">
        <v>0.016</v>
      </c>
      <c r="U507" s="235" t="inlineStr">
        <is>
          <t>交银理财</t>
        </is>
      </c>
      <c r="V507" s="308" t="n">
        <v>1.27</v>
      </c>
    </row>
    <row r="508">
      <c r="A508" t="n">
        <v>45</v>
      </c>
      <c r="B508" t="inlineStr">
        <is>
          <t>4月</t>
        </is>
      </c>
      <c r="C508" t="inlineStr">
        <is>
          <t>消金</t>
        </is>
      </c>
      <c r="D508" t="inlineStr">
        <is>
          <t>赊销白条</t>
        </is>
      </c>
      <c r="E508" t="inlineStr">
        <is>
          <t>禾昱9-2</t>
        </is>
      </c>
      <c r="F508" t="inlineStr">
        <is>
          <t>上交所</t>
        </is>
      </c>
      <c r="G508" t="inlineStr">
        <is>
          <t>华泰资管</t>
        </is>
      </c>
      <c r="H508" t="inlineStr">
        <is>
          <t>东方证券</t>
        </is>
      </c>
      <c r="I508" t="inlineStr">
        <is>
          <t>建行北分</t>
        </is>
      </c>
      <c r="J508" t="n">
        <v>10</v>
      </c>
      <c r="K508" t="inlineStr">
        <is>
          <t>12+5+15+3</t>
        </is>
      </c>
      <c r="L508" s="309" t="n">
        <v>46139</v>
      </c>
      <c r="M508" t="n">
        <v>0.01445</v>
      </c>
      <c r="N508" t="n">
        <v>0.0184</v>
      </c>
      <c r="O508" t="n">
        <v>1.5</v>
      </c>
      <c r="P508" t="inlineStr">
        <is>
          <t>优先A</t>
        </is>
      </c>
      <c r="Q508" t="n">
        <v>0.9</v>
      </c>
      <c r="R508" t="n">
        <v>9</v>
      </c>
      <c r="S508" t="inlineStr">
        <is>
          <t>AAA</t>
        </is>
      </c>
      <c r="T508" t="n">
        <v>0.016</v>
      </c>
      <c r="U508" s="235" t="inlineStr">
        <is>
          <t>平安理财</t>
        </is>
      </c>
      <c r="V508" s="308" t="n">
        <v>1.13</v>
      </c>
    </row>
    <row r="509">
      <c r="A509" t="n">
        <v>45</v>
      </c>
      <c r="B509" t="inlineStr">
        <is>
          <t>4月</t>
        </is>
      </c>
      <c r="C509" t="inlineStr">
        <is>
          <t>消金</t>
        </is>
      </c>
      <c r="D509" t="inlineStr">
        <is>
          <t>赊销白条</t>
        </is>
      </c>
      <c r="E509" t="inlineStr">
        <is>
          <t>禾昱9-2</t>
        </is>
      </c>
      <c r="F509" t="inlineStr">
        <is>
          <t>上交所</t>
        </is>
      </c>
      <c r="G509" t="inlineStr">
        <is>
          <t>华泰资管</t>
        </is>
      </c>
      <c r="H509" t="inlineStr">
        <is>
          <t>东方证券</t>
        </is>
      </c>
      <c r="I509" t="inlineStr">
        <is>
          <t>建行北分</t>
        </is>
      </c>
      <c r="J509" t="n">
        <v>10</v>
      </c>
      <c r="K509" t="inlineStr">
        <is>
          <t>12+5+15+3</t>
        </is>
      </c>
      <c r="L509" s="309" t="n">
        <v>46139</v>
      </c>
      <c r="M509" t="n">
        <v>0.01445</v>
      </c>
      <c r="N509" t="n">
        <v>0.0184</v>
      </c>
      <c r="O509" t="n">
        <v>1.5</v>
      </c>
      <c r="P509" t="inlineStr">
        <is>
          <t>优先A</t>
        </is>
      </c>
      <c r="Q509" t="n">
        <v>0.9</v>
      </c>
      <c r="R509" t="n">
        <v>9</v>
      </c>
      <c r="S509" t="inlineStr">
        <is>
          <t>AAA</t>
        </is>
      </c>
      <c r="T509" t="n">
        <v>0.016</v>
      </c>
      <c r="U509" s="235" t="inlineStr">
        <is>
          <t>平安养老</t>
        </is>
      </c>
      <c r="V509" s="308" t="n">
        <v>1.08</v>
      </c>
    </row>
    <row r="510">
      <c r="A510" t="n">
        <v>45</v>
      </c>
      <c r="B510" t="inlineStr">
        <is>
          <t>4月</t>
        </is>
      </c>
      <c r="C510" t="inlineStr">
        <is>
          <t>消金</t>
        </is>
      </c>
      <c r="D510" t="inlineStr">
        <is>
          <t>赊销白条</t>
        </is>
      </c>
      <c r="E510" t="inlineStr">
        <is>
          <t>禾昱9-2</t>
        </is>
      </c>
      <c r="F510" t="inlineStr">
        <is>
          <t>上交所</t>
        </is>
      </c>
      <c r="G510" t="inlineStr">
        <is>
          <t>华泰资管</t>
        </is>
      </c>
      <c r="H510" t="inlineStr">
        <is>
          <t>东方证券</t>
        </is>
      </c>
      <c r="I510" t="inlineStr">
        <is>
          <t>建行北分</t>
        </is>
      </c>
      <c r="J510" t="n">
        <v>10</v>
      </c>
      <c r="K510" t="inlineStr">
        <is>
          <t>12+5+15+3</t>
        </is>
      </c>
      <c r="L510" s="309" t="n">
        <v>46139</v>
      </c>
      <c r="M510" t="n">
        <v>0.01445</v>
      </c>
      <c r="N510" t="n">
        <v>0.0184</v>
      </c>
      <c r="O510" t="n">
        <v>1.5</v>
      </c>
      <c r="P510" t="inlineStr">
        <is>
          <t>优先A</t>
        </is>
      </c>
      <c r="Q510" t="n">
        <v>0.9</v>
      </c>
      <c r="R510" t="n">
        <v>9</v>
      </c>
      <c r="S510" t="inlineStr">
        <is>
          <t>AAA</t>
        </is>
      </c>
      <c r="T510" t="n">
        <v>0.016</v>
      </c>
      <c r="U510" s="235" t="inlineStr">
        <is>
          <t>招银理财</t>
        </is>
      </c>
      <c r="V510" s="308" t="n">
        <v>2.7</v>
      </c>
    </row>
    <row r="511">
      <c r="A511" t="n">
        <v>45</v>
      </c>
      <c r="B511" t="inlineStr">
        <is>
          <t>4月</t>
        </is>
      </c>
      <c r="C511" t="inlineStr">
        <is>
          <t>消金</t>
        </is>
      </c>
      <c r="D511" t="inlineStr">
        <is>
          <t>赊销白条</t>
        </is>
      </c>
      <c r="E511" t="inlineStr">
        <is>
          <t>禾昱9-2</t>
        </is>
      </c>
      <c r="F511" t="inlineStr">
        <is>
          <t>上交所</t>
        </is>
      </c>
      <c r="G511" t="inlineStr">
        <is>
          <t>华泰资管</t>
        </is>
      </c>
      <c r="H511" t="inlineStr">
        <is>
          <t>东方证券</t>
        </is>
      </c>
      <c r="I511" t="inlineStr">
        <is>
          <t>建行北分</t>
        </is>
      </c>
      <c r="J511" t="n">
        <v>10</v>
      </c>
      <c r="K511" t="inlineStr">
        <is>
          <t>12+5+15+3</t>
        </is>
      </c>
      <c r="L511" s="309" t="n">
        <v>46139</v>
      </c>
      <c r="M511" t="n">
        <v>0.01445</v>
      </c>
      <c r="N511" t="n">
        <v>0.0184</v>
      </c>
      <c r="O511" t="n">
        <v>1.5</v>
      </c>
      <c r="P511" t="inlineStr">
        <is>
          <t>优先A</t>
        </is>
      </c>
      <c r="Q511" t="n">
        <v>0.9</v>
      </c>
      <c r="R511" t="n">
        <v>9</v>
      </c>
      <c r="S511" t="inlineStr">
        <is>
          <t>AAA</t>
        </is>
      </c>
      <c r="T511" t="n">
        <v>0.016</v>
      </c>
      <c r="U511" s="235" t="inlineStr">
        <is>
          <t>中邮理财</t>
        </is>
      </c>
      <c r="V511" s="308" t="n">
        <v>1.87</v>
      </c>
    </row>
    <row r="512">
      <c r="A512" t="n">
        <v>45</v>
      </c>
      <c r="B512" t="inlineStr">
        <is>
          <t>4月</t>
        </is>
      </c>
      <c r="C512" t="inlineStr">
        <is>
          <t>消金</t>
        </is>
      </c>
      <c r="D512" t="inlineStr">
        <is>
          <t>赊销白条</t>
        </is>
      </c>
      <c r="E512" t="inlineStr">
        <is>
          <t>禾昱9-2</t>
        </is>
      </c>
      <c r="F512" t="inlineStr">
        <is>
          <t>上交所</t>
        </is>
      </c>
      <c r="G512" t="inlineStr">
        <is>
          <t>华泰资管</t>
        </is>
      </c>
      <c r="H512" t="inlineStr">
        <is>
          <t>东方证券</t>
        </is>
      </c>
      <c r="I512" t="inlineStr">
        <is>
          <t>建行北分</t>
        </is>
      </c>
      <c r="J512" t="n">
        <v>10</v>
      </c>
      <c r="K512" t="inlineStr">
        <is>
          <t>12+5+15+3</t>
        </is>
      </c>
      <c r="L512" s="309" t="n">
        <v>46139</v>
      </c>
      <c r="M512" t="n">
        <v>0.01445</v>
      </c>
      <c r="N512" t="n">
        <v>0.0184</v>
      </c>
      <c r="O512" t="n">
        <v>1.5</v>
      </c>
      <c r="P512" s="235" t="inlineStr">
        <is>
          <t>优先B</t>
        </is>
      </c>
      <c r="Q512" s="236" t="n">
        <v>0.03</v>
      </c>
      <c r="R512" s="307" t="n">
        <v>0.3</v>
      </c>
      <c r="S512" s="235" t="inlineStr">
        <is>
          <t>AA+</t>
        </is>
      </c>
      <c r="T512" s="236" t="n">
        <v>0.0175</v>
      </c>
      <c r="U512" s="235" t="inlineStr">
        <is>
          <t>宿迁钧腾</t>
        </is>
      </c>
      <c r="V512" s="308" t="n">
        <v>0.015</v>
      </c>
    </row>
    <row r="513">
      <c r="A513" t="n">
        <v>45</v>
      </c>
      <c r="B513" t="inlineStr">
        <is>
          <t>4月</t>
        </is>
      </c>
      <c r="C513" t="inlineStr">
        <is>
          <t>消金</t>
        </is>
      </c>
      <c r="D513" t="inlineStr">
        <is>
          <t>赊销白条</t>
        </is>
      </c>
      <c r="E513" t="inlineStr">
        <is>
          <t>禾昱9-2</t>
        </is>
      </c>
      <c r="F513" t="inlineStr">
        <is>
          <t>上交所</t>
        </is>
      </c>
      <c r="G513" t="inlineStr">
        <is>
          <t>华泰资管</t>
        </is>
      </c>
      <c r="H513" t="inlineStr">
        <is>
          <t>东方证券</t>
        </is>
      </c>
      <c r="I513" t="inlineStr">
        <is>
          <t>建行北分</t>
        </is>
      </c>
      <c r="J513" t="n">
        <v>10</v>
      </c>
      <c r="K513" t="inlineStr">
        <is>
          <t>12+5+15+3</t>
        </is>
      </c>
      <c r="L513" s="309" t="n">
        <v>46139</v>
      </c>
      <c r="M513" t="n">
        <v>0.01445</v>
      </c>
      <c r="N513" t="n">
        <v>0.0184</v>
      </c>
      <c r="O513" t="n">
        <v>1.5</v>
      </c>
      <c r="P513" t="inlineStr">
        <is>
          <t>优先B</t>
        </is>
      </c>
      <c r="Q513" t="n">
        <v>0.03</v>
      </c>
      <c r="R513" t="n">
        <v>0.3</v>
      </c>
      <c r="S513" t="inlineStr">
        <is>
          <t>AA+</t>
        </is>
      </c>
      <c r="T513" t="n">
        <v>0.0175</v>
      </c>
      <c r="U513" s="235" t="inlineStr">
        <is>
          <t>交银理财</t>
        </is>
      </c>
      <c r="V513" s="308" t="n">
        <v>0.09</v>
      </c>
    </row>
    <row r="514">
      <c r="A514" t="n">
        <v>45</v>
      </c>
      <c r="B514" t="inlineStr">
        <is>
          <t>4月</t>
        </is>
      </c>
      <c r="C514" t="inlineStr">
        <is>
          <t>消金</t>
        </is>
      </c>
      <c r="D514" t="inlineStr">
        <is>
          <t>赊销白条</t>
        </is>
      </c>
      <c r="E514" t="inlineStr">
        <is>
          <t>禾昱9-2</t>
        </is>
      </c>
      <c r="F514" t="inlineStr">
        <is>
          <t>上交所</t>
        </is>
      </c>
      <c r="G514" t="inlineStr">
        <is>
          <t>华泰资管</t>
        </is>
      </c>
      <c r="H514" t="inlineStr">
        <is>
          <t>东方证券</t>
        </is>
      </c>
      <c r="I514" t="inlineStr">
        <is>
          <t>建行北分</t>
        </is>
      </c>
      <c r="J514" t="n">
        <v>10</v>
      </c>
      <c r="K514" t="inlineStr">
        <is>
          <t>12+5+15+3</t>
        </is>
      </c>
      <c r="L514" s="309" t="n">
        <v>46139</v>
      </c>
      <c r="M514" t="n">
        <v>0.01445</v>
      </c>
      <c r="N514" t="n">
        <v>0.0184</v>
      </c>
      <c r="O514" t="n">
        <v>1.5</v>
      </c>
      <c r="P514" t="inlineStr">
        <is>
          <t>优先B</t>
        </is>
      </c>
      <c r="Q514" t="n">
        <v>0.03</v>
      </c>
      <c r="R514" t="n">
        <v>0.3</v>
      </c>
      <c r="S514" t="inlineStr">
        <is>
          <t>AA+</t>
        </is>
      </c>
      <c r="T514" t="n">
        <v>0.0175</v>
      </c>
      <c r="U514" s="235" t="inlineStr">
        <is>
          <t>招银理财</t>
        </is>
      </c>
      <c r="V514" s="310" t="n">
        <v>0.09</v>
      </c>
    </row>
    <row r="515">
      <c r="A515" t="n">
        <v>45</v>
      </c>
      <c r="B515" t="inlineStr">
        <is>
          <t>4月</t>
        </is>
      </c>
      <c r="C515" t="inlineStr">
        <is>
          <t>消金</t>
        </is>
      </c>
      <c r="D515" t="inlineStr">
        <is>
          <t>赊销白条</t>
        </is>
      </c>
      <c r="E515" t="inlineStr">
        <is>
          <t>禾昱9-2</t>
        </is>
      </c>
      <c r="F515" t="inlineStr">
        <is>
          <t>上交所</t>
        </is>
      </c>
      <c r="G515" t="inlineStr">
        <is>
          <t>华泰资管</t>
        </is>
      </c>
      <c r="H515" t="inlineStr">
        <is>
          <t>东方证券</t>
        </is>
      </c>
      <c r="I515" t="inlineStr">
        <is>
          <t>建行北分</t>
        </is>
      </c>
      <c r="J515" t="n">
        <v>10</v>
      </c>
      <c r="K515" t="inlineStr">
        <is>
          <t>12+5+15+3</t>
        </is>
      </c>
      <c r="L515" s="309" t="n">
        <v>46139</v>
      </c>
      <c r="M515" t="n">
        <v>0.01445</v>
      </c>
      <c r="N515" t="n">
        <v>0.0184</v>
      </c>
      <c r="O515" t="n">
        <v>1.5</v>
      </c>
      <c r="P515" t="inlineStr">
        <is>
          <t>优先B</t>
        </is>
      </c>
      <c r="Q515" t="n">
        <v>0.03</v>
      </c>
      <c r="R515" t="n">
        <v>0.3</v>
      </c>
      <c r="S515" t="inlineStr">
        <is>
          <t>AA+</t>
        </is>
      </c>
      <c r="T515" t="n">
        <v>0.0175</v>
      </c>
      <c r="U515" s="235" t="inlineStr">
        <is>
          <t>平安理财</t>
        </is>
      </c>
      <c r="V515" s="310" t="n">
        <v>0.07000000000000001</v>
      </c>
    </row>
    <row r="516">
      <c r="A516" t="n">
        <v>45</v>
      </c>
      <c r="B516" t="inlineStr">
        <is>
          <t>4月</t>
        </is>
      </c>
      <c r="C516" t="inlineStr">
        <is>
          <t>消金</t>
        </is>
      </c>
      <c r="D516" t="inlineStr">
        <is>
          <t>赊销白条</t>
        </is>
      </c>
      <c r="E516" t="inlineStr">
        <is>
          <t>禾昱9-2</t>
        </is>
      </c>
      <c r="F516" t="inlineStr">
        <is>
          <t>上交所</t>
        </is>
      </c>
      <c r="G516" t="inlineStr">
        <is>
          <t>华泰资管</t>
        </is>
      </c>
      <c r="H516" t="inlineStr">
        <is>
          <t>东方证券</t>
        </is>
      </c>
      <c r="I516" t="inlineStr">
        <is>
          <t>建行北分</t>
        </is>
      </c>
      <c r="J516" t="n">
        <v>10</v>
      </c>
      <c r="K516" t="inlineStr">
        <is>
          <t>12+5+15+3</t>
        </is>
      </c>
      <c r="L516" s="309" t="n">
        <v>46139</v>
      </c>
      <c r="M516" t="n">
        <v>0.01445</v>
      </c>
      <c r="N516" t="n">
        <v>0.0184</v>
      </c>
      <c r="O516" t="n">
        <v>1.5</v>
      </c>
      <c r="P516" t="inlineStr">
        <is>
          <t>优先B</t>
        </is>
      </c>
      <c r="Q516" t="n">
        <v>0.03</v>
      </c>
      <c r="R516" t="n">
        <v>0.3</v>
      </c>
      <c r="S516" t="inlineStr">
        <is>
          <t>AA+</t>
        </is>
      </c>
      <c r="T516" t="n">
        <v>0.0175</v>
      </c>
      <c r="U516" s="235" t="inlineStr">
        <is>
          <t>杭州联合银行</t>
        </is>
      </c>
      <c r="V516" s="308" t="n">
        <v>0.035</v>
      </c>
    </row>
    <row r="517">
      <c r="A517" t="n">
        <v>45</v>
      </c>
      <c r="B517" t="inlineStr">
        <is>
          <t>4月</t>
        </is>
      </c>
      <c r="C517" t="inlineStr">
        <is>
          <t>消金</t>
        </is>
      </c>
      <c r="D517" t="inlineStr">
        <is>
          <t>赊销白条</t>
        </is>
      </c>
      <c r="E517" t="inlineStr">
        <is>
          <t>禾昱9-2</t>
        </is>
      </c>
      <c r="F517" t="inlineStr">
        <is>
          <t>上交所</t>
        </is>
      </c>
      <c r="G517" t="inlineStr">
        <is>
          <t>华泰资管</t>
        </is>
      </c>
      <c r="H517" t="inlineStr">
        <is>
          <t>东方证券</t>
        </is>
      </c>
      <c r="I517" t="inlineStr">
        <is>
          <t>建行北分</t>
        </is>
      </c>
      <c r="J517" t="n">
        <v>10</v>
      </c>
      <c r="K517" t="inlineStr">
        <is>
          <t>12+5+15+3</t>
        </is>
      </c>
      <c r="L517" s="309" t="n">
        <v>46139</v>
      </c>
      <c r="M517" t="n">
        <v>0.01445</v>
      </c>
      <c r="N517" t="n">
        <v>0.0184</v>
      </c>
      <c r="O517" t="n">
        <v>1.5</v>
      </c>
      <c r="P517" s="235" t="inlineStr">
        <is>
          <t>中间级</t>
        </is>
      </c>
      <c r="Q517" s="236" t="n">
        <v>0.02</v>
      </c>
      <c r="R517" s="307" t="n">
        <v>0.2</v>
      </c>
      <c r="S517" s="235" t="inlineStr">
        <is>
          <t>A+</t>
        </is>
      </c>
      <c r="T517" s="236" t="n">
        <v>0.031</v>
      </c>
      <c r="U517" s="235" t="inlineStr">
        <is>
          <t>宿迁钧腾</t>
        </is>
      </c>
      <c r="V517" s="308" t="n">
        <v>0.01</v>
      </c>
    </row>
    <row r="518">
      <c r="A518" t="n">
        <v>45</v>
      </c>
      <c r="B518" t="inlineStr">
        <is>
          <t>4月</t>
        </is>
      </c>
      <c r="C518" t="inlineStr">
        <is>
          <t>消金</t>
        </is>
      </c>
      <c r="D518" t="inlineStr">
        <is>
          <t>赊销白条</t>
        </is>
      </c>
      <c r="E518" t="inlineStr">
        <is>
          <t>禾昱9-2</t>
        </is>
      </c>
      <c r="F518" t="inlineStr">
        <is>
          <t>上交所</t>
        </is>
      </c>
      <c r="G518" t="inlineStr">
        <is>
          <t>华泰资管</t>
        </is>
      </c>
      <c r="H518" t="inlineStr">
        <is>
          <t>东方证券</t>
        </is>
      </c>
      <c r="I518" t="inlineStr">
        <is>
          <t>建行北分</t>
        </is>
      </c>
      <c r="J518" t="n">
        <v>10</v>
      </c>
      <c r="K518" t="inlineStr">
        <is>
          <t>12+5+15+3</t>
        </is>
      </c>
      <c r="L518" s="309" t="n">
        <v>46139</v>
      </c>
      <c r="M518" t="n">
        <v>0.01445</v>
      </c>
      <c r="N518" t="n">
        <v>0.0184</v>
      </c>
      <c r="O518" t="n">
        <v>1.5</v>
      </c>
      <c r="P518" t="inlineStr">
        <is>
          <t>中间级</t>
        </is>
      </c>
      <c r="Q518" t="n">
        <v>0.02</v>
      </c>
      <c r="R518" t="n">
        <v>0.2</v>
      </c>
      <c r="S518" t="inlineStr">
        <is>
          <t>A+</t>
        </is>
      </c>
      <c r="T518" t="n">
        <v>0.031</v>
      </c>
      <c r="U518" s="235" t="inlineStr">
        <is>
          <t>中信证券</t>
        </is>
      </c>
      <c r="V518" s="308" t="n">
        <v>0.04</v>
      </c>
    </row>
    <row r="519">
      <c r="A519" t="n">
        <v>45</v>
      </c>
      <c r="B519" t="inlineStr">
        <is>
          <t>4月</t>
        </is>
      </c>
      <c r="C519" t="inlineStr">
        <is>
          <t>消金</t>
        </is>
      </c>
      <c r="D519" t="inlineStr">
        <is>
          <t>赊销白条</t>
        </is>
      </c>
      <c r="E519" t="inlineStr">
        <is>
          <t>禾昱9-2</t>
        </is>
      </c>
      <c r="F519" t="inlineStr">
        <is>
          <t>上交所</t>
        </is>
      </c>
      <c r="G519" t="inlineStr">
        <is>
          <t>华泰资管</t>
        </is>
      </c>
      <c r="H519" t="inlineStr">
        <is>
          <t>东方证券</t>
        </is>
      </c>
      <c r="I519" t="inlineStr">
        <is>
          <t>建行北分</t>
        </is>
      </c>
      <c r="J519" t="n">
        <v>10</v>
      </c>
      <c r="K519" t="inlineStr">
        <is>
          <t>12+5+15+3</t>
        </is>
      </c>
      <c r="L519" s="309" t="n">
        <v>46139</v>
      </c>
      <c r="M519" t="n">
        <v>0.01445</v>
      </c>
      <c r="N519" t="n">
        <v>0.0184</v>
      </c>
      <c r="O519" t="n">
        <v>1.5</v>
      </c>
      <c r="P519" t="inlineStr">
        <is>
          <t>中间级</t>
        </is>
      </c>
      <c r="Q519" t="n">
        <v>0.02</v>
      </c>
      <c r="R519" t="n">
        <v>0.2</v>
      </c>
      <c r="S519" t="inlineStr">
        <is>
          <t>A+</t>
        </is>
      </c>
      <c r="T519" t="n">
        <v>0.031</v>
      </c>
      <c r="U519" s="235" t="inlineStr">
        <is>
          <t>平安理财</t>
        </is>
      </c>
      <c r="V519" s="308" t="n">
        <v>0.05</v>
      </c>
    </row>
    <row r="520">
      <c r="A520" t="n">
        <v>45</v>
      </c>
      <c r="B520" t="inlineStr">
        <is>
          <t>4月</t>
        </is>
      </c>
      <c r="C520" t="inlineStr">
        <is>
          <t>消金</t>
        </is>
      </c>
      <c r="D520" t="inlineStr">
        <is>
          <t>赊销白条</t>
        </is>
      </c>
      <c r="E520" t="inlineStr">
        <is>
          <t>禾昱9-2</t>
        </is>
      </c>
      <c r="F520" t="inlineStr">
        <is>
          <t>上交所</t>
        </is>
      </c>
      <c r="G520" t="inlineStr">
        <is>
          <t>华泰资管</t>
        </is>
      </c>
      <c r="H520" t="inlineStr">
        <is>
          <t>东方证券</t>
        </is>
      </c>
      <c r="I520" t="inlineStr">
        <is>
          <t>建行北分</t>
        </is>
      </c>
      <c r="J520" t="n">
        <v>10</v>
      </c>
      <c r="K520" t="inlineStr">
        <is>
          <t>12+5+15+3</t>
        </is>
      </c>
      <c r="L520" s="309" t="n">
        <v>46139</v>
      </c>
      <c r="M520" t="n">
        <v>0.01445</v>
      </c>
      <c r="N520" t="n">
        <v>0.0184</v>
      </c>
      <c r="O520" t="n">
        <v>1.5</v>
      </c>
      <c r="P520" t="inlineStr">
        <is>
          <t>中间级</t>
        </is>
      </c>
      <c r="Q520" t="n">
        <v>0.02</v>
      </c>
      <c r="R520" t="n">
        <v>0.2</v>
      </c>
      <c r="S520" t="inlineStr">
        <is>
          <t>A+</t>
        </is>
      </c>
      <c r="T520" t="n">
        <v>0.031</v>
      </c>
      <c r="U520" s="252" t="inlineStr">
        <is>
          <t>招银理财</t>
        </is>
      </c>
      <c r="V520" s="308" t="n">
        <v>0.05</v>
      </c>
    </row>
    <row r="521">
      <c r="A521" t="n">
        <v>45</v>
      </c>
      <c r="B521" t="inlineStr">
        <is>
          <t>4月</t>
        </is>
      </c>
      <c r="C521" t="inlineStr">
        <is>
          <t>消金</t>
        </is>
      </c>
      <c r="D521" t="inlineStr">
        <is>
          <t>赊销白条</t>
        </is>
      </c>
      <c r="E521" t="inlineStr">
        <is>
          <t>禾昱9-2</t>
        </is>
      </c>
      <c r="F521" t="inlineStr">
        <is>
          <t>上交所</t>
        </is>
      </c>
      <c r="G521" t="inlineStr">
        <is>
          <t>华泰资管</t>
        </is>
      </c>
      <c r="H521" t="inlineStr">
        <is>
          <t>东方证券</t>
        </is>
      </c>
      <c r="I521" t="inlineStr">
        <is>
          <t>建行北分</t>
        </is>
      </c>
      <c r="J521" t="n">
        <v>10</v>
      </c>
      <c r="K521" t="inlineStr">
        <is>
          <t>12+5+15+3</t>
        </is>
      </c>
      <c r="L521" s="309" t="n">
        <v>46139</v>
      </c>
      <c r="M521" t="n">
        <v>0.01445</v>
      </c>
      <c r="N521" t="n">
        <v>0.0184</v>
      </c>
      <c r="O521" t="n">
        <v>1.5</v>
      </c>
      <c r="P521" t="inlineStr">
        <is>
          <t>中间级</t>
        </is>
      </c>
      <c r="Q521" t="n">
        <v>0.02</v>
      </c>
      <c r="R521" t="n">
        <v>0.2</v>
      </c>
      <c r="S521" t="inlineStr">
        <is>
          <t>A+</t>
        </is>
      </c>
      <c r="T521" t="n">
        <v>0.031</v>
      </c>
      <c r="U521" s="235" t="inlineStr">
        <is>
          <t>杭州联合银行</t>
        </is>
      </c>
      <c r="V521" s="308" t="n">
        <v>0.05</v>
      </c>
    </row>
    <row r="522">
      <c r="A522" t="n">
        <v>45</v>
      </c>
      <c r="B522" t="inlineStr">
        <is>
          <t>4月</t>
        </is>
      </c>
      <c r="C522" t="inlineStr">
        <is>
          <t>消金</t>
        </is>
      </c>
      <c r="D522" t="inlineStr">
        <is>
          <t>赊销白条</t>
        </is>
      </c>
      <c r="E522" t="inlineStr">
        <is>
          <t>禾昱9-2</t>
        </is>
      </c>
      <c r="F522" t="inlineStr">
        <is>
          <t>上交所</t>
        </is>
      </c>
      <c r="G522" t="inlineStr">
        <is>
          <t>华泰资管</t>
        </is>
      </c>
      <c r="H522" t="inlineStr">
        <is>
          <t>东方证券</t>
        </is>
      </c>
      <c r="I522" t="inlineStr">
        <is>
          <t>建行北分</t>
        </is>
      </c>
      <c r="J522" t="n">
        <v>10</v>
      </c>
      <c r="K522" t="inlineStr">
        <is>
          <t>12+5+15+3</t>
        </is>
      </c>
      <c r="L522" s="309" t="n">
        <v>46139</v>
      </c>
      <c r="M522" t="n">
        <v>0.01445</v>
      </c>
      <c r="N522" t="n">
        <v>0.0184</v>
      </c>
      <c r="O522" t="n">
        <v>1.5</v>
      </c>
      <c r="P522" s="235" t="inlineStr">
        <is>
          <t>次级</t>
        </is>
      </c>
      <c r="Q522" s="236" t="n">
        <v>0.05</v>
      </c>
      <c r="R522" s="307" t="n">
        <v>0.5</v>
      </c>
      <c r="S522" s="235" t="inlineStr">
        <is>
          <t>无</t>
        </is>
      </c>
      <c r="T522" s="236" t="n">
        <v>0.045</v>
      </c>
      <c r="U522" s="235" t="inlineStr">
        <is>
          <t>信达自营</t>
        </is>
      </c>
      <c r="V522" s="310" t="n">
        <v>0.075</v>
      </c>
    </row>
    <row r="523">
      <c r="A523" t="n">
        <v>45</v>
      </c>
      <c r="B523" t="inlineStr">
        <is>
          <t>4月</t>
        </is>
      </c>
      <c r="C523" t="inlineStr">
        <is>
          <t>消金</t>
        </is>
      </c>
      <c r="D523" t="inlineStr">
        <is>
          <t>赊销白条</t>
        </is>
      </c>
      <c r="E523" t="inlineStr">
        <is>
          <t>禾昱9-2</t>
        </is>
      </c>
      <c r="F523" t="inlineStr">
        <is>
          <t>上交所</t>
        </is>
      </c>
      <c r="G523" t="inlineStr">
        <is>
          <t>华泰资管</t>
        </is>
      </c>
      <c r="H523" t="inlineStr">
        <is>
          <t>东方证券</t>
        </is>
      </c>
      <c r="I523" t="inlineStr">
        <is>
          <t>建行北分</t>
        </is>
      </c>
      <c r="J523" t="n">
        <v>10</v>
      </c>
      <c r="K523" t="inlineStr">
        <is>
          <t>12+5+15+3</t>
        </is>
      </c>
      <c r="L523" s="309" t="n">
        <v>46139</v>
      </c>
      <c r="M523" t="n">
        <v>0.01445</v>
      </c>
      <c r="N523" t="n">
        <v>0.0184</v>
      </c>
      <c r="O523" t="n">
        <v>1.5</v>
      </c>
      <c r="P523" t="inlineStr">
        <is>
          <t>次级</t>
        </is>
      </c>
      <c r="Q523" t="n">
        <v>0.05</v>
      </c>
      <c r="R523" t="n">
        <v>0.5</v>
      </c>
      <c r="S523" t="inlineStr">
        <is>
          <t>无</t>
        </is>
      </c>
      <c r="T523" t="n">
        <v>0.045</v>
      </c>
      <c r="U523" s="235" t="inlineStr">
        <is>
          <t>利曦基金</t>
        </is>
      </c>
      <c r="V523" s="308" t="n">
        <v>0.1</v>
      </c>
    </row>
    <row r="524">
      <c r="A524" t="n">
        <v>45</v>
      </c>
      <c r="B524" t="inlineStr">
        <is>
          <t>4月</t>
        </is>
      </c>
      <c r="C524" t="inlineStr">
        <is>
          <t>消金</t>
        </is>
      </c>
      <c r="D524" t="inlineStr">
        <is>
          <t>赊销白条</t>
        </is>
      </c>
      <c r="E524" t="inlineStr">
        <is>
          <t>禾昱9-2</t>
        </is>
      </c>
      <c r="F524" t="inlineStr">
        <is>
          <t>上交所</t>
        </is>
      </c>
      <c r="G524" t="inlineStr">
        <is>
          <t>华泰资管</t>
        </is>
      </c>
      <c r="H524" t="inlineStr">
        <is>
          <t>东方证券</t>
        </is>
      </c>
      <c r="I524" t="inlineStr">
        <is>
          <t>建行北分</t>
        </is>
      </c>
      <c r="J524" t="n">
        <v>10</v>
      </c>
      <c r="K524" t="inlineStr">
        <is>
          <t>12+5+15+3</t>
        </is>
      </c>
      <c r="L524" s="309" t="n">
        <v>46139</v>
      </c>
      <c r="M524" t="n">
        <v>0.01445</v>
      </c>
      <c r="N524" t="n">
        <v>0.0184</v>
      </c>
      <c r="O524" t="n">
        <v>1.5</v>
      </c>
      <c r="P524" t="inlineStr">
        <is>
          <t>次级</t>
        </is>
      </c>
      <c r="Q524" t="n">
        <v>0.05</v>
      </c>
      <c r="R524" t="n">
        <v>0.5</v>
      </c>
      <c r="S524" t="inlineStr">
        <is>
          <t>无</t>
        </is>
      </c>
      <c r="T524" t="n">
        <v>0.045</v>
      </c>
      <c r="U524" s="235" t="inlineStr">
        <is>
          <t>中信证券</t>
        </is>
      </c>
      <c r="V524" s="308" t="n">
        <v>0.12</v>
      </c>
    </row>
    <row r="525">
      <c r="A525" t="n">
        <v>45</v>
      </c>
      <c r="B525" t="inlineStr">
        <is>
          <t>4月</t>
        </is>
      </c>
      <c r="C525" t="inlineStr">
        <is>
          <t>消金</t>
        </is>
      </c>
      <c r="D525" t="inlineStr">
        <is>
          <t>赊销白条</t>
        </is>
      </c>
      <c r="E525" t="inlineStr">
        <is>
          <t>禾昱9-2</t>
        </is>
      </c>
      <c r="F525" t="inlineStr">
        <is>
          <t>上交所</t>
        </is>
      </c>
      <c r="G525" t="inlineStr">
        <is>
          <t>华泰资管</t>
        </is>
      </c>
      <c r="H525" t="inlineStr">
        <is>
          <t>东方证券</t>
        </is>
      </c>
      <c r="I525" t="inlineStr">
        <is>
          <t>建行北分</t>
        </is>
      </c>
      <c r="J525" t="n">
        <v>10</v>
      </c>
      <c r="K525" t="inlineStr">
        <is>
          <t>12+5+15+3</t>
        </is>
      </c>
      <c r="L525" s="309" t="n">
        <v>46139</v>
      </c>
      <c r="M525" t="n">
        <v>0.01445</v>
      </c>
      <c r="N525" t="n">
        <v>0.0184</v>
      </c>
      <c r="O525" t="n">
        <v>1.5</v>
      </c>
      <c r="P525" t="inlineStr">
        <is>
          <t>次级</t>
        </is>
      </c>
      <c r="Q525" t="n">
        <v>0.05</v>
      </c>
      <c r="R525" t="n">
        <v>0.5</v>
      </c>
      <c r="S525" t="inlineStr">
        <is>
          <t>无</t>
        </is>
      </c>
      <c r="T525" t="n">
        <v>0.045</v>
      </c>
      <c r="U525" s="235" t="inlineStr">
        <is>
          <t>广发证券</t>
        </is>
      </c>
      <c r="V525" s="308" t="n">
        <v>0.08</v>
      </c>
    </row>
    <row r="526">
      <c r="A526" t="n">
        <v>45</v>
      </c>
      <c r="B526" t="inlineStr">
        <is>
          <t>4月</t>
        </is>
      </c>
      <c r="C526" t="inlineStr">
        <is>
          <t>消金</t>
        </is>
      </c>
      <c r="D526" t="inlineStr">
        <is>
          <t>赊销白条</t>
        </is>
      </c>
      <c r="E526" t="inlineStr">
        <is>
          <t>禾昱9-2</t>
        </is>
      </c>
      <c r="F526" t="inlineStr">
        <is>
          <t>上交所</t>
        </is>
      </c>
      <c r="G526" t="inlineStr">
        <is>
          <t>华泰资管</t>
        </is>
      </c>
      <c r="H526" t="inlineStr">
        <is>
          <t>东方证券</t>
        </is>
      </c>
      <c r="I526" t="inlineStr">
        <is>
          <t>建行北分</t>
        </is>
      </c>
      <c r="J526" t="n">
        <v>10</v>
      </c>
      <c r="K526" t="inlineStr">
        <is>
          <t>12+5+15+3</t>
        </is>
      </c>
      <c r="L526" s="309" t="n">
        <v>46139</v>
      </c>
      <c r="M526" t="n">
        <v>0.01445</v>
      </c>
      <c r="N526" t="n">
        <v>0.0184</v>
      </c>
      <c r="O526" t="n">
        <v>1.5</v>
      </c>
      <c r="P526" t="inlineStr">
        <is>
          <t>次级</t>
        </is>
      </c>
      <c r="Q526" t="n">
        <v>0.05</v>
      </c>
      <c r="R526" t="n">
        <v>0.5</v>
      </c>
      <c r="S526" t="inlineStr">
        <is>
          <t>无</t>
        </is>
      </c>
      <c r="T526" t="n">
        <v>0.045</v>
      </c>
      <c r="U526" s="235" t="inlineStr">
        <is>
          <t>东家铂睿</t>
        </is>
      </c>
      <c r="V526" s="308" t="n">
        <v>0.1</v>
      </c>
    </row>
    <row r="527">
      <c r="A527" t="n">
        <v>45</v>
      </c>
      <c r="B527" t="inlineStr">
        <is>
          <t>4月</t>
        </is>
      </c>
      <c r="C527" t="inlineStr">
        <is>
          <t>消金</t>
        </is>
      </c>
      <c r="D527" t="inlineStr">
        <is>
          <t>赊销白条</t>
        </is>
      </c>
      <c r="E527" t="inlineStr">
        <is>
          <t>禾昱9-2</t>
        </is>
      </c>
      <c r="F527" t="inlineStr">
        <is>
          <t>上交所</t>
        </is>
      </c>
      <c r="G527" t="inlineStr">
        <is>
          <t>华泰资管</t>
        </is>
      </c>
      <c r="H527" t="inlineStr">
        <is>
          <t>东方证券</t>
        </is>
      </c>
      <c r="I527" t="inlineStr">
        <is>
          <t>建行北分</t>
        </is>
      </c>
      <c r="J527" t="n">
        <v>10</v>
      </c>
      <c r="K527" t="inlineStr">
        <is>
          <t>12+5+15+3</t>
        </is>
      </c>
      <c r="L527" s="309" t="n">
        <v>46139</v>
      </c>
      <c r="M527" t="n">
        <v>0.01445</v>
      </c>
      <c r="N527" t="n">
        <v>0.0184</v>
      </c>
      <c r="O527" t="n">
        <v>1.5</v>
      </c>
      <c r="P527" t="inlineStr">
        <is>
          <t>次级</t>
        </is>
      </c>
      <c r="Q527" t="n">
        <v>0.05</v>
      </c>
      <c r="R527" t="n">
        <v>0.5</v>
      </c>
      <c r="S527" t="inlineStr">
        <is>
          <t>无</t>
        </is>
      </c>
      <c r="T527" t="n">
        <v>0.045</v>
      </c>
      <c r="U527" s="235" t="inlineStr">
        <is>
          <t>宿迁钧腾</t>
        </is>
      </c>
      <c r="V527" s="310" t="n">
        <v>0.025</v>
      </c>
    </row>
    <row r="528">
      <c r="A528" s="223" t="n">
        <v>46</v>
      </c>
      <c r="B528" s="220" t="inlineStr">
        <is>
          <t>4月</t>
        </is>
      </c>
      <c r="C528" s="220" t="inlineStr">
        <is>
          <t>企金</t>
        </is>
      </c>
      <c r="D528" s="220" t="inlineStr">
        <is>
          <t>小贷企业主贷</t>
        </is>
      </c>
      <c r="E528" s="220" t="inlineStr">
        <is>
          <t>盛赢3-6</t>
        </is>
      </c>
      <c r="F528" s="220" t="inlineStr">
        <is>
          <t>上交所</t>
        </is>
      </c>
      <c r="G528" s="220" t="inlineStr">
        <is>
          <t>中信证券</t>
        </is>
      </c>
      <c r="H528" s="220" t="inlineStr">
        <is>
          <t>华福证券</t>
        </is>
      </c>
      <c r="I528" s="220" t="inlineStr">
        <is>
          <t>兴业北分</t>
        </is>
      </c>
      <c r="J528" s="220" t="n">
        <v>10</v>
      </c>
      <c r="K528" s="220" t="inlineStr">
        <is>
          <t>9+12</t>
        </is>
      </c>
      <c r="L528" s="224" t="n">
        <v>46139</v>
      </c>
      <c r="M528" s="225" t="n">
        <v>0.01445</v>
      </c>
      <c r="N528" s="311" t="n">
        <v>0.0199</v>
      </c>
      <c r="O528" s="226" t="n">
        <v>1.458</v>
      </c>
      <c r="P528" s="220" t="inlineStr">
        <is>
          <t>优先A</t>
        </is>
      </c>
      <c r="Q528" s="231" t="n">
        <v>0.83</v>
      </c>
      <c r="R528" s="308" t="n">
        <v>8.300000000000001</v>
      </c>
      <c r="S528" s="220" t="inlineStr">
        <is>
          <t>AAA</t>
        </is>
      </c>
      <c r="T528" s="221" t="n">
        <v>0.017</v>
      </c>
      <c r="U528" s="265" t="inlineStr">
        <is>
          <t>中金自营</t>
        </is>
      </c>
      <c r="V528" s="25" t="n">
        <v>0.3</v>
      </c>
    </row>
    <row r="529">
      <c r="A529" t="n">
        <v>46</v>
      </c>
      <c r="B529" t="inlineStr">
        <is>
          <t>4月</t>
        </is>
      </c>
      <c r="C529" t="inlineStr">
        <is>
          <t>企金</t>
        </is>
      </c>
      <c r="D529" t="inlineStr">
        <is>
          <t>小贷企业主贷</t>
        </is>
      </c>
      <c r="E529" t="inlineStr">
        <is>
          <t>盛赢3-6</t>
        </is>
      </c>
      <c r="F529" t="inlineStr">
        <is>
          <t>上交所</t>
        </is>
      </c>
      <c r="G529" t="inlineStr">
        <is>
          <t>中信证券</t>
        </is>
      </c>
      <c r="H529" t="inlineStr">
        <is>
          <t>华福证券</t>
        </is>
      </c>
      <c r="I529" t="inlineStr">
        <is>
          <t>兴业北分</t>
        </is>
      </c>
      <c r="J529" t="n">
        <v>10</v>
      </c>
      <c r="K529" t="inlineStr">
        <is>
          <t>9+12</t>
        </is>
      </c>
      <c r="L529" s="309" t="n">
        <v>46139</v>
      </c>
      <c r="M529" t="n">
        <v>0.01445</v>
      </c>
      <c r="N529" t="n">
        <v>0.0199</v>
      </c>
      <c r="O529" t="n">
        <v>1.458</v>
      </c>
      <c r="P529" t="inlineStr">
        <is>
          <t>优先A</t>
        </is>
      </c>
      <c r="Q529" t="n">
        <v>0.83</v>
      </c>
      <c r="R529" t="n">
        <v>8.300000000000001</v>
      </c>
      <c r="S529" t="inlineStr">
        <is>
          <t>AAA</t>
        </is>
      </c>
      <c r="T529" t="n">
        <v>0.017</v>
      </c>
      <c r="U529" s="24" t="inlineStr">
        <is>
          <t>广银理财</t>
        </is>
      </c>
      <c r="V529" s="25" t="n">
        <v>2</v>
      </c>
    </row>
    <row r="530">
      <c r="A530" t="n">
        <v>46</v>
      </c>
      <c r="B530" t="inlineStr">
        <is>
          <t>4月</t>
        </is>
      </c>
      <c r="C530" t="inlineStr">
        <is>
          <t>企金</t>
        </is>
      </c>
      <c r="D530" t="inlineStr">
        <is>
          <t>小贷企业主贷</t>
        </is>
      </c>
      <c r="E530" t="inlineStr">
        <is>
          <t>盛赢3-6</t>
        </is>
      </c>
      <c r="F530" t="inlineStr">
        <is>
          <t>上交所</t>
        </is>
      </c>
      <c r="G530" t="inlineStr">
        <is>
          <t>中信证券</t>
        </is>
      </c>
      <c r="H530" t="inlineStr">
        <is>
          <t>华福证券</t>
        </is>
      </c>
      <c r="I530" t="inlineStr">
        <is>
          <t>兴业北分</t>
        </is>
      </c>
      <c r="J530" t="n">
        <v>10</v>
      </c>
      <c r="K530" t="inlineStr">
        <is>
          <t>9+12</t>
        </is>
      </c>
      <c r="L530" s="309" t="n">
        <v>46139</v>
      </c>
      <c r="M530" t="n">
        <v>0.01445</v>
      </c>
      <c r="N530" t="n">
        <v>0.0199</v>
      </c>
      <c r="O530" t="n">
        <v>1.458</v>
      </c>
      <c r="P530" t="inlineStr">
        <is>
          <t>优先A</t>
        </is>
      </c>
      <c r="Q530" t="n">
        <v>0.83</v>
      </c>
      <c r="R530" t="n">
        <v>8.300000000000001</v>
      </c>
      <c r="S530" t="inlineStr">
        <is>
          <t>AAA</t>
        </is>
      </c>
      <c r="T530" t="n">
        <v>0.017</v>
      </c>
      <c r="U530" s="24" t="inlineStr">
        <is>
          <t>中邮理财</t>
        </is>
      </c>
      <c r="V530" s="25" t="n">
        <v>2.49</v>
      </c>
    </row>
    <row r="531">
      <c r="A531" t="n">
        <v>46</v>
      </c>
      <c r="B531" t="inlineStr">
        <is>
          <t>4月</t>
        </is>
      </c>
      <c r="C531" t="inlineStr">
        <is>
          <t>企金</t>
        </is>
      </c>
      <c r="D531" t="inlineStr">
        <is>
          <t>小贷企业主贷</t>
        </is>
      </c>
      <c r="E531" t="inlineStr">
        <is>
          <t>盛赢3-6</t>
        </is>
      </c>
      <c r="F531" t="inlineStr">
        <is>
          <t>上交所</t>
        </is>
      </c>
      <c r="G531" t="inlineStr">
        <is>
          <t>中信证券</t>
        </is>
      </c>
      <c r="H531" t="inlineStr">
        <is>
          <t>华福证券</t>
        </is>
      </c>
      <c r="I531" t="inlineStr">
        <is>
          <t>兴业北分</t>
        </is>
      </c>
      <c r="J531" t="n">
        <v>10</v>
      </c>
      <c r="K531" t="inlineStr">
        <is>
          <t>9+12</t>
        </is>
      </c>
      <c r="L531" s="309" t="n">
        <v>46139</v>
      </c>
      <c r="M531" t="n">
        <v>0.01445</v>
      </c>
      <c r="N531" t="n">
        <v>0.0199</v>
      </c>
      <c r="O531" t="n">
        <v>1.458</v>
      </c>
      <c r="P531" t="inlineStr">
        <is>
          <t>优先A</t>
        </is>
      </c>
      <c r="Q531" t="n">
        <v>0.83</v>
      </c>
      <c r="R531" t="n">
        <v>8.300000000000001</v>
      </c>
      <c r="S531" t="inlineStr">
        <is>
          <t>AAA</t>
        </is>
      </c>
      <c r="T531" t="n">
        <v>0.017</v>
      </c>
      <c r="U531" s="24" t="inlineStr">
        <is>
          <t>交银理财</t>
        </is>
      </c>
      <c r="V531" s="25" t="n">
        <v>2.49</v>
      </c>
    </row>
    <row r="532">
      <c r="A532" t="n">
        <v>46</v>
      </c>
      <c r="B532" t="inlineStr">
        <is>
          <t>4月</t>
        </is>
      </c>
      <c r="C532" t="inlineStr">
        <is>
          <t>企金</t>
        </is>
      </c>
      <c r="D532" t="inlineStr">
        <is>
          <t>小贷企业主贷</t>
        </is>
      </c>
      <c r="E532" t="inlineStr">
        <is>
          <t>盛赢3-6</t>
        </is>
      </c>
      <c r="F532" t="inlineStr">
        <is>
          <t>上交所</t>
        </is>
      </c>
      <c r="G532" t="inlineStr">
        <is>
          <t>中信证券</t>
        </is>
      </c>
      <c r="H532" t="inlineStr">
        <is>
          <t>华福证券</t>
        </is>
      </c>
      <c r="I532" t="inlineStr">
        <is>
          <t>兴业北分</t>
        </is>
      </c>
      <c r="J532" t="n">
        <v>10</v>
      </c>
      <c r="K532" t="inlineStr">
        <is>
          <t>9+12</t>
        </is>
      </c>
      <c r="L532" s="309" t="n">
        <v>46139</v>
      </c>
      <c r="M532" t="n">
        <v>0.01445</v>
      </c>
      <c r="N532" t="n">
        <v>0.0199</v>
      </c>
      <c r="O532" t="n">
        <v>1.458</v>
      </c>
      <c r="P532" t="inlineStr">
        <is>
          <t>优先A</t>
        </is>
      </c>
      <c r="Q532" t="n">
        <v>0.83</v>
      </c>
      <c r="R532" t="n">
        <v>8.300000000000001</v>
      </c>
      <c r="S532" t="inlineStr">
        <is>
          <t>AAA</t>
        </is>
      </c>
      <c r="T532" t="n">
        <v>0.017</v>
      </c>
      <c r="U532" s="24" t="inlineStr">
        <is>
          <t>中信证券投行</t>
        </is>
      </c>
      <c r="V532" s="313" t="n">
        <v>0.255</v>
      </c>
    </row>
    <row r="533">
      <c r="A533" t="n">
        <v>46</v>
      </c>
      <c r="B533" t="inlineStr">
        <is>
          <t>4月</t>
        </is>
      </c>
      <c r="C533" t="inlineStr">
        <is>
          <t>企金</t>
        </is>
      </c>
      <c r="D533" t="inlineStr">
        <is>
          <t>小贷企业主贷</t>
        </is>
      </c>
      <c r="E533" t="inlineStr">
        <is>
          <t>盛赢3-6</t>
        </is>
      </c>
      <c r="F533" t="inlineStr">
        <is>
          <t>上交所</t>
        </is>
      </c>
      <c r="G533" t="inlineStr">
        <is>
          <t>中信证券</t>
        </is>
      </c>
      <c r="H533" t="inlineStr">
        <is>
          <t>华福证券</t>
        </is>
      </c>
      <c r="I533" t="inlineStr">
        <is>
          <t>兴业北分</t>
        </is>
      </c>
      <c r="J533" t="n">
        <v>10</v>
      </c>
      <c r="K533" t="inlineStr">
        <is>
          <t>9+12</t>
        </is>
      </c>
      <c r="L533" s="309" t="n">
        <v>46139</v>
      </c>
      <c r="M533" t="n">
        <v>0.01445</v>
      </c>
      <c r="N533" t="n">
        <v>0.0199</v>
      </c>
      <c r="O533" t="n">
        <v>1.458</v>
      </c>
      <c r="P533" t="inlineStr">
        <is>
          <t>优先A</t>
        </is>
      </c>
      <c r="Q533" t="n">
        <v>0.83</v>
      </c>
      <c r="R533" t="n">
        <v>8.300000000000001</v>
      </c>
      <c r="S533" t="inlineStr">
        <is>
          <t>AAA</t>
        </is>
      </c>
      <c r="T533" t="n">
        <v>0.017</v>
      </c>
      <c r="U533" s="30" t="inlineStr">
        <is>
          <t>华福证券投行</t>
        </is>
      </c>
      <c r="V533" s="313" t="n">
        <v>0.35</v>
      </c>
    </row>
    <row r="534">
      <c r="A534" t="n">
        <v>46</v>
      </c>
      <c r="B534" t="inlineStr">
        <is>
          <t>4月</t>
        </is>
      </c>
      <c r="C534" t="inlineStr">
        <is>
          <t>企金</t>
        </is>
      </c>
      <c r="D534" t="inlineStr">
        <is>
          <t>小贷企业主贷</t>
        </is>
      </c>
      <c r="E534" t="inlineStr">
        <is>
          <t>盛赢3-6</t>
        </is>
      </c>
      <c r="F534" t="inlineStr">
        <is>
          <t>上交所</t>
        </is>
      </c>
      <c r="G534" t="inlineStr">
        <is>
          <t>中信证券</t>
        </is>
      </c>
      <c r="H534" t="inlineStr">
        <is>
          <t>华福证券</t>
        </is>
      </c>
      <c r="I534" t="inlineStr">
        <is>
          <t>兴业北分</t>
        </is>
      </c>
      <c r="J534" t="n">
        <v>10</v>
      </c>
      <c r="K534" t="inlineStr">
        <is>
          <t>9+12</t>
        </is>
      </c>
      <c r="L534" s="309" t="n">
        <v>46139</v>
      </c>
      <c r="M534" t="n">
        <v>0.01445</v>
      </c>
      <c r="N534" t="n">
        <v>0.0199</v>
      </c>
      <c r="O534" t="n">
        <v>1.458</v>
      </c>
      <c r="P534" t="inlineStr">
        <is>
          <t>优先A</t>
        </is>
      </c>
      <c r="Q534" t="n">
        <v>0.83</v>
      </c>
      <c r="R534" t="n">
        <v>8.300000000000001</v>
      </c>
      <c r="S534" t="inlineStr">
        <is>
          <t>AAA</t>
        </is>
      </c>
      <c r="T534" t="n">
        <v>0.017</v>
      </c>
      <c r="U534" s="200" t="inlineStr">
        <is>
          <t>盛际小贷</t>
        </is>
      </c>
      <c r="V534" s="313" t="n">
        <v>0.415</v>
      </c>
    </row>
    <row r="535">
      <c r="A535" t="n">
        <v>46</v>
      </c>
      <c r="B535" t="inlineStr">
        <is>
          <t>4月</t>
        </is>
      </c>
      <c r="C535" t="inlineStr">
        <is>
          <t>企金</t>
        </is>
      </c>
      <c r="D535" t="inlineStr">
        <is>
          <t>小贷企业主贷</t>
        </is>
      </c>
      <c r="E535" t="inlineStr">
        <is>
          <t>盛赢3-6</t>
        </is>
      </c>
      <c r="F535" t="inlineStr">
        <is>
          <t>上交所</t>
        </is>
      </c>
      <c r="G535" t="inlineStr">
        <is>
          <t>中信证券</t>
        </is>
      </c>
      <c r="H535" t="inlineStr">
        <is>
          <t>华福证券</t>
        </is>
      </c>
      <c r="I535" t="inlineStr">
        <is>
          <t>兴业北分</t>
        </is>
      </c>
      <c r="J535" t="n">
        <v>10</v>
      </c>
      <c r="K535" t="inlineStr">
        <is>
          <t>9+12</t>
        </is>
      </c>
      <c r="L535" s="309" t="n">
        <v>46139</v>
      </c>
      <c r="M535" t="n">
        <v>0.01445</v>
      </c>
      <c r="N535" t="n">
        <v>0.0199</v>
      </c>
      <c r="O535" t="n">
        <v>1.458</v>
      </c>
      <c r="P535" s="220" t="inlineStr">
        <is>
          <t>优先B</t>
        </is>
      </c>
      <c r="Q535" s="221" t="n">
        <v>0.05</v>
      </c>
      <c r="R535" s="308" t="n">
        <v>0.5</v>
      </c>
      <c r="S535" s="221" t="inlineStr">
        <is>
          <t>AA+</t>
        </is>
      </c>
      <c r="T535" s="221" t="n">
        <v>0.0185</v>
      </c>
      <c r="U535" s="30" t="inlineStr">
        <is>
          <t>交银理财</t>
        </is>
      </c>
      <c r="V535" s="29" t="n">
        <v>0.15</v>
      </c>
    </row>
    <row r="536">
      <c r="A536" t="n">
        <v>46</v>
      </c>
      <c r="B536" t="inlineStr">
        <is>
          <t>4月</t>
        </is>
      </c>
      <c r="C536" t="inlineStr">
        <is>
          <t>企金</t>
        </is>
      </c>
      <c r="D536" t="inlineStr">
        <is>
          <t>小贷企业主贷</t>
        </is>
      </c>
      <c r="E536" t="inlineStr">
        <is>
          <t>盛赢3-6</t>
        </is>
      </c>
      <c r="F536" t="inlineStr">
        <is>
          <t>上交所</t>
        </is>
      </c>
      <c r="G536" t="inlineStr">
        <is>
          <t>中信证券</t>
        </is>
      </c>
      <c r="H536" t="inlineStr">
        <is>
          <t>华福证券</t>
        </is>
      </c>
      <c r="I536" t="inlineStr">
        <is>
          <t>兴业北分</t>
        </is>
      </c>
      <c r="J536" t="n">
        <v>10</v>
      </c>
      <c r="K536" t="inlineStr">
        <is>
          <t>9+12</t>
        </is>
      </c>
      <c r="L536" s="309" t="n">
        <v>46139</v>
      </c>
      <c r="M536" t="n">
        <v>0.01445</v>
      </c>
      <c r="N536" t="n">
        <v>0.0199</v>
      </c>
      <c r="O536" t="n">
        <v>1.458</v>
      </c>
      <c r="P536" t="inlineStr">
        <is>
          <t>优先B</t>
        </is>
      </c>
      <c r="Q536" t="n">
        <v>0.05</v>
      </c>
      <c r="R536" t="n">
        <v>0.5</v>
      </c>
      <c r="S536" t="inlineStr">
        <is>
          <t>AA+</t>
        </is>
      </c>
      <c r="T536" t="n">
        <v>0.0185</v>
      </c>
      <c r="U536" s="30" t="inlineStr">
        <is>
          <t>建信信托</t>
        </is>
      </c>
      <c r="V536" s="314" t="n">
        <v>0.325</v>
      </c>
    </row>
    <row r="537">
      <c r="A537" t="n">
        <v>46</v>
      </c>
      <c r="B537" t="inlineStr">
        <is>
          <t>4月</t>
        </is>
      </c>
      <c r="C537" t="inlineStr">
        <is>
          <t>企金</t>
        </is>
      </c>
      <c r="D537" t="inlineStr">
        <is>
          <t>小贷企业主贷</t>
        </is>
      </c>
      <c r="E537" t="inlineStr">
        <is>
          <t>盛赢3-6</t>
        </is>
      </c>
      <c r="F537" t="inlineStr">
        <is>
          <t>上交所</t>
        </is>
      </c>
      <c r="G537" t="inlineStr">
        <is>
          <t>中信证券</t>
        </is>
      </c>
      <c r="H537" t="inlineStr">
        <is>
          <t>华福证券</t>
        </is>
      </c>
      <c r="I537" t="inlineStr">
        <is>
          <t>兴业北分</t>
        </is>
      </c>
      <c r="J537" t="n">
        <v>10</v>
      </c>
      <c r="K537" t="inlineStr">
        <is>
          <t>9+12</t>
        </is>
      </c>
      <c r="L537" s="309" t="n">
        <v>46139</v>
      </c>
      <c r="M537" t="n">
        <v>0.01445</v>
      </c>
      <c r="N537" t="n">
        <v>0.0199</v>
      </c>
      <c r="O537" t="n">
        <v>1.458</v>
      </c>
      <c r="P537" t="inlineStr">
        <is>
          <t>优先B</t>
        </is>
      </c>
      <c r="Q537" t="n">
        <v>0.05</v>
      </c>
      <c r="R537" t="n">
        <v>0.5</v>
      </c>
      <c r="S537" t="inlineStr">
        <is>
          <t>AA+</t>
        </is>
      </c>
      <c r="T537" t="n">
        <v>0.0185</v>
      </c>
      <c r="U537" s="24" t="inlineStr">
        <is>
          <t>盛际小贷</t>
        </is>
      </c>
      <c r="V537" s="314" t="n">
        <v>0.025</v>
      </c>
    </row>
    <row r="538">
      <c r="A538" t="n">
        <v>46</v>
      </c>
      <c r="B538" t="inlineStr">
        <is>
          <t>4月</t>
        </is>
      </c>
      <c r="C538" t="inlineStr">
        <is>
          <t>企金</t>
        </is>
      </c>
      <c r="D538" t="inlineStr">
        <is>
          <t>小贷企业主贷</t>
        </is>
      </c>
      <c r="E538" t="inlineStr">
        <is>
          <t>盛赢3-6</t>
        </is>
      </c>
      <c r="F538" t="inlineStr">
        <is>
          <t>上交所</t>
        </is>
      </c>
      <c r="G538" t="inlineStr">
        <is>
          <t>中信证券</t>
        </is>
      </c>
      <c r="H538" t="inlineStr">
        <is>
          <t>华福证券</t>
        </is>
      </c>
      <c r="I538" t="inlineStr">
        <is>
          <t>兴业北分</t>
        </is>
      </c>
      <c r="J538" t="n">
        <v>10</v>
      </c>
      <c r="K538" t="inlineStr">
        <is>
          <t>9+12</t>
        </is>
      </c>
      <c r="L538" s="309" t="n">
        <v>46139</v>
      </c>
      <c r="M538" t="n">
        <v>0.01445</v>
      </c>
      <c r="N538" t="n">
        <v>0.0199</v>
      </c>
      <c r="O538" t="n">
        <v>1.458</v>
      </c>
      <c r="P538" s="220" t="inlineStr">
        <is>
          <t>中间级</t>
        </is>
      </c>
      <c r="Q538" s="221" t="n">
        <v>0.07000000000000001</v>
      </c>
      <c r="R538" s="308" t="n">
        <v>0.7</v>
      </c>
      <c r="S538" s="221" t="inlineStr">
        <is>
          <t>AA-</t>
        </is>
      </c>
      <c r="T538" s="221" t="n">
        <v>0.031</v>
      </c>
      <c r="U538" s="30" t="inlineStr">
        <is>
          <t>盛际小贷</t>
        </is>
      </c>
      <c r="V538" s="29" t="n">
        <v>0.035</v>
      </c>
    </row>
    <row r="539">
      <c r="A539" t="n">
        <v>46</v>
      </c>
      <c r="B539" t="inlineStr">
        <is>
          <t>4月</t>
        </is>
      </c>
      <c r="C539" t="inlineStr">
        <is>
          <t>企金</t>
        </is>
      </c>
      <c r="D539" t="inlineStr">
        <is>
          <t>小贷企业主贷</t>
        </is>
      </c>
      <c r="E539" t="inlineStr">
        <is>
          <t>盛赢3-6</t>
        </is>
      </c>
      <c r="F539" t="inlineStr">
        <is>
          <t>上交所</t>
        </is>
      </c>
      <c r="G539" t="inlineStr">
        <is>
          <t>中信证券</t>
        </is>
      </c>
      <c r="H539" t="inlineStr">
        <is>
          <t>华福证券</t>
        </is>
      </c>
      <c r="I539" t="inlineStr">
        <is>
          <t>兴业北分</t>
        </is>
      </c>
      <c r="J539" t="n">
        <v>10</v>
      </c>
      <c r="K539" t="inlineStr">
        <is>
          <t>9+12</t>
        </is>
      </c>
      <c r="L539" s="309" t="n">
        <v>46139</v>
      </c>
      <c r="M539" t="n">
        <v>0.01445</v>
      </c>
      <c r="N539" t="n">
        <v>0.0199</v>
      </c>
      <c r="O539" t="n">
        <v>1.458</v>
      </c>
      <c r="P539" t="inlineStr">
        <is>
          <t>中间级</t>
        </is>
      </c>
      <c r="Q539" t="n">
        <v>0.07000000000000001</v>
      </c>
      <c r="R539" t="n">
        <v>0.7</v>
      </c>
      <c r="S539" t="inlineStr">
        <is>
          <t>AA-</t>
        </is>
      </c>
      <c r="T539" t="n">
        <v>0.031</v>
      </c>
      <c r="U539" s="30" t="inlineStr">
        <is>
          <t>德邦证券自营</t>
        </is>
      </c>
      <c r="V539" s="314" t="n">
        <v>0.165</v>
      </c>
    </row>
    <row r="540">
      <c r="A540" t="n">
        <v>46</v>
      </c>
      <c r="B540" t="inlineStr">
        <is>
          <t>4月</t>
        </is>
      </c>
      <c r="C540" t="inlineStr">
        <is>
          <t>企金</t>
        </is>
      </c>
      <c r="D540" t="inlineStr">
        <is>
          <t>小贷企业主贷</t>
        </is>
      </c>
      <c r="E540" t="inlineStr">
        <is>
          <t>盛赢3-6</t>
        </is>
      </c>
      <c r="F540" t="inlineStr">
        <is>
          <t>上交所</t>
        </is>
      </c>
      <c r="G540" t="inlineStr">
        <is>
          <t>中信证券</t>
        </is>
      </c>
      <c r="H540" t="inlineStr">
        <is>
          <t>华福证券</t>
        </is>
      </c>
      <c r="I540" t="inlineStr">
        <is>
          <t>兴业北分</t>
        </is>
      </c>
      <c r="J540" t="n">
        <v>10</v>
      </c>
      <c r="K540" t="inlineStr">
        <is>
          <t>9+12</t>
        </is>
      </c>
      <c r="L540" s="309" t="n">
        <v>46139</v>
      </c>
      <c r="M540" t="n">
        <v>0.01445</v>
      </c>
      <c r="N540" t="n">
        <v>0.0199</v>
      </c>
      <c r="O540" t="n">
        <v>1.458</v>
      </c>
      <c r="P540" t="inlineStr">
        <is>
          <t>中间级</t>
        </is>
      </c>
      <c r="Q540" t="n">
        <v>0.07000000000000001</v>
      </c>
      <c r="R540" t="n">
        <v>0.7</v>
      </c>
      <c r="S540" t="inlineStr">
        <is>
          <t>AA-</t>
        </is>
      </c>
      <c r="T540" t="n">
        <v>0.031</v>
      </c>
      <c r="U540" s="30" t="inlineStr">
        <is>
          <t>国泰海通自营</t>
        </is>
      </c>
      <c r="V540" s="29" t="n">
        <v>0.2</v>
      </c>
    </row>
    <row r="541">
      <c r="A541" t="n">
        <v>46</v>
      </c>
      <c r="B541" t="inlineStr">
        <is>
          <t>4月</t>
        </is>
      </c>
      <c r="C541" t="inlineStr">
        <is>
          <t>企金</t>
        </is>
      </c>
      <c r="D541" t="inlineStr">
        <is>
          <t>小贷企业主贷</t>
        </is>
      </c>
      <c r="E541" t="inlineStr">
        <is>
          <t>盛赢3-6</t>
        </is>
      </c>
      <c r="F541" t="inlineStr">
        <is>
          <t>上交所</t>
        </is>
      </c>
      <c r="G541" t="inlineStr">
        <is>
          <t>中信证券</t>
        </is>
      </c>
      <c r="H541" t="inlineStr">
        <is>
          <t>华福证券</t>
        </is>
      </c>
      <c r="I541" t="inlineStr">
        <is>
          <t>兴业北分</t>
        </is>
      </c>
      <c r="J541" t="n">
        <v>10</v>
      </c>
      <c r="K541" t="inlineStr">
        <is>
          <t>9+12</t>
        </is>
      </c>
      <c r="L541" s="309" t="n">
        <v>46139</v>
      </c>
      <c r="M541" t="n">
        <v>0.01445</v>
      </c>
      <c r="N541" t="n">
        <v>0.0199</v>
      </c>
      <c r="O541" t="n">
        <v>1.458</v>
      </c>
      <c r="P541" t="inlineStr">
        <is>
          <t>中间级</t>
        </is>
      </c>
      <c r="Q541" t="n">
        <v>0.07000000000000001</v>
      </c>
      <c r="R541" t="n">
        <v>0.7</v>
      </c>
      <c r="S541" t="inlineStr">
        <is>
          <t>AA-</t>
        </is>
      </c>
      <c r="T541" t="n">
        <v>0.031</v>
      </c>
      <c r="U541" s="30" t="inlineStr">
        <is>
          <t>广发证券自营</t>
        </is>
      </c>
      <c r="V541" s="29" t="n">
        <v>0.1</v>
      </c>
    </row>
    <row r="542">
      <c r="A542" t="n">
        <v>46</v>
      </c>
      <c r="B542" t="inlineStr">
        <is>
          <t>4月</t>
        </is>
      </c>
      <c r="C542" t="inlineStr">
        <is>
          <t>企金</t>
        </is>
      </c>
      <c r="D542" t="inlineStr">
        <is>
          <t>小贷企业主贷</t>
        </is>
      </c>
      <c r="E542" t="inlineStr">
        <is>
          <t>盛赢3-6</t>
        </is>
      </c>
      <c r="F542" t="inlineStr">
        <is>
          <t>上交所</t>
        </is>
      </c>
      <c r="G542" t="inlineStr">
        <is>
          <t>中信证券</t>
        </is>
      </c>
      <c r="H542" t="inlineStr">
        <is>
          <t>华福证券</t>
        </is>
      </c>
      <c r="I542" t="inlineStr">
        <is>
          <t>兴业北分</t>
        </is>
      </c>
      <c r="J542" t="n">
        <v>10</v>
      </c>
      <c r="K542" t="inlineStr">
        <is>
          <t>9+12</t>
        </is>
      </c>
      <c r="L542" s="309" t="n">
        <v>46139</v>
      </c>
      <c r="M542" t="n">
        <v>0.01445</v>
      </c>
      <c r="N542" t="n">
        <v>0.0199</v>
      </c>
      <c r="O542" t="n">
        <v>1.458</v>
      </c>
      <c r="P542" t="inlineStr">
        <is>
          <t>中间级</t>
        </is>
      </c>
      <c r="Q542" t="n">
        <v>0.07000000000000001</v>
      </c>
      <c r="R542" t="n">
        <v>0.7</v>
      </c>
      <c r="S542" t="inlineStr">
        <is>
          <t>AA-</t>
        </is>
      </c>
      <c r="T542" t="n">
        <v>0.031</v>
      </c>
      <c r="U542" s="30" t="inlineStr">
        <is>
          <t>建信信托</t>
        </is>
      </c>
      <c r="V542" s="29" t="n">
        <v>0.2</v>
      </c>
    </row>
    <row r="543">
      <c r="A543" t="n">
        <v>46</v>
      </c>
      <c r="B543" t="inlineStr">
        <is>
          <t>4月</t>
        </is>
      </c>
      <c r="C543" t="inlineStr">
        <is>
          <t>企金</t>
        </is>
      </c>
      <c r="D543" t="inlineStr">
        <is>
          <t>小贷企业主贷</t>
        </is>
      </c>
      <c r="E543" t="inlineStr">
        <is>
          <t>盛赢3-6</t>
        </is>
      </c>
      <c r="F543" t="inlineStr">
        <is>
          <t>上交所</t>
        </is>
      </c>
      <c r="G543" t="inlineStr">
        <is>
          <t>中信证券</t>
        </is>
      </c>
      <c r="H543" t="inlineStr">
        <is>
          <t>华福证券</t>
        </is>
      </c>
      <c r="I543" t="inlineStr">
        <is>
          <t>兴业北分</t>
        </is>
      </c>
      <c r="J543" t="n">
        <v>10</v>
      </c>
      <c r="K543" t="inlineStr">
        <is>
          <t>9+12</t>
        </is>
      </c>
      <c r="L543" s="309" t="n">
        <v>46139</v>
      </c>
      <c r="M543" t="n">
        <v>0.01445</v>
      </c>
      <c r="N543" t="n">
        <v>0.0199</v>
      </c>
      <c r="O543" t="n">
        <v>1.458</v>
      </c>
      <c r="P543" s="220" t="inlineStr">
        <is>
          <t>次级</t>
        </is>
      </c>
      <c r="Q543" s="221" t="n">
        <v>0.05</v>
      </c>
      <c r="R543" s="308" t="n">
        <v>0.5</v>
      </c>
      <c r="S543" s="221" t="inlineStr">
        <is>
          <t>无</t>
        </is>
      </c>
      <c r="T543" s="221" t="n">
        <v>0.0455</v>
      </c>
      <c r="U543" s="30" t="inlineStr">
        <is>
          <t>盛际小贷</t>
        </is>
      </c>
      <c r="V543" s="29" t="n">
        <v>0.025</v>
      </c>
    </row>
    <row r="544">
      <c r="A544" t="n">
        <v>46</v>
      </c>
      <c r="B544" t="inlineStr">
        <is>
          <t>4月</t>
        </is>
      </c>
      <c r="C544" t="inlineStr">
        <is>
          <t>企金</t>
        </is>
      </c>
      <c r="D544" t="inlineStr">
        <is>
          <t>小贷企业主贷</t>
        </is>
      </c>
      <c r="E544" t="inlineStr">
        <is>
          <t>盛赢3-6</t>
        </is>
      </c>
      <c r="F544" t="inlineStr">
        <is>
          <t>上交所</t>
        </is>
      </c>
      <c r="G544" t="inlineStr">
        <is>
          <t>中信证券</t>
        </is>
      </c>
      <c r="H544" t="inlineStr">
        <is>
          <t>华福证券</t>
        </is>
      </c>
      <c r="I544" t="inlineStr">
        <is>
          <t>兴业北分</t>
        </is>
      </c>
      <c r="J544" t="n">
        <v>10</v>
      </c>
      <c r="K544" t="inlineStr">
        <is>
          <t>9+12</t>
        </is>
      </c>
      <c r="L544" s="309" t="n">
        <v>46139</v>
      </c>
      <c r="M544" t="n">
        <v>0.01445</v>
      </c>
      <c r="N544" t="n">
        <v>0.0199</v>
      </c>
      <c r="O544" t="n">
        <v>1.458</v>
      </c>
      <c r="P544" t="inlineStr">
        <is>
          <t>次级</t>
        </is>
      </c>
      <c r="Q544" t="n">
        <v>0.05</v>
      </c>
      <c r="R544" t="n">
        <v>0.5</v>
      </c>
      <c r="S544" t="inlineStr">
        <is>
          <t>无</t>
        </is>
      </c>
      <c r="T544" t="n">
        <v>0.0455</v>
      </c>
      <c r="U544" s="30" t="inlineStr">
        <is>
          <t>德邦证券自营</t>
        </is>
      </c>
      <c r="V544" s="29" t="n">
        <v>0.1</v>
      </c>
    </row>
    <row r="545">
      <c r="A545" t="n">
        <v>46</v>
      </c>
      <c r="B545" t="inlineStr">
        <is>
          <t>4月</t>
        </is>
      </c>
      <c r="C545" t="inlineStr">
        <is>
          <t>企金</t>
        </is>
      </c>
      <c r="D545" t="inlineStr">
        <is>
          <t>小贷企业主贷</t>
        </is>
      </c>
      <c r="E545" t="inlineStr">
        <is>
          <t>盛赢3-6</t>
        </is>
      </c>
      <c r="F545" t="inlineStr">
        <is>
          <t>上交所</t>
        </is>
      </c>
      <c r="G545" t="inlineStr">
        <is>
          <t>中信证券</t>
        </is>
      </c>
      <c r="H545" t="inlineStr">
        <is>
          <t>华福证券</t>
        </is>
      </c>
      <c r="I545" t="inlineStr">
        <is>
          <t>兴业北分</t>
        </is>
      </c>
      <c r="J545" t="n">
        <v>10</v>
      </c>
      <c r="K545" t="inlineStr">
        <is>
          <t>9+12</t>
        </is>
      </c>
      <c r="L545" s="309" t="n">
        <v>46139</v>
      </c>
      <c r="M545" t="n">
        <v>0.01445</v>
      </c>
      <c r="N545" t="n">
        <v>0.0199</v>
      </c>
      <c r="O545" t="n">
        <v>1.458</v>
      </c>
      <c r="P545" t="inlineStr">
        <is>
          <t>次级</t>
        </is>
      </c>
      <c r="Q545" t="n">
        <v>0.05</v>
      </c>
      <c r="R545" t="n">
        <v>0.5</v>
      </c>
      <c r="S545" t="inlineStr">
        <is>
          <t>无</t>
        </is>
      </c>
      <c r="T545" t="n">
        <v>0.0455</v>
      </c>
      <c r="U545" s="30" t="inlineStr">
        <is>
          <t>国泰海通自营</t>
        </is>
      </c>
      <c r="V545" s="29" t="n">
        <v>0.1</v>
      </c>
    </row>
    <row r="546">
      <c r="A546" t="n">
        <v>46</v>
      </c>
      <c r="B546" t="inlineStr">
        <is>
          <t>4月</t>
        </is>
      </c>
      <c r="C546" t="inlineStr">
        <is>
          <t>企金</t>
        </is>
      </c>
      <c r="D546" t="inlineStr">
        <is>
          <t>小贷企业主贷</t>
        </is>
      </c>
      <c r="E546" t="inlineStr">
        <is>
          <t>盛赢3-6</t>
        </is>
      </c>
      <c r="F546" t="inlineStr">
        <is>
          <t>上交所</t>
        </is>
      </c>
      <c r="G546" t="inlineStr">
        <is>
          <t>中信证券</t>
        </is>
      </c>
      <c r="H546" t="inlineStr">
        <is>
          <t>华福证券</t>
        </is>
      </c>
      <c r="I546" t="inlineStr">
        <is>
          <t>兴业北分</t>
        </is>
      </c>
      <c r="J546" t="n">
        <v>10</v>
      </c>
      <c r="K546" t="inlineStr">
        <is>
          <t>9+12</t>
        </is>
      </c>
      <c r="L546" s="309" t="n">
        <v>46139</v>
      </c>
      <c r="M546" t="n">
        <v>0.01445</v>
      </c>
      <c r="N546" t="n">
        <v>0.0199</v>
      </c>
      <c r="O546" t="n">
        <v>1.458</v>
      </c>
      <c r="P546" t="inlineStr">
        <is>
          <t>次级</t>
        </is>
      </c>
      <c r="Q546" t="n">
        <v>0.05</v>
      </c>
      <c r="R546" t="n">
        <v>0.5</v>
      </c>
      <c r="S546" t="inlineStr">
        <is>
          <t>无</t>
        </is>
      </c>
      <c r="T546" t="n">
        <v>0.0455</v>
      </c>
      <c r="U546" s="30" t="inlineStr">
        <is>
          <t>华宝资管</t>
        </is>
      </c>
      <c r="V546" s="24" t="n">
        <v>0.075</v>
      </c>
    </row>
    <row r="547">
      <c r="A547" t="n">
        <v>46</v>
      </c>
      <c r="B547" t="inlineStr">
        <is>
          <t>4月</t>
        </is>
      </c>
      <c r="C547" t="inlineStr">
        <is>
          <t>企金</t>
        </is>
      </c>
      <c r="D547" t="inlineStr">
        <is>
          <t>小贷企业主贷</t>
        </is>
      </c>
      <c r="E547" t="inlineStr">
        <is>
          <t>盛赢3-6</t>
        </is>
      </c>
      <c r="F547" t="inlineStr">
        <is>
          <t>上交所</t>
        </is>
      </c>
      <c r="G547" t="inlineStr">
        <is>
          <t>中信证券</t>
        </is>
      </c>
      <c r="H547" t="inlineStr">
        <is>
          <t>华福证券</t>
        </is>
      </c>
      <c r="I547" t="inlineStr">
        <is>
          <t>兴业北分</t>
        </is>
      </c>
      <c r="J547" t="n">
        <v>10</v>
      </c>
      <c r="K547" t="inlineStr">
        <is>
          <t>9+12</t>
        </is>
      </c>
      <c r="L547" s="309" t="n">
        <v>46139</v>
      </c>
      <c r="M547" t="n">
        <v>0.01445</v>
      </c>
      <c r="N547" t="n">
        <v>0.0199</v>
      </c>
      <c r="O547" t="n">
        <v>1.458</v>
      </c>
      <c r="P547" t="inlineStr">
        <is>
          <t>次级</t>
        </is>
      </c>
      <c r="Q547" t="n">
        <v>0.05</v>
      </c>
      <c r="R547" t="n">
        <v>0.5</v>
      </c>
      <c r="S547" t="inlineStr">
        <is>
          <t>无</t>
        </is>
      </c>
      <c r="T547" t="n">
        <v>0.0455</v>
      </c>
      <c r="U547" s="30" t="inlineStr">
        <is>
          <t>利曦基金</t>
        </is>
      </c>
      <c r="V547" s="29" t="n">
        <v>0.1</v>
      </c>
    </row>
    <row r="548">
      <c r="A548" t="n">
        <v>46</v>
      </c>
      <c r="B548" t="inlineStr">
        <is>
          <t>4月</t>
        </is>
      </c>
      <c r="C548" t="inlineStr">
        <is>
          <t>企金</t>
        </is>
      </c>
      <c r="D548" t="inlineStr">
        <is>
          <t>小贷企业主贷</t>
        </is>
      </c>
      <c r="E548" t="inlineStr">
        <is>
          <t>盛赢3-6</t>
        </is>
      </c>
      <c r="F548" t="inlineStr">
        <is>
          <t>上交所</t>
        </is>
      </c>
      <c r="G548" t="inlineStr">
        <is>
          <t>中信证券</t>
        </is>
      </c>
      <c r="H548" t="inlineStr">
        <is>
          <t>华福证券</t>
        </is>
      </c>
      <c r="I548" t="inlineStr">
        <is>
          <t>兴业北分</t>
        </is>
      </c>
      <c r="J548" t="n">
        <v>10</v>
      </c>
      <c r="K548" t="inlineStr">
        <is>
          <t>9+12</t>
        </is>
      </c>
      <c r="L548" s="309" t="n">
        <v>46139</v>
      </c>
      <c r="M548" t="n">
        <v>0.01445</v>
      </c>
      <c r="N548" t="n">
        <v>0.0199</v>
      </c>
      <c r="O548" t="n">
        <v>1.458</v>
      </c>
      <c r="P548" t="inlineStr">
        <is>
          <t>次级</t>
        </is>
      </c>
      <c r="Q548" t="n">
        <v>0.05</v>
      </c>
      <c r="R548" t="n">
        <v>0.5</v>
      </c>
      <c r="S548" t="inlineStr">
        <is>
          <t>无</t>
        </is>
      </c>
      <c r="T548" t="n">
        <v>0.0455</v>
      </c>
      <c r="U548" s="30" t="inlineStr">
        <is>
          <t>东家铂睿</t>
        </is>
      </c>
      <c r="V548" s="29" t="n">
        <v>0.1</v>
      </c>
    </row>
    <row r="549">
      <c r="A549" s="223" t="n">
        <v>47</v>
      </c>
      <c r="B549" s="220" t="inlineStr">
        <is>
          <t>4月</t>
        </is>
      </c>
      <c r="C549" s="227" t="inlineStr">
        <is>
          <t>企金</t>
        </is>
      </c>
      <c r="D549" s="220" t="inlineStr">
        <is>
          <t>京企贷</t>
        </is>
      </c>
      <c r="E549" s="233" t="inlineStr">
        <is>
          <t>盛澜1-3</t>
        </is>
      </c>
      <c r="F549" s="220" t="inlineStr">
        <is>
          <t>深交所</t>
        </is>
      </c>
      <c r="G549" s="220" t="inlineStr">
        <is>
          <t>华泰资管</t>
        </is>
      </c>
      <c r="H549" s="220" t="inlineStr">
        <is>
          <t>光大证券</t>
        </is>
      </c>
      <c r="I549" s="220" t="inlineStr">
        <is>
          <t>江苏北分</t>
        </is>
      </c>
      <c r="J549" s="220" t="n">
        <v>8</v>
      </c>
      <c r="K549" s="220" t="inlineStr">
        <is>
          <t>9+15</t>
        </is>
      </c>
      <c r="L549" s="224" t="n">
        <v>46139</v>
      </c>
      <c r="M549" s="225" t="n">
        <v>0.01445</v>
      </c>
      <c r="N549" s="318" t="n">
        <v>0.0199</v>
      </c>
      <c r="O549" s="226" t="n">
        <v>2.25</v>
      </c>
      <c r="P549" s="220" t="inlineStr">
        <is>
          <t>优先级</t>
        </is>
      </c>
      <c r="Q549" s="231" t="n">
        <v>0.9</v>
      </c>
      <c r="R549" s="308" t="n">
        <v>7.2</v>
      </c>
      <c r="S549" s="220" t="inlineStr">
        <is>
          <t>AAA</t>
        </is>
      </c>
      <c r="T549" s="221" t="n">
        <v>0.0175</v>
      </c>
      <c r="U549" s="235" t="inlineStr">
        <is>
          <t>盛际小贷</t>
        </is>
      </c>
      <c r="V549" s="308" t="n">
        <v>0.36</v>
      </c>
    </row>
    <row r="550">
      <c r="A550" t="n">
        <v>47</v>
      </c>
      <c r="B550" t="inlineStr">
        <is>
          <t>4月</t>
        </is>
      </c>
      <c r="C550" t="inlineStr">
        <is>
          <t>企金</t>
        </is>
      </c>
      <c r="D550" t="inlineStr">
        <is>
          <t>京企贷</t>
        </is>
      </c>
      <c r="E550" t="inlineStr">
        <is>
          <t>盛澜1-3</t>
        </is>
      </c>
      <c r="F550" t="inlineStr">
        <is>
          <t>深交所</t>
        </is>
      </c>
      <c r="G550" t="inlineStr">
        <is>
          <t>华泰资管</t>
        </is>
      </c>
      <c r="H550" t="inlineStr">
        <is>
          <t>光大证券</t>
        </is>
      </c>
      <c r="I550" t="inlineStr">
        <is>
          <t>江苏北分</t>
        </is>
      </c>
      <c r="J550" t="n">
        <v>8</v>
      </c>
      <c r="K550" t="inlineStr">
        <is>
          <t>9+15</t>
        </is>
      </c>
      <c r="L550" s="309" t="n">
        <v>46139</v>
      </c>
      <c r="M550" t="n">
        <v>0.01445</v>
      </c>
      <c r="N550" t="n">
        <v>0.0199</v>
      </c>
      <c r="O550" t="n">
        <v>2.25</v>
      </c>
      <c r="P550" t="inlineStr">
        <is>
          <t>优先级</t>
        </is>
      </c>
      <c r="Q550" t="n">
        <v>0.9</v>
      </c>
      <c r="R550" t="n">
        <v>7.2</v>
      </c>
      <c r="S550" t="inlineStr">
        <is>
          <t>AAA</t>
        </is>
      </c>
      <c r="T550" t="n">
        <v>0.0175</v>
      </c>
      <c r="U550" s="235" t="inlineStr">
        <is>
          <t>招银理财</t>
        </is>
      </c>
      <c r="V550" s="308" t="n">
        <v>1.8</v>
      </c>
    </row>
    <row r="551">
      <c r="A551" t="n">
        <v>47</v>
      </c>
      <c r="B551" t="inlineStr">
        <is>
          <t>4月</t>
        </is>
      </c>
      <c r="C551" t="inlineStr">
        <is>
          <t>企金</t>
        </is>
      </c>
      <c r="D551" t="inlineStr">
        <is>
          <t>京企贷</t>
        </is>
      </c>
      <c r="E551" t="inlineStr">
        <is>
          <t>盛澜1-3</t>
        </is>
      </c>
      <c r="F551" t="inlineStr">
        <is>
          <t>深交所</t>
        </is>
      </c>
      <c r="G551" t="inlineStr">
        <is>
          <t>华泰资管</t>
        </is>
      </c>
      <c r="H551" t="inlineStr">
        <is>
          <t>光大证券</t>
        </is>
      </c>
      <c r="I551" t="inlineStr">
        <is>
          <t>江苏北分</t>
        </is>
      </c>
      <c r="J551" t="n">
        <v>8</v>
      </c>
      <c r="K551" t="inlineStr">
        <is>
          <t>9+15</t>
        </is>
      </c>
      <c r="L551" s="309" t="n">
        <v>46139</v>
      </c>
      <c r="M551" t="n">
        <v>0.01445</v>
      </c>
      <c r="N551" t="n">
        <v>0.0199</v>
      </c>
      <c r="O551" t="n">
        <v>2.25</v>
      </c>
      <c r="P551" t="inlineStr">
        <is>
          <t>优先级</t>
        </is>
      </c>
      <c r="Q551" t="n">
        <v>0.9</v>
      </c>
      <c r="R551" t="n">
        <v>7.2</v>
      </c>
      <c r="S551" t="inlineStr">
        <is>
          <t>AAA</t>
        </is>
      </c>
      <c r="T551" t="n">
        <v>0.0175</v>
      </c>
      <c r="U551" s="235" t="inlineStr">
        <is>
          <t>中邮理财</t>
        </is>
      </c>
      <c r="V551" s="308" t="n">
        <v>2.16</v>
      </c>
    </row>
    <row r="552">
      <c r="A552" t="n">
        <v>47</v>
      </c>
      <c r="B552" t="inlineStr">
        <is>
          <t>4月</t>
        </is>
      </c>
      <c r="C552" t="inlineStr">
        <is>
          <t>企金</t>
        </is>
      </c>
      <c r="D552" t="inlineStr">
        <is>
          <t>京企贷</t>
        </is>
      </c>
      <c r="E552" t="inlineStr">
        <is>
          <t>盛澜1-3</t>
        </is>
      </c>
      <c r="F552" t="inlineStr">
        <is>
          <t>深交所</t>
        </is>
      </c>
      <c r="G552" t="inlineStr">
        <is>
          <t>华泰资管</t>
        </is>
      </c>
      <c r="H552" t="inlineStr">
        <is>
          <t>光大证券</t>
        </is>
      </c>
      <c r="I552" t="inlineStr">
        <is>
          <t>江苏北分</t>
        </is>
      </c>
      <c r="J552" t="n">
        <v>8</v>
      </c>
      <c r="K552" t="inlineStr">
        <is>
          <t>9+15</t>
        </is>
      </c>
      <c r="L552" s="309" t="n">
        <v>46139</v>
      </c>
      <c r="M552" t="n">
        <v>0.01445</v>
      </c>
      <c r="N552" t="n">
        <v>0.0199</v>
      </c>
      <c r="O552" t="n">
        <v>2.25</v>
      </c>
      <c r="P552" t="inlineStr">
        <is>
          <t>优先级</t>
        </is>
      </c>
      <c r="Q552" t="n">
        <v>0.9</v>
      </c>
      <c r="R552" t="n">
        <v>7.2</v>
      </c>
      <c r="S552" t="inlineStr">
        <is>
          <t>AAA</t>
        </is>
      </c>
      <c r="T552" t="n">
        <v>0.0175</v>
      </c>
      <c r="U552" s="235" t="inlineStr">
        <is>
          <t>建信信托</t>
        </is>
      </c>
      <c r="V552" s="308" t="n">
        <v>0.5</v>
      </c>
    </row>
    <row r="553">
      <c r="A553" t="n">
        <v>47</v>
      </c>
      <c r="B553" t="inlineStr">
        <is>
          <t>4月</t>
        </is>
      </c>
      <c r="C553" t="inlineStr">
        <is>
          <t>企金</t>
        </is>
      </c>
      <c r="D553" t="inlineStr">
        <is>
          <t>京企贷</t>
        </is>
      </c>
      <c r="E553" t="inlineStr">
        <is>
          <t>盛澜1-3</t>
        </is>
      </c>
      <c r="F553" t="inlineStr">
        <is>
          <t>深交所</t>
        </is>
      </c>
      <c r="G553" t="inlineStr">
        <is>
          <t>华泰资管</t>
        </is>
      </c>
      <c r="H553" t="inlineStr">
        <is>
          <t>光大证券</t>
        </is>
      </c>
      <c r="I553" t="inlineStr">
        <is>
          <t>江苏北分</t>
        </is>
      </c>
      <c r="J553" t="n">
        <v>8</v>
      </c>
      <c r="K553" t="inlineStr">
        <is>
          <t>9+15</t>
        </is>
      </c>
      <c r="L553" s="309" t="n">
        <v>46139</v>
      </c>
      <c r="M553" t="n">
        <v>0.01445</v>
      </c>
      <c r="N553" t="n">
        <v>0.0199</v>
      </c>
      <c r="O553" t="n">
        <v>2.25</v>
      </c>
      <c r="P553" t="inlineStr">
        <is>
          <t>优先级</t>
        </is>
      </c>
      <c r="Q553" t="n">
        <v>0.9</v>
      </c>
      <c r="R553" t="n">
        <v>7.2</v>
      </c>
      <c r="S553" t="inlineStr">
        <is>
          <t>AAA</t>
        </is>
      </c>
      <c r="T553" t="n">
        <v>0.0175</v>
      </c>
      <c r="U553" s="235" t="inlineStr">
        <is>
          <t>广银理财</t>
        </is>
      </c>
      <c r="V553" s="308" t="n">
        <v>0.58</v>
      </c>
    </row>
    <row r="554">
      <c r="A554" t="n">
        <v>47</v>
      </c>
      <c r="B554" t="inlineStr">
        <is>
          <t>4月</t>
        </is>
      </c>
      <c r="C554" t="inlineStr">
        <is>
          <t>企金</t>
        </is>
      </c>
      <c r="D554" t="inlineStr">
        <is>
          <t>京企贷</t>
        </is>
      </c>
      <c r="E554" t="inlineStr">
        <is>
          <t>盛澜1-3</t>
        </is>
      </c>
      <c r="F554" t="inlineStr">
        <is>
          <t>深交所</t>
        </is>
      </c>
      <c r="G554" t="inlineStr">
        <is>
          <t>华泰资管</t>
        </is>
      </c>
      <c r="H554" t="inlineStr">
        <is>
          <t>光大证券</t>
        </is>
      </c>
      <c r="I554" t="inlineStr">
        <is>
          <t>江苏北分</t>
        </is>
      </c>
      <c r="J554" t="n">
        <v>8</v>
      </c>
      <c r="K554" t="inlineStr">
        <is>
          <t>9+15</t>
        </is>
      </c>
      <c r="L554" s="309" t="n">
        <v>46139</v>
      </c>
      <c r="M554" t="n">
        <v>0.01445</v>
      </c>
      <c r="N554" t="n">
        <v>0.0199</v>
      </c>
      <c r="O554" t="n">
        <v>2.25</v>
      </c>
      <c r="P554" t="inlineStr">
        <is>
          <t>优先级</t>
        </is>
      </c>
      <c r="Q554" t="n">
        <v>0.9</v>
      </c>
      <c r="R554" t="n">
        <v>7.2</v>
      </c>
      <c r="S554" t="inlineStr">
        <is>
          <t>AAA</t>
        </is>
      </c>
      <c r="T554" t="n">
        <v>0.0175</v>
      </c>
      <c r="U554" s="235" t="inlineStr">
        <is>
          <t>华泰证券自营</t>
        </is>
      </c>
      <c r="V554" s="308" t="n">
        <v>0.3</v>
      </c>
    </row>
    <row r="555">
      <c r="A555" t="n">
        <v>47</v>
      </c>
      <c r="B555" t="inlineStr">
        <is>
          <t>4月</t>
        </is>
      </c>
      <c r="C555" t="inlineStr">
        <is>
          <t>企金</t>
        </is>
      </c>
      <c r="D555" t="inlineStr">
        <is>
          <t>京企贷</t>
        </is>
      </c>
      <c r="E555" t="inlineStr">
        <is>
          <t>盛澜1-3</t>
        </is>
      </c>
      <c r="F555" t="inlineStr">
        <is>
          <t>深交所</t>
        </is>
      </c>
      <c r="G555" t="inlineStr">
        <is>
          <t>华泰资管</t>
        </is>
      </c>
      <c r="H555" t="inlineStr">
        <is>
          <t>光大证券</t>
        </is>
      </c>
      <c r="I555" t="inlineStr">
        <is>
          <t>江苏北分</t>
        </is>
      </c>
      <c r="J555" t="n">
        <v>8</v>
      </c>
      <c r="K555" t="inlineStr">
        <is>
          <t>9+15</t>
        </is>
      </c>
      <c r="L555" s="309" t="n">
        <v>46139</v>
      </c>
      <c r="M555" t="n">
        <v>0.01445</v>
      </c>
      <c r="N555" t="n">
        <v>0.0199</v>
      </c>
      <c r="O555" t="n">
        <v>2.25</v>
      </c>
      <c r="P555" t="inlineStr">
        <is>
          <t>优先级</t>
        </is>
      </c>
      <c r="Q555" t="n">
        <v>0.9</v>
      </c>
      <c r="R555" t="n">
        <v>7.2</v>
      </c>
      <c r="S555" t="inlineStr">
        <is>
          <t>AAA</t>
        </is>
      </c>
      <c r="T555" t="n">
        <v>0.0175</v>
      </c>
      <c r="U555" s="235" t="inlineStr">
        <is>
          <t>华泰资管</t>
        </is>
      </c>
      <c r="V555" s="308" t="n">
        <v>0.4</v>
      </c>
    </row>
    <row r="556">
      <c r="A556" t="n">
        <v>47</v>
      </c>
      <c r="B556" t="inlineStr">
        <is>
          <t>4月</t>
        </is>
      </c>
      <c r="C556" t="inlineStr">
        <is>
          <t>企金</t>
        </is>
      </c>
      <c r="D556" t="inlineStr">
        <is>
          <t>京企贷</t>
        </is>
      </c>
      <c r="E556" t="inlineStr">
        <is>
          <t>盛澜1-3</t>
        </is>
      </c>
      <c r="F556" t="inlineStr">
        <is>
          <t>深交所</t>
        </is>
      </c>
      <c r="G556" t="inlineStr">
        <is>
          <t>华泰资管</t>
        </is>
      </c>
      <c r="H556" t="inlineStr">
        <is>
          <t>光大证券</t>
        </is>
      </c>
      <c r="I556" t="inlineStr">
        <is>
          <t>江苏北分</t>
        </is>
      </c>
      <c r="J556" t="n">
        <v>8</v>
      </c>
      <c r="K556" t="inlineStr">
        <is>
          <t>9+15</t>
        </is>
      </c>
      <c r="L556" s="309" t="n">
        <v>46139</v>
      </c>
      <c r="M556" t="n">
        <v>0.01445</v>
      </c>
      <c r="N556" t="n">
        <v>0.0199</v>
      </c>
      <c r="O556" t="n">
        <v>2.25</v>
      </c>
      <c r="P556" t="inlineStr">
        <is>
          <t>优先级</t>
        </is>
      </c>
      <c r="Q556" t="n">
        <v>0.9</v>
      </c>
      <c r="R556" t="n">
        <v>7.2</v>
      </c>
      <c r="S556" t="inlineStr">
        <is>
          <t>AAA</t>
        </is>
      </c>
      <c r="T556" t="n">
        <v>0.0175</v>
      </c>
      <c r="U556" s="235" t="inlineStr">
        <is>
          <t>光大证券投行</t>
        </is>
      </c>
      <c r="V556" s="308" t="n">
        <v>1.1</v>
      </c>
    </row>
    <row r="557">
      <c r="A557" t="n">
        <v>47</v>
      </c>
      <c r="B557" t="inlineStr">
        <is>
          <t>4月</t>
        </is>
      </c>
      <c r="C557" t="inlineStr">
        <is>
          <t>企金</t>
        </is>
      </c>
      <c r="D557" t="inlineStr">
        <is>
          <t>京企贷</t>
        </is>
      </c>
      <c r="E557" t="inlineStr">
        <is>
          <t>盛澜1-3</t>
        </is>
      </c>
      <c r="F557" t="inlineStr">
        <is>
          <t>深交所</t>
        </is>
      </c>
      <c r="G557" t="inlineStr">
        <is>
          <t>华泰资管</t>
        </is>
      </c>
      <c r="H557" t="inlineStr">
        <is>
          <t>光大证券</t>
        </is>
      </c>
      <c r="I557" t="inlineStr">
        <is>
          <t>江苏北分</t>
        </is>
      </c>
      <c r="J557" t="n">
        <v>8</v>
      </c>
      <c r="K557" t="inlineStr">
        <is>
          <t>9+15</t>
        </is>
      </c>
      <c r="L557" s="309" t="n">
        <v>46139</v>
      </c>
      <c r="M557" t="n">
        <v>0.01445</v>
      </c>
      <c r="N557" t="n">
        <v>0.0199</v>
      </c>
      <c r="O557" t="n">
        <v>2.25</v>
      </c>
      <c r="P557" s="220" t="inlineStr">
        <is>
          <t>中间级</t>
        </is>
      </c>
      <c r="Q557" s="221" t="n">
        <v>0.05</v>
      </c>
      <c r="R557" s="308" t="n">
        <v>0.4</v>
      </c>
      <c r="S557" s="221" t="inlineStr">
        <is>
          <t>A+</t>
        </is>
      </c>
      <c r="T557" s="221" t="n">
        <v>0.031</v>
      </c>
      <c r="U557" s="235" t="inlineStr">
        <is>
          <t>盛际小贷</t>
        </is>
      </c>
      <c r="V557" s="308" t="n">
        <v>0.02</v>
      </c>
    </row>
    <row r="558">
      <c r="A558" t="n">
        <v>47</v>
      </c>
      <c r="B558" t="inlineStr">
        <is>
          <t>4月</t>
        </is>
      </c>
      <c r="C558" t="inlineStr">
        <is>
          <t>企金</t>
        </is>
      </c>
      <c r="D558" t="inlineStr">
        <is>
          <t>京企贷</t>
        </is>
      </c>
      <c r="E558" t="inlineStr">
        <is>
          <t>盛澜1-3</t>
        </is>
      </c>
      <c r="F558" t="inlineStr">
        <is>
          <t>深交所</t>
        </is>
      </c>
      <c r="G558" t="inlineStr">
        <is>
          <t>华泰资管</t>
        </is>
      </c>
      <c r="H558" t="inlineStr">
        <is>
          <t>光大证券</t>
        </is>
      </c>
      <c r="I558" t="inlineStr">
        <is>
          <t>江苏北分</t>
        </is>
      </c>
      <c r="J558" t="n">
        <v>8</v>
      </c>
      <c r="K558" t="inlineStr">
        <is>
          <t>9+15</t>
        </is>
      </c>
      <c r="L558" s="309" t="n">
        <v>46139</v>
      </c>
      <c r="M558" t="n">
        <v>0.01445</v>
      </c>
      <c r="N558" t="n">
        <v>0.0199</v>
      </c>
      <c r="O558" t="n">
        <v>2.25</v>
      </c>
      <c r="P558" t="inlineStr">
        <is>
          <t>中间级</t>
        </is>
      </c>
      <c r="Q558" t="n">
        <v>0.05</v>
      </c>
      <c r="R558" t="n">
        <v>0.4</v>
      </c>
      <c r="S558" t="inlineStr">
        <is>
          <t>A+</t>
        </is>
      </c>
      <c r="T558" t="n">
        <v>0.031</v>
      </c>
      <c r="U558" s="235" t="inlineStr">
        <is>
          <t>建信信托</t>
        </is>
      </c>
      <c r="V558" s="308" t="n">
        <v>0.1</v>
      </c>
    </row>
    <row r="559">
      <c r="A559" t="n">
        <v>47</v>
      </c>
      <c r="B559" t="inlineStr">
        <is>
          <t>4月</t>
        </is>
      </c>
      <c r="C559" t="inlineStr">
        <is>
          <t>企金</t>
        </is>
      </c>
      <c r="D559" t="inlineStr">
        <is>
          <t>京企贷</t>
        </is>
      </c>
      <c r="E559" t="inlineStr">
        <is>
          <t>盛澜1-3</t>
        </is>
      </c>
      <c r="F559" t="inlineStr">
        <is>
          <t>深交所</t>
        </is>
      </c>
      <c r="G559" t="inlineStr">
        <is>
          <t>华泰资管</t>
        </is>
      </c>
      <c r="H559" t="inlineStr">
        <is>
          <t>光大证券</t>
        </is>
      </c>
      <c r="I559" t="inlineStr">
        <is>
          <t>江苏北分</t>
        </is>
      </c>
      <c r="J559" t="n">
        <v>8</v>
      </c>
      <c r="K559" t="inlineStr">
        <is>
          <t>9+15</t>
        </is>
      </c>
      <c r="L559" s="309" t="n">
        <v>46139</v>
      </c>
      <c r="M559" t="n">
        <v>0.01445</v>
      </c>
      <c r="N559" t="n">
        <v>0.0199</v>
      </c>
      <c r="O559" t="n">
        <v>2.25</v>
      </c>
      <c r="P559" t="inlineStr">
        <is>
          <t>中间级</t>
        </is>
      </c>
      <c r="Q559" t="n">
        <v>0.05</v>
      </c>
      <c r="R559" t="n">
        <v>0.4</v>
      </c>
      <c r="S559" t="inlineStr">
        <is>
          <t>A+</t>
        </is>
      </c>
      <c r="T559" t="n">
        <v>0.031</v>
      </c>
      <c r="U559" s="235" t="inlineStr">
        <is>
          <t>国泰海通自营</t>
        </is>
      </c>
      <c r="V559" s="310" t="n">
        <v>0.18</v>
      </c>
    </row>
    <row r="560">
      <c r="A560" t="n">
        <v>47</v>
      </c>
      <c r="B560" t="inlineStr">
        <is>
          <t>4月</t>
        </is>
      </c>
      <c r="C560" t="inlineStr">
        <is>
          <t>企金</t>
        </is>
      </c>
      <c r="D560" t="inlineStr">
        <is>
          <t>京企贷</t>
        </is>
      </c>
      <c r="E560" t="inlineStr">
        <is>
          <t>盛澜1-3</t>
        </is>
      </c>
      <c r="F560" t="inlineStr">
        <is>
          <t>深交所</t>
        </is>
      </c>
      <c r="G560" t="inlineStr">
        <is>
          <t>华泰资管</t>
        </is>
      </c>
      <c r="H560" t="inlineStr">
        <is>
          <t>光大证券</t>
        </is>
      </c>
      <c r="I560" t="inlineStr">
        <is>
          <t>江苏北分</t>
        </is>
      </c>
      <c r="J560" t="n">
        <v>8</v>
      </c>
      <c r="K560" t="inlineStr">
        <is>
          <t>9+15</t>
        </is>
      </c>
      <c r="L560" s="309" t="n">
        <v>46139</v>
      </c>
      <c r="M560" t="n">
        <v>0.01445</v>
      </c>
      <c r="N560" t="n">
        <v>0.0199</v>
      </c>
      <c r="O560" t="n">
        <v>2.25</v>
      </c>
      <c r="P560" t="inlineStr">
        <is>
          <t>中间级</t>
        </is>
      </c>
      <c r="Q560" t="n">
        <v>0.05</v>
      </c>
      <c r="R560" t="n">
        <v>0.4</v>
      </c>
      <c r="S560" t="inlineStr">
        <is>
          <t>A+</t>
        </is>
      </c>
      <c r="T560" t="n">
        <v>0.031</v>
      </c>
      <c r="U560" s="235" t="inlineStr">
        <is>
          <t>国联证券投行</t>
        </is>
      </c>
      <c r="V560" s="308" t="n">
        <v>0.1</v>
      </c>
    </row>
    <row r="561">
      <c r="A561" t="n">
        <v>47</v>
      </c>
      <c r="B561" t="inlineStr">
        <is>
          <t>4月</t>
        </is>
      </c>
      <c r="C561" t="inlineStr">
        <is>
          <t>企金</t>
        </is>
      </c>
      <c r="D561" t="inlineStr">
        <is>
          <t>京企贷</t>
        </is>
      </c>
      <c r="E561" t="inlineStr">
        <is>
          <t>盛澜1-3</t>
        </is>
      </c>
      <c r="F561" t="inlineStr">
        <is>
          <t>深交所</t>
        </is>
      </c>
      <c r="G561" t="inlineStr">
        <is>
          <t>华泰资管</t>
        </is>
      </c>
      <c r="H561" t="inlineStr">
        <is>
          <t>光大证券</t>
        </is>
      </c>
      <c r="I561" t="inlineStr">
        <is>
          <t>江苏北分</t>
        </is>
      </c>
      <c r="J561" t="n">
        <v>8</v>
      </c>
      <c r="K561" t="inlineStr">
        <is>
          <t>9+15</t>
        </is>
      </c>
      <c r="L561" s="309" t="n">
        <v>46139</v>
      </c>
      <c r="M561" t="n">
        <v>0.01445</v>
      </c>
      <c r="N561" t="n">
        <v>0.0199</v>
      </c>
      <c r="O561" t="n">
        <v>2.25</v>
      </c>
      <c r="P561" s="220" t="inlineStr">
        <is>
          <t>次级</t>
        </is>
      </c>
      <c r="Q561" s="221" t="n">
        <v>0.05</v>
      </c>
      <c r="R561" s="308" t="n">
        <v>0.4</v>
      </c>
      <c r="S561" s="221" t="inlineStr">
        <is>
          <t>无</t>
        </is>
      </c>
      <c r="T561" s="221" t="n">
        <v>0.0455</v>
      </c>
      <c r="U561" s="235" t="inlineStr">
        <is>
          <t>盛际小贷</t>
        </is>
      </c>
      <c r="V561" s="308" t="n">
        <v>0.02</v>
      </c>
    </row>
    <row r="562">
      <c r="A562" t="n">
        <v>47</v>
      </c>
      <c r="B562" t="inlineStr">
        <is>
          <t>4月</t>
        </is>
      </c>
      <c r="C562" t="inlineStr">
        <is>
          <t>企金</t>
        </is>
      </c>
      <c r="D562" t="inlineStr">
        <is>
          <t>京企贷</t>
        </is>
      </c>
      <c r="E562" t="inlineStr">
        <is>
          <t>盛澜1-3</t>
        </is>
      </c>
      <c r="F562" t="inlineStr">
        <is>
          <t>深交所</t>
        </is>
      </c>
      <c r="G562" t="inlineStr">
        <is>
          <t>华泰资管</t>
        </is>
      </c>
      <c r="H562" t="inlineStr">
        <is>
          <t>光大证券</t>
        </is>
      </c>
      <c r="I562" t="inlineStr">
        <is>
          <t>江苏北分</t>
        </is>
      </c>
      <c r="J562" t="n">
        <v>8</v>
      </c>
      <c r="K562" t="inlineStr">
        <is>
          <t>9+15</t>
        </is>
      </c>
      <c r="L562" s="309" t="n">
        <v>46139</v>
      </c>
      <c r="M562" t="n">
        <v>0.01445</v>
      </c>
      <c r="N562" t="n">
        <v>0.0199</v>
      </c>
      <c r="O562" t="n">
        <v>2.25</v>
      </c>
      <c r="P562" t="inlineStr">
        <is>
          <t>次级</t>
        </is>
      </c>
      <c r="Q562" t="n">
        <v>0.05</v>
      </c>
      <c r="R562" t="n">
        <v>0.4</v>
      </c>
      <c r="S562" t="inlineStr">
        <is>
          <t>无</t>
        </is>
      </c>
      <c r="T562" t="n">
        <v>0.0455</v>
      </c>
      <c r="U562" s="235" t="inlineStr">
        <is>
          <t>东家铂睿</t>
        </is>
      </c>
      <c r="V562" s="308" t="n">
        <v>0.09</v>
      </c>
    </row>
    <row r="563">
      <c r="A563" t="n">
        <v>47</v>
      </c>
      <c r="B563" t="inlineStr">
        <is>
          <t>4月</t>
        </is>
      </c>
      <c r="C563" t="inlineStr">
        <is>
          <t>企金</t>
        </is>
      </c>
      <c r="D563" t="inlineStr">
        <is>
          <t>京企贷</t>
        </is>
      </c>
      <c r="E563" t="inlineStr">
        <is>
          <t>盛澜1-3</t>
        </is>
      </c>
      <c r="F563" t="inlineStr">
        <is>
          <t>深交所</t>
        </is>
      </c>
      <c r="G563" t="inlineStr">
        <is>
          <t>华泰资管</t>
        </is>
      </c>
      <c r="H563" t="inlineStr">
        <is>
          <t>光大证券</t>
        </is>
      </c>
      <c r="I563" t="inlineStr">
        <is>
          <t>江苏北分</t>
        </is>
      </c>
      <c r="J563" t="n">
        <v>8</v>
      </c>
      <c r="K563" t="inlineStr">
        <is>
          <t>9+15</t>
        </is>
      </c>
      <c r="L563" s="309" t="n">
        <v>46139</v>
      </c>
      <c r="M563" t="n">
        <v>0.01445</v>
      </c>
      <c r="N563" t="n">
        <v>0.0199</v>
      </c>
      <c r="O563" t="n">
        <v>2.25</v>
      </c>
      <c r="P563" t="inlineStr">
        <is>
          <t>次级</t>
        </is>
      </c>
      <c r="Q563" t="n">
        <v>0.05</v>
      </c>
      <c r="R563" t="n">
        <v>0.4</v>
      </c>
      <c r="S563" t="inlineStr">
        <is>
          <t>无</t>
        </is>
      </c>
      <c r="T563" t="n">
        <v>0.0455</v>
      </c>
      <c r="U563" s="235" t="inlineStr">
        <is>
          <t>青岸投资</t>
        </is>
      </c>
      <c r="V563" s="308" t="n">
        <v>0.18</v>
      </c>
    </row>
    <row r="564">
      <c r="A564" t="n">
        <v>47</v>
      </c>
      <c r="B564" t="inlineStr">
        <is>
          <t>4月</t>
        </is>
      </c>
      <c r="C564" t="inlineStr">
        <is>
          <t>企金</t>
        </is>
      </c>
      <c r="D564" t="inlineStr">
        <is>
          <t>京企贷</t>
        </is>
      </c>
      <c r="E564" t="inlineStr">
        <is>
          <t>盛澜1-3</t>
        </is>
      </c>
      <c r="F564" t="inlineStr">
        <is>
          <t>深交所</t>
        </is>
      </c>
      <c r="G564" t="inlineStr">
        <is>
          <t>华泰资管</t>
        </is>
      </c>
      <c r="H564" t="inlineStr">
        <is>
          <t>光大证券</t>
        </is>
      </c>
      <c r="I564" t="inlineStr">
        <is>
          <t>江苏北分</t>
        </is>
      </c>
      <c r="J564" t="n">
        <v>8</v>
      </c>
      <c r="K564" t="inlineStr">
        <is>
          <t>9+15</t>
        </is>
      </c>
      <c r="L564" s="309" t="n">
        <v>46139</v>
      </c>
      <c r="M564" t="n">
        <v>0.01445</v>
      </c>
      <c r="N564" t="n">
        <v>0.0199</v>
      </c>
      <c r="O564" t="n">
        <v>2.25</v>
      </c>
      <c r="P564" t="inlineStr">
        <is>
          <t>次级</t>
        </is>
      </c>
      <c r="Q564" t="n">
        <v>0.05</v>
      </c>
      <c r="R564" t="n">
        <v>0.4</v>
      </c>
      <c r="S564" t="inlineStr">
        <is>
          <t>无</t>
        </is>
      </c>
      <c r="T564" t="n">
        <v>0.0455</v>
      </c>
      <c r="U564" s="252" t="inlineStr">
        <is>
          <t>利曦基金</t>
        </is>
      </c>
      <c r="V564" s="308" t="n">
        <v>0.11</v>
      </c>
    </row>
    <row r="565">
      <c r="A565" s="223" t="n">
        <v>48</v>
      </c>
      <c r="B565" s="220" t="inlineStr">
        <is>
          <t>4月</t>
        </is>
      </c>
      <c r="C565" s="220" t="inlineStr">
        <is>
          <t>消金</t>
        </is>
      </c>
      <c r="D565" s="220" t="inlineStr">
        <is>
          <t>金条&amp;白取&amp;信托白条混发</t>
        </is>
      </c>
      <c r="E565" s="223" t="inlineStr">
        <is>
          <t>云泓76号</t>
        </is>
      </c>
      <c r="F565" s="220" t="inlineStr">
        <is>
          <t>平层非标</t>
        </is>
      </c>
      <c r="G565" s="44" t="inlineStr">
        <is>
          <t>云南信托</t>
        </is>
      </c>
      <c r="H565" s="220" t="inlineStr">
        <is>
          <t>-</t>
        </is>
      </c>
      <c r="I565" s="223" t="inlineStr">
        <is>
          <t>南银北分</t>
        </is>
      </c>
      <c r="J565" s="44" t="n">
        <v>20</v>
      </c>
      <c r="K565" s="44" t="inlineStr">
        <is>
          <t>11+1</t>
        </is>
      </c>
      <c r="L565" s="224" t="n">
        <v>46142</v>
      </c>
      <c r="M565" s="225" t="n">
        <v>0.01445</v>
      </c>
      <c r="N565" s="311" t="n">
        <v>0.02455</v>
      </c>
      <c r="O565" s="226" t="inlineStr">
        <is>
          <t>-</t>
        </is>
      </c>
      <c r="P565" s="220" t="inlineStr">
        <is>
          <t>平层</t>
        </is>
      </c>
      <c r="Q565" s="221" t="n">
        <v>1</v>
      </c>
      <c r="R565" s="220" t="n">
        <v>20</v>
      </c>
      <c r="S565" s="220" t="inlineStr">
        <is>
          <t>无</t>
        </is>
      </c>
      <c r="T565" s="225" t="n">
        <v>0.023</v>
      </c>
      <c r="U565" s="24" t="inlineStr">
        <is>
          <t>南银理财</t>
        </is>
      </c>
      <c r="V565" s="44" t="n">
        <v>20</v>
      </c>
    </row>
    <row r="566">
      <c r="A566" s="223" t="n">
        <v>49</v>
      </c>
      <c r="B566" s="220" t="inlineStr">
        <is>
          <t>4月</t>
        </is>
      </c>
      <c r="C566" s="220" t="inlineStr">
        <is>
          <t>消金</t>
        </is>
      </c>
      <c r="D566" s="220" t="inlineStr">
        <is>
          <t>信托金条</t>
        </is>
      </c>
      <c r="E566" s="44" t="inlineStr">
        <is>
          <t>栗泽21号</t>
        </is>
      </c>
      <c r="F566" s="220" t="inlineStr">
        <is>
          <t>平层非标</t>
        </is>
      </c>
      <c r="G566" s="44" t="inlineStr">
        <is>
          <t>中粮信托</t>
        </is>
      </c>
      <c r="H566" s="220" t="inlineStr">
        <is>
          <t>-</t>
        </is>
      </c>
      <c r="I566" s="223" t="inlineStr">
        <is>
          <t>兴银北分</t>
        </is>
      </c>
      <c r="J566" s="44" t="n">
        <v>10</v>
      </c>
      <c r="K566" s="44" t="inlineStr">
        <is>
          <t>11+1</t>
        </is>
      </c>
      <c r="L566" s="224" t="n">
        <v>46142</v>
      </c>
      <c r="M566" s="225" t="n">
        <v>0.01445</v>
      </c>
      <c r="N566" s="311" t="n">
        <v>0.02425</v>
      </c>
      <c r="O566" s="226" t="inlineStr">
        <is>
          <t>-</t>
        </is>
      </c>
      <c r="P566" s="220" t="inlineStr">
        <is>
          <t>平层</t>
        </is>
      </c>
      <c r="Q566" s="221" t="n">
        <v>1</v>
      </c>
      <c r="R566" s="220" t="n">
        <v>10</v>
      </c>
      <c r="S566" s="220" t="inlineStr">
        <is>
          <t>无</t>
        </is>
      </c>
      <c r="T566" s="225" t="n">
        <v>0.0227</v>
      </c>
      <c r="U566" s="24" t="inlineStr">
        <is>
          <t>兴银理财</t>
        </is>
      </c>
      <c r="V566" s="44" t="n">
        <v>10</v>
      </c>
    </row>
    <row r="567">
      <c r="A567" s="223" t="n">
        <v>50</v>
      </c>
      <c r="B567" s="220" t="inlineStr">
        <is>
          <t>4月</t>
        </is>
      </c>
      <c r="C567" s="220" t="inlineStr">
        <is>
          <t>消金</t>
        </is>
      </c>
      <c r="D567" s="220" t="inlineStr">
        <is>
          <t>金条&amp;白取混发</t>
        </is>
      </c>
      <c r="E567" s="44" t="inlineStr">
        <is>
          <t>云虹24号</t>
        </is>
      </c>
      <c r="F567" s="220" t="inlineStr">
        <is>
          <t>平层非标</t>
        </is>
      </c>
      <c r="G567" s="44" t="inlineStr">
        <is>
          <t>外贸信托</t>
        </is>
      </c>
      <c r="H567" s="220" t="inlineStr">
        <is>
          <t>-</t>
        </is>
      </c>
      <c r="I567" s="223" t="inlineStr">
        <is>
          <t>建行北分</t>
        </is>
      </c>
      <c r="J567" s="44" t="n">
        <v>15</v>
      </c>
      <c r="K567" s="44" t="inlineStr">
        <is>
          <t>11+13</t>
        </is>
      </c>
      <c r="L567" s="224" t="n">
        <v>46142</v>
      </c>
      <c r="M567" s="225" t="n">
        <v>0.01445</v>
      </c>
      <c r="N567" s="311" t="n">
        <v>0.02948</v>
      </c>
      <c r="O567" s="226" t="inlineStr">
        <is>
          <t>-</t>
        </is>
      </c>
      <c r="P567" s="220" t="inlineStr">
        <is>
          <t>结构化平层</t>
        </is>
      </c>
      <c r="Q567" s="221" t="n">
        <v>0.75</v>
      </c>
      <c r="R567" s="220" t="n">
        <v>11.5</v>
      </c>
      <c r="S567" s="220" t="inlineStr">
        <is>
          <t>无</t>
        </is>
      </c>
      <c r="T567" s="225" t="n">
        <v>0.0249</v>
      </c>
      <c r="U567" s="24" t="inlineStr">
        <is>
          <t>摩根大通</t>
        </is>
      </c>
      <c r="V567" s="44" t="n">
        <v>11.25</v>
      </c>
    </row>
    <row r="568">
      <c r="A568" t="n">
        <v>50</v>
      </c>
      <c r="B568" t="inlineStr">
        <is>
          <t>4月</t>
        </is>
      </c>
      <c r="C568" t="inlineStr">
        <is>
          <t>消金</t>
        </is>
      </c>
      <c r="D568" t="inlineStr">
        <is>
          <t>金条&amp;白取混发</t>
        </is>
      </c>
      <c r="E568" t="inlineStr">
        <is>
          <t>云虹24号</t>
        </is>
      </c>
      <c r="F568" t="inlineStr">
        <is>
          <t>平层非标</t>
        </is>
      </c>
      <c r="G568" t="inlineStr">
        <is>
          <t>外贸信托</t>
        </is>
      </c>
      <c r="H568" t="inlineStr">
        <is>
          <t>-</t>
        </is>
      </c>
      <c r="I568" t="inlineStr">
        <is>
          <t>建行北分</t>
        </is>
      </c>
      <c r="J568" t="n">
        <v>15</v>
      </c>
      <c r="K568" t="inlineStr">
        <is>
          <t>11+13</t>
        </is>
      </c>
      <c r="L568" s="309" t="n">
        <v>46142</v>
      </c>
      <c r="M568" t="n">
        <v>0.01445</v>
      </c>
      <c r="N568" t="n">
        <v>0.02948</v>
      </c>
      <c r="O568" t="inlineStr">
        <is>
          <t>-</t>
        </is>
      </c>
      <c r="P568" t="inlineStr">
        <is>
          <t>结构化平层</t>
        </is>
      </c>
      <c r="Q568" s="221" t="n">
        <v>0.25</v>
      </c>
      <c r="R568" s="220" t="n">
        <v>3.75</v>
      </c>
      <c r="S568" t="inlineStr">
        <is>
          <t>无</t>
        </is>
      </c>
      <c r="T568" s="225" t="n">
        <v>0.037</v>
      </c>
      <c r="U568" s="24" t="inlineStr">
        <is>
          <t>中信证券自营</t>
        </is>
      </c>
      <c r="V568" s="213" t="n">
        <v>1.9</v>
      </c>
    </row>
    <row r="569">
      <c r="A569" t="n">
        <v>50</v>
      </c>
      <c r="B569" t="inlineStr">
        <is>
          <t>4月</t>
        </is>
      </c>
      <c r="C569" t="inlineStr">
        <is>
          <t>消金</t>
        </is>
      </c>
      <c r="D569" t="inlineStr">
        <is>
          <t>金条&amp;白取混发</t>
        </is>
      </c>
      <c r="E569" t="inlineStr">
        <is>
          <t>云虹24号</t>
        </is>
      </c>
      <c r="F569" t="inlineStr">
        <is>
          <t>平层非标</t>
        </is>
      </c>
      <c r="G569" t="inlineStr">
        <is>
          <t>外贸信托</t>
        </is>
      </c>
      <c r="H569" t="inlineStr">
        <is>
          <t>-</t>
        </is>
      </c>
      <c r="I569" t="inlineStr">
        <is>
          <t>建行北分</t>
        </is>
      </c>
      <c r="J569" t="n">
        <v>15</v>
      </c>
      <c r="K569" t="inlineStr">
        <is>
          <t>11+13</t>
        </is>
      </c>
      <c r="L569" s="309" t="n">
        <v>46142</v>
      </c>
      <c r="M569" t="n">
        <v>0.01445</v>
      </c>
      <c r="N569" t="n">
        <v>0.02948</v>
      </c>
      <c r="O569" t="inlineStr">
        <is>
          <t>-</t>
        </is>
      </c>
      <c r="P569" t="inlineStr">
        <is>
          <t>结构化平层</t>
        </is>
      </c>
      <c r="Q569" t="n">
        <v>0.25</v>
      </c>
      <c r="R569" t="n">
        <v>3.75</v>
      </c>
      <c r="S569" t="inlineStr">
        <is>
          <t>无</t>
        </is>
      </c>
      <c r="T569" t="n">
        <v>0.037</v>
      </c>
      <c r="U569" s="24" t="inlineStr">
        <is>
          <t>中信建投衍生品</t>
        </is>
      </c>
      <c r="V569" s="44" t="n">
        <v>1.85</v>
      </c>
    </row>
    <row r="570">
      <c r="A570" s="223" t="n">
        <v>51</v>
      </c>
      <c r="B570" s="305" t="inlineStr">
        <is>
          <t>5月</t>
        </is>
      </c>
      <c r="C570" s="305" t="inlineStr">
        <is>
          <t>消金</t>
        </is>
      </c>
      <c r="D570" s="305" t="inlineStr">
        <is>
          <t>信托金条</t>
        </is>
      </c>
      <c r="E570" s="305" t="inlineStr">
        <is>
          <t>耘睿21-5（续发）</t>
        </is>
      </c>
      <c r="F570" s="305" t="inlineStr">
        <is>
          <t>上交所</t>
        </is>
      </c>
      <c r="G570" s="305" t="inlineStr">
        <is>
          <t>招商证券</t>
        </is>
      </c>
      <c r="H570" s="305" t="inlineStr">
        <is>
          <t>申万宏源资管</t>
        </is>
      </c>
      <c r="I570" s="305" t="inlineStr">
        <is>
          <t>光大重分</t>
        </is>
      </c>
      <c r="J570" s="245" t="n">
        <v>9.300000000000001</v>
      </c>
      <c r="K570" s="305" t="inlineStr">
        <is>
          <t>11+12</t>
        </is>
      </c>
      <c r="L570" s="246" t="n">
        <v>46148</v>
      </c>
      <c r="M570" s="247" t="n">
        <v>0.01445</v>
      </c>
      <c r="N570" s="306" t="n">
        <v>0.01982</v>
      </c>
      <c r="O570" s="245" t="n">
        <v>1.48</v>
      </c>
      <c r="P570" s="235" t="inlineStr">
        <is>
          <t>优先A</t>
        </is>
      </c>
      <c r="Q570" s="236" t="n">
        <v>0.9</v>
      </c>
      <c r="R570" s="307" t="n">
        <v>9</v>
      </c>
      <c r="S570" s="235" t="inlineStr">
        <is>
          <t>AAA</t>
        </is>
      </c>
      <c r="T570" s="236" t="n">
        <v>0.0165</v>
      </c>
      <c r="U570" s="235" t="inlineStr">
        <is>
          <t>中邮理财</t>
        </is>
      </c>
      <c r="V570" s="308" t="n">
        <v>2.3</v>
      </c>
    </row>
    <row r="571">
      <c r="A571" t="n">
        <v>51</v>
      </c>
      <c r="B571" t="inlineStr">
        <is>
          <t>5月</t>
        </is>
      </c>
      <c r="C571" t="inlineStr">
        <is>
          <t>消金</t>
        </is>
      </c>
      <c r="D571" t="inlineStr">
        <is>
          <t>信托金条</t>
        </is>
      </c>
      <c r="E571" t="inlineStr">
        <is>
          <t>耘睿21-5（续发）</t>
        </is>
      </c>
      <c r="F571" t="inlineStr">
        <is>
          <t>上交所</t>
        </is>
      </c>
      <c r="G571" t="inlineStr">
        <is>
          <t>招商证券</t>
        </is>
      </c>
      <c r="H571" t="inlineStr">
        <is>
          <t>申万宏源资管</t>
        </is>
      </c>
      <c r="I571" t="inlineStr">
        <is>
          <t>光大重分</t>
        </is>
      </c>
      <c r="J571" t="n">
        <v>9.300000000000001</v>
      </c>
      <c r="K571" t="inlineStr">
        <is>
          <t>11+12</t>
        </is>
      </c>
      <c r="L571" s="309" t="n">
        <v>46148</v>
      </c>
      <c r="M571" t="n">
        <v>0.01445</v>
      </c>
      <c r="N571" t="n">
        <v>0.01982</v>
      </c>
      <c r="O571" t="n">
        <v>1.48</v>
      </c>
      <c r="P571" t="inlineStr">
        <is>
          <t>优先A</t>
        </is>
      </c>
      <c r="Q571" t="n">
        <v>0.9</v>
      </c>
      <c r="R571" t="n">
        <v>9</v>
      </c>
      <c r="S571" t="inlineStr">
        <is>
          <t>AAA</t>
        </is>
      </c>
      <c r="T571" t="n">
        <v>0.0165</v>
      </c>
      <c r="U571" s="235" t="inlineStr">
        <is>
          <t>招商证券投行</t>
        </is>
      </c>
      <c r="V571" s="308" t="n">
        <v>0.2</v>
      </c>
    </row>
    <row r="572">
      <c r="A572" t="n">
        <v>51</v>
      </c>
      <c r="B572" t="inlineStr">
        <is>
          <t>5月</t>
        </is>
      </c>
      <c r="C572" t="inlineStr">
        <is>
          <t>消金</t>
        </is>
      </c>
      <c r="D572" t="inlineStr">
        <is>
          <t>信托金条</t>
        </is>
      </c>
      <c r="E572" t="inlineStr">
        <is>
          <t>耘睿21-5（续发）</t>
        </is>
      </c>
      <c r="F572" t="inlineStr">
        <is>
          <t>上交所</t>
        </is>
      </c>
      <c r="G572" t="inlineStr">
        <is>
          <t>招商证券</t>
        </is>
      </c>
      <c r="H572" t="inlineStr">
        <is>
          <t>申万宏源资管</t>
        </is>
      </c>
      <c r="I572" t="inlineStr">
        <is>
          <t>光大重分</t>
        </is>
      </c>
      <c r="J572" t="n">
        <v>9.300000000000001</v>
      </c>
      <c r="K572" t="inlineStr">
        <is>
          <t>11+12</t>
        </is>
      </c>
      <c r="L572" s="309" t="n">
        <v>46148</v>
      </c>
      <c r="M572" t="n">
        <v>0.01445</v>
      </c>
      <c r="N572" t="n">
        <v>0.01982</v>
      </c>
      <c r="O572" t="n">
        <v>1.48</v>
      </c>
      <c r="P572" t="inlineStr">
        <is>
          <t>优先A</t>
        </is>
      </c>
      <c r="Q572" t="n">
        <v>0.9</v>
      </c>
      <c r="R572" t="n">
        <v>9</v>
      </c>
      <c r="S572" t="inlineStr">
        <is>
          <t>AAA</t>
        </is>
      </c>
      <c r="T572" t="n">
        <v>0.0165</v>
      </c>
      <c r="U572" s="235" t="inlineStr">
        <is>
          <t>渝农商理财</t>
        </is>
      </c>
      <c r="V572" s="308" t="n">
        <v>1.1</v>
      </c>
    </row>
    <row r="573">
      <c r="A573" t="n">
        <v>51</v>
      </c>
      <c r="B573" t="inlineStr">
        <is>
          <t>5月</t>
        </is>
      </c>
      <c r="C573" t="inlineStr">
        <is>
          <t>消金</t>
        </is>
      </c>
      <c r="D573" t="inlineStr">
        <is>
          <t>信托金条</t>
        </is>
      </c>
      <c r="E573" t="inlineStr">
        <is>
          <t>耘睿21-5（续发）</t>
        </is>
      </c>
      <c r="F573" t="inlineStr">
        <is>
          <t>上交所</t>
        </is>
      </c>
      <c r="G573" t="inlineStr">
        <is>
          <t>招商证券</t>
        </is>
      </c>
      <c r="H573" t="inlineStr">
        <is>
          <t>申万宏源资管</t>
        </is>
      </c>
      <c r="I573" t="inlineStr">
        <is>
          <t>光大重分</t>
        </is>
      </c>
      <c r="J573" t="n">
        <v>9.300000000000001</v>
      </c>
      <c r="K573" t="inlineStr">
        <is>
          <t>11+12</t>
        </is>
      </c>
      <c r="L573" s="309" t="n">
        <v>46148</v>
      </c>
      <c r="M573" t="n">
        <v>0.01445</v>
      </c>
      <c r="N573" t="n">
        <v>0.01982</v>
      </c>
      <c r="O573" t="n">
        <v>1.48</v>
      </c>
      <c r="P573" t="inlineStr">
        <is>
          <t>优先A</t>
        </is>
      </c>
      <c r="Q573" t="n">
        <v>0.9</v>
      </c>
      <c r="R573" t="n">
        <v>9</v>
      </c>
      <c r="S573" t="inlineStr">
        <is>
          <t>AAA</t>
        </is>
      </c>
      <c r="T573" t="n">
        <v>0.0165</v>
      </c>
      <c r="U573" s="235" t="inlineStr">
        <is>
          <t>申万宏源资管</t>
        </is>
      </c>
      <c r="V573" s="308" t="n">
        <v>0.2</v>
      </c>
    </row>
    <row r="574">
      <c r="A574" t="n">
        <v>51</v>
      </c>
      <c r="B574" t="inlineStr">
        <is>
          <t>5月</t>
        </is>
      </c>
      <c r="C574" t="inlineStr">
        <is>
          <t>消金</t>
        </is>
      </c>
      <c r="D574" t="inlineStr">
        <is>
          <t>信托金条</t>
        </is>
      </c>
      <c r="E574" t="inlineStr">
        <is>
          <t>耘睿21-5（续发）</t>
        </is>
      </c>
      <c r="F574" t="inlineStr">
        <is>
          <t>上交所</t>
        </is>
      </c>
      <c r="G574" t="inlineStr">
        <is>
          <t>招商证券</t>
        </is>
      </c>
      <c r="H574" t="inlineStr">
        <is>
          <t>申万宏源资管</t>
        </is>
      </c>
      <c r="I574" t="inlineStr">
        <is>
          <t>光大重分</t>
        </is>
      </c>
      <c r="J574" t="n">
        <v>9.300000000000001</v>
      </c>
      <c r="K574" t="inlineStr">
        <is>
          <t>11+12</t>
        </is>
      </c>
      <c r="L574" s="309" t="n">
        <v>46148</v>
      </c>
      <c r="M574" t="n">
        <v>0.01445</v>
      </c>
      <c r="N574" t="n">
        <v>0.01982</v>
      </c>
      <c r="O574" t="n">
        <v>1.48</v>
      </c>
      <c r="P574" t="inlineStr">
        <is>
          <t>优先A</t>
        </is>
      </c>
      <c r="Q574" t="n">
        <v>0.9</v>
      </c>
      <c r="R574" t="n">
        <v>9</v>
      </c>
      <c r="S574" t="inlineStr">
        <is>
          <t>AAA</t>
        </is>
      </c>
      <c r="T574" t="n">
        <v>0.0165</v>
      </c>
      <c r="U574" s="235" t="inlineStr">
        <is>
          <t>建信理财</t>
        </is>
      </c>
      <c r="V574" s="308" t="n">
        <v>2.7</v>
      </c>
    </row>
    <row r="575">
      <c r="A575" t="n">
        <v>51</v>
      </c>
      <c r="B575" t="inlineStr">
        <is>
          <t>5月</t>
        </is>
      </c>
      <c r="C575" t="inlineStr">
        <is>
          <t>消金</t>
        </is>
      </c>
      <c r="D575" t="inlineStr">
        <is>
          <t>信托金条</t>
        </is>
      </c>
      <c r="E575" t="inlineStr">
        <is>
          <t>耘睿21-5（续发）</t>
        </is>
      </c>
      <c r="F575" t="inlineStr">
        <is>
          <t>上交所</t>
        </is>
      </c>
      <c r="G575" t="inlineStr">
        <is>
          <t>招商证券</t>
        </is>
      </c>
      <c r="H575" t="inlineStr">
        <is>
          <t>申万宏源资管</t>
        </is>
      </c>
      <c r="I575" t="inlineStr">
        <is>
          <t>光大重分</t>
        </is>
      </c>
      <c r="J575" t="n">
        <v>9.300000000000001</v>
      </c>
      <c r="K575" t="inlineStr">
        <is>
          <t>11+12</t>
        </is>
      </c>
      <c r="L575" s="309" t="n">
        <v>46148</v>
      </c>
      <c r="M575" t="n">
        <v>0.01445</v>
      </c>
      <c r="N575" t="n">
        <v>0.01982</v>
      </c>
      <c r="O575" t="n">
        <v>1.48</v>
      </c>
      <c r="P575" t="inlineStr">
        <is>
          <t>优先A</t>
        </is>
      </c>
      <c r="Q575" t="n">
        <v>0.9</v>
      </c>
      <c r="R575" t="n">
        <v>9</v>
      </c>
      <c r="S575" t="inlineStr">
        <is>
          <t>AAA</t>
        </is>
      </c>
      <c r="T575" t="n">
        <v>0.0165</v>
      </c>
      <c r="U575" s="235" t="inlineStr">
        <is>
          <t>杭州联合银行</t>
        </is>
      </c>
      <c r="V575" s="308" t="n">
        <v>1</v>
      </c>
    </row>
    <row r="576">
      <c r="A576" t="n">
        <v>51</v>
      </c>
      <c r="B576" t="inlineStr">
        <is>
          <t>5月</t>
        </is>
      </c>
      <c r="C576" t="inlineStr">
        <is>
          <t>消金</t>
        </is>
      </c>
      <c r="D576" t="inlineStr">
        <is>
          <t>信托金条</t>
        </is>
      </c>
      <c r="E576" t="inlineStr">
        <is>
          <t>耘睿21-5（续发）</t>
        </is>
      </c>
      <c r="F576" t="inlineStr">
        <is>
          <t>上交所</t>
        </is>
      </c>
      <c r="G576" t="inlineStr">
        <is>
          <t>招商证券</t>
        </is>
      </c>
      <c r="H576" t="inlineStr">
        <is>
          <t>申万宏源资管</t>
        </is>
      </c>
      <c r="I576" t="inlineStr">
        <is>
          <t>光大重分</t>
        </is>
      </c>
      <c r="J576" t="n">
        <v>9.300000000000001</v>
      </c>
      <c r="K576" t="inlineStr">
        <is>
          <t>11+12</t>
        </is>
      </c>
      <c r="L576" s="309" t="n">
        <v>46148</v>
      </c>
      <c r="M576" t="n">
        <v>0.01445</v>
      </c>
      <c r="N576" t="n">
        <v>0.01982</v>
      </c>
      <c r="O576" t="n">
        <v>1.48</v>
      </c>
      <c r="P576" t="inlineStr">
        <is>
          <t>优先A</t>
        </is>
      </c>
      <c r="Q576" t="n">
        <v>0.9</v>
      </c>
      <c r="R576" t="n">
        <v>9</v>
      </c>
      <c r="S576" t="inlineStr">
        <is>
          <t>AAA</t>
        </is>
      </c>
      <c r="T576" t="n">
        <v>0.0165</v>
      </c>
      <c r="U576" s="235" t="inlineStr">
        <is>
          <t>广银理财</t>
        </is>
      </c>
      <c r="V576" s="308" t="n">
        <v>1</v>
      </c>
    </row>
    <row r="577">
      <c r="A577" t="n">
        <v>51</v>
      </c>
      <c r="B577" t="inlineStr">
        <is>
          <t>5月</t>
        </is>
      </c>
      <c r="C577" t="inlineStr">
        <is>
          <t>消金</t>
        </is>
      </c>
      <c r="D577" t="inlineStr">
        <is>
          <t>信托金条</t>
        </is>
      </c>
      <c r="E577" t="inlineStr">
        <is>
          <t>耘睿21-5（续发）</t>
        </is>
      </c>
      <c r="F577" t="inlineStr">
        <is>
          <t>上交所</t>
        </is>
      </c>
      <c r="G577" t="inlineStr">
        <is>
          <t>招商证券</t>
        </is>
      </c>
      <c r="H577" t="inlineStr">
        <is>
          <t>申万宏源资管</t>
        </is>
      </c>
      <c r="I577" t="inlineStr">
        <is>
          <t>光大重分</t>
        </is>
      </c>
      <c r="J577" t="n">
        <v>9.300000000000001</v>
      </c>
      <c r="K577" t="inlineStr">
        <is>
          <t>11+12</t>
        </is>
      </c>
      <c r="L577" s="309" t="n">
        <v>46148</v>
      </c>
      <c r="M577" t="n">
        <v>0.01445</v>
      </c>
      <c r="N577" t="n">
        <v>0.01982</v>
      </c>
      <c r="O577" t="n">
        <v>1.48</v>
      </c>
      <c r="P577" t="inlineStr">
        <is>
          <t>优先A</t>
        </is>
      </c>
      <c r="Q577" t="n">
        <v>0.9</v>
      </c>
      <c r="R577" t="n">
        <v>9</v>
      </c>
      <c r="S577" t="inlineStr">
        <is>
          <t>AAA</t>
        </is>
      </c>
      <c r="T577" t="n">
        <v>0.0165</v>
      </c>
      <c r="U577" s="235" t="inlineStr">
        <is>
          <t>工银瑞信基金</t>
        </is>
      </c>
      <c r="V577" s="308" t="n">
        <v>0.5</v>
      </c>
    </row>
    <row r="578">
      <c r="A578" t="n">
        <v>51</v>
      </c>
      <c r="B578" t="inlineStr">
        <is>
          <t>5月</t>
        </is>
      </c>
      <c r="C578" t="inlineStr">
        <is>
          <t>消金</t>
        </is>
      </c>
      <c r="D578" t="inlineStr">
        <is>
          <t>信托金条</t>
        </is>
      </c>
      <c r="E578" t="inlineStr">
        <is>
          <t>耘睿21-5（续发）</t>
        </is>
      </c>
      <c r="F578" t="inlineStr">
        <is>
          <t>上交所</t>
        </is>
      </c>
      <c r="G578" t="inlineStr">
        <is>
          <t>招商证券</t>
        </is>
      </c>
      <c r="H578" t="inlineStr">
        <is>
          <t>申万宏源资管</t>
        </is>
      </c>
      <c r="I578" t="inlineStr">
        <is>
          <t>光大重分</t>
        </is>
      </c>
      <c r="J578" t="n">
        <v>9.300000000000001</v>
      </c>
      <c r="K578" t="inlineStr">
        <is>
          <t>11+12</t>
        </is>
      </c>
      <c r="L578" s="309" t="n">
        <v>46148</v>
      </c>
      <c r="M578" t="n">
        <v>0.01445</v>
      </c>
      <c r="N578" t="n">
        <v>0.01982</v>
      </c>
      <c r="O578" t="n">
        <v>1.48</v>
      </c>
      <c r="P578" s="235" t="inlineStr">
        <is>
          <t>优先B</t>
        </is>
      </c>
      <c r="Q578" s="236" t="n">
        <v>0.03</v>
      </c>
      <c r="R578" s="307" t="n">
        <v>0.3</v>
      </c>
      <c r="S578" s="235" t="inlineStr">
        <is>
          <t>AA+</t>
        </is>
      </c>
      <c r="T578" s="236" t="n">
        <v>0.0185</v>
      </c>
      <c r="U578" s="235" t="inlineStr">
        <is>
          <t>杭州联合银行</t>
        </is>
      </c>
      <c r="V578" s="308" t="n">
        <v>0.09</v>
      </c>
    </row>
    <row r="579">
      <c r="A579" t="n">
        <v>51</v>
      </c>
      <c r="B579" t="inlineStr">
        <is>
          <t>5月</t>
        </is>
      </c>
      <c r="C579" t="inlineStr">
        <is>
          <t>消金</t>
        </is>
      </c>
      <c r="D579" t="inlineStr">
        <is>
          <t>信托金条</t>
        </is>
      </c>
      <c r="E579" t="inlineStr">
        <is>
          <t>耘睿21-5（续发）</t>
        </is>
      </c>
      <c r="F579" t="inlineStr">
        <is>
          <t>上交所</t>
        </is>
      </c>
      <c r="G579" t="inlineStr">
        <is>
          <t>招商证券</t>
        </is>
      </c>
      <c r="H579" t="inlineStr">
        <is>
          <t>申万宏源资管</t>
        </is>
      </c>
      <c r="I579" t="inlineStr">
        <is>
          <t>光大重分</t>
        </is>
      </c>
      <c r="J579" t="n">
        <v>9.300000000000001</v>
      </c>
      <c r="K579" t="inlineStr">
        <is>
          <t>11+12</t>
        </is>
      </c>
      <c r="L579" s="309" t="n">
        <v>46148</v>
      </c>
      <c r="M579" t="n">
        <v>0.01445</v>
      </c>
      <c r="N579" t="n">
        <v>0.01982</v>
      </c>
      <c r="O579" t="n">
        <v>1.48</v>
      </c>
      <c r="P579" t="inlineStr">
        <is>
          <t>优先B</t>
        </is>
      </c>
      <c r="Q579" t="n">
        <v>0.03</v>
      </c>
      <c r="R579" t="n">
        <v>0.3</v>
      </c>
      <c r="S579" t="inlineStr">
        <is>
          <t>AA+</t>
        </is>
      </c>
      <c r="T579" t="n">
        <v>0.0185</v>
      </c>
      <c r="U579" s="235" t="inlineStr">
        <is>
          <t>渝农商理财</t>
        </is>
      </c>
      <c r="V579" s="308" t="n">
        <v>0.09</v>
      </c>
    </row>
    <row r="580">
      <c r="A580" t="n">
        <v>51</v>
      </c>
      <c r="B580" t="inlineStr">
        <is>
          <t>5月</t>
        </is>
      </c>
      <c r="C580" t="inlineStr">
        <is>
          <t>消金</t>
        </is>
      </c>
      <c r="D580" t="inlineStr">
        <is>
          <t>信托金条</t>
        </is>
      </c>
      <c r="E580" t="inlineStr">
        <is>
          <t>耘睿21-5（续发）</t>
        </is>
      </c>
      <c r="F580" t="inlineStr">
        <is>
          <t>上交所</t>
        </is>
      </c>
      <c r="G580" t="inlineStr">
        <is>
          <t>招商证券</t>
        </is>
      </c>
      <c r="H580" t="inlineStr">
        <is>
          <t>申万宏源资管</t>
        </is>
      </c>
      <c r="I580" t="inlineStr">
        <is>
          <t>光大重分</t>
        </is>
      </c>
      <c r="J580" t="n">
        <v>9.300000000000001</v>
      </c>
      <c r="K580" t="inlineStr">
        <is>
          <t>11+12</t>
        </is>
      </c>
      <c r="L580" s="309" t="n">
        <v>46148</v>
      </c>
      <c r="M580" t="n">
        <v>0.01445</v>
      </c>
      <c r="N580" t="n">
        <v>0.01982</v>
      </c>
      <c r="O580" t="n">
        <v>1.48</v>
      </c>
      <c r="P580" t="inlineStr">
        <is>
          <t>优先B</t>
        </is>
      </c>
      <c r="Q580" t="n">
        <v>0.03</v>
      </c>
      <c r="R580" t="n">
        <v>0.3</v>
      </c>
      <c r="S580" t="inlineStr">
        <is>
          <t>AA+</t>
        </is>
      </c>
      <c r="T580" t="n">
        <v>0.0185</v>
      </c>
      <c r="U580" s="235" t="inlineStr">
        <is>
          <t>中信建投投顾</t>
        </is>
      </c>
      <c r="V580" s="308" t="n">
        <v>0.12</v>
      </c>
    </row>
    <row r="581">
      <c r="A581" s="223" t="n">
        <v>52</v>
      </c>
      <c r="B581" s="305" t="inlineStr">
        <is>
          <t>5月</t>
        </is>
      </c>
      <c r="C581" s="305" t="inlineStr">
        <is>
          <t>消金</t>
        </is>
      </c>
      <c r="D581" s="305" t="inlineStr">
        <is>
          <t>信托金条</t>
        </is>
      </c>
      <c r="E581" s="305" t="inlineStr">
        <is>
          <t>耘睿21-4（续发）</t>
        </is>
      </c>
      <c r="F581" s="305" t="inlineStr">
        <is>
          <t>上交所</t>
        </is>
      </c>
      <c r="G581" s="305" t="inlineStr">
        <is>
          <t>中信证券</t>
        </is>
      </c>
      <c r="H581" s="305" t="inlineStr">
        <is>
          <t>国金证券</t>
        </is>
      </c>
      <c r="I581" s="305" t="inlineStr">
        <is>
          <t>江苏北分</t>
        </is>
      </c>
      <c r="J581" s="245" t="n">
        <v>9.300000000000001</v>
      </c>
      <c r="K581" s="305" t="inlineStr">
        <is>
          <t>11+12</t>
        </is>
      </c>
      <c r="L581" s="246" t="n">
        <v>46148</v>
      </c>
      <c r="M581" s="247" t="n">
        <v>0.01445</v>
      </c>
      <c r="N581" s="306" t="n">
        <v>0.01982</v>
      </c>
      <c r="O581" s="245" t="n">
        <v>1.87</v>
      </c>
      <c r="P581" s="235" t="inlineStr">
        <is>
          <t>优先A</t>
        </is>
      </c>
      <c r="Q581" s="236" t="n">
        <v>0.9</v>
      </c>
      <c r="R581" s="307" t="n">
        <v>9</v>
      </c>
      <c r="S581" s="235" t="inlineStr">
        <is>
          <t>AAA</t>
        </is>
      </c>
      <c r="T581" s="236" t="n">
        <v>0.0165</v>
      </c>
      <c r="U581" s="235" t="inlineStr">
        <is>
          <t>建信理财</t>
        </is>
      </c>
      <c r="V581" s="308" t="n">
        <v>2.7</v>
      </c>
    </row>
    <row r="582">
      <c r="A582" t="n">
        <v>52</v>
      </c>
      <c r="B582" t="inlineStr">
        <is>
          <t>5月</t>
        </is>
      </c>
      <c r="C582" t="inlineStr">
        <is>
          <t>消金</t>
        </is>
      </c>
      <c r="D582" t="inlineStr">
        <is>
          <t>信托金条</t>
        </is>
      </c>
      <c r="E582" t="inlineStr">
        <is>
          <t>耘睿21-4（续发）</t>
        </is>
      </c>
      <c r="F582" t="inlineStr">
        <is>
          <t>上交所</t>
        </is>
      </c>
      <c r="G582" t="inlineStr">
        <is>
          <t>中信证券</t>
        </is>
      </c>
      <c r="H582" t="inlineStr">
        <is>
          <t>国金证券</t>
        </is>
      </c>
      <c r="I582" t="inlineStr">
        <is>
          <t>江苏北分</t>
        </is>
      </c>
      <c r="J582" t="n">
        <v>9.300000000000001</v>
      </c>
      <c r="K582" t="inlineStr">
        <is>
          <t>11+12</t>
        </is>
      </c>
      <c r="L582" s="309" t="n">
        <v>46148</v>
      </c>
      <c r="M582" t="n">
        <v>0.01445</v>
      </c>
      <c r="N582" t="n">
        <v>0.01982</v>
      </c>
      <c r="O582" t="n">
        <v>1.87</v>
      </c>
      <c r="P582" t="inlineStr">
        <is>
          <t>优先A</t>
        </is>
      </c>
      <c r="Q582" t="n">
        <v>0.9</v>
      </c>
      <c r="R582" t="n">
        <v>9</v>
      </c>
      <c r="S582" t="inlineStr">
        <is>
          <t>AAA</t>
        </is>
      </c>
      <c r="T582" t="n">
        <v>0.0165</v>
      </c>
      <c r="U582" s="235" t="inlineStr">
        <is>
          <t>招银理财</t>
        </is>
      </c>
      <c r="V582" s="308" t="n">
        <v>2</v>
      </c>
    </row>
    <row r="583">
      <c r="A583" t="n">
        <v>52</v>
      </c>
      <c r="B583" t="inlineStr">
        <is>
          <t>5月</t>
        </is>
      </c>
      <c r="C583" t="inlineStr">
        <is>
          <t>消金</t>
        </is>
      </c>
      <c r="D583" t="inlineStr">
        <is>
          <t>信托金条</t>
        </is>
      </c>
      <c r="E583" t="inlineStr">
        <is>
          <t>耘睿21-4（续发）</t>
        </is>
      </c>
      <c r="F583" t="inlineStr">
        <is>
          <t>上交所</t>
        </is>
      </c>
      <c r="G583" t="inlineStr">
        <is>
          <t>中信证券</t>
        </is>
      </c>
      <c r="H583" t="inlineStr">
        <is>
          <t>国金证券</t>
        </is>
      </c>
      <c r="I583" t="inlineStr">
        <is>
          <t>江苏北分</t>
        </is>
      </c>
      <c r="J583" t="n">
        <v>9.300000000000001</v>
      </c>
      <c r="K583" t="inlineStr">
        <is>
          <t>11+12</t>
        </is>
      </c>
      <c r="L583" s="309" t="n">
        <v>46148</v>
      </c>
      <c r="M583" t="n">
        <v>0.01445</v>
      </c>
      <c r="N583" t="n">
        <v>0.01982</v>
      </c>
      <c r="O583" t="n">
        <v>1.87</v>
      </c>
      <c r="P583" t="inlineStr">
        <is>
          <t>优先A</t>
        </is>
      </c>
      <c r="Q583" t="n">
        <v>0.9</v>
      </c>
      <c r="R583" t="n">
        <v>9</v>
      </c>
      <c r="S583" t="inlineStr">
        <is>
          <t>AAA</t>
        </is>
      </c>
      <c r="T583" t="n">
        <v>0.0165</v>
      </c>
      <c r="U583" s="235" t="inlineStr">
        <is>
          <t>中邮理财</t>
        </is>
      </c>
      <c r="V583" s="308" t="n">
        <v>1.26</v>
      </c>
    </row>
    <row r="584">
      <c r="A584" t="n">
        <v>52</v>
      </c>
      <c r="B584" t="inlineStr">
        <is>
          <t>5月</t>
        </is>
      </c>
      <c r="C584" t="inlineStr">
        <is>
          <t>消金</t>
        </is>
      </c>
      <c r="D584" t="inlineStr">
        <is>
          <t>信托金条</t>
        </is>
      </c>
      <c r="E584" t="inlineStr">
        <is>
          <t>耘睿21-4（续发）</t>
        </is>
      </c>
      <c r="F584" t="inlineStr">
        <is>
          <t>上交所</t>
        </is>
      </c>
      <c r="G584" t="inlineStr">
        <is>
          <t>中信证券</t>
        </is>
      </c>
      <c r="H584" t="inlineStr">
        <is>
          <t>国金证券</t>
        </is>
      </c>
      <c r="I584" t="inlineStr">
        <is>
          <t>江苏北分</t>
        </is>
      </c>
      <c r="J584" t="n">
        <v>9.300000000000001</v>
      </c>
      <c r="K584" t="inlineStr">
        <is>
          <t>11+12</t>
        </is>
      </c>
      <c r="L584" s="309" t="n">
        <v>46148</v>
      </c>
      <c r="M584" t="n">
        <v>0.01445</v>
      </c>
      <c r="N584" t="n">
        <v>0.01982</v>
      </c>
      <c r="O584" t="n">
        <v>1.87</v>
      </c>
      <c r="P584" t="inlineStr">
        <is>
          <t>优先A</t>
        </is>
      </c>
      <c r="Q584" t="n">
        <v>0.9</v>
      </c>
      <c r="R584" t="n">
        <v>9</v>
      </c>
      <c r="S584" t="inlineStr">
        <is>
          <t>AAA</t>
        </is>
      </c>
      <c r="T584" t="n">
        <v>0.0165</v>
      </c>
      <c r="U584" s="235" t="inlineStr">
        <is>
          <t>渝农商理财</t>
        </is>
      </c>
      <c r="V584" s="308" t="n">
        <v>1.1</v>
      </c>
    </row>
    <row r="585">
      <c r="A585" t="n">
        <v>52</v>
      </c>
      <c r="B585" t="inlineStr">
        <is>
          <t>5月</t>
        </is>
      </c>
      <c r="C585" t="inlineStr">
        <is>
          <t>消金</t>
        </is>
      </c>
      <c r="D585" t="inlineStr">
        <is>
          <t>信托金条</t>
        </is>
      </c>
      <c r="E585" t="inlineStr">
        <is>
          <t>耘睿21-4（续发）</t>
        </is>
      </c>
      <c r="F585" t="inlineStr">
        <is>
          <t>上交所</t>
        </is>
      </c>
      <c r="G585" t="inlineStr">
        <is>
          <t>中信证券</t>
        </is>
      </c>
      <c r="H585" t="inlineStr">
        <is>
          <t>国金证券</t>
        </is>
      </c>
      <c r="I585" t="inlineStr">
        <is>
          <t>江苏北分</t>
        </is>
      </c>
      <c r="J585" t="n">
        <v>9.300000000000001</v>
      </c>
      <c r="K585" t="inlineStr">
        <is>
          <t>11+12</t>
        </is>
      </c>
      <c r="L585" s="309" t="n">
        <v>46148</v>
      </c>
      <c r="M585" t="n">
        <v>0.01445</v>
      </c>
      <c r="N585" t="n">
        <v>0.01982</v>
      </c>
      <c r="O585" t="n">
        <v>1.87</v>
      </c>
      <c r="P585" t="inlineStr">
        <is>
          <t>优先A</t>
        </is>
      </c>
      <c r="Q585" t="n">
        <v>0.9</v>
      </c>
      <c r="R585" t="n">
        <v>9</v>
      </c>
      <c r="S585" t="inlineStr">
        <is>
          <t>AAA</t>
        </is>
      </c>
      <c r="T585" t="n">
        <v>0.0165</v>
      </c>
      <c r="U585" s="235" t="inlineStr">
        <is>
          <t>杭州联合银行</t>
        </is>
      </c>
      <c r="V585" s="308" t="n">
        <v>1</v>
      </c>
    </row>
    <row r="586">
      <c r="A586" t="n">
        <v>52</v>
      </c>
      <c r="B586" t="inlineStr">
        <is>
          <t>5月</t>
        </is>
      </c>
      <c r="C586" t="inlineStr">
        <is>
          <t>消金</t>
        </is>
      </c>
      <c r="D586" t="inlineStr">
        <is>
          <t>信托金条</t>
        </is>
      </c>
      <c r="E586" t="inlineStr">
        <is>
          <t>耘睿21-4（续发）</t>
        </is>
      </c>
      <c r="F586" t="inlineStr">
        <is>
          <t>上交所</t>
        </is>
      </c>
      <c r="G586" t="inlineStr">
        <is>
          <t>中信证券</t>
        </is>
      </c>
      <c r="H586" t="inlineStr">
        <is>
          <t>国金证券</t>
        </is>
      </c>
      <c r="I586" t="inlineStr">
        <is>
          <t>江苏北分</t>
        </is>
      </c>
      <c r="J586" t="n">
        <v>9.300000000000001</v>
      </c>
      <c r="K586" t="inlineStr">
        <is>
          <t>11+12</t>
        </is>
      </c>
      <c r="L586" s="309" t="n">
        <v>46148</v>
      </c>
      <c r="M586" t="n">
        <v>0.01445</v>
      </c>
      <c r="N586" t="n">
        <v>0.01982</v>
      </c>
      <c r="O586" t="n">
        <v>1.87</v>
      </c>
      <c r="P586" t="inlineStr">
        <is>
          <t>优先A</t>
        </is>
      </c>
      <c r="Q586" t="n">
        <v>0.9</v>
      </c>
      <c r="R586" t="n">
        <v>9</v>
      </c>
      <c r="S586" t="inlineStr">
        <is>
          <t>AAA</t>
        </is>
      </c>
      <c r="T586" t="n">
        <v>0.0165</v>
      </c>
      <c r="U586" s="235" t="inlineStr">
        <is>
          <t>广银理财</t>
        </is>
      </c>
      <c r="V586" s="308" t="n">
        <v>0.63</v>
      </c>
    </row>
    <row r="587">
      <c r="A587" t="n">
        <v>52</v>
      </c>
      <c r="B587" t="inlineStr">
        <is>
          <t>5月</t>
        </is>
      </c>
      <c r="C587" t="inlineStr">
        <is>
          <t>消金</t>
        </is>
      </c>
      <c r="D587" t="inlineStr">
        <is>
          <t>信托金条</t>
        </is>
      </c>
      <c r="E587" t="inlineStr">
        <is>
          <t>耘睿21-4（续发）</t>
        </is>
      </c>
      <c r="F587" t="inlineStr">
        <is>
          <t>上交所</t>
        </is>
      </c>
      <c r="G587" t="inlineStr">
        <is>
          <t>中信证券</t>
        </is>
      </c>
      <c r="H587" t="inlineStr">
        <is>
          <t>国金证券</t>
        </is>
      </c>
      <c r="I587" t="inlineStr">
        <is>
          <t>江苏北分</t>
        </is>
      </c>
      <c r="J587" t="n">
        <v>9.300000000000001</v>
      </c>
      <c r="K587" t="inlineStr">
        <is>
          <t>11+12</t>
        </is>
      </c>
      <c r="L587" s="309" t="n">
        <v>46148</v>
      </c>
      <c r="M587" t="n">
        <v>0.01445</v>
      </c>
      <c r="N587" t="n">
        <v>0.01982</v>
      </c>
      <c r="O587" t="n">
        <v>1.87</v>
      </c>
      <c r="P587" t="inlineStr">
        <is>
          <t>优先A</t>
        </is>
      </c>
      <c r="Q587" t="n">
        <v>0.9</v>
      </c>
      <c r="R587" t="n">
        <v>9</v>
      </c>
      <c r="S587" t="inlineStr">
        <is>
          <t>AAA</t>
        </is>
      </c>
      <c r="T587" t="n">
        <v>0.0165</v>
      </c>
      <c r="U587" s="252" t="inlineStr">
        <is>
          <t>工银瑞信基金</t>
        </is>
      </c>
      <c r="V587" s="308" t="n">
        <v>0.31</v>
      </c>
    </row>
    <row r="588">
      <c r="A588" t="n">
        <v>52</v>
      </c>
      <c r="B588" t="inlineStr">
        <is>
          <t>5月</t>
        </is>
      </c>
      <c r="C588" t="inlineStr">
        <is>
          <t>消金</t>
        </is>
      </c>
      <c r="D588" t="inlineStr">
        <is>
          <t>信托金条</t>
        </is>
      </c>
      <c r="E588" t="inlineStr">
        <is>
          <t>耘睿21-4（续发）</t>
        </is>
      </c>
      <c r="F588" t="inlineStr">
        <is>
          <t>上交所</t>
        </is>
      </c>
      <c r="G588" t="inlineStr">
        <is>
          <t>中信证券</t>
        </is>
      </c>
      <c r="H588" t="inlineStr">
        <is>
          <t>国金证券</t>
        </is>
      </c>
      <c r="I588" t="inlineStr">
        <is>
          <t>江苏北分</t>
        </is>
      </c>
      <c r="J588" t="n">
        <v>9.300000000000001</v>
      </c>
      <c r="K588" t="inlineStr">
        <is>
          <t>11+12</t>
        </is>
      </c>
      <c r="L588" s="309" t="n">
        <v>46148</v>
      </c>
      <c r="M588" t="n">
        <v>0.01445</v>
      </c>
      <c r="N588" t="n">
        <v>0.01982</v>
      </c>
      <c r="O588" t="n">
        <v>1.87</v>
      </c>
      <c r="P588" s="235" t="inlineStr">
        <is>
          <t>优先B</t>
        </is>
      </c>
      <c r="Q588" s="236" t="n">
        <v>0.03</v>
      </c>
      <c r="R588" s="307" t="n">
        <v>0.3</v>
      </c>
      <c r="S588" s="235" t="inlineStr">
        <is>
          <t>AA+</t>
        </is>
      </c>
      <c r="T588" s="236" t="n">
        <v>0.0185</v>
      </c>
      <c r="U588" s="235" t="inlineStr">
        <is>
          <t>招银理财</t>
        </is>
      </c>
      <c r="V588" s="308" t="n">
        <v>0.09</v>
      </c>
    </row>
    <row r="589">
      <c r="A589" t="n">
        <v>52</v>
      </c>
      <c r="B589" t="inlineStr">
        <is>
          <t>5月</t>
        </is>
      </c>
      <c r="C589" t="inlineStr">
        <is>
          <t>消金</t>
        </is>
      </c>
      <c r="D589" t="inlineStr">
        <is>
          <t>信托金条</t>
        </is>
      </c>
      <c r="E589" t="inlineStr">
        <is>
          <t>耘睿21-4（续发）</t>
        </is>
      </c>
      <c r="F589" t="inlineStr">
        <is>
          <t>上交所</t>
        </is>
      </c>
      <c r="G589" t="inlineStr">
        <is>
          <t>中信证券</t>
        </is>
      </c>
      <c r="H589" t="inlineStr">
        <is>
          <t>国金证券</t>
        </is>
      </c>
      <c r="I589" t="inlineStr">
        <is>
          <t>江苏北分</t>
        </is>
      </c>
      <c r="J589" t="n">
        <v>9.300000000000001</v>
      </c>
      <c r="K589" t="inlineStr">
        <is>
          <t>11+12</t>
        </is>
      </c>
      <c r="L589" s="309" t="n">
        <v>46148</v>
      </c>
      <c r="M589" t="n">
        <v>0.01445</v>
      </c>
      <c r="N589" t="n">
        <v>0.01982</v>
      </c>
      <c r="O589" t="n">
        <v>1.87</v>
      </c>
      <c r="P589" t="inlineStr">
        <is>
          <t>优先B</t>
        </is>
      </c>
      <c r="Q589" t="n">
        <v>0.03</v>
      </c>
      <c r="R589" t="n">
        <v>0.3</v>
      </c>
      <c r="S589" t="inlineStr">
        <is>
          <t>AA+</t>
        </is>
      </c>
      <c r="T589" t="n">
        <v>0.0185</v>
      </c>
      <c r="U589" s="235" t="inlineStr">
        <is>
          <t>杭州联合银行</t>
        </is>
      </c>
      <c r="V589" s="308" t="n">
        <v>0.09</v>
      </c>
    </row>
    <row r="590">
      <c r="A590" t="n">
        <v>52</v>
      </c>
      <c r="B590" t="inlineStr">
        <is>
          <t>5月</t>
        </is>
      </c>
      <c r="C590" t="inlineStr">
        <is>
          <t>消金</t>
        </is>
      </c>
      <c r="D590" t="inlineStr">
        <is>
          <t>信托金条</t>
        </is>
      </c>
      <c r="E590" t="inlineStr">
        <is>
          <t>耘睿21-4（续发）</t>
        </is>
      </c>
      <c r="F590" t="inlineStr">
        <is>
          <t>上交所</t>
        </is>
      </c>
      <c r="G590" t="inlineStr">
        <is>
          <t>中信证券</t>
        </is>
      </c>
      <c r="H590" t="inlineStr">
        <is>
          <t>国金证券</t>
        </is>
      </c>
      <c r="I590" t="inlineStr">
        <is>
          <t>江苏北分</t>
        </is>
      </c>
      <c r="J590" t="n">
        <v>9.300000000000001</v>
      </c>
      <c r="K590" t="inlineStr">
        <is>
          <t>11+12</t>
        </is>
      </c>
      <c r="L590" s="309" t="n">
        <v>46148</v>
      </c>
      <c r="M590" t="n">
        <v>0.01445</v>
      </c>
      <c r="N590" t="n">
        <v>0.01982</v>
      </c>
      <c r="O590" t="n">
        <v>1.87</v>
      </c>
      <c r="P590" t="inlineStr">
        <is>
          <t>优先B</t>
        </is>
      </c>
      <c r="Q590" t="n">
        <v>0.03</v>
      </c>
      <c r="R590" t="n">
        <v>0.3</v>
      </c>
      <c r="S590" t="inlineStr">
        <is>
          <t>AA+</t>
        </is>
      </c>
      <c r="T590" t="n">
        <v>0.0185</v>
      </c>
      <c r="U590" s="235" t="inlineStr">
        <is>
          <t>渝农商理财</t>
        </is>
      </c>
      <c r="V590" s="308" t="n">
        <v>0.07000000000000001</v>
      </c>
    </row>
    <row r="591">
      <c r="A591" t="n">
        <v>52</v>
      </c>
      <c r="B591" t="inlineStr">
        <is>
          <t>5月</t>
        </is>
      </c>
      <c r="C591" t="inlineStr">
        <is>
          <t>消金</t>
        </is>
      </c>
      <c r="D591" t="inlineStr">
        <is>
          <t>信托金条</t>
        </is>
      </c>
      <c r="E591" t="inlineStr">
        <is>
          <t>耘睿21-4（续发）</t>
        </is>
      </c>
      <c r="F591" t="inlineStr">
        <is>
          <t>上交所</t>
        </is>
      </c>
      <c r="G591" t="inlineStr">
        <is>
          <t>中信证券</t>
        </is>
      </c>
      <c r="H591" t="inlineStr">
        <is>
          <t>国金证券</t>
        </is>
      </c>
      <c r="I591" t="inlineStr">
        <is>
          <t>江苏北分</t>
        </is>
      </c>
      <c r="J591" t="n">
        <v>9.300000000000001</v>
      </c>
      <c r="K591" t="inlineStr">
        <is>
          <t>11+12</t>
        </is>
      </c>
      <c r="L591" s="309" t="n">
        <v>46148</v>
      </c>
      <c r="M591" t="n">
        <v>0.01445</v>
      </c>
      <c r="N591" t="n">
        <v>0.01982</v>
      </c>
      <c r="O591" t="n">
        <v>1.87</v>
      </c>
      <c r="P591" t="inlineStr">
        <is>
          <t>优先B</t>
        </is>
      </c>
      <c r="Q591" t="n">
        <v>0.03</v>
      </c>
      <c r="R591" t="n">
        <v>0.3</v>
      </c>
      <c r="S591" t="inlineStr">
        <is>
          <t>AA+</t>
        </is>
      </c>
      <c r="T591" t="n">
        <v>0.0185</v>
      </c>
      <c r="U591" s="235" t="inlineStr">
        <is>
          <t>中信证券投行</t>
        </is>
      </c>
      <c r="V591" s="308" t="n">
        <v>0.05</v>
      </c>
    </row>
    <row r="592">
      <c r="A592" s="223" t="n">
        <v>53</v>
      </c>
      <c r="B592" s="305" t="inlineStr">
        <is>
          <t>5月</t>
        </is>
      </c>
      <c r="C592" s="305" t="inlineStr">
        <is>
          <t>消金</t>
        </is>
      </c>
      <c r="D592" s="305" t="inlineStr">
        <is>
          <t>信托金条</t>
        </is>
      </c>
      <c r="E592" s="305" t="inlineStr">
        <is>
          <t>耘睿24-7</t>
        </is>
      </c>
      <c r="F592" s="305" t="inlineStr">
        <is>
          <t>上交所</t>
        </is>
      </c>
      <c r="G592" s="305" t="inlineStr">
        <is>
          <t>财通资管</t>
        </is>
      </c>
      <c r="H592" s="305" t="inlineStr">
        <is>
          <t>国联证券</t>
        </is>
      </c>
      <c r="I592" s="305" t="inlineStr">
        <is>
          <t>招行北分</t>
        </is>
      </c>
      <c r="J592" s="245" t="n">
        <v>10</v>
      </c>
      <c r="K592" s="305" t="inlineStr">
        <is>
          <t>11+13</t>
        </is>
      </c>
      <c r="L592" s="246" t="n">
        <v>46148</v>
      </c>
      <c r="M592" s="247" t="n">
        <v>0.01445</v>
      </c>
      <c r="N592" s="306" t="n">
        <v>0.01915</v>
      </c>
      <c r="O592" s="245" t="n">
        <v>2.09</v>
      </c>
      <c r="P592" s="235" t="inlineStr">
        <is>
          <t>优先A</t>
        </is>
      </c>
      <c r="Q592" s="236" t="n">
        <v>0.9</v>
      </c>
      <c r="R592" s="307" t="n">
        <v>9</v>
      </c>
      <c r="S592" s="235" t="inlineStr">
        <is>
          <t>AAA</t>
        </is>
      </c>
      <c r="T592" s="236" t="n">
        <v>0.0162</v>
      </c>
      <c r="U592" s="235" t="inlineStr">
        <is>
          <t>招银理财</t>
        </is>
      </c>
      <c r="V592" s="308" t="n">
        <v>2.7</v>
      </c>
    </row>
    <row r="593">
      <c r="A593" t="n">
        <v>53</v>
      </c>
      <c r="B593" t="inlineStr">
        <is>
          <t>5月</t>
        </is>
      </c>
      <c r="C593" t="inlineStr">
        <is>
          <t>消金</t>
        </is>
      </c>
      <c r="D593" t="inlineStr">
        <is>
          <t>信托金条</t>
        </is>
      </c>
      <c r="E593" t="inlineStr">
        <is>
          <t>耘睿24-7</t>
        </is>
      </c>
      <c r="F593" t="inlineStr">
        <is>
          <t>上交所</t>
        </is>
      </c>
      <c r="G593" t="inlineStr">
        <is>
          <t>财通资管</t>
        </is>
      </c>
      <c r="H593" t="inlineStr">
        <is>
          <t>国联证券</t>
        </is>
      </c>
      <c r="I593" t="inlineStr">
        <is>
          <t>招行北分</t>
        </is>
      </c>
      <c r="J593" t="n">
        <v>10</v>
      </c>
      <c r="K593" t="inlineStr">
        <is>
          <t>11+13</t>
        </is>
      </c>
      <c r="L593" s="309" t="n">
        <v>46148</v>
      </c>
      <c r="M593" t="n">
        <v>0.01445</v>
      </c>
      <c r="N593" t="n">
        <v>0.01915</v>
      </c>
      <c r="O593" t="n">
        <v>2.09</v>
      </c>
      <c r="P593" t="inlineStr">
        <is>
          <t>优先A</t>
        </is>
      </c>
      <c r="Q593" t="n">
        <v>0.9</v>
      </c>
      <c r="R593" t="n">
        <v>9</v>
      </c>
      <c r="S593" t="inlineStr">
        <is>
          <t>AAA</t>
        </is>
      </c>
      <c r="T593" t="n">
        <v>0.0162</v>
      </c>
      <c r="U593" s="235" t="inlineStr">
        <is>
          <t>渝农商理财</t>
        </is>
      </c>
      <c r="V593" s="308" t="n">
        <v>1</v>
      </c>
    </row>
    <row r="594">
      <c r="A594" t="n">
        <v>53</v>
      </c>
      <c r="B594" t="inlineStr">
        <is>
          <t>5月</t>
        </is>
      </c>
      <c r="C594" t="inlineStr">
        <is>
          <t>消金</t>
        </is>
      </c>
      <c r="D594" t="inlineStr">
        <is>
          <t>信托金条</t>
        </is>
      </c>
      <c r="E594" t="inlineStr">
        <is>
          <t>耘睿24-7</t>
        </is>
      </c>
      <c r="F594" t="inlineStr">
        <is>
          <t>上交所</t>
        </is>
      </c>
      <c r="G594" t="inlineStr">
        <is>
          <t>财通资管</t>
        </is>
      </c>
      <c r="H594" t="inlineStr">
        <is>
          <t>国联证券</t>
        </is>
      </c>
      <c r="I594" t="inlineStr">
        <is>
          <t>招行北分</t>
        </is>
      </c>
      <c r="J594" t="n">
        <v>10</v>
      </c>
      <c r="K594" t="inlineStr">
        <is>
          <t>11+13</t>
        </is>
      </c>
      <c r="L594" s="309" t="n">
        <v>46148</v>
      </c>
      <c r="M594" t="n">
        <v>0.01445</v>
      </c>
      <c r="N594" t="n">
        <v>0.01915</v>
      </c>
      <c r="O594" t="n">
        <v>2.09</v>
      </c>
      <c r="P594" t="inlineStr">
        <is>
          <t>优先A</t>
        </is>
      </c>
      <c r="Q594" t="n">
        <v>0.9</v>
      </c>
      <c r="R594" t="n">
        <v>9</v>
      </c>
      <c r="S594" t="inlineStr">
        <is>
          <t>AAA</t>
        </is>
      </c>
      <c r="T594" t="n">
        <v>0.0162</v>
      </c>
      <c r="U594" s="235" t="inlineStr">
        <is>
          <t>建信理财</t>
        </is>
      </c>
      <c r="V594" s="308" t="n">
        <v>2.7</v>
      </c>
    </row>
    <row r="595">
      <c r="A595" t="n">
        <v>53</v>
      </c>
      <c r="B595" t="inlineStr">
        <is>
          <t>5月</t>
        </is>
      </c>
      <c r="C595" t="inlineStr">
        <is>
          <t>消金</t>
        </is>
      </c>
      <c r="D595" t="inlineStr">
        <is>
          <t>信托金条</t>
        </is>
      </c>
      <c r="E595" t="inlineStr">
        <is>
          <t>耘睿24-7</t>
        </is>
      </c>
      <c r="F595" t="inlineStr">
        <is>
          <t>上交所</t>
        </is>
      </c>
      <c r="G595" t="inlineStr">
        <is>
          <t>财通资管</t>
        </is>
      </c>
      <c r="H595" t="inlineStr">
        <is>
          <t>国联证券</t>
        </is>
      </c>
      <c r="I595" t="inlineStr">
        <is>
          <t>招行北分</t>
        </is>
      </c>
      <c r="J595" t="n">
        <v>10</v>
      </c>
      <c r="K595" t="inlineStr">
        <is>
          <t>11+13</t>
        </is>
      </c>
      <c r="L595" s="309" t="n">
        <v>46148</v>
      </c>
      <c r="M595" t="n">
        <v>0.01445</v>
      </c>
      <c r="N595" t="n">
        <v>0.01915</v>
      </c>
      <c r="O595" t="n">
        <v>2.09</v>
      </c>
      <c r="P595" t="inlineStr">
        <is>
          <t>优先A</t>
        </is>
      </c>
      <c r="Q595" t="n">
        <v>0.9</v>
      </c>
      <c r="R595" t="n">
        <v>9</v>
      </c>
      <c r="S595" t="inlineStr">
        <is>
          <t>AAA</t>
        </is>
      </c>
      <c r="T595" t="n">
        <v>0.0162</v>
      </c>
      <c r="U595" s="235" t="inlineStr">
        <is>
          <t>中邮理财</t>
        </is>
      </c>
      <c r="V595" s="308" t="n">
        <v>1.9</v>
      </c>
    </row>
    <row r="596">
      <c r="A596" t="n">
        <v>53</v>
      </c>
      <c r="B596" t="inlineStr">
        <is>
          <t>5月</t>
        </is>
      </c>
      <c r="C596" t="inlineStr">
        <is>
          <t>消金</t>
        </is>
      </c>
      <c r="D596" t="inlineStr">
        <is>
          <t>信托金条</t>
        </is>
      </c>
      <c r="E596" t="inlineStr">
        <is>
          <t>耘睿24-7</t>
        </is>
      </c>
      <c r="F596" t="inlineStr">
        <is>
          <t>上交所</t>
        </is>
      </c>
      <c r="G596" t="inlineStr">
        <is>
          <t>财通资管</t>
        </is>
      </c>
      <c r="H596" t="inlineStr">
        <is>
          <t>国联证券</t>
        </is>
      </c>
      <c r="I596" t="inlineStr">
        <is>
          <t>招行北分</t>
        </is>
      </c>
      <c r="J596" t="n">
        <v>10</v>
      </c>
      <c r="K596" t="inlineStr">
        <is>
          <t>11+13</t>
        </is>
      </c>
      <c r="L596" s="309" t="n">
        <v>46148</v>
      </c>
      <c r="M596" t="n">
        <v>0.01445</v>
      </c>
      <c r="N596" t="n">
        <v>0.01915</v>
      </c>
      <c r="O596" t="n">
        <v>2.09</v>
      </c>
      <c r="P596" t="inlineStr">
        <is>
          <t>优先A</t>
        </is>
      </c>
      <c r="Q596" t="n">
        <v>0.9</v>
      </c>
      <c r="R596" t="n">
        <v>9</v>
      </c>
      <c r="S596" t="inlineStr">
        <is>
          <t>AAA</t>
        </is>
      </c>
      <c r="T596" t="n">
        <v>0.0162</v>
      </c>
      <c r="U596" s="235" t="inlineStr">
        <is>
          <t>广银理财</t>
        </is>
      </c>
      <c r="V596" s="308" t="n">
        <v>0.7</v>
      </c>
    </row>
    <row r="597">
      <c r="A597" t="n">
        <v>53</v>
      </c>
      <c r="B597" t="inlineStr">
        <is>
          <t>5月</t>
        </is>
      </c>
      <c r="C597" t="inlineStr">
        <is>
          <t>消金</t>
        </is>
      </c>
      <c r="D597" t="inlineStr">
        <is>
          <t>信托金条</t>
        </is>
      </c>
      <c r="E597" t="inlineStr">
        <is>
          <t>耘睿24-7</t>
        </is>
      </c>
      <c r="F597" t="inlineStr">
        <is>
          <t>上交所</t>
        </is>
      </c>
      <c r="G597" t="inlineStr">
        <is>
          <t>财通资管</t>
        </is>
      </c>
      <c r="H597" t="inlineStr">
        <is>
          <t>国联证券</t>
        </is>
      </c>
      <c r="I597" t="inlineStr">
        <is>
          <t>招行北分</t>
        </is>
      </c>
      <c r="J597" t="n">
        <v>10</v>
      </c>
      <c r="K597" t="inlineStr">
        <is>
          <t>11+13</t>
        </is>
      </c>
      <c r="L597" s="309" t="n">
        <v>46148</v>
      </c>
      <c r="M597" t="n">
        <v>0.01445</v>
      </c>
      <c r="N597" t="n">
        <v>0.01915</v>
      </c>
      <c r="O597" t="n">
        <v>2.09</v>
      </c>
      <c r="P597" s="235" t="inlineStr">
        <is>
          <t>优先B</t>
        </is>
      </c>
      <c r="Q597" s="236" t="n">
        <v>0.03</v>
      </c>
      <c r="R597" s="307" t="n">
        <v>0.3</v>
      </c>
      <c r="S597" s="235" t="inlineStr">
        <is>
          <t>AA+</t>
        </is>
      </c>
      <c r="T597" s="236" t="n">
        <v>0.0185</v>
      </c>
      <c r="U597" s="235" t="inlineStr">
        <is>
          <t>招银理财</t>
        </is>
      </c>
      <c r="V597" s="308" t="n">
        <v>0.09</v>
      </c>
    </row>
    <row r="598">
      <c r="A598" t="n">
        <v>53</v>
      </c>
      <c r="B598" t="inlineStr">
        <is>
          <t>5月</t>
        </is>
      </c>
      <c r="C598" t="inlineStr">
        <is>
          <t>消金</t>
        </is>
      </c>
      <c r="D598" t="inlineStr">
        <is>
          <t>信托金条</t>
        </is>
      </c>
      <c r="E598" t="inlineStr">
        <is>
          <t>耘睿24-7</t>
        </is>
      </c>
      <c r="F598" t="inlineStr">
        <is>
          <t>上交所</t>
        </is>
      </c>
      <c r="G598" t="inlineStr">
        <is>
          <t>财通资管</t>
        </is>
      </c>
      <c r="H598" t="inlineStr">
        <is>
          <t>国联证券</t>
        </is>
      </c>
      <c r="I598" t="inlineStr">
        <is>
          <t>招行北分</t>
        </is>
      </c>
      <c r="J598" t="n">
        <v>10</v>
      </c>
      <c r="K598" t="inlineStr">
        <is>
          <t>11+13</t>
        </is>
      </c>
      <c r="L598" s="309" t="n">
        <v>46148</v>
      </c>
      <c r="M598" t="n">
        <v>0.01445</v>
      </c>
      <c r="N598" t="n">
        <v>0.01915</v>
      </c>
      <c r="O598" t="n">
        <v>2.09</v>
      </c>
      <c r="P598" t="inlineStr">
        <is>
          <t>优先B</t>
        </is>
      </c>
      <c r="Q598" t="n">
        <v>0.03</v>
      </c>
      <c r="R598" t="n">
        <v>0.3</v>
      </c>
      <c r="S598" t="inlineStr">
        <is>
          <t>AA+</t>
        </is>
      </c>
      <c r="T598" t="n">
        <v>0.0185</v>
      </c>
      <c r="U598" s="235" t="inlineStr">
        <is>
          <t>渝农商理财</t>
        </is>
      </c>
      <c r="V598" s="308" t="n">
        <v>0.07000000000000001</v>
      </c>
    </row>
    <row r="599">
      <c r="A599" t="n">
        <v>53</v>
      </c>
      <c r="B599" t="inlineStr">
        <is>
          <t>5月</t>
        </is>
      </c>
      <c r="C599" t="inlineStr">
        <is>
          <t>消金</t>
        </is>
      </c>
      <c r="D599" t="inlineStr">
        <is>
          <t>信托金条</t>
        </is>
      </c>
      <c r="E599" t="inlineStr">
        <is>
          <t>耘睿24-7</t>
        </is>
      </c>
      <c r="F599" t="inlineStr">
        <is>
          <t>上交所</t>
        </is>
      </c>
      <c r="G599" t="inlineStr">
        <is>
          <t>财通资管</t>
        </is>
      </c>
      <c r="H599" t="inlineStr">
        <is>
          <t>国联证券</t>
        </is>
      </c>
      <c r="I599" t="inlineStr">
        <is>
          <t>招行北分</t>
        </is>
      </c>
      <c r="J599" t="n">
        <v>10</v>
      </c>
      <c r="K599" t="inlineStr">
        <is>
          <t>11+13</t>
        </is>
      </c>
      <c r="L599" s="309" t="n">
        <v>46148</v>
      </c>
      <c r="M599" t="n">
        <v>0.01445</v>
      </c>
      <c r="N599" t="n">
        <v>0.01915</v>
      </c>
      <c r="O599" t="n">
        <v>2.09</v>
      </c>
      <c r="P599" t="inlineStr">
        <is>
          <t>优先B</t>
        </is>
      </c>
      <c r="Q599" t="n">
        <v>0.03</v>
      </c>
      <c r="R599" t="n">
        <v>0.3</v>
      </c>
      <c r="S599" t="inlineStr">
        <is>
          <t>AA+</t>
        </is>
      </c>
      <c r="T599" t="n">
        <v>0.0185</v>
      </c>
      <c r="U599" s="235" t="inlineStr">
        <is>
          <t>财通资管</t>
        </is>
      </c>
      <c r="V599" s="308" t="n">
        <v>0.1</v>
      </c>
    </row>
    <row r="600">
      <c r="A600" t="n">
        <v>53</v>
      </c>
      <c r="B600" t="inlineStr">
        <is>
          <t>5月</t>
        </is>
      </c>
      <c r="C600" t="inlineStr">
        <is>
          <t>消金</t>
        </is>
      </c>
      <c r="D600" t="inlineStr">
        <is>
          <t>信托金条</t>
        </is>
      </c>
      <c r="E600" t="inlineStr">
        <is>
          <t>耘睿24-7</t>
        </is>
      </c>
      <c r="F600" t="inlineStr">
        <is>
          <t>上交所</t>
        </is>
      </c>
      <c r="G600" t="inlineStr">
        <is>
          <t>财通资管</t>
        </is>
      </c>
      <c r="H600" t="inlineStr">
        <is>
          <t>国联证券</t>
        </is>
      </c>
      <c r="I600" t="inlineStr">
        <is>
          <t>招行北分</t>
        </is>
      </c>
      <c r="J600" t="n">
        <v>10</v>
      </c>
      <c r="K600" t="inlineStr">
        <is>
          <t>11+13</t>
        </is>
      </c>
      <c r="L600" s="309" t="n">
        <v>46148</v>
      </c>
      <c r="M600" t="n">
        <v>0.01445</v>
      </c>
      <c r="N600" t="n">
        <v>0.01915</v>
      </c>
      <c r="O600" t="n">
        <v>2.09</v>
      </c>
      <c r="P600" t="inlineStr">
        <is>
          <t>优先B</t>
        </is>
      </c>
      <c r="Q600" t="n">
        <v>0.03</v>
      </c>
      <c r="R600" t="n">
        <v>0.3</v>
      </c>
      <c r="S600" t="inlineStr">
        <is>
          <t>AA+</t>
        </is>
      </c>
      <c r="T600" t="n">
        <v>0.0185</v>
      </c>
      <c r="U600" s="235" t="inlineStr">
        <is>
          <t>国联民生投行</t>
        </is>
      </c>
      <c r="V600" s="308" t="n">
        <v>0.04</v>
      </c>
    </row>
    <row r="601">
      <c r="A601" t="n">
        <v>53</v>
      </c>
      <c r="B601" t="inlineStr">
        <is>
          <t>5月</t>
        </is>
      </c>
      <c r="C601" t="inlineStr">
        <is>
          <t>消金</t>
        </is>
      </c>
      <c r="D601" t="inlineStr">
        <is>
          <t>信托金条</t>
        </is>
      </c>
      <c r="E601" t="inlineStr">
        <is>
          <t>耘睿24-7</t>
        </is>
      </c>
      <c r="F601" t="inlineStr">
        <is>
          <t>上交所</t>
        </is>
      </c>
      <c r="G601" t="inlineStr">
        <is>
          <t>财通资管</t>
        </is>
      </c>
      <c r="H601" t="inlineStr">
        <is>
          <t>国联证券</t>
        </is>
      </c>
      <c r="I601" t="inlineStr">
        <is>
          <t>招行北分</t>
        </is>
      </c>
      <c r="J601" t="n">
        <v>10</v>
      </c>
      <c r="K601" t="inlineStr">
        <is>
          <t>11+13</t>
        </is>
      </c>
      <c r="L601" s="309" t="n">
        <v>46148</v>
      </c>
      <c r="M601" t="n">
        <v>0.01445</v>
      </c>
      <c r="N601" t="n">
        <v>0.01915</v>
      </c>
      <c r="O601" t="n">
        <v>2.09</v>
      </c>
      <c r="P601" s="235" t="inlineStr">
        <is>
          <t>中间级</t>
        </is>
      </c>
      <c r="Q601" s="236" t="n">
        <v>0.02</v>
      </c>
      <c r="R601" s="307" t="n">
        <v>0.2</v>
      </c>
      <c r="S601" s="235" t="inlineStr">
        <is>
          <t>A+</t>
        </is>
      </c>
      <c r="T601" s="236" t="n">
        <v>0.031</v>
      </c>
      <c r="U601" s="235" t="inlineStr">
        <is>
          <t>中泰证券自营</t>
        </is>
      </c>
      <c r="V601" s="308" t="n">
        <v>0.1</v>
      </c>
    </row>
    <row r="602">
      <c r="A602" t="n">
        <v>53</v>
      </c>
      <c r="B602" t="inlineStr">
        <is>
          <t>5月</t>
        </is>
      </c>
      <c r="C602" t="inlineStr">
        <is>
          <t>消金</t>
        </is>
      </c>
      <c r="D602" t="inlineStr">
        <is>
          <t>信托金条</t>
        </is>
      </c>
      <c r="E602" t="inlineStr">
        <is>
          <t>耘睿24-7</t>
        </is>
      </c>
      <c r="F602" t="inlineStr">
        <is>
          <t>上交所</t>
        </is>
      </c>
      <c r="G602" t="inlineStr">
        <is>
          <t>财通资管</t>
        </is>
      </c>
      <c r="H602" t="inlineStr">
        <is>
          <t>国联证券</t>
        </is>
      </c>
      <c r="I602" t="inlineStr">
        <is>
          <t>招行北分</t>
        </is>
      </c>
      <c r="J602" t="n">
        <v>10</v>
      </c>
      <c r="K602" t="inlineStr">
        <is>
          <t>11+13</t>
        </is>
      </c>
      <c r="L602" s="309" t="n">
        <v>46148</v>
      </c>
      <c r="M602" t="n">
        <v>0.01445</v>
      </c>
      <c r="N602" t="n">
        <v>0.01915</v>
      </c>
      <c r="O602" t="n">
        <v>2.09</v>
      </c>
      <c r="P602" t="inlineStr">
        <is>
          <t>中间级</t>
        </is>
      </c>
      <c r="Q602" t="n">
        <v>0.02</v>
      </c>
      <c r="R602" t="n">
        <v>0.2</v>
      </c>
      <c r="S602" t="inlineStr">
        <is>
          <t>A+</t>
        </is>
      </c>
      <c r="T602" t="n">
        <v>0.031</v>
      </c>
      <c r="U602" s="235" t="inlineStr">
        <is>
          <t>中金财富</t>
        </is>
      </c>
      <c r="V602" s="308" t="n">
        <v>0.1</v>
      </c>
    </row>
    <row r="603">
      <c r="A603" t="n">
        <v>53</v>
      </c>
      <c r="B603" t="inlineStr">
        <is>
          <t>5月</t>
        </is>
      </c>
      <c r="C603" t="inlineStr">
        <is>
          <t>消金</t>
        </is>
      </c>
      <c r="D603" t="inlineStr">
        <is>
          <t>信托金条</t>
        </is>
      </c>
      <c r="E603" t="inlineStr">
        <is>
          <t>耘睿24-7</t>
        </is>
      </c>
      <c r="F603" t="inlineStr">
        <is>
          <t>上交所</t>
        </is>
      </c>
      <c r="G603" t="inlineStr">
        <is>
          <t>财通资管</t>
        </is>
      </c>
      <c r="H603" t="inlineStr">
        <is>
          <t>国联证券</t>
        </is>
      </c>
      <c r="I603" t="inlineStr">
        <is>
          <t>招行北分</t>
        </is>
      </c>
      <c r="J603" t="n">
        <v>10</v>
      </c>
      <c r="K603" t="inlineStr">
        <is>
          <t>11+13</t>
        </is>
      </c>
      <c r="L603" s="309" t="n">
        <v>46148</v>
      </c>
      <c r="M603" t="n">
        <v>0.01445</v>
      </c>
      <c r="N603" t="n">
        <v>0.01915</v>
      </c>
      <c r="O603" t="n">
        <v>2.09</v>
      </c>
      <c r="P603" s="235" t="inlineStr">
        <is>
          <t>次级</t>
        </is>
      </c>
      <c r="Q603" s="236" t="n">
        <v>0.05</v>
      </c>
      <c r="R603" s="307" t="n">
        <v>0.5</v>
      </c>
      <c r="S603" s="235" t="inlineStr">
        <is>
          <t>无</t>
        </is>
      </c>
      <c r="T603" s="236" t="n">
        <v>0.0495</v>
      </c>
      <c r="U603" s="235" t="inlineStr">
        <is>
          <t>中信建投衍生品</t>
        </is>
      </c>
      <c r="V603" s="310" t="n">
        <v>0.225</v>
      </c>
    </row>
    <row r="604">
      <c r="A604" t="n">
        <v>53</v>
      </c>
      <c r="B604" t="inlineStr">
        <is>
          <t>5月</t>
        </is>
      </c>
      <c r="C604" t="inlineStr">
        <is>
          <t>消金</t>
        </is>
      </c>
      <c r="D604" t="inlineStr">
        <is>
          <t>信托金条</t>
        </is>
      </c>
      <c r="E604" t="inlineStr">
        <is>
          <t>耘睿24-7</t>
        </is>
      </c>
      <c r="F604" t="inlineStr">
        <is>
          <t>上交所</t>
        </is>
      </c>
      <c r="G604" t="inlineStr">
        <is>
          <t>财通资管</t>
        </is>
      </c>
      <c r="H604" t="inlineStr">
        <is>
          <t>国联证券</t>
        </is>
      </c>
      <c r="I604" t="inlineStr">
        <is>
          <t>招行北分</t>
        </is>
      </c>
      <c r="J604" t="n">
        <v>10</v>
      </c>
      <c r="K604" t="inlineStr">
        <is>
          <t>11+13</t>
        </is>
      </c>
      <c r="L604" s="309" t="n">
        <v>46148</v>
      </c>
      <c r="M604" t="n">
        <v>0.01445</v>
      </c>
      <c r="N604" t="n">
        <v>0.01915</v>
      </c>
      <c r="O604" t="n">
        <v>2.09</v>
      </c>
      <c r="P604" t="inlineStr">
        <is>
          <t>次级</t>
        </is>
      </c>
      <c r="Q604" t="n">
        <v>0.05</v>
      </c>
      <c r="R604" t="n">
        <v>0.5</v>
      </c>
      <c r="S604" t="inlineStr">
        <is>
          <t>无</t>
        </is>
      </c>
      <c r="T604" t="n">
        <v>0.0495</v>
      </c>
      <c r="U604" s="235" t="inlineStr">
        <is>
          <t>中金投顾</t>
        </is>
      </c>
      <c r="V604" s="308" t="n">
        <v>0.2</v>
      </c>
    </row>
    <row r="605">
      <c r="A605" t="n">
        <v>53</v>
      </c>
      <c r="B605" t="inlineStr">
        <is>
          <t>5月</t>
        </is>
      </c>
      <c r="C605" t="inlineStr">
        <is>
          <t>消金</t>
        </is>
      </c>
      <c r="D605" t="inlineStr">
        <is>
          <t>信托金条</t>
        </is>
      </c>
      <c r="E605" t="inlineStr">
        <is>
          <t>耘睿24-7</t>
        </is>
      </c>
      <c r="F605" t="inlineStr">
        <is>
          <t>上交所</t>
        </is>
      </c>
      <c r="G605" t="inlineStr">
        <is>
          <t>财通资管</t>
        </is>
      </c>
      <c r="H605" t="inlineStr">
        <is>
          <t>国联证券</t>
        </is>
      </c>
      <c r="I605" t="inlineStr">
        <is>
          <t>招行北分</t>
        </is>
      </c>
      <c r="J605" t="n">
        <v>10</v>
      </c>
      <c r="K605" t="inlineStr">
        <is>
          <t>11+13</t>
        </is>
      </c>
      <c r="L605" s="309" t="n">
        <v>46148</v>
      </c>
      <c r="M605" t="n">
        <v>0.01445</v>
      </c>
      <c r="N605" t="n">
        <v>0.01915</v>
      </c>
      <c r="O605" t="n">
        <v>2.09</v>
      </c>
      <c r="P605" t="inlineStr">
        <is>
          <t>次级</t>
        </is>
      </c>
      <c r="Q605" t="n">
        <v>0.05</v>
      </c>
      <c r="R605" t="n">
        <v>0.5</v>
      </c>
      <c r="S605" t="inlineStr">
        <is>
          <t>无</t>
        </is>
      </c>
      <c r="T605" t="n">
        <v>0.0495</v>
      </c>
      <c r="U605" s="235" t="inlineStr">
        <is>
          <t>中信证券自营</t>
        </is>
      </c>
      <c r="V605" s="310" t="n">
        <v>0.075</v>
      </c>
    </row>
    <row r="606">
      <c r="A606" s="223" t="n">
        <v>54</v>
      </c>
      <c r="B606" s="305" t="inlineStr">
        <is>
          <t>5月</t>
        </is>
      </c>
      <c r="C606" s="305" t="inlineStr">
        <is>
          <t>消金</t>
        </is>
      </c>
      <c r="D606" s="305" t="inlineStr">
        <is>
          <t>信托白取</t>
        </is>
      </c>
      <c r="E606" s="305" t="inlineStr">
        <is>
          <t>耘睿24-8</t>
        </is>
      </c>
      <c r="F606" s="305" t="inlineStr">
        <is>
          <t>上交所</t>
        </is>
      </c>
      <c r="G606" s="305" t="inlineStr">
        <is>
          <t>国投证券</t>
        </is>
      </c>
      <c r="H606" s="305" t="inlineStr">
        <is>
          <t>光大证券</t>
        </is>
      </c>
      <c r="I606" s="305" t="inlineStr">
        <is>
          <t>民生北分</t>
        </is>
      </c>
      <c r="J606" s="245" t="n">
        <v>10</v>
      </c>
      <c r="K606" s="305" t="inlineStr">
        <is>
          <t>11+13</t>
        </is>
      </c>
      <c r="L606" s="246" t="n">
        <v>46149</v>
      </c>
      <c r="M606" s="247" t="n">
        <v>0.0146</v>
      </c>
      <c r="N606" s="306" t="n">
        <v>0.01972</v>
      </c>
      <c r="O606" s="245" t="n">
        <v>1.45</v>
      </c>
      <c r="P606" s="235" t="inlineStr">
        <is>
          <t>优先A</t>
        </is>
      </c>
      <c r="Q606" s="236" t="n">
        <v>0.9</v>
      </c>
      <c r="R606" s="307" t="n">
        <v>9</v>
      </c>
      <c r="S606" s="235" t="inlineStr">
        <is>
          <t>AAA</t>
        </is>
      </c>
      <c r="T606" s="236" t="n">
        <v>0.0165</v>
      </c>
      <c r="U606" s="235" t="inlineStr">
        <is>
          <t>渝农商理财</t>
        </is>
      </c>
      <c r="V606" s="308" t="n">
        <v>1.1</v>
      </c>
    </row>
    <row r="607">
      <c r="A607" t="n">
        <v>54</v>
      </c>
      <c r="B607" t="inlineStr">
        <is>
          <t>5月</t>
        </is>
      </c>
      <c r="C607" t="inlineStr">
        <is>
          <t>消金</t>
        </is>
      </c>
      <c r="D607" t="inlineStr">
        <is>
          <t>信托白取</t>
        </is>
      </c>
      <c r="E607" t="inlineStr">
        <is>
          <t>耘睿24-8</t>
        </is>
      </c>
      <c r="F607" t="inlineStr">
        <is>
          <t>上交所</t>
        </is>
      </c>
      <c r="G607" t="inlineStr">
        <is>
          <t>国投证券</t>
        </is>
      </c>
      <c r="H607" t="inlineStr">
        <is>
          <t>光大证券</t>
        </is>
      </c>
      <c r="I607" t="inlineStr">
        <is>
          <t>民生北分</t>
        </is>
      </c>
      <c r="J607" t="n">
        <v>10</v>
      </c>
      <c r="K607" t="inlineStr">
        <is>
          <t>11+13</t>
        </is>
      </c>
      <c r="L607" s="309" t="n">
        <v>46149</v>
      </c>
      <c r="M607" t="n">
        <v>0.0146</v>
      </c>
      <c r="N607" t="n">
        <v>0.01972</v>
      </c>
      <c r="O607" t="n">
        <v>1.45</v>
      </c>
      <c r="P607" t="inlineStr">
        <is>
          <t>优先A</t>
        </is>
      </c>
      <c r="Q607" t="n">
        <v>0.9</v>
      </c>
      <c r="R607" t="n">
        <v>9</v>
      </c>
      <c r="S607" t="inlineStr">
        <is>
          <t>AAA</t>
        </is>
      </c>
      <c r="T607" t="n">
        <v>0.0165</v>
      </c>
      <c r="U607" s="235" t="inlineStr">
        <is>
          <t>民生理财</t>
        </is>
      </c>
      <c r="V607" s="308" t="n">
        <v>2.7</v>
      </c>
    </row>
    <row r="608">
      <c r="A608" t="n">
        <v>54</v>
      </c>
      <c r="B608" t="inlineStr">
        <is>
          <t>5月</t>
        </is>
      </c>
      <c r="C608" t="inlineStr">
        <is>
          <t>消金</t>
        </is>
      </c>
      <c r="D608" t="inlineStr">
        <is>
          <t>信托白取</t>
        </is>
      </c>
      <c r="E608" t="inlineStr">
        <is>
          <t>耘睿24-8</t>
        </is>
      </c>
      <c r="F608" t="inlineStr">
        <is>
          <t>上交所</t>
        </is>
      </c>
      <c r="G608" t="inlineStr">
        <is>
          <t>国投证券</t>
        </is>
      </c>
      <c r="H608" t="inlineStr">
        <is>
          <t>光大证券</t>
        </is>
      </c>
      <c r="I608" t="inlineStr">
        <is>
          <t>民生北分</t>
        </is>
      </c>
      <c r="J608" t="n">
        <v>10</v>
      </c>
      <c r="K608" t="inlineStr">
        <is>
          <t>11+13</t>
        </is>
      </c>
      <c r="L608" s="309" t="n">
        <v>46149</v>
      </c>
      <c r="M608" t="n">
        <v>0.0146</v>
      </c>
      <c r="N608" t="n">
        <v>0.01972</v>
      </c>
      <c r="O608" t="n">
        <v>1.45</v>
      </c>
      <c r="P608" t="inlineStr">
        <is>
          <t>优先A</t>
        </is>
      </c>
      <c r="Q608" t="n">
        <v>0.9</v>
      </c>
      <c r="R608" t="n">
        <v>9</v>
      </c>
      <c r="S608" t="inlineStr">
        <is>
          <t>AAA</t>
        </is>
      </c>
      <c r="T608" t="n">
        <v>0.0165</v>
      </c>
      <c r="U608" s="235" t="inlineStr">
        <is>
          <t>交银理财</t>
        </is>
      </c>
      <c r="V608" s="308" t="n">
        <v>2.3</v>
      </c>
    </row>
    <row r="609">
      <c r="A609" t="n">
        <v>54</v>
      </c>
      <c r="B609" t="inlineStr">
        <is>
          <t>5月</t>
        </is>
      </c>
      <c r="C609" t="inlineStr">
        <is>
          <t>消金</t>
        </is>
      </c>
      <c r="D609" t="inlineStr">
        <is>
          <t>信托白取</t>
        </is>
      </c>
      <c r="E609" t="inlineStr">
        <is>
          <t>耘睿24-8</t>
        </is>
      </c>
      <c r="F609" t="inlineStr">
        <is>
          <t>上交所</t>
        </is>
      </c>
      <c r="G609" t="inlineStr">
        <is>
          <t>国投证券</t>
        </is>
      </c>
      <c r="H609" t="inlineStr">
        <is>
          <t>光大证券</t>
        </is>
      </c>
      <c r="I609" t="inlineStr">
        <is>
          <t>民生北分</t>
        </is>
      </c>
      <c r="J609" t="n">
        <v>10</v>
      </c>
      <c r="K609" t="inlineStr">
        <is>
          <t>11+13</t>
        </is>
      </c>
      <c r="L609" s="309" t="n">
        <v>46149</v>
      </c>
      <c r="M609" t="n">
        <v>0.0146</v>
      </c>
      <c r="N609" t="n">
        <v>0.01972</v>
      </c>
      <c r="O609" t="n">
        <v>1.45</v>
      </c>
      <c r="P609" t="inlineStr">
        <is>
          <t>优先A</t>
        </is>
      </c>
      <c r="Q609" t="n">
        <v>0.9</v>
      </c>
      <c r="R609" t="n">
        <v>9</v>
      </c>
      <c r="S609" t="inlineStr">
        <is>
          <t>AAA</t>
        </is>
      </c>
      <c r="T609" t="n">
        <v>0.0165</v>
      </c>
      <c r="U609" s="235" t="inlineStr">
        <is>
          <t>中邮理财</t>
        </is>
      </c>
      <c r="V609" s="308" t="n">
        <v>2.7</v>
      </c>
    </row>
    <row r="610">
      <c r="A610" t="n">
        <v>54</v>
      </c>
      <c r="B610" t="inlineStr">
        <is>
          <t>5月</t>
        </is>
      </c>
      <c r="C610" t="inlineStr">
        <is>
          <t>消金</t>
        </is>
      </c>
      <c r="D610" t="inlineStr">
        <is>
          <t>信托白取</t>
        </is>
      </c>
      <c r="E610" t="inlineStr">
        <is>
          <t>耘睿24-8</t>
        </is>
      </c>
      <c r="F610" t="inlineStr">
        <is>
          <t>上交所</t>
        </is>
      </c>
      <c r="G610" t="inlineStr">
        <is>
          <t>国投证券</t>
        </is>
      </c>
      <c r="H610" t="inlineStr">
        <is>
          <t>光大证券</t>
        </is>
      </c>
      <c r="I610" t="inlineStr">
        <is>
          <t>民生北分</t>
        </is>
      </c>
      <c r="J610" t="n">
        <v>10</v>
      </c>
      <c r="K610" t="inlineStr">
        <is>
          <t>11+13</t>
        </is>
      </c>
      <c r="L610" s="309" t="n">
        <v>46149</v>
      </c>
      <c r="M610" t="n">
        <v>0.0146</v>
      </c>
      <c r="N610" t="n">
        <v>0.01972</v>
      </c>
      <c r="O610" t="n">
        <v>1.45</v>
      </c>
      <c r="P610" t="inlineStr">
        <is>
          <t>优先A</t>
        </is>
      </c>
      <c r="Q610" t="n">
        <v>0.9</v>
      </c>
      <c r="R610" t="n">
        <v>9</v>
      </c>
      <c r="S610" t="inlineStr">
        <is>
          <t>AAA</t>
        </is>
      </c>
      <c r="T610" t="n">
        <v>0.0165</v>
      </c>
      <c r="U610" s="235" t="inlineStr">
        <is>
          <t>建信信托</t>
        </is>
      </c>
      <c r="V610" s="308" t="n">
        <v>0.2</v>
      </c>
    </row>
    <row r="611">
      <c r="A611" t="n">
        <v>54</v>
      </c>
      <c r="B611" t="inlineStr">
        <is>
          <t>5月</t>
        </is>
      </c>
      <c r="C611" t="inlineStr">
        <is>
          <t>消金</t>
        </is>
      </c>
      <c r="D611" t="inlineStr">
        <is>
          <t>信托白取</t>
        </is>
      </c>
      <c r="E611" t="inlineStr">
        <is>
          <t>耘睿24-8</t>
        </is>
      </c>
      <c r="F611" t="inlineStr">
        <is>
          <t>上交所</t>
        </is>
      </c>
      <c r="G611" t="inlineStr">
        <is>
          <t>国投证券</t>
        </is>
      </c>
      <c r="H611" t="inlineStr">
        <is>
          <t>光大证券</t>
        </is>
      </c>
      <c r="I611" t="inlineStr">
        <is>
          <t>民生北分</t>
        </is>
      </c>
      <c r="J611" t="n">
        <v>10</v>
      </c>
      <c r="K611" t="inlineStr">
        <is>
          <t>11+13</t>
        </is>
      </c>
      <c r="L611" s="309" t="n">
        <v>46149</v>
      </c>
      <c r="M611" t="n">
        <v>0.0146</v>
      </c>
      <c r="N611" t="n">
        <v>0.01972</v>
      </c>
      <c r="O611" t="n">
        <v>1.45</v>
      </c>
      <c r="P611" s="235" t="inlineStr">
        <is>
          <t>优先B</t>
        </is>
      </c>
      <c r="Q611" s="236" t="n">
        <v>0.03</v>
      </c>
      <c r="R611" s="307" t="n">
        <v>0.3</v>
      </c>
      <c r="S611" s="235" t="inlineStr">
        <is>
          <t>AA+</t>
        </is>
      </c>
      <c r="T611" s="236" t="n">
        <v>0.0185</v>
      </c>
      <c r="U611" s="235" t="inlineStr">
        <is>
          <t>渝农商理财</t>
        </is>
      </c>
      <c r="V611" s="308" t="n">
        <v>0.08</v>
      </c>
    </row>
    <row r="612">
      <c r="A612" t="n">
        <v>54</v>
      </c>
      <c r="B612" t="inlineStr">
        <is>
          <t>5月</t>
        </is>
      </c>
      <c r="C612" t="inlineStr">
        <is>
          <t>消金</t>
        </is>
      </c>
      <c r="D612" t="inlineStr">
        <is>
          <t>信托白取</t>
        </is>
      </c>
      <c r="E612" t="inlineStr">
        <is>
          <t>耘睿24-8</t>
        </is>
      </c>
      <c r="F612" t="inlineStr">
        <is>
          <t>上交所</t>
        </is>
      </c>
      <c r="G612" t="inlineStr">
        <is>
          <t>国投证券</t>
        </is>
      </c>
      <c r="H612" t="inlineStr">
        <is>
          <t>光大证券</t>
        </is>
      </c>
      <c r="I612" t="inlineStr">
        <is>
          <t>民生北分</t>
        </is>
      </c>
      <c r="J612" t="n">
        <v>10</v>
      </c>
      <c r="K612" t="inlineStr">
        <is>
          <t>11+13</t>
        </is>
      </c>
      <c r="L612" s="309" t="n">
        <v>46149</v>
      </c>
      <c r="M612" t="n">
        <v>0.0146</v>
      </c>
      <c r="N612" t="n">
        <v>0.01972</v>
      </c>
      <c r="O612" t="n">
        <v>1.45</v>
      </c>
      <c r="P612" t="inlineStr">
        <is>
          <t>优先B</t>
        </is>
      </c>
      <c r="Q612" t="n">
        <v>0.03</v>
      </c>
      <c r="R612" t="n">
        <v>0.3</v>
      </c>
      <c r="S612" t="inlineStr">
        <is>
          <t>AA+</t>
        </is>
      </c>
      <c r="T612" t="n">
        <v>0.0185</v>
      </c>
      <c r="U612" s="235" t="inlineStr">
        <is>
          <t>民生理财</t>
        </is>
      </c>
      <c r="V612" s="308" t="n">
        <v>0.09</v>
      </c>
    </row>
    <row r="613">
      <c r="A613" t="n">
        <v>54</v>
      </c>
      <c r="B613" t="inlineStr">
        <is>
          <t>5月</t>
        </is>
      </c>
      <c r="C613" t="inlineStr">
        <is>
          <t>消金</t>
        </is>
      </c>
      <c r="D613" t="inlineStr">
        <is>
          <t>信托白取</t>
        </is>
      </c>
      <c r="E613" t="inlineStr">
        <is>
          <t>耘睿24-8</t>
        </is>
      </c>
      <c r="F613" t="inlineStr">
        <is>
          <t>上交所</t>
        </is>
      </c>
      <c r="G613" t="inlineStr">
        <is>
          <t>国投证券</t>
        </is>
      </c>
      <c r="H613" t="inlineStr">
        <is>
          <t>光大证券</t>
        </is>
      </c>
      <c r="I613" t="inlineStr">
        <is>
          <t>民生北分</t>
        </is>
      </c>
      <c r="J613" t="n">
        <v>10</v>
      </c>
      <c r="K613" t="inlineStr">
        <is>
          <t>11+13</t>
        </is>
      </c>
      <c r="L613" s="309" t="n">
        <v>46149</v>
      </c>
      <c r="M613" t="n">
        <v>0.0146</v>
      </c>
      <c r="N613" t="n">
        <v>0.01972</v>
      </c>
      <c r="O613" t="n">
        <v>1.45</v>
      </c>
      <c r="P613" t="inlineStr">
        <is>
          <t>优先B</t>
        </is>
      </c>
      <c r="Q613" t="n">
        <v>0.03</v>
      </c>
      <c r="R613" t="n">
        <v>0.3</v>
      </c>
      <c r="S613" t="inlineStr">
        <is>
          <t>AA+</t>
        </is>
      </c>
      <c r="T613" t="n">
        <v>0.0185</v>
      </c>
      <c r="U613" s="235" t="inlineStr">
        <is>
          <t>交银理财</t>
        </is>
      </c>
      <c r="V613" s="308" t="n">
        <v>0.09</v>
      </c>
    </row>
    <row r="614">
      <c r="A614" t="n">
        <v>54</v>
      </c>
      <c r="B614" t="inlineStr">
        <is>
          <t>5月</t>
        </is>
      </c>
      <c r="C614" t="inlineStr">
        <is>
          <t>消金</t>
        </is>
      </c>
      <c r="D614" t="inlineStr">
        <is>
          <t>信托白取</t>
        </is>
      </c>
      <c r="E614" t="inlineStr">
        <is>
          <t>耘睿24-8</t>
        </is>
      </c>
      <c r="F614" t="inlineStr">
        <is>
          <t>上交所</t>
        </is>
      </c>
      <c r="G614" t="inlineStr">
        <is>
          <t>国投证券</t>
        </is>
      </c>
      <c r="H614" t="inlineStr">
        <is>
          <t>光大证券</t>
        </is>
      </c>
      <c r="I614" t="inlineStr">
        <is>
          <t>民生北分</t>
        </is>
      </c>
      <c r="J614" t="n">
        <v>10</v>
      </c>
      <c r="K614" t="inlineStr">
        <is>
          <t>11+13</t>
        </is>
      </c>
      <c r="L614" s="309" t="n">
        <v>46149</v>
      </c>
      <c r="M614" t="n">
        <v>0.0146</v>
      </c>
      <c r="N614" t="n">
        <v>0.01972</v>
      </c>
      <c r="O614" t="n">
        <v>1.45</v>
      </c>
      <c r="P614" t="inlineStr">
        <is>
          <t>优先B</t>
        </is>
      </c>
      <c r="Q614" t="n">
        <v>0.03</v>
      </c>
      <c r="R614" t="n">
        <v>0.3</v>
      </c>
      <c r="S614" t="inlineStr">
        <is>
          <t>AA+</t>
        </is>
      </c>
      <c r="T614" t="n">
        <v>0.0185</v>
      </c>
      <c r="U614" s="235" t="inlineStr">
        <is>
          <t>建信信托</t>
        </is>
      </c>
      <c r="V614" s="308" t="n">
        <v>0.04</v>
      </c>
    </row>
    <row r="615">
      <c r="A615" t="n">
        <v>54</v>
      </c>
      <c r="B615" t="inlineStr">
        <is>
          <t>5月</t>
        </is>
      </c>
      <c r="C615" t="inlineStr">
        <is>
          <t>消金</t>
        </is>
      </c>
      <c r="D615" t="inlineStr">
        <is>
          <t>信托白取</t>
        </is>
      </c>
      <c r="E615" t="inlineStr">
        <is>
          <t>耘睿24-8</t>
        </is>
      </c>
      <c r="F615" t="inlineStr">
        <is>
          <t>上交所</t>
        </is>
      </c>
      <c r="G615" t="inlineStr">
        <is>
          <t>国投证券</t>
        </is>
      </c>
      <c r="H615" t="inlineStr">
        <is>
          <t>光大证券</t>
        </is>
      </c>
      <c r="I615" t="inlineStr">
        <is>
          <t>民生北分</t>
        </is>
      </c>
      <c r="J615" t="n">
        <v>10</v>
      </c>
      <c r="K615" t="inlineStr">
        <is>
          <t>11+13</t>
        </is>
      </c>
      <c r="L615" s="309" t="n">
        <v>46149</v>
      </c>
      <c r="M615" t="n">
        <v>0.0146</v>
      </c>
      <c r="N615" t="n">
        <v>0.01972</v>
      </c>
      <c r="O615" t="n">
        <v>1.45</v>
      </c>
      <c r="P615" s="235" t="inlineStr">
        <is>
          <t>中间级</t>
        </is>
      </c>
      <c r="Q615" s="236" t="n">
        <v>0.02</v>
      </c>
      <c r="R615" s="307" t="n">
        <v>0.2</v>
      </c>
      <c r="S615" s="235" t="inlineStr">
        <is>
          <t>A+</t>
        </is>
      </c>
      <c r="T615" s="323" t="n">
        <v>0.031</v>
      </c>
      <c r="U615" s="235" t="inlineStr">
        <is>
          <t>建信信托</t>
        </is>
      </c>
      <c r="V615" s="308" t="n">
        <v>0.1</v>
      </c>
    </row>
    <row r="616">
      <c r="A616" t="n">
        <v>54</v>
      </c>
      <c r="B616" t="inlineStr">
        <is>
          <t>5月</t>
        </is>
      </c>
      <c r="C616" t="inlineStr">
        <is>
          <t>消金</t>
        </is>
      </c>
      <c r="D616" t="inlineStr">
        <is>
          <t>信托白取</t>
        </is>
      </c>
      <c r="E616" t="inlineStr">
        <is>
          <t>耘睿24-8</t>
        </is>
      </c>
      <c r="F616" t="inlineStr">
        <is>
          <t>上交所</t>
        </is>
      </c>
      <c r="G616" t="inlineStr">
        <is>
          <t>国投证券</t>
        </is>
      </c>
      <c r="H616" t="inlineStr">
        <is>
          <t>光大证券</t>
        </is>
      </c>
      <c r="I616" t="inlineStr">
        <is>
          <t>民生北分</t>
        </is>
      </c>
      <c r="J616" t="n">
        <v>10</v>
      </c>
      <c r="K616" t="inlineStr">
        <is>
          <t>11+13</t>
        </is>
      </c>
      <c r="L616" s="309" t="n">
        <v>46149</v>
      </c>
      <c r="M616" t="n">
        <v>0.0146</v>
      </c>
      <c r="N616" t="n">
        <v>0.01972</v>
      </c>
      <c r="O616" t="n">
        <v>1.45</v>
      </c>
      <c r="P616" t="inlineStr">
        <is>
          <t>中间级</t>
        </is>
      </c>
      <c r="Q616" t="n">
        <v>0.02</v>
      </c>
      <c r="R616" t="n">
        <v>0.2</v>
      </c>
      <c r="S616" t="inlineStr">
        <is>
          <t>A+</t>
        </is>
      </c>
      <c r="T616" t="n">
        <v>0.031</v>
      </c>
      <c r="U616" s="235" t="inlineStr">
        <is>
          <t>中信证券自营</t>
        </is>
      </c>
      <c r="V616" s="308" t="n">
        <v>0.1</v>
      </c>
    </row>
    <row r="617">
      <c r="A617" t="n">
        <v>54</v>
      </c>
      <c r="B617" t="inlineStr">
        <is>
          <t>5月</t>
        </is>
      </c>
      <c r="C617" t="inlineStr">
        <is>
          <t>消金</t>
        </is>
      </c>
      <c r="D617" t="inlineStr">
        <is>
          <t>信托白取</t>
        </is>
      </c>
      <c r="E617" t="inlineStr">
        <is>
          <t>耘睿24-8</t>
        </is>
      </c>
      <c r="F617" t="inlineStr">
        <is>
          <t>上交所</t>
        </is>
      </c>
      <c r="G617" t="inlineStr">
        <is>
          <t>国投证券</t>
        </is>
      </c>
      <c r="H617" t="inlineStr">
        <is>
          <t>光大证券</t>
        </is>
      </c>
      <c r="I617" t="inlineStr">
        <is>
          <t>民生北分</t>
        </is>
      </c>
      <c r="J617" t="n">
        <v>10</v>
      </c>
      <c r="K617" t="inlineStr">
        <is>
          <t>11+13</t>
        </is>
      </c>
      <c r="L617" s="309" t="n">
        <v>46149</v>
      </c>
      <c r="M617" t="n">
        <v>0.0146</v>
      </c>
      <c r="N617" t="n">
        <v>0.01972</v>
      </c>
      <c r="O617" t="n">
        <v>1.45</v>
      </c>
      <c r="P617" s="235" t="inlineStr">
        <is>
          <t>次级</t>
        </is>
      </c>
      <c r="Q617" s="236" t="n">
        <v>0.05</v>
      </c>
      <c r="R617" s="307" t="n">
        <v>0.5</v>
      </c>
      <c r="S617" s="235" t="inlineStr">
        <is>
          <t>无</t>
        </is>
      </c>
      <c r="T617" s="324" t="n">
        <v>0.0495</v>
      </c>
      <c r="U617" s="235" t="inlineStr">
        <is>
          <t>中信证券自营</t>
        </is>
      </c>
      <c r="V617" s="310" t="n">
        <v>0.075</v>
      </c>
    </row>
    <row r="618">
      <c r="A618" t="n">
        <v>54</v>
      </c>
      <c r="B618" t="inlineStr">
        <is>
          <t>5月</t>
        </is>
      </c>
      <c r="C618" t="inlineStr">
        <is>
          <t>消金</t>
        </is>
      </c>
      <c r="D618" t="inlineStr">
        <is>
          <t>信托白取</t>
        </is>
      </c>
      <c r="E618" t="inlineStr">
        <is>
          <t>耘睿24-8</t>
        </is>
      </c>
      <c r="F618" t="inlineStr">
        <is>
          <t>上交所</t>
        </is>
      </c>
      <c r="G618" t="inlineStr">
        <is>
          <t>国投证券</t>
        </is>
      </c>
      <c r="H618" t="inlineStr">
        <is>
          <t>光大证券</t>
        </is>
      </c>
      <c r="I618" t="inlineStr">
        <is>
          <t>民生北分</t>
        </is>
      </c>
      <c r="J618" t="n">
        <v>10</v>
      </c>
      <c r="K618" t="inlineStr">
        <is>
          <t>11+13</t>
        </is>
      </c>
      <c r="L618" s="309" t="n">
        <v>46149</v>
      </c>
      <c r="M618" t="n">
        <v>0.0146</v>
      </c>
      <c r="N618" t="n">
        <v>0.01972</v>
      </c>
      <c r="O618" t="n">
        <v>1.45</v>
      </c>
      <c r="P618" t="inlineStr">
        <is>
          <t>次级</t>
        </is>
      </c>
      <c r="Q618" t="n">
        <v>0.05</v>
      </c>
      <c r="R618" t="n">
        <v>0.5</v>
      </c>
      <c r="S618" t="inlineStr">
        <is>
          <t>无</t>
        </is>
      </c>
      <c r="T618" t="n">
        <v>0.0495</v>
      </c>
      <c r="U618" s="235" t="inlineStr">
        <is>
          <t>华泰证券自营</t>
        </is>
      </c>
      <c r="V618" s="310" t="n">
        <v>0.075</v>
      </c>
    </row>
    <row r="619">
      <c r="A619" t="n">
        <v>54</v>
      </c>
      <c r="B619" t="inlineStr">
        <is>
          <t>5月</t>
        </is>
      </c>
      <c r="C619" t="inlineStr">
        <is>
          <t>消金</t>
        </is>
      </c>
      <c r="D619" t="inlineStr">
        <is>
          <t>信托白取</t>
        </is>
      </c>
      <c r="E619" t="inlineStr">
        <is>
          <t>耘睿24-8</t>
        </is>
      </c>
      <c r="F619" t="inlineStr">
        <is>
          <t>上交所</t>
        </is>
      </c>
      <c r="G619" t="inlineStr">
        <is>
          <t>国投证券</t>
        </is>
      </c>
      <c r="H619" t="inlineStr">
        <is>
          <t>光大证券</t>
        </is>
      </c>
      <c r="I619" t="inlineStr">
        <is>
          <t>民生北分</t>
        </is>
      </c>
      <c r="J619" t="n">
        <v>10</v>
      </c>
      <c r="K619" t="inlineStr">
        <is>
          <t>11+13</t>
        </is>
      </c>
      <c r="L619" s="309" t="n">
        <v>46149</v>
      </c>
      <c r="M619" t="n">
        <v>0.0146</v>
      </c>
      <c r="N619" t="n">
        <v>0.01972</v>
      </c>
      <c r="O619" t="n">
        <v>1.45</v>
      </c>
      <c r="P619" t="inlineStr">
        <is>
          <t>次级</t>
        </is>
      </c>
      <c r="Q619" t="n">
        <v>0.05</v>
      </c>
      <c r="R619" t="n">
        <v>0.5</v>
      </c>
      <c r="S619" t="inlineStr">
        <is>
          <t>无</t>
        </is>
      </c>
      <c r="T619" t="n">
        <v>0.0495</v>
      </c>
      <c r="U619" s="235" t="inlineStr">
        <is>
          <t>中信建投衍生品</t>
        </is>
      </c>
      <c r="V619" s="308" t="n">
        <v>0.15</v>
      </c>
    </row>
    <row r="620">
      <c r="A620" t="n">
        <v>54</v>
      </c>
      <c r="B620" t="inlineStr">
        <is>
          <t>5月</t>
        </is>
      </c>
      <c r="C620" t="inlineStr">
        <is>
          <t>消金</t>
        </is>
      </c>
      <c r="D620" t="inlineStr">
        <is>
          <t>信托白取</t>
        </is>
      </c>
      <c r="E620" t="inlineStr">
        <is>
          <t>耘睿24-8</t>
        </is>
      </c>
      <c r="F620" t="inlineStr">
        <is>
          <t>上交所</t>
        </is>
      </c>
      <c r="G620" t="inlineStr">
        <is>
          <t>国投证券</t>
        </is>
      </c>
      <c r="H620" t="inlineStr">
        <is>
          <t>光大证券</t>
        </is>
      </c>
      <c r="I620" t="inlineStr">
        <is>
          <t>民生北分</t>
        </is>
      </c>
      <c r="J620" t="n">
        <v>10</v>
      </c>
      <c r="K620" t="inlineStr">
        <is>
          <t>11+13</t>
        </is>
      </c>
      <c r="L620" s="309" t="n">
        <v>46149</v>
      </c>
      <c r="M620" t="n">
        <v>0.0146</v>
      </c>
      <c r="N620" t="n">
        <v>0.01972</v>
      </c>
      <c r="O620" t="n">
        <v>1.45</v>
      </c>
      <c r="P620" t="inlineStr">
        <is>
          <t>次级</t>
        </is>
      </c>
      <c r="Q620" t="n">
        <v>0.05</v>
      </c>
      <c r="R620" t="n">
        <v>0.5</v>
      </c>
      <c r="S620" t="inlineStr">
        <is>
          <t>无</t>
        </is>
      </c>
      <c r="T620" t="n">
        <v>0.0495</v>
      </c>
      <c r="U620" s="235" t="inlineStr">
        <is>
          <t>国泰海通自营</t>
        </is>
      </c>
      <c r="V620" s="308" t="n">
        <v>0.2</v>
      </c>
    </row>
    <row r="621">
      <c r="A621" s="223" t="n">
        <v>55</v>
      </c>
      <c r="B621" s="223" t="inlineStr">
        <is>
          <t>5月</t>
        </is>
      </c>
      <c r="C621" s="220" t="inlineStr">
        <is>
          <t>企金</t>
        </is>
      </c>
      <c r="D621" s="220" t="inlineStr">
        <is>
          <t>保理</t>
        </is>
      </c>
      <c r="E621" s="220" t="inlineStr">
        <is>
          <t>京诚15-8</t>
        </is>
      </c>
      <c r="F621" s="220" t="inlineStr">
        <is>
          <t>上交所</t>
        </is>
      </c>
      <c r="G621" s="220" t="inlineStr">
        <is>
          <t>华泰资管</t>
        </is>
      </c>
      <c r="H621" s="220" t="inlineStr">
        <is>
          <t>国开证券</t>
        </is>
      </c>
      <c r="I621" s="220" t="inlineStr">
        <is>
          <t>光大北分</t>
        </is>
      </c>
      <c r="J621" s="220" t="n">
        <v>10</v>
      </c>
      <c r="K621" s="220" t="inlineStr">
        <is>
          <t>2+4</t>
        </is>
      </c>
      <c r="L621" s="224" t="n">
        <v>46154</v>
      </c>
      <c r="M621" s="225" t="n">
        <v>0.0144</v>
      </c>
      <c r="N621" s="225" t="n">
        <v>0.0157</v>
      </c>
      <c r="O621" s="226" t="n">
        <v>1.93</v>
      </c>
      <c r="P621" s="220" t="inlineStr">
        <is>
          <t>优先级</t>
        </is>
      </c>
      <c r="Q621" s="221" t="n">
        <v>0.99</v>
      </c>
      <c r="R621" s="308" t="n">
        <v>9.9</v>
      </c>
      <c r="S621" s="220" t="inlineStr">
        <is>
          <t>AAA</t>
        </is>
      </c>
      <c r="T621" s="221" t="n">
        <v>0.015</v>
      </c>
      <c r="U621" s="24" t="inlineStr">
        <is>
          <t>平安理财</t>
        </is>
      </c>
      <c r="V621" s="25" t="n">
        <v>1.28</v>
      </c>
      <c r="W621" t="n">
        <v>0.015</v>
      </c>
      <c r="X621" t="inlineStr">
        <is>
          <t>平安理财</t>
        </is>
      </c>
      <c r="Y621" t="n">
        <v>2.47</v>
      </c>
    </row>
    <row r="622">
      <c r="A622" t="n">
        <v>55</v>
      </c>
      <c r="B622" t="inlineStr">
        <is>
          <t>5月</t>
        </is>
      </c>
      <c r="C622" t="inlineStr">
        <is>
          <t>企金</t>
        </is>
      </c>
      <c r="D622" t="inlineStr">
        <is>
          <t>保理</t>
        </is>
      </c>
      <c r="E622" t="inlineStr">
        <is>
          <t>京诚15-8</t>
        </is>
      </c>
      <c r="F622" t="inlineStr">
        <is>
          <t>上交所</t>
        </is>
      </c>
      <c r="G622" t="inlineStr">
        <is>
          <t>华泰资管</t>
        </is>
      </c>
      <c r="H622" t="inlineStr">
        <is>
          <t>国开证券</t>
        </is>
      </c>
      <c r="I622" t="inlineStr">
        <is>
          <t>光大北分</t>
        </is>
      </c>
      <c r="J622" t="n">
        <v>10</v>
      </c>
      <c r="K622" t="inlineStr">
        <is>
          <t>2+4</t>
        </is>
      </c>
      <c r="L622" s="309" t="n">
        <v>46154</v>
      </c>
      <c r="M622" t="n">
        <v>0.0144</v>
      </c>
      <c r="N622" t="n">
        <v>0.0157</v>
      </c>
      <c r="O622" t="n">
        <v>1.93</v>
      </c>
      <c r="P622" t="inlineStr">
        <is>
          <t>优先级</t>
        </is>
      </c>
      <c r="Q622" t="n">
        <v>0.99</v>
      </c>
      <c r="R622" t="n">
        <v>9.9</v>
      </c>
      <c r="S622" t="inlineStr">
        <is>
          <t>AAA</t>
        </is>
      </c>
      <c r="T622" t="n">
        <v>0.015</v>
      </c>
      <c r="U622" s="217" t="inlineStr">
        <is>
          <t>工银理财</t>
        </is>
      </c>
      <c r="V622" s="25" t="n">
        <v>0.5</v>
      </c>
      <c r="W622" t="n">
        <v>0.015</v>
      </c>
      <c r="X622" t="inlineStr">
        <is>
          <t>工银理财</t>
        </is>
      </c>
      <c r="Y622" t="n">
        <v>1</v>
      </c>
    </row>
    <row r="623">
      <c r="A623" t="n">
        <v>55</v>
      </c>
      <c r="B623" t="inlineStr">
        <is>
          <t>5月</t>
        </is>
      </c>
      <c r="C623" t="inlineStr">
        <is>
          <t>企金</t>
        </is>
      </c>
      <c r="D623" t="inlineStr">
        <is>
          <t>保理</t>
        </is>
      </c>
      <c r="E623" t="inlineStr">
        <is>
          <t>京诚15-8</t>
        </is>
      </c>
      <c r="F623" t="inlineStr">
        <is>
          <t>上交所</t>
        </is>
      </c>
      <c r="G623" t="inlineStr">
        <is>
          <t>华泰资管</t>
        </is>
      </c>
      <c r="H623" t="inlineStr">
        <is>
          <t>国开证券</t>
        </is>
      </c>
      <c r="I623" t="inlineStr">
        <is>
          <t>光大北分</t>
        </is>
      </c>
      <c r="J623" t="n">
        <v>10</v>
      </c>
      <c r="K623" t="inlineStr">
        <is>
          <t>2+4</t>
        </is>
      </c>
      <c r="L623" s="309" t="n">
        <v>46154</v>
      </c>
      <c r="M623" t="n">
        <v>0.0144</v>
      </c>
      <c r="N623" t="n">
        <v>0.0157</v>
      </c>
      <c r="O623" t="n">
        <v>1.93</v>
      </c>
      <c r="P623" t="inlineStr">
        <is>
          <t>优先级</t>
        </is>
      </c>
      <c r="Q623" t="n">
        <v>0.99</v>
      </c>
      <c r="R623" t="n">
        <v>9.9</v>
      </c>
      <c r="S623" t="inlineStr">
        <is>
          <t>AAA</t>
        </is>
      </c>
      <c r="T623" t="n">
        <v>0.015</v>
      </c>
      <c r="U623" s="217" t="inlineStr">
        <is>
          <t>北银理财</t>
        </is>
      </c>
      <c r="V623" s="25" t="n">
        <v>0.05</v>
      </c>
      <c r="W623" t="n">
        <v>0.015</v>
      </c>
      <c r="X623" t="inlineStr">
        <is>
          <t>北银理财</t>
        </is>
      </c>
      <c r="Y623" t="n">
        <v>0.1</v>
      </c>
    </row>
    <row r="624">
      <c r="A624" t="n">
        <v>55</v>
      </c>
      <c r="B624" t="inlineStr">
        <is>
          <t>5月</t>
        </is>
      </c>
      <c r="C624" t="inlineStr">
        <is>
          <t>企金</t>
        </is>
      </c>
      <c r="D624" t="inlineStr">
        <is>
          <t>保理</t>
        </is>
      </c>
      <c r="E624" t="inlineStr">
        <is>
          <t>京诚15-8</t>
        </is>
      </c>
      <c r="F624" t="inlineStr">
        <is>
          <t>上交所</t>
        </is>
      </c>
      <c r="G624" t="inlineStr">
        <is>
          <t>华泰资管</t>
        </is>
      </c>
      <c r="H624" t="inlineStr">
        <is>
          <t>国开证券</t>
        </is>
      </c>
      <c r="I624" t="inlineStr">
        <is>
          <t>光大北分</t>
        </is>
      </c>
      <c r="J624" t="n">
        <v>10</v>
      </c>
      <c r="K624" t="inlineStr">
        <is>
          <t>2+4</t>
        </is>
      </c>
      <c r="L624" s="309" t="n">
        <v>46154</v>
      </c>
      <c r="M624" t="n">
        <v>0.0144</v>
      </c>
      <c r="N624" t="n">
        <v>0.0157</v>
      </c>
      <c r="O624" t="n">
        <v>1.93</v>
      </c>
      <c r="P624" t="inlineStr">
        <is>
          <t>优先级</t>
        </is>
      </c>
      <c r="Q624" t="n">
        <v>0.99</v>
      </c>
      <c r="R624" t="n">
        <v>9.9</v>
      </c>
      <c r="S624" t="inlineStr">
        <is>
          <t>AAA</t>
        </is>
      </c>
      <c r="T624" t="n">
        <v>0.015</v>
      </c>
      <c r="U624" s="217" t="inlineStr">
        <is>
          <t>浦银理财</t>
        </is>
      </c>
      <c r="V624" s="25" t="n">
        <v>1.43</v>
      </c>
      <c r="W624" t="n">
        <v>0.015</v>
      </c>
      <c r="X624" t="inlineStr">
        <is>
          <t>浦银理财</t>
        </is>
      </c>
      <c r="Y624" t="n">
        <v>2.76</v>
      </c>
    </row>
    <row r="625">
      <c r="A625" t="n">
        <v>55</v>
      </c>
      <c r="B625" t="inlineStr">
        <is>
          <t>5月</t>
        </is>
      </c>
      <c r="C625" t="inlineStr">
        <is>
          <t>企金</t>
        </is>
      </c>
      <c r="D625" t="inlineStr">
        <is>
          <t>保理</t>
        </is>
      </c>
      <c r="E625" t="inlineStr">
        <is>
          <t>京诚15-8</t>
        </is>
      </c>
      <c r="F625" t="inlineStr">
        <is>
          <t>上交所</t>
        </is>
      </c>
      <c r="G625" t="inlineStr">
        <is>
          <t>华泰资管</t>
        </is>
      </c>
      <c r="H625" t="inlineStr">
        <is>
          <t>国开证券</t>
        </is>
      </c>
      <c r="I625" t="inlineStr">
        <is>
          <t>光大北分</t>
        </is>
      </c>
      <c r="J625" t="n">
        <v>10</v>
      </c>
      <c r="K625" t="inlineStr">
        <is>
          <t>2+4</t>
        </is>
      </c>
      <c r="L625" s="309" t="n">
        <v>46154</v>
      </c>
      <c r="M625" t="n">
        <v>0.0144</v>
      </c>
      <c r="N625" t="n">
        <v>0.0157</v>
      </c>
      <c r="O625" t="n">
        <v>1.93</v>
      </c>
      <c r="P625" t="inlineStr">
        <is>
          <t>优先级</t>
        </is>
      </c>
      <c r="Q625" t="n">
        <v>0.99</v>
      </c>
      <c r="R625" t="n">
        <v>9.9</v>
      </c>
      <c r="S625" t="inlineStr">
        <is>
          <t>AAA</t>
        </is>
      </c>
      <c r="T625" t="n">
        <v>0.015</v>
      </c>
      <c r="U625" s="217" t="inlineStr">
        <is>
          <t>民生理财</t>
        </is>
      </c>
      <c r="V625" s="25" t="n">
        <v>1.54</v>
      </c>
      <c r="W625" t="n">
        <v>0.015</v>
      </c>
      <c r="X625" t="inlineStr">
        <is>
          <t>民生理财</t>
        </is>
      </c>
      <c r="Y625" t="n">
        <v>2.97</v>
      </c>
    </row>
    <row r="626">
      <c r="A626" t="n">
        <v>55</v>
      </c>
      <c r="B626" t="inlineStr">
        <is>
          <t>5月</t>
        </is>
      </c>
      <c r="C626" t="inlineStr">
        <is>
          <t>企金</t>
        </is>
      </c>
      <c r="D626" t="inlineStr">
        <is>
          <t>保理</t>
        </is>
      </c>
      <c r="E626" t="inlineStr">
        <is>
          <t>京诚15-8</t>
        </is>
      </c>
      <c r="F626" t="inlineStr">
        <is>
          <t>上交所</t>
        </is>
      </c>
      <c r="G626" t="inlineStr">
        <is>
          <t>华泰资管</t>
        </is>
      </c>
      <c r="H626" t="inlineStr">
        <is>
          <t>国开证券</t>
        </is>
      </c>
      <c r="I626" t="inlineStr">
        <is>
          <t>光大北分</t>
        </is>
      </c>
      <c r="J626" t="n">
        <v>10</v>
      </c>
      <c r="K626" t="inlineStr">
        <is>
          <t>2+4</t>
        </is>
      </c>
      <c r="L626" s="309" t="n">
        <v>46154</v>
      </c>
      <c r="M626" t="n">
        <v>0.0144</v>
      </c>
      <c r="N626" t="n">
        <v>0.0157</v>
      </c>
      <c r="O626" t="n">
        <v>1.93</v>
      </c>
      <c r="P626" t="inlineStr">
        <is>
          <t>优先级</t>
        </is>
      </c>
      <c r="Q626" t="n">
        <v>0.99</v>
      </c>
      <c r="R626" t="n">
        <v>9.9</v>
      </c>
      <c r="S626" t="inlineStr">
        <is>
          <t>AAA</t>
        </is>
      </c>
      <c r="T626" t="n">
        <v>0.015</v>
      </c>
      <c r="U626" s="217" t="inlineStr">
        <is>
          <t>光大理财</t>
        </is>
      </c>
      <c r="V626" s="25" t="n">
        <v>1</v>
      </c>
      <c r="W626" t="n">
        <v>0.015</v>
      </c>
      <c r="X626" t="inlineStr">
        <is>
          <t>光大理财</t>
        </is>
      </c>
      <c r="Y626" t="n">
        <v>1.95</v>
      </c>
    </row>
    <row r="627">
      <c r="A627" t="n">
        <v>55</v>
      </c>
      <c r="B627" t="inlineStr">
        <is>
          <t>5月</t>
        </is>
      </c>
      <c r="C627" t="inlineStr">
        <is>
          <t>企金</t>
        </is>
      </c>
      <c r="D627" t="inlineStr">
        <is>
          <t>保理</t>
        </is>
      </c>
      <c r="E627" t="inlineStr">
        <is>
          <t>京诚15-8</t>
        </is>
      </c>
      <c r="F627" t="inlineStr">
        <is>
          <t>上交所</t>
        </is>
      </c>
      <c r="G627" t="inlineStr">
        <is>
          <t>华泰资管</t>
        </is>
      </c>
      <c r="H627" t="inlineStr">
        <is>
          <t>国开证券</t>
        </is>
      </c>
      <c r="I627" t="inlineStr">
        <is>
          <t>光大北分</t>
        </is>
      </c>
      <c r="J627" t="n">
        <v>10</v>
      </c>
      <c r="K627" t="inlineStr">
        <is>
          <t>2+4</t>
        </is>
      </c>
      <c r="L627" s="309" t="n">
        <v>46154</v>
      </c>
      <c r="M627" t="n">
        <v>0.0144</v>
      </c>
      <c r="N627" t="n">
        <v>0.0157</v>
      </c>
      <c r="O627" t="n">
        <v>1.93</v>
      </c>
      <c r="P627" t="inlineStr">
        <is>
          <t>优先级</t>
        </is>
      </c>
      <c r="Q627" t="n">
        <v>0.99</v>
      </c>
      <c r="R627" t="n">
        <v>9.9</v>
      </c>
      <c r="S627" t="inlineStr">
        <is>
          <t>AAA</t>
        </is>
      </c>
      <c r="T627" t="n">
        <v>0.015</v>
      </c>
      <c r="U627" s="217" t="inlineStr">
        <is>
          <t>建信理财</t>
        </is>
      </c>
      <c r="V627" s="25" t="n">
        <v>1.5</v>
      </c>
      <c r="W627" t="n">
        <v>0.015</v>
      </c>
      <c r="X627" t="inlineStr">
        <is>
          <t>建信理财</t>
        </is>
      </c>
      <c r="Y627" t="n">
        <v>2.9</v>
      </c>
    </row>
    <row r="628">
      <c r="A628" t="n">
        <v>55</v>
      </c>
      <c r="B628" t="inlineStr">
        <is>
          <t>5月</t>
        </is>
      </c>
      <c r="C628" t="inlineStr">
        <is>
          <t>企金</t>
        </is>
      </c>
      <c r="D628" t="inlineStr">
        <is>
          <t>保理</t>
        </is>
      </c>
      <c r="E628" t="inlineStr">
        <is>
          <t>京诚15-8</t>
        </is>
      </c>
      <c r="F628" t="inlineStr">
        <is>
          <t>上交所</t>
        </is>
      </c>
      <c r="G628" t="inlineStr">
        <is>
          <t>华泰资管</t>
        </is>
      </c>
      <c r="H628" t="inlineStr">
        <is>
          <t>国开证券</t>
        </is>
      </c>
      <c r="I628" t="inlineStr">
        <is>
          <t>光大北分</t>
        </is>
      </c>
      <c r="J628" t="n">
        <v>10</v>
      </c>
      <c r="K628" t="inlineStr">
        <is>
          <t>2+4</t>
        </is>
      </c>
      <c r="L628" s="309" t="n">
        <v>46154</v>
      </c>
      <c r="M628" t="n">
        <v>0.0144</v>
      </c>
      <c r="N628" t="n">
        <v>0.0157</v>
      </c>
      <c r="O628" t="n">
        <v>1.93</v>
      </c>
      <c r="P628" t="inlineStr">
        <is>
          <t>优先级</t>
        </is>
      </c>
      <c r="Q628" t="n">
        <v>0.99</v>
      </c>
      <c r="R628" t="n">
        <v>9.9</v>
      </c>
      <c r="S628" t="inlineStr">
        <is>
          <t>AAA</t>
        </is>
      </c>
      <c r="T628" t="n">
        <v>0.015</v>
      </c>
      <c r="U628" s="217" t="inlineStr">
        <is>
          <t>平安资产</t>
        </is>
      </c>
      <c r="V628" s="25" t="n">
        <v>2.6</v>
      </c>
      <c r="W628" t="n">
        <v>0.015</v>
      </c>
      <c r="X628" t="inlineStr">
        <is>
          <t>平安资产</t>
        </is>
      </c>
      <c r="Y628" t="n">
        <v>4.95</v>
      </c>
    </row>
    <row r="629">
      <c r="A629" t="n">
        <v>55</v>
      </c>
      <c r="B629" t="inlineStr">
        <is>
          <t>5月</t>
        </is>
      </c>
      <c r="C629" t="inlineStr">
        <is>
          <t>企金</t>
        </is>
      </c>
      <c r="D629" t="inlineStr">
        <is>
          <t>保理</t>
        </is>
      </c>
      <c r="E629" t="inlineStr">
        <is>
          <t>京诚15-8</t>
        </is>
      </c>
      <c r="F629" t="inlineStr">
        <is>
          <t>上交所</t>
        </is>
      </c>
      <c r="G629" t="inlineStr">
        <is>
          <t>华泰资管</t>
        </is>
      </c>
      <c r="H629" t="inlineStr">
        <is>
          <t>国开证券</t>
        </is>
      </c>
      <c r="I629" t="inlineStr">
        <is>
          <t>光大北分</t>
        </is>
      </c>
      <c r="J629" t="n">
        <v>10</v>
      </c>
      <c r="K629" t="inlineStr">
        <is>
          <t>2+4</t>
        </is>
      </c>
      <c r="L629" s="309" t="n">
        <v>46154</v>
      </c>
      <c r="M629" t="n">
        <v>0.0144</v>
      </c>
      <c r="N629" t="n">
        <v>0.0157</v>
      </c>
      <c r="O629" t="n">
        <v>1.93</v>
      </c>
      <c r="P629" t="inlineStr">
        <is>
          <t>优先级</t>
        </is>
      </c>
      <c r="Q629" t="n">
        <v>0.99</v>
      </c>
      <c r="R629" t="n">
        <v>9.9</v>
      </c>
      <c r="S629" t="inlineStr">
        <is>
          <t>AAA</t>
        </is>
      </c>
      <c r="T629" t="n">
        <v>0.015</v>
      </c>
      <c r="W629" t="n">
        <v>0.0152</v>
      </c>
      <c r="X629" t="inlineStr">
        <is>
          <t>工银理财</t>
        </is>
      </c>
      <c r="Y629" t="n">
        <v>0.5</v>
      </c>
    </row>
    <row r="630">
      <c r="A630" t="n">
        <v>55</v>
      </c>
      <c r="B630" t="inlineStr">
        <is>
          <t>5月</t>
        </is>
      </c>
      <c r="C630" t="inlineStr">
        <is>
          <t>企金</t>
        </is>
      </c>
      <c r="D630" t="inlineStr">
        <is>
          <t>保理</t>
        </is>
      </c>
      <c r="E630" t="inlineStr">
        <is>
          <t>京诚15-8</t>
        </is>
      </c>
      <c r="F630" t="inlineStr">
        <is>
          <t>上交所</t>
        </is>
      </c>
      <c r="G630" t="inlineStr">
        <is>
          <t>华泰资管</t>
        </is>
      </c>
      <c r="H630" t="inlineStr">
        <is>
          <t>国开证券</t>
        </is>
      </c>
      <c r="I630" t="inlineStr">
        <is>
          <t>光大北分</t>
        </is>
      </c>
      <c r="J630" t="n">
        <v>10</v>
      </c>
      <c r="K630" t="inlineStr">
        <is>
          <t>2+4</t>
        </is>
      </c>
      <c r="L630" s="309" t="n">
        <v>46154</v>
      </c>
      <c r="M630" t="n">
        <v>0.0144</v>
      </c>
      <c r="N630" t="n">
        <v>0.0157</v>
      </c>
      <c r="O630" t="n">
        <v>1.93</v>
      </c>
      <c r="P630" t="inlineStr">
        <is>
          <t>优先级</t>
        </is>
      </c>
      <c r="Q630" t="n">
        <v>0.99</v>
      </c>
      <c r="R630" t="n">
        <v>9.9</v>
      </c>
      <c r="S630" t="inlineStr">
        <is>
          <t>AAA</t>
        </is>
      </c>
      <c r="T630" t="n">
        <v>0.015</v>
      </c>
      <c r="W630" t="n">
        <v>0.0152</v>
      </c>
      <c r="X630" t="inlineStr">
        <is>
          <t>上银理财</t>
        </is>
      </c>
      <c r="Y630" t="n">
        <v>0.5</v>
      </c>
    </row>
    <row r="631">
      <c r="A631" t="n">
        <v>55</v>
      </c>
      <c r="B631" t="inlineStr">
        <is>
          <t>5月</t>
        </is>
      </c>
      <c r="C631" t="inlineStr">
        <is>
          <t>企金</t>
        </is>
      </c>
      <c r="D631" t="inlineStr">
        <is>
          <t>保理</t>
        </is>
      </c>
      <c r="E631" t="inlineStr">
        <is>
          <t>京诚15-8</t>
        </is>
      </c>
      <c r="F631" t="inlineStr">
        <is>
          <t>上交所</t>
        </is>
      </c>
      <c r="G631" t="inlineStr">
        <is>
          <t>华泰资管</t>
        </is>
      </c>
      <c r="H631" t="inlineStr">
        <is>
          <t>国开证券</t>
        </is>
      </c>
      <c r="I631" t="inlineStr">
        <is>
          <t>光大北分</t>
        </is>
      </c>
      <c r="J631" t="n">
        <v>10</v>
      </c>
      <c r="K631" t="inlineStr">
        <is>
          <t>2+4</t>
        </is>
      </c>
      <c r="L631" s="309" t="n">
        <v>46154</v>
      </c>
      <c r="M631" t="n">
        <v>0.0144</v>
      </c>
      <c r="N631" t="n">
        <v>0.0157</v>
      </c>
      <c r="O631" t="n">
        <v>1.93</v>
      </c>
      <c r="P631" t="inlineStr">
        <is>
          <t>优先级</t>
        </is>
      </c>
      <c r="Q631" t="n">
        <v>0.99</v>
      </c>
      <c r="R631" t="n">
        <v>9.9</v>
      </c>
      <c r="S631" t="inlineStr">
        <is>
          <t>AAA</t>
        </is>
      </c>
      <c r="T631" t="n">
        <v>0.015</v>
      </c>
      <c r="W631" t="n">
        <v>0.0153</v>
      </c>
      <c r="X631" t="inlineStr">
        <is>
          <t>光大理财</t>
        </is>
      </c>
      <c r="Y631" t="n">
        <v>0.5</v>
      </c>
    </row>
    <row r="632">
      <c r="A632" t="n">
        <v>55</v>
      </c>
      <c r="B632" t="inlineStr">
        <is>
          <t>5月</t>
        </is>
      </c>
      <c r="C632" t="inlineStr">
        <is>
          <t>企金</t>
        </is>
      </c>
      <c r="D632" t="inlineStr">
        <is>
          <t>保理</t>
        </is>
      </c>
      <c r="E632" t="inlineStr">
        <is>
          <t>京诚15-8</t>
        </is>
      </c>
      <c r="F632" t="inlineStr">
        <is>
          <t>上交所</t>
        </is>
      </c>
      <c r="G632" t="inlineStr">
        <is>
          <t>华泰资管</t>
        </is>
      </c>
      <c r="H632" t="inlineStr">
        <is>
          <t>国开证券</t>
        </is>
      </c>
      <c r="I632" t="inlineStr">
        <is>
          <t>光大北分</t>
        </is>
      </c>
      <c r="J632" t="n">
        <v>10</v>
      </c>
      <c r="K632" t="inlineStr">
        <is>
          <t>2+4</t>
        </is>
      </c>
      <c r="L632" s="309" t="n">
        <v>46154</v>
      </c>
      <c r="M632" t="n">
        <v>0.0144</v>
      </c>
      <c r="N632" t="n">
        <v>0.0157</v>
      </c>
      <c r="O632" t="n">
        <v>1.93</v>
      </c>
      <c r="P632" t="inlineStr">
        <is>
          <t>优先级</t>
        </is>
      </c>
      <c r="Q632" t="n">
        <v>0.99</v>
      </c>
      <c r="R632" t="n">
        <v>9.9</v>
      </c>
      <c r="S632" t="inlineStr">
        <is>
          <t>AAA</t>
        </is>
      </c>
      <c r="T632" t="n">
        <v>0.015</v>
      </c>
      <c r="W632" t="n">
        <v>0.0153</v>
      </c>
      <c r="X632" t="inlineStr">
        <is>
          <t>建信理财</t>
        </is>
      </c>
      <c r="Y632" t="n">
        <v>0.07000000000000001</v>
      </c>
    </row>
    <row r="633">
      <c r="A633" t="n">
        <v>55</v>
      </c>
      <c r="B633" t="inlineStr">
        <is>
          <t>5月</t>
        </is>
      </c>
      <c r="C633" t="inlineStr">
        <is>
          <t>企金</t>
        </is>
      </c>
      <c r="D633" t="inlineStr">
        <is>
          <t>保理</t>
        </is>
      </c>
      <c r="E633" t="inlineStr">
        <is>
          <t>京诚15-8</t>
        </is>
      </c>
      <c r="F633" t="inlineStr">
        <is>
          <t>上交所</t>
        </is>
      </c>
      <c r="G633" t="inlineStr">
        <is>
          <t>华泰资管</t>
        </is>
      </c>
      <c r="H633" t="inlineStr">
        <is>
          <t>国开证券</t>
        </is>
      </c>
      <c r="I633" t="inlineStr">
        <is>
          <t>光大北分</t>
        </is>
      </c>
      <c r="J633" t="n">
        <v>10</v>
      </c>
      <c r="K633" t="inlineStr">
        <is>
          <t>2+4</t>
        </is>
      </c>
      <c r="L633" s="309" t="n">
        <v>46154</v>
      </c>
      <c r="M633" t="n">
        <v>0.0144</v>
      </c>
      <c r="N633" t="n">
        <v>0.0157</v>
      </c>
      <c r="O633" t="n">
        <v>1.93</v>
      </c>
      <c r="P633" t="inlineStr">
        <is>
          <t>优先级</t>
        </is>
      </c>
      <c r="Q633" t="n">
        <v>0.99</v>
      </c>
      <c r="R633" t="n">
        <v>9.9</v>
      </c>
      <c r="S633" t="inlineStr">
        <is>
          <t>AAA</t>
        </is>
      </c>
      <c r="T633" t="n">
        <v>0.015</v>
      </c>
      <c r="W633" t="n">
        <v>0.0154</v>
      </c>
      <c r="X633" t="inlineStr">
        <is>
          <t>光大理财</t>
        </is>
      </c>
      <c r="Y633" t="n">
        <v>0.5</v>
      </c>
    </row>
    <row r="634">
      <c r="A634" t="n">
        <v>55</v>
      </c>
      <c r="B634" t="inlineStr">
        <is>
          <t>5月</t>
        </is>
      </c>
      <c r="C634" t="inlineStr">
        <is>
          <t>企金</t>
        </is>
      </c>
      <c r="D634" t="inlineStr">
        <is>
          <t>保理</t>
        </is>
      </c>
      <c r="E634" t="inlineStr">
        <is>
          <t>京诚15-8</t>
        </is>
      </c>
      <c r="F634" t="inlineStr">
        <is>
          <t>上交所</t>
        </is>
      </c>
      <c r="G634" t="inlineStr">
        <is>
          <t>华泰资管</t>
        </is>
      </c>
      <c r="H634" t="inlineStr">
        <is>
          <t>国开证券</t>
        </is>
      </c>
      <c r="I634" t="inlineStr">
        <is>
          <t>光大北分</t>
        </is>
      </c>
      <c r="J634" t="n">
        <v>10</v>
      </c>
      <c r="K634" t="inlineStr">
        <is>
          <t>2+4</t>
        </is>
      </c>
      <c r="L634" s="309" t="n">
        <v>46154</v>
      </c>
      <c r="M634" t="n">
        <v>0.0144</v>
      </c>
      <c r="N634" t="n">
        <v>0.0157</v>
      </c>
      <c r="O634" t="n">
        <v>1.93</v>
      </c>
      <c r="P634" t="inlineStr">
        <is>
          <t>优先级</t>
        </is>
      </c>
      <c r="Q634" t="n">
        <v>0.99</v>
      </c>
      <c r="R634" t="n">
        <v>9.9</v>
      </c>
      <c r="S634" t="inlineStr">
        <is>
          <t>AAA</t>
        </is>
      </c>
      <c r="T634" t="n">
        <v>0.015</v>
      </c>
      <c r="W634" t="n">
        <v>0.0155</v>
      </c>
      <c r="X634" t="inlineStr">
        <is>
          <t>工银理财</t>
        </is>
      </c>
      <c r="Y634" t="n">
        <v>1</v>
      </c>
    </row>
    <row r="635">
      <c r="A635" t="n">
        <v>55</v>
      </c>
      <c r="B635" t="inlineStr">
        <is>
          <t>5月</t>
        </is>
      </c>
      <c r="C635" t="inlineStr">
        <is>
          <t>企金</t>
        </is>
      </c>
      <c r="D635" t="inlineStr">
        <is>
          <t>保理</t>
        </is>
      </c>
      <c r="E635" t="inlineStr">
        <is>
          <t>京诚15-8</t>
        </is>
      </c>
      <c r="F635" t="inlineStr">
        <is>
          <t>上交所</t>
        </is>
      </c>
      <c r="G635" t="inlineStr">
        <is>
          <t>华泰资管</t>
        </is>
      </c>
      <c r="H635" t="inlineStr">
        <is>
          <t>国开证券</t>
        </is>
      </c>
      <c r="I635" t="inlineStr">
        <is>
          <t>光大北分</t>
        </is>
      </c>
      <c r="J635" t="n">
        <v>10</v>
      </c>
      <c r="K635" t="inlineStr">
        <is>
          <t>2+4</t>
        </is>
      </c>
      <c r="L635" s="309" t="n">
        <v>46154</v>
      </c>
      <c r="M635" t="n">
        <v>0.0144</v>
      </c>
      <c r="N635" t="n">
        <v>0.0157</v>
      </c>
      <c r="O635" t="n">
        <v>1.93</v>
      </c>
      <c r="P635" t="inlineStr">
        <is>
          <t>优先级</t>
        </is>
      </c>
      <c r="Q635" t="n">
        <v>0.99</v>
      </c>
      <c r="R635" t="n">
        <v>9.9</v>
      </c>
      <c r="S635" t="inlineStr">
        <is>
          <t>AAA</t>
        </is>
      </c>
      <c r="T635" t="n">
        <v>0.015</v>
      </c>
      <c r="W635" t="n">
        <v>0.0155</v>
      </c>
      <c r="X635" t="inlineStr">
        <is>
          <t>中银理财</t>
        </is>
      </c>
      <c r="Y635" t="n">
        <v>2</v>
      </c>
    </row>
    <row r="636">
      <c r="A636" t="n">
        <v>55</v>
      </c>
      <c r="B636" t="inlineStr">
        <is>
          <t>5月</t>
        </is>
      </c>
      <c r="C636" t="inlineStr">
        <is>
          <t>企金</t>
        </is>
      </c>
      <c r="D636" t="inlineStr">
        <is>
          <t>保理</t>
        </is>
      </c>
      <c r="E636" t="inlineStr">
        <is>
          <t>京诚15-8</t>
        </is>
      </c>
      <c r="F636" t="inlineStr">
        <is>
          <t>上交所</t>
        </is>
      </c>
      <c r="G636" t="inlineStr">
        <is>
          <t>华泰资管</t>
        </is>
      </c>
      <c r="H636" t="inlineStr">
        <is>
          <t>国开证券</t>
        </is>
      </c>
      <c r="I636" t="inlineStr">
        <is>
          <t>光大北分</t>
        </is>
      </c>
      <c r="J636" t="n">
        <v>10</v>
      </c>
      <c r="K636" t="inlineStr">
        <is>
          <t>2+4</t>
        </is>
      </c>
      <c r="L636" s="309" t="n">
        <v>46154</v>
      </c>
      <c r="M636" t="n">
        <v>0.0144</v>
      </c>
      <c r="N636" t="n">
        <v>0.0157</v>
      </c>
      <c r="O636" t="n">
        <v>1.93</v>
      </c>
      <c r="P636" t="inlineStr">
        <is>
          <t>优先级</t>
        </is>
      </c>
      <c r="Q636" t="n">
        <v>0.99</v>
      </c>
      <c r="R636" t="n">
        <v>9.9</v>
      </c>
      <c r="S636" t="inlineStr">
        <is>
          <t>AAA</t>
        </is>
      </c>
      <c r="T636" t="n">
        <v>0.015</v>
      </c>
      <c r="W636" t="n">
        <v>0.0156</v>
      </c>
      <c r="X636" t="inlineStr">
        <is>
          <t>中银理财</t>
        </is>
      </c>
      <c r="Y636" t="n">
        <v>0.9</v>
      </c>
    </row>
    <row r="637">
      <c r="A637" t="n">
        <v>55</v>
      </c>
      <c r="B637" t="inlineStr">
        <is>
          <t>5月</t>
        </is>
      </c>
      <c r="C637" t="inlineStr">
        <is>
          <t>企金</t>
        </is>
      </c>
      <c r="D637" t="inlineStr">
        <is>
          <t>保理</t>
        </is>
      </c>
      <c r="E637" t="inlineStr">
        <is>
          <t>京诚15-8</t>
        </is>
      </c>
      <c r="F637" t="inlineStr">
        <is>
          <t>上交所</t>
        </is>
      </c>
      <c r="G637" t="inlineStr">
        <is>
          <t>华泰资管</t>
        </is>
      </c>
      <c r="H637" t="inlineStr">
        <is>
          <t>国开证券</t>
        </is>
      </c>
      <c r="I637" t="inlineStr">
        <is>
          <t>光大北分</t>
        </is>
      </c>
      <c r="J637" t="n">
        <v>10</v>
      </c>
      <c r="K637" t="inlineStr">
        <is>
          <t>2+4</t>
        </is>
      </c>
      <c r="L637" s="309" t="n">
        <v>46154</v>
      </c>
      <c r="M637" t="n">
        <v>0.0144</v>
      </c>
      <c r="N637" t="n">
        <v>0.0157</v>
      </c>
      <c r="O637" t="n">
        <v>1.93</v>
      </c>
      <c r="P637" t="inlineStr">
        <is>
          <t>优先级</t>
        </is>
      </c>
      <c r="Q637" t="n">
        <v>0.99</v>
      </c>
      <c r="R637" t="n">
        <v>9.9</v>
      </c>
      <c r="S637" t="inlineStr">
        <is>
          <t>AAA</t>
        </is>
      </c>
      <c r="T637" t="n">
        <v>0.015</v>
      </c>
      <c r="W637" t="n">
        <v>0.0156</v>
      </c>
      <c r="X637" t="inlineStr">
        <is>
          <t>交银理财</t>
        </is>
      </c>
      <c r="Y637" t="n">
        <v>0.48</v>
      </c>
    </row>
    <row r="638">
      <c r="A638" t="n">
        <v>55</v>
      </c>
      <c r="B638" t="inlineStr">
        <is>
          <t>5月</t>
        </is>
      </c>
      <c r="C638" t="inlineStr">
        <is>
          <t>企金</t>
        </is>
      </c>
      <c r="D638" t="inlineStr">
        <is>
          <t>保理</t>
        </is>
      </c>
      <c r="E638" t="inlineStr">
        <is>
          <t>京诚15-8</t>
        </is>
      </c>
      <c r="F638" t="inlineStr">
        <is>
          <t>上交所</t>
        </is>
      </c>
      <c r="G638" t="inlineStr">
        <is>
          <t>华泰资管</t>
        </is>
      </c>
      <c r="H638" t="inlineStr">
        <is>
          <t>国开证券</t>
        </is>
      </c>
      <c r="I638" t="inlineStr">
        <is>
          <t>光大北分</t>
        </is>
      </c>
      <c r="J638" t="n">
        <v>10</v>
      </c>
      <c r="K638" t="inlineStr">
        <is>
          <t>2+4</t>
        </is>
      </c>
      <c r="L638" s="309" t="n">
        <v>46154</v>
      </c>
      <c r="M638" t="n">
        <v>0.0144</v>
      </c>
      <c r="N638" t="n">
        <v>0.0157</v>
      </c>
      <c r="O638" t="n">
        <v>1.93</v>
      </c>
      <c r="P638" t="inlineStr">
        <is>
          <t>优先级</t>
        </is>
      </c>
      <c r="Q638" t="n">
        <v>0.99</v>
      </c>
      <c r="R638" t="n">
        <v>9.9</v>
      </c>
      <c r="S638" t="inlineStr">
        <is>
          <t>AAA</t>
        </is>
      </c>
      <c r="T638" t="n">
        <v>0.015</v>
      </c>
      <c r="W638" t="n">
        <v>0.0156</v>
      </c>
      <c r="X638" t="inlineStr">
        <is>
          <t>平安银行</t>
        </is>
      </c>
      <c r="Y638" t="n">
        <v>1.96</v>
      </c>
    </row>
    <row r="639">
      <c r="A639" t="n">
        <v>55</v>
      </c>
      <c r="B639" t="inlineStr">
        <is>
          <t>5月</t>
        </is>
      </c>
      <c r="C639" t="inlineStr">
        <is>
          <t>企金</t>
        </is>
      </c>
      <c r="D639" t="inlineStr">
        <is>
          <t>保理</t>
        </is>
      </c>
      <c r="E639" t="inlineStr">
        <is>
          <t>京诚15-8</t>
        </is>
      </c>
      <c r="F639" t="inlineStr">
        <is>
          <t>上交所</t>
        </is>
      </c>
      <c r="G639" t="inlineStr">
        <is>
          <t>华泰资管</t>
        </is>
      </c>
      <c r="H639" t="inlineStr">
        <is>
          <t>国开证券</t>
        </is>
      </c>
      <c r="I639" t="inlineStr">
        <is>
          <t>光大北分</t>
        </is>
      </c>
      <c r="J639" t="n">
        <v>10</v>
      </c>
      <c r="K639" t="inlineStr">
        <is>
          <t>2+4</t>
        </is>
      </c>
      <c r="L639" s="309" t="n">
        <v>46154</v>
      </c>
      <c r="M639" t="n">
        <v>0.0144</v>
      </c>
      <c r="N639" t="n">
        <v>0.0157</v>
      </c>
      <c r="O639" t="n">
        <v>1.93</v>
      </c>
      <c r="P639" t="inlineStr">
        <is>
          <t>优先级</t>
        </is>
      </c>
      <c r="Q639" t="n">
        <v>0.99</v>
      </c>
      <c r="R639" t="n">
        <v>9.9</v>
      </c>
      <c r="S639" t="inlineStr">
        <is>
          <t>AAA</t>
        </is>
      </c>
      <c r="T639" t="n">
        <v>0.015</v>
      </c>
      <c r="W639" t="n">
        <v>0.0157</v>
      </c>
      <c r="X639" t="inlineStr">
        <is>
          <t>交银理财</t>
        </is>
      </c>
      <c r="Y639" t="n">
        <v>0.3</v>
      </c>
    </row>
    <row r="640">
      <c r="A640" t="n">
        <v>55</v>
      </c>
      <c r="B640" t="inlineStr">
        <is>
          <t>5月</t>
        </is>
      </c>
      <c r="C640" t="inlineStr">
        <is>
          <t>企金</t>
        </is>
      </c>
      <c r="D640" t="inlineStr">
        <is>
          <t>保理</t>
        </is>
      </c>
      <c r="E640" t="inlineStr">
        <is>
          <t>京诚15-8</t>
        </is>
      </c>
      <c r="F640" t="inlineStr">
        <is>
          <t>上交所</t>
        </is>
      </c>
      <c r="G640" t="inlineStr">
        <is>
          <t>华泰资管</t>
        </is>
      </c>
      <c r="H640" t="inlineStr">
        <is>
          <t>国开证券</t>
        </is>
      </c>
      <c r="I640" t="inlineStr">
        <is>
          <t>光大北分</t>
        </is>
      </c>
      <c r="J640" t="n">
        <v>10</v>
      </c>
      <c r="K640" t="inlineStr">
        <is>
          <t>2+4</t>
        </is>
      </c>
      <c r="L640" s="309" t="n">
        <v>46154</v>
      </c>
      <c r="M640" t="n">
        <v>0.0144</v>
      </c>
      <c r="N640" t="n">
        <v>0.0157</v>
      </c>
      <c r="O640" t="n">
        <v>1.93</v>
      </c>
      <c r="P640" t="inlineStr">
        <is>
          <t>优先级</t>
        </is>
      </c>
      <c r="Q640" t="n">
        <v>0.99</v>
      </c>
      <c r="R640" t="n">
        <v>9.9</v>
      </c>
      <c r="S640" t="inlineStr">
        <is>
          <t>AAA</t>
        </is>
      </c>
      <c r="T640" t="n">
        <v>0.015</v>
      </c>
      <c r="W640" t="n">
        <v>0.0157</v>
      </c>
      <c r="X640" t="inlineStr">
        <is>
          <t>上银理财</t>
        </is>
      </c>
      <c r="Y640" t="n">
        <v>0.33</v>
      </c>
    </row>
    <row r="641">
      <c r="A641" t="n">
        <v>55</v>
      </c>
      <c r="B641" t="inlineStr">
        <is>
          <t>5月</t>
        </is>
      </c>
      <c r="C641" t="inlineStr">
        <is>
          <t>企金</t>
        </is>
      </c>
      <c r="D641" t="inlineStr">
        <is>
          <t>保理</t>
        </is>
      </c>
      <c r="E641" t="inlineStr">
        <is>
          <t>京诚15-8</t>
        </is>
      </c>
      <c r="F641" t="inlineStr">
        <is>
          <t>上交所</t>
        </is>
      </c>
      <c r="G641" t="inlineStr">
        <is>
          <t>华泰资管</t>
        </is>
      </c>
      <c r="H641" t="inlineStr">
        <is>
          <t>国开证券</t>
        </is>
      </c>
      <c r="I641" t="inlineStr">
        <is>
          <t>光大北分</t>
        </is>
      </c>
      <c r="J641" t="n">
        <v>10</v>
      </c>
      <c r="K641" t="inlineStr">
        <is>
          <t>2+4</t>
        </is>
      </c>
      <c r="L641" s="309" t="n">
        <v>46154</v>
      </c>
      <c r="M641" t="n">
        <v>0.0144</v>
      </c>
      <c r="N641" t="n">
        <v>0.0157</v>
      </c>
      <c r="O641" t="n">
        <v>1.93</v>
      </c>
      <c r="P641" t="inlineStr">
        <is>
          <t>优先级</t>
        </is>
      </c>
      <c r="Q641" t="n">
        <v>0.99</v>
      </c>
      <c r="R641" t="n">
        <v>9.9</v>
      </c>
      <c r="S641" t="inlineStr">
        <is>
          <t>AAA</t>
        </is>
      </c>
      <c r="T641" t="n">
        <v>0.015</v>
      </c>
      <c r="W641" t="n">
        <v>0.0158</v>
      </c>
      <c r="X641" t="inlineStr">
        <is>
          <t>交银理财</t>
        </is>
      </c>
      <c r="Y641" t="n">
        <v>0.4</v>
      </c>
    </row>
    <row r="642">
      <c r="A642" t="n">
        <v>55</v>
      </c>
      <c r="B642" t="inlineStr">
        <is>
          <t>5月</t>
        </is>
      </c>
      <c r="C642" t="inlineStr">
        <is>
          <t>企金</t>
        </is>
      </c>
      <c r="D642" t="inlineStr">
        <is>
          <t>保理</t>
        </is>
      </c>
      <c r="E642" t="inlineStr">
        <is>
          <t>京诚15-8</t>
        </is>
      </c>
      <c r="F642" t="inlineStr">
        <is>
          <t>上交所</t>
        </is>
      </c>
      <c r="G642" t="inlineStr">
        <is>
          <t>华泰资管</t>
        </is>
      </c>
      <c r="H642" t="inlineStr">
        <is>
          <t>国开证券</t>
        </is>
      </c>
      <c r="I642" t="inlineStr">
        <is>
          <t>光大北分</t>
        </is>
      </c>
      <c r="J642" t="n">
        <v>10</v>
      </c>
      <c r="K642" t="inlineStr">
        <is>
          <t>2+4</t>
        </is>
      </c>
      <c r="L642" s="309" t="n">
        <v>46154</v>
      </c>
      <c r="M642" t="n">
        <v>0.0144</v>
      </c>
      <c r="N642" t="n">
        <v>0.0157</v>
      </c>
      <c r="O642" t="n">
        <v>1.93</v>
      </c>
      <c r="P642" t="inlineStr">
        <is>
          <t>优先级</t>
        </is>
      </c>
      <c r="Q642" t="n">
        <v>0.99</v>
      </c>
      <c r="R642" t="n">
        <v>9.9</v>
      </c>
      <c r="S642" t="inlineStr">
        <is>
          <t>AAA</t>
        </is>
      </c>
      <c r="T642" t="n">
        <v>0.015</v>
      </c>
      <c r="W642" t="n">
        <v>0.0158</v>
      </c>
      <c r="X642" t="inlineStr">
        <is>
          <t>中邮理财</t>
        </is>
      </c>
      <c r="Y642" t="n">
        <v>1.5</v>
      </c>
    </row>
    <row r="643">
      <c r="A643" t="n">
        <v>55</v>
      </c>
      <c r="B643" t="inlineStr">
        <is>
          <t>5月</t>
        </is>
      </c>
      <c r="C643" t="inlineStr">
        <is>
          <t>企金</t>
        </is>
      </c>
      <c r="D643" t="inlineStr">
        <is>
          <t>保理</t>
        </is>
      </c>
      <c r="E643" t="inlineStr">
        <is>
          <t>京诚15-8</t>
        </is>
      </c>
      <c r="F643" t="inlineStr">
        <is>
          <t>上交所</t>
        </is>
      </c>
      <c r="G643" t="inlineStr">
        <is>
          <t>华泰资管</t>
        </is>
      </c>
      <c r="H643" t="inlineStr">
        <is>
          <t>国开证券</t>
        </is>
      </c>
      <c r="I643" t="inlineStr">
        <is>
          <t>光大北分</t>
        </is>
      </c>
      <c r="J643" t="n">
        <v>10</v>
      </c>
      <c r="K643" t="inlineStr">
        <is>
          <t>2+4</t>
        </is>
      </c>
      <c r="L643" s="309" t="n">
        <v>46154</v>
      </c>
      <c r="M643" t="n">
        <v>0.0144</v>
      </c>
      <c r="N643" t="n">
        <v>0.0157</v>
      </c>
      <c r="O643" t="n">
        <v>1.93</v>
      </c>
      <c r="P643" t="inlineStr">
        <is>
          <t>优先级</t>
        </is>
      </c>
      <c r="Q643" t="n">
        <v>0.99</v>
      </c>
      <c r="R643" t="n">
        <v>9.9</v>
      </c>
      <c r="S643" t="inlineStr">
        <is>
          <t>AAA</t>
        </is>
      </c>
      <c r="T643" t="n">
        <v>0.015</v>
      </c>
      <c r="W643" t="n">
        <v>0.0158</v>
      </c>
      <c r="X643" t="inlineStr">
        <is>
          <t>上银理财</t>
        </is>
      </c>
      <c r="Y643" t="n">
        <v>0.53</v>
      </c>
    </row>
    <row r="644">
      <c r="A644" t="n">
        <v>55</v>
      </c>
      <c r="B644" t="inlineStr">
        <is>
          <t>5月</t>
        </is>
      </c>
      <c r="C644" t="inlineStr">
        <is>
          <t>企金</t>
        </is>
      </c>
      <c r="D644" t="inlineStr">
        <is>
          <t>保理</t>
        </is>
      </c>
      <c r="E644" t="inlineStr">
        <is>
          <t>京诚15-8</t>
        </is>
      </c>
      <c r="F644" t="inlineStr">
        <is>
          <t>上交所</t>
        </is>
      </c>
      <c r="G644" t="inlineStr">
        <is>
          <t>华泰资管</t>
        </is>
      </c>
      <c r="H644" t="inlineStr">
        <is>
          <t>国开证券</t>
        </is>
      </c>
      <c r="I644" t="inlineStr">
        <is>
          <t>光大北分</t>
        </is>
      </c>
      <c r="J644" t="n">
        <v>10</v>
      </c>
      <c r="K644" t="inlineStr">
        <is>
          <t>2+4</t>
        </is>
      </c>
      <c r="L644" s="309" t="n">
        <v>46154</v>
      </c>
      <c r="M644" t="n">
        <v>0.0144</v>
      </c>
      <c r="N644" t="n">
        <v>0.0157</v>
      </c>
      <c r="O644" t="n">
        <v>1.93</v>
      </c>
      <c r="P644" t="inlineStr">
        <is>
          <t>优先级</t>
        </is>
      </c>
      <c r="Q644" t="n">
        <v>0.99</v>
      </c>
      <c r="R644" t="n">
        <v>9.9</v>
      </c>
      <c r="S644" t="inlineStr">
        <is>
          <t>AAA</t>
        </is>
      </c>
      <c r="T644" t="n">
        <v>0.015</v>
      </c>
      <c r="W644" t="n">
        <v>0.0159</v>
      </c>
      <c r="X644" t="inlineStr">
        <is>
          <t>上银理财</t>
        </is>
      </c>
      <c r="Y644" t="n">
        <v>0.53</v>
      </c>
    </row>
    <row r="645">
      <c r="A645" t="n">
        <v>55</v>
      </c>
      <c r="B645" t="inlineStr">
        <is>
          <t>5月</t>
        </is>
      </c>
      <c r="C645" t="inlineStr">
        <is>
          <t>企金</t>
        </is>
      </c>
      <c r="D645" t="inlineStr">
        <is>
          <t>保理</t>
        </is>
      </c>
      <c r="E645" t="inlineStr">
        <is>
          <t>京诚15-8</t>
        </is>
      </c>
      <c r="F645" t="inlineStr">
        <is>
          <t>上交所</t>
        </is>
      </c>
      <c r="G645" t="inlineStr">
        <is>
          <t>华泰资管</t>
        </is>
      </c>
      <c r="H645" t="inlineStr">
        <is>
          <t>国开证券</t>
        </is>
      </c>
      <c r="I645" t="inlineStr">
        <is>
          <t>光大北分</t>
        </is>
      </c>
      <c r="J645" t="n">
        <v>10</v>
      </c>
      <c r="K645" t="inlineStr">
        <is>
          <t>2+4</t>
        </is>
      </c>
      <c r="L645" s="309" t="n">
        <v>46154</v>
      </c>
      <c r="M645" t="n">
        <v>0.0144</v>
      </c>
      <c r="N645" t="n">
        <v>0.0157</v>
      </c>
      <c r="O645" t="n">
        <v>1.93</v>
      </c>
      <c r="P645" t="inlineStr">
        <is>
          <t>优先级</t>
        </is>
      </c>
      <c r="Q645" t="n">
        <v>0.99</v>
      </c>
      <c r="R645" t="n">
        <v>9.9</v>
      </c>
      <c r="S645" t="inlineStr">
        <is>
          <t>AAA</t>
        </is>
      </c>
      <c r="T645" t="n">
        <v>0.015</v>
      </c>
      <c r="W645" t="n">
        <v>0.016</v>
      </c>
      <c r="X645" t="inlineStr">
        <is>
          <t>交银理财</t>
        </is>
      </c>
      <c r="Y645" t="n">
        <v>1.1</v>
      </c>
    </row>
    <row r="646">
      <c r="A646" t="n">
        <v>55</v>
      </c>
      <c r="B646" t="inlineStr">
        <is>
          <t>5月</t>
        </is>
      </c>
      <c r="C646" t="inlineStr">
        <is>
          <t>企金</t>
        </is>
      </c>
      <c r="D646" t="inlineStr">
        <is>
          <t>保理</t>
        </is>
      </c>
      <c r="E646" t="inlineStr">
        <is>
          <t>京诚15-8</t>
        </is>
      </c>
      <c r="F646" t="inlineStr">
        <is>
          <t>上交所</t>
        </is>
      </c>
      <c r="G646" t="inlineStr">
        <is>
          <t>华泰资管</t>
        </is>
      </c>
      <c r="H646" t="inlineStr">
        <is>
          <t>国开证券</t>
        </is>
      </c>
      <c r="I646" t="inlineStr">
        <is>
          <t>光大北分</t>
        </is>
      </c>
      <c r="J646" t="n">
        <v>10</v>
      </c>
      <c r="K646" t="inlineStr">
        <is>
          <t>2+4</t>
        </is>
      </c>
      <c r="L646" s="309" t="n">
        <v>46154</v>
      </c>
      <c r="M646" t="n">
        <v>0.0144</v>
      </c>
      <c r="N646" t="n">
        <v>0.0157</v>
      </c>
      <c r="O646" t="n">
        <v>1.93</v>
      </c>
      <c r="P646" t="inlineStr">
        <is>
          <t>优先级</t>
        </is>
      </c>
      <c r="Q646" t="n">
        <v>0.99</v>
      </c>
      <c r="R646" t="n">
        <v>9.9</v>
      </c>
      <c r="S646" t="inlineStr">
        <is>
          <t>AAA</t>
        </is>
      </c>
      <c r="T646" t="n">
        <v>0.015</v>
      </c>
      <c r="W646" t="n">
        <v>0.016</v>
      </c>
      <c r="X646" t="inlineStr">
        <is>
          <t>中邮理财</t>
        </is>
      </c>
      <c r="Y646" t="n">
        <v>1.47</v>
      </c>
    </row>
    <row r="647">
      <c r="A647" t="n">
        <v>55</v>
      </c>
      <c r="B647" t="inlineStr">
        <is>
          <t>5月</t>
        </is>
      </c>
      <c r="C647" t="inlineStr">
        <is>
          <t>企金</t>
        </is>
      </c>
      <c r="D647" t="inlineStr">
        <is>
          <t>保理</t>
        </is>
      </c>
      <c r="E647" t="inlineStr">
        <is>
          <t>京诚15-8</t>
        </is>
      </c>
      <c r="F647" t="inlineStr">
        <is>
          <t>上交所</t>
        </is>
      </c>
      <c r="G647" t="inlineStr">
        <is>
          <t>华泰资管</t>
        </is>
      </c>
      <c r="H647" t="inlineStr">
        <is>
          <t>国开证券</t>
        </is>
      </c>
      <c r="I647" t="inlineStr">
        <is>
          <t>光大北分</t>
        </is>
      </c>
      <c r="J647" t="n">
        <v>10</v>
      </c>
      <c r="K647" t="inlineStr">
        <is>
          <t>2+4</t>
        </is>
      </c>
      <c r="L647" s="309" t="n">
        <v>46154</v>
      </c>
      <c r="M647" t="n">
        <v>0.0144</v>
      </c>
      <c r="N647" t="n">
        <v>0.0157</v>
      </c>
      <c r="O647" t="n">
        <v>1.93</v>
      </c>
      <c r="P647" t="inlineStr">
        <is>
          <t>优先级</t>
        </is>
      </c>
      <c r="Q647" t="n">
        <v>0.99</v>
      </c>
      <c r="R647" t="n">
        <v>9.9</v>
      </c>
      <c r="S647" t="inlineStr">
        <is>
          <t>AAA</t>
        </is>
      </c>
      <c r="T647" t="n">
        <v>0.015</v>
      </c>
      <c r="W647" t="n">
        <v>0.016</v>
      </c>
      <c r="X647" t="inlineStr">
        <is>
          <t>上银理财</t>
        </is>
      </c>
      <c r="Y647" t="n">
        <v>1.08</v>
      </c>
    </row>
    <row r="648">
      <c r="A648" t="n">
        <v>55</v>
      </c>
      <c r="B648" t="inlineStr">
        <is>
          <t>5月</t>
        </is>
      </c>
      <c r="C648" t="inlineStr">
        <is>
          <t>企金</t>
        </is>
      </c>
      <c r="D648" t="inlineStr">
        <is>
          <t>保理</t>
        </is>
      </c>
      <c r="E648" t="inlineStr">
        <is>
          <t>京诚15-8</t>
        </is>
      </c>
      <c r="F648" t="inlineStr">
        <is>
          <t>上交所</t>
        </is>
      </c>
      <c r="G648" t="inlineStr">
        <is>
          <t>华泰资管</t>
        </is>
      </c>
      <c r="H648" t="inlineStr">
        <is>
          <t>国开证券</t>
        </is>
      </c>
      <c r="I648" t="inlineStr">
        <is>
          <t>光大北分</t>
        </is>
      </c>
      <c r="J648" t="n">
        <v>10</v>
      </c>
      <c r="K648" t="inlineStr">
        <is>
          <t>2+4</t>
        </is>
      </c>
      <c r="L648" s="309" t="n">
        <v>46154</v>
      </c>
      <c r="M648" t="n">
        <v>0.0144</v>
      </c>
      <c r="N648" t="n">
        <v>0.0157</v>
      </c>
      <c r="O648" t="n">
        <v>1.93</v>
      </c>
      <c r="P648" t="inlineStr">
        <is>
          <t>优先级</t>
        </is>
      </c>
      <c r="Q648" t="n">
        <v>0.99</v>
      </c>
      <c r="R648" t="n">
        <v>9.9</v>
      </c>
      <c r="S648" t="inlineStr">
        <is>
          <t>AAA</t>
        </is>
      </c>
      <c r="T648" t="n">
        <v>0.015</v>
      </c>
      <c r="W648" t="n">
        <v>0.0165</v>
      </c>
      <c r="X648" t="inlineStr">
        <is>
          <t>建信基金</t>
        </is>
      </c>
      <c r="Y648" t="n">
        <v>0.1</v>
      </c>
    </row>
    <row r="649">
      <c r="A649" t="n">
        <v>55</v>
      </c>
      <c r="B649" t="inlineStr">
        <is>
          <t>5月</t>
        </is>
      </c>
      <c r="C649" t="inlineStr">
        <is>
          <t>企金</t>
        </is>
      </c>
      <c r="D649" t="inlineStr">
        <is>
          <t>保理</t>
        </is>
      </c>
      <c r="E649" t="inlineStr">
        <is>
          <t>京诚15-8</t>
        </is>
      </c>
      <c r="F649" t="inlineStr">
        <is>
          <t>上交所</t>
        </is>
      </c>
      <c r="G649" t="inlineStr">
        <is>
          <t>华泰资管</t>
        </is>
      </c>
      <c r="H649" t="inlineStr">
        <is>
          <t>国开证券</t>
        </is>
      </c>
      <c r="I649" t="inlineStr">
        <is>
          <t>光大北分</t>
        </is>
      </c>
      <c r="J649" t="n">
        <v>10</v>
      </c>
      <c r="K649" t="inlineStr">
        <is>
          <t>2+4</t>
        </is>
      </c>
      <c r="L649" s="309" t="n">
        <v>46154</v>
      </c>
      <c r="M649" t="n">
        <v>0.0144</v>
      </c>
      <c r="N649" t="n">
        <v>0.0157</v>
      </c>
      <c r="O649" t="n">
        <v>1.93</v>
      </c>
      <c r="P649" t="inlineStr">
        <is>
          <t>优先级</t>
        </is>
      </c>
      <c r="Q649" t="n">
        <v>0.99</v>
      </c>
      <c r="R649" t="n">
        <v>9.9</v>
      </c>
      <c r="S649" t="inlineStr">
        <is>
          <t>AAA</t>
        </is>
      </c>
      <c r="T649" t="n">
        <v>0.015</v>
      </c>
      <c r="W649" t="n">
        <v>0.0175</v>
      </c>
      <c r="X649" t="inlineStr">
        <is>
          <t>中金公司（投顾）</t>
        </is>
      </c>
      <c r="Y649" t="n">
        <v>0.3</v>
      </c>
    </row>
    <row r="650">
      <c r="A650" t="n">
        <v>55</v>
      </c>
      <c r="B650" t="inlineStr">
        <is>
          <t>5月</t>
        </is>
      </c>
      <c r="C650" t="inlineStr">
        <is>
          <t>企金</t>
        </is>
      </c>
      <c r="D650" t="inlineStr">
        <is>
          <t>保理</t>
        </is>
      </c>
      <c r="E650" t="inlineStr">
        <is>
          <t>京诚15-8</t>
        </is>
      </c>
      <c r="F650" t="inlineStr">
        <is>
          <t>上交所</t>
        </is>
      </c>
      <c r="G650" t="inlineStr">
        <is>
          <t>华泰资管</t>
        </is>
      </c>
      <c r="H650" t="inlineStr">
        <is>
          <t>国开证券</t>
        </is>
      </c>
      <c r="I650" t="inlineStr">
        <is>
          <t>光大北分</t>
        </is>
      </c>
      <c r="J650" t="n">
        <v>10</v>
      </c>
      <c r="K650" t="inlineStr">
        <is>
          <t>2+4</t>
        </is>
      </c>
      <c r="L650" s="309" t="n">
        <v>46154</v>
      </c>
      <c r="M650" t="n">
        <v>0.0144</v>
      </c>
      <c r="N650" t="n">
        <v>0.0157</v>
      </c>
      <c r="O650" t="n">
        <v>1.93</v>
      </c>
      <c r="P650" t="inlineStr">
        <is>
          <t>优先级</t>
        </is>
      </c>
      <c r="Q650" t="n">
        <v>0.99</v>
      </c>
      <c r="R650" t="n">
        <v>9.9</v>
      </c>
      <c r="S650" t="inlineStr">
        <is>
          <t>AAA</t>
        </is>
      </c>
      <c r="T650" t="n">
        <v>0.015</v>
      </c>
      <c r="W650" t="n">
        <v>0.024</v>
      </c>
      <c r="X650" t="inlineStr">
        <is>
          <t>利曦基金</t>
        </is>
      </c>
      <c r="Y650" t="n">
        <v>2</v>
      </c>
    </row>
    <row r="651">
      <c r="A651" t="n">
        <v>55</v>
      </c>
      <c r="B651" t="inlineStr">
        <is>
          <t>5月</t>
        </is>
      </c>
      <c r="C651" t="inlineStr">
        <is>
          <t>企金</t>
        </is>
      </c>
      <c r="D651" t="inlineStr">
        <is>
          <t>保理</t>
        </is>
      </c>
      <c r="E651" t="inlineStr">
        <is>
          <t>京诚15-8</t>
        </is>
      </c>
      <c r="F651" t="inlineStr">
        <is>
          <t>上交所</t>
        </is>
      </c>
      <c r="G651" t="inlineStr">
        <is>
          <t>华泰资管</t>
        </is>
      </c>
      <c r="H651" t="inlineStr">
        <is>
          <t>国开证券</t>
        </is>
      </c>
      <c r="I651" t="inlineStr">
        <is>
          <t>光大北分</t>
        </is>
      </c>
      <c r="J651" t="n">
        <v>10</v>
      </c>
      <c r="K651" t="inlineStr">
        <is>
          <t>2+4</t>
        </is>
      </c>
      <c r="L651" s="309" t="n">
        <v>46154</v>
      </c>
      <c r="M651" t="n">
        <v>0.0144</v>
      </c>
      <c r="N651" t="n">
        <v>0.0157</v>
      </c>
      <c r="O651" t="n">
        <v>1.93</v>
      </c>
      <c r="P651" t="inlineStr">
        <is>
          <t>优先级</t>
        </is>
      </c>
      <c r="Q651" t="n">
        <v>0.99</v>
      </c>
      <c r="R651" t="n">
        <v>9.9</v>
      </c>
      <c r="S651" t="inlineStr">
        <is>
          <t>AAA</t>
        </is>
      </c>
      <c r="T651" t="n">
        <v>0.015</v>
      </c>
      <c r="W651" t="n">
        <v>0.025</v>
      </c>
      <c r="X651" t="inlineStr">
        <is>
          <t>平安银行</t>
        </is>
      </c>
      <c r="Y651" t="n">
        <v>2</v>
      </c>
    </row>
    <row r="652">
      <c r="A652" t="n">
        <v>55</v>
      </c>
      <c r="B652" t="inlineStr">
        <is>
          <t>5月</t>
        </is>
      </c>
      <c r="C652" t="inlineStr">
        <is>
          <t>企金</t>
        </is>
      </c>
      <c r="D652" t="inlineStr">
        <is>
          <t>保理</t>
        </is>
      </c>
      <c r="E652" t="inlineStr">
        <is>
          <t>京诚15-8</t>
        </is>
      </c>
      <c r="F652" t="inlineStr">
        <is>
          <t>上交所</t>
        </is>
      </c>
      <c r="G652" t="inlineStr">
        <is>
          <t>华泰资管</t>
        </is>
      </c>
      <c r="H652" t="inlineStr">
        <is>
          <t>国开证券</t>
        </is>
      </c>
      <c r="I652" t="inlineStr">
        <is>
          <t>光大北分</t>
        </is>
      </c>
      <c r="J652" t="n">
        <v>10</v>
      </c>
      <c r="K652" t="inlineStr">
        <is>
          <t>2+4</t>
        </is>
      </c>
      <c r="L652" s="309" t="n">
        <v>46154</v>
      </c>
      <c r="M652" t="n">
        <v>0.0144</v>
      </c>
      <c r="N652" t="n">
        <v>0.0157</v>
      </c>
      <c r="O652" t="n">
        <v>1.93</v>
      </c>
      <c r="P652" s="220" t="inlineStr">
        <is>
          <t>次级</t>
        </is>
      </c>
      <c r="Q652" s="221" t="n">
        <v>0.01</v>
      </c>
      <c r="R652" s="308" t="n">
        <v>0.1</v>
      </c>
      <c r="S652" s="221" t="inlineStr">
        <is>
          <t>无</t>
        </is>
      </c>
      <c r="T652" s="221" t="n">
        <v>0.043</v>
      </c>
      <c r="U652" s="217" t="inlineStr">
        <is>
          <t>利曦基金</t>
        </is>
      </c>
      <c r="V652" s="25" t="n">
        <v>0.03</v>
      </c>
    </row>
    <row r="653">
      <c r="A653" t="n">
        <v>55</v>
      </c>
      <c r="B653" t="inlineStr">
        <is>
          <t>5月</t>
        </is>
      </c>
      <c r="C653" t="inlineStr">
        <is>
          <t>企金</t>
        </is>
      </c>
      <c r="D653" t="inlineStr">
        <is>
          <t>保理</t>
        </is>
      </c>
      <c r="E653" t="inlineStr">
        <is>
          <t>京诚15-8</t>
        </is>
      </c>
      <c r="F653" t="inlineStr">
        <is>
          <t>上交所</t>
        </is>
      </c>
      <c r="G653" t="inlineStr">
        <is>
          <t>华泰资管</t>
        </is>
      </c>
      <c r="H653" t="inlineStr">
        <is>
          <t>国开证券</t>
        </is>
      </c>
      <c r="I653" t="inlineStr">
        <is>
          <t>光大北分</t>
        </is>
      </c>
      <c r="J653" t="n">
        <v>10</v>
      </c>
      <c r="K653" t="inlineStr">
        <is>
          <t>2+4</t>
        </is>
      </c>
      <c r="L653" s="309" t="n">
        <v>46154</v>
      </c>
      <c r="M653" t="n">
        <v>0.0144</v>
      </c>
      <c r="N653" t="n">
        <v>0.0157</v>
      </c>
      <c r="O653" t="n">
        <v>1.93</v>
      </c>
      <c r="P653" t="inlineStr">
        <is>
          <t>次级</t>
        </is>
      </c>
      <c r="Q653" t="n">
        <v>0.01</v>
      </c>
      <c r="R653" t="n">
        <v>0.1</v>
      </c>
      <c r="S653" t="inlineStr">
        <is>
          <t>无</t>
        </is>
      </c>
      <c r="T653" t="n">
        <v>0.043</v>
      </c>
      <c r="U653" s="217" t="inlineStr">
        <is>
          <t>德邦证券自营</t>
        </is>
      </c>
      <c r="V653" s="25" t="n">
        <v>0.07000000000000001</v>
      </c>
    </row>
    <row r="654">
      <c r="A654" s="223" t="n">
        <v>56</v>
      </c>
      <c r="B654" s="220" t="inlineStr">
        <is>
          <t>5月</t>
        </is>
      </c>
      <c r="C654" s="220" t="inlineStr">
        <is>
          <t>企金</t>
        </is>
      </c>
      <c r="D654" s="220" t="inlineStr">
        <is>
          <t>金采</t>
        </is>
      </c>
      <c r="E654" s="233" t="inlineStr">
        <is>
          <t>金采7-12</t>
        </is>
      </c>
      <c r="F654" s="220" t="inlineStr">
        <is>
          <t>上交所</t>
        </is>
      </c>
      <c r="G654" s="220" t="inlineStr">
        <is>
          <t>中信建投</t>
        </is>
      </c>
      <c r="H654" s="220" t="inlineStr">
        <is>
          <t>兴业证券</t>
        </is>
      </c>
      <c r="I654" s="220" t="inlineStr">
        <is>
          <t>浙商上分</t>
        </is>
      </c>
      <c r="J654" s="220" t="n">
        <v>9</v>
      </c>
      <c r="K654" s="220" t="inlineStr">
        <is>
          <t>7+12</t>
        </is>
      </c>
      <c r="L654" s="224" t="n">
        <v>45789</v>
      </c>
      <c r="M654" s="225" t="n">
        <v>0.0144</v>
      </c>
      <c r="N654" s="225" t="n">
        <v>0.0187</v>
      </c>
      <c r="O654" s="226" t="n">
        <v>2.82</v>
      </c>
      <c r="P654" s="220" t="inlineStr">
        <is>
          <t>优先级</t>
        </is>
      </c>
      <c r="Q654" s="231" t="n">
        <v>0.9</v>
      </c>
      <c r="R654" s="308" t="n">
        <v>8.1</v>
      </c>
      <c r="S654" s="220" t="inlineStr">
        <is>
          <t>AAA</t>
        </is>
      </c>
      <c r="T654" s="221" t="n">
        <v>0.016</v>
      </c>
      <c r="U654" s="217" t="inlineStr">
        <is>
          <t>招银理财</t>
        </is>
      </c>
      <c r="V654" s="25" t="n">
        <v>2.43</v>
      </c>
      <c r="W654" t="n">
        <v>0.0155</v>
      </c>
      <c r="X654" t="inlineStr">
        <is>
          <t>招银理财</t>
        </is>
      </c>
      <c r="Y654" t="n">
        <v>2.43</v>
      </c>
    </row>
    <row r="655">
      <c r="A655" t="n">
        <v>56</v>
      </c>
      <c r="B655" t="inlineStr">
        <is>
          <t>5月</t>
        </is>
      </c>
      <c r="C655" t="inlineStr">
        <is>
          <t>企金</t>
        </is>
      </c>
      <c r="D655" t="inlineStr">
        <is>
          <t>金采</t>
        </is>
      </c>
      <c r="E655" t="inlineStr">
        <is>
          <t>金采7-12</t>
        </is>
      </c>
      <c r="F655" t="inlineStr">
        <is>
          <t>上交所</t>
        </is>
      </c>
      <c r="G655" t="inlineStr">
        <is>
          <t>中信建投</t>
        </is>
      </c>
      <c r="H655" t="inlineStr">
        <is>
          <t>兴业证券</t>
        </is>
      </c>
      <c r="I655" t="inlineStr">
        <is>
          <t>浙商上分</t>
        </is>
      </c>
      <c r="J655" t="n">
        <v>9</v>
      </c>
      <c r="K655" t="inlineStr">
        <is>
          <t>7+12</t>
        </is>
      </c>
      <c r="L655" s="309" t="n">
        <v>45789</v>
      </c>
      <c r="M655" t="n">
        <v>0.0144</v>
      </c>
      <c r="N655" t="n">
        <v>0.0187</v>
      </c>
      <c r="O655" t="n">
        <v>2.82</v>
      </c>
      <c r="P655" t="inlineStr">
        <is>
          <t>优先级</t>
        </is>
      </c>
      <c r="Q655" t="n">
        <v>0.9</v>
      </c>
      <c r="R655" t="n">
        <v>8.1</v>
      </c>
      <c r="S655" t="inlineStr">
        <is>
          <t>AAA</t>
        </is>
      </c>
      <c r="T655" t="n">
        <v>0.016</v>
      </c>
      <c r="U655" s="217" t="inlineStr">
        <is>
          <t>建信理财</t>
        </is>
      </c>
      <c r="V655" s="25" t="n">
        <v>1.5</v>
      </c>
      <c r="W655" t="n">
        <v>0.016</v>
      </c>
      <c r="X655" t="inlineStr">
        <is>
          <t>建信理财</t>
        </is>
      </c>
      <c r="Y655" t="n">
        <v>2.43</v>
      </c>
    </row>
    <row r="656">
      <c r="A656" t="n">
        <v>56</v>
      </c>
      <c r="B656" t="inlineStr">
        <is>
          <t>5月</t>
        </is>
      </c>
      <c r="C656" t="inlineStr">
        <is>
          <t>企金</t>
        </is>
      </c>
      <c r="D656" t="inlineStr">
        <is>
          <t>金采</t>
        </is>
      </c>
      <c r="E656" t="inlineStr">
        <is>
          <t>金采7-12</t>
        </is>
      </c>
      <c r="F656" t="inlineStr">
        <is>
          <t>上交所</t>
        </is>
      </c>
      <c r="G656" t="inlineStr">
        <is>
          <t>中信建投</t>
        </is>
      </c>
      <c r="H656" t="inlineStr">
        <is>
          <t>兴业证券</t>
        </is>
      </c>
      <c r="I656" t="inlineStr">
        <is>
          <t>浙商上分</t>
        </is>
      </c>
      <c r="J656" t="n">
        <v>9</v>
      </c>
      <c r="K656" t="inlineStr">
        <is>
          <t>7+12</t>
        </is>
      </c>
      <c r="L656" s="309" t="n">
        <v>45789</v>
      </c>
      <c r="M656" t="n">
        <v>0.0144</v>
      </c>
      <c r="N656" t="n">
        <v>0.0187</v>
      </c>
      <c r="O656" t="n">
        <v>2.82</v>
      </c>
      <c r="P656" t="inlineStr">
        <is>
          <t>优先级</t>
        </is>
      </c>
      <c r="Q656" t="n">
        <v>0.9</v>
      </c>
      <c r="R656" t="n">
        <v>8.1</v>
      </c>
      <c r="S656" t="inlineStr">
        <is>
          <t>AAA</t>
        </is>
      </c>
      <c r="T656" t="n">
        <v>0.016</v>
      </c>
      <c r="U656" s="217" t="inlineStr">
        <is>
          <t>交银理财</t>
        </is>
      </c>
      <c r="V656" s="25" t="n">
        <v>1.76</v>
      </c>
      <c r="W656" t="n">
        <v>0.0158</v>
      </c>
      <c r="X656" t="inlineStr">
        <is>
          <t>交银理财</t>
        </is>
      </c>
      <c r="Y656" t="n">
        <v>0.48</v>
      </c>
    </row>
    <row r="657">
      <c r="A657" t="n">
        <v>56</v>
      </c>
      <c r="B657" t="inlineStr">
        <is>
          <t>5月</t>
        </is>
      </c>
      <c r="C657" t="inlineStr">
        <is>
          <t>企金</t>
        </is>
      </c>
      <c r="D657" t="inlineStr">
        <is>
          <t>金采</t>
        </is>
      </c>
      <c r="E657" t="inlineStr">
        <is>
          <t>金采7-12</t>
        </is>
      </c>
      <c r="F657" t="inlineStr">
        <is>
          <t>上交所</t>
        </is>
      </c>
      <c r="G657" t="inlineStr">
        <is>
          <t>中信建投</t>
        </is>
      </c>
      <c r="H657" t="inlineStr">
        <is>
          <t>兴业证券</t>
        </is>
      </c>
      <c r="I657" t="inlineStr">
        <is>
          <t>浙商上分</t>
        </is>
      </c>
      <c r="J657" t="n">
        <v>9</v>
      </c>
      <c r="K657" t="inlineStr">
        <is>
          <t>7+12</t>
        </is>
      </c>
      <c r="L657" s="309" t="n">
        <v>45789</v>
      </c>
      <c r="M657" t="n">
        <v>0.0144</v>
      </c>
      <c r="N657" t="n">
        <v>0.0187</v>
      </c>
      <c r="O657" t="n">
        <v>2.82</v>
      </c>
      <c r="P657" t="inlineStr">
        <is>
          <t>优先级</t>
        </is>
      </c>
      <c r="Q657" t="n">
        <v>0.9</v>
      </c>
      <c r="R657" t="n">
        <v>8.1</v>
      </c>
      <c r="S657" t="inlineStr">
        <is>
          <t>AAA</t>
        </is>
      </c>
      <c r="T657" t="n">
        <v>0.016</v>
      </c>
      <c r="U657" s="217" t="inlineStr">
        <is>
          <t>华夏基金</t>
        </is>
      </c>
      <c r="V657" s="25" t="n">
        <v>0.5</v>
      </c>
      <c r="W657" t="n">
        <v>0.016</v>
      </c>
      <c r="X657" t="inlineStr">
        <is>
          <t>华夏基金</t>
        </is>
      </c>
      <c r="Y657" t="n">
        <v>0.8</v>
      </c>
    </row>
    <row r="658">
      <c r="A658" t="n">
        <v>56</v>
      </c>
      <c r="B658" t="inlineStr">
        <is>
          <t>5月</t>
        </is>
      </c>
      <c r="C658" t="inlineStr">
        <is>
          <t>企金</t>
        </is>
      </c>
      <c r="D658" t="inlineStr">
        <is>
          <t>金采</t>
        </is>
      </c>
      <c r="E658" t="inlineStr">
        <is>
          <t>金采7-12</t>
        </is>
      </c>
      <c r="F658" t="inlineStr">
        <is>
          <t>上交所</t>
        </is>
      </c>
      <c r="G658" t="inlineStr">
        <is>
          <t>中信建投</t>
        </is>
      </c>
      <c r="H658" t="inlineStr">
        <is>
          <t>兴业证券</t>
        </is>
      </c>
      <c r="I658" t="inlineStr">
        <is>
          <t>浙商上分</t>
        </is>
      </c>
      <c r="J658" t="n">
        <v>9</v>
      </c>
      <c r="K658" t="inlineStr">
        <is>
          <t>7+12</t>
        </is>
      </c>
      <c r="L658" s="309" t="n">
        <v>45789</v>
      </c>
      <c r="M658" t="n">
        <v>0.0144</v>
      </c>
      <c r="N658" t="n">
        <v>0.0187</v>
      </c>
      <c r="O658" t="n">
        <v>2.82</v>
      </c>
      <c r="P658" t="inlineStr">
        <is>
          <t>优先级</t>
        </is>
      </c>
      <c r="Q658" t="n">
        <v>0.9</v>
      </c>
      <c r="R658" t="n">
        <v>8.1</v>
      </c>
      <c r="S658" t="inlineStr">
        <is>
          <t>AAA</t>
        </is>
      </c>
      <c r="T658" t="n">
        <v>0.016</v>
      </c>
      <c r="U658" s="217" t="inlineStr">
        <is>
          <t>中邮理财</t>
        </is>
      </c>
      <c r="V658" s="25" t="n">
        <v>1.5</v>
      </c>
      <c r="W658" t="n">
        <v>0.016</v>
      </c>
      <c r="X658" t="inlineStr">
        <is>
          <t>中邮理财</t>
        </is>
      </c>
      <c r="Y658" t="n">
        <v>2.425</v>
      </c>
    </row>
    <row r="659">
      <c r="A659" t="n">
        <v>56</v>
      </c>
      <c r="B659" t="inlineStr">
        <is>
          <t>5月</t>
        </is>
      </c>
      <c r="C659" t="inlineStr">
        <is>
          <t>企金</t>
        </is>
      </c>
      <c r="D659" t="inlineStr">
        <is>
          <t>金采</t>
        </is>
      </c>
      <c r="E659" t="inlineStr">
        <is>
          <t>金采7-12</t>
        </is>
      </c>
      <c r="F659" t="inlineStr">
        <is>
          <t>上交所</t>
        </is>
      </c>
      <c r="G659" t="inlineStr">
        <is>
          <t>中信建投</t>
        </is>
      </c>
      <c r="H659" t="inlineStr">
        <is>
          <t>兴业证券</t>
        </is>
      </c>
      <c r="I659" t="inlineStr">
        <is>
          <t>浙商上分</t>
        </is>
      </c>
      <c r="J659" t="n">
        <v>9</v>
      </c>
      <c r="K659" t="inlineStr">
        <is>
          <t>7+12</t>
        </is>
      </c>
      <c r="L659" s="309" t="n">
        <v>45789</v>
      </c>
      <c r="M659" t="n">
        <v>0.0144</v>
      </c>
      <c r="N659" t="n">
        <v>0.0187</v>
      </c>
      <c r="O659" t="n">
        <v>2.82</v>
      </c>
      <c r="P659" t="inlineStr">
        <is>
          <t>优先级</t>
        </is>
      </c>
      <c r="Q659" t="n">
        <v>0.9</v>
      </c>
      <c r="R659" t="n">
        <v>8.1</v>
      </c>
      <c r="S659" t="inlineStr">
        <is>
          <t>AAA</t>
        </is>
      </c>
      <c r="T659" t="n">
        <v>0.016</v>
      </c>
      <c r="U659" s="217" t="inlineStr">
        <is>
          <t>邦汇保理</t>
        </is>
      </c>
      <c r="V659" s="25" t="n">
        <v>0.41</v>
      </c>
      <c r="W659" t="n">
        <v>0.015</v>
      </c>
      <c r="X659" t="inlineStr">
        <is>
          <t>邦汇保理</t>
        </is>
      </c>
      <c r="Y659" t="n">
        <v>0.41</v>
      </c>
    </row>
    <row r="660">
      <c r="A660" t="n">
        <v>56</v>
      </c>
      <c r="B660" t="inlineStr">
        <is>
          <t>5月</t>
        </is>
      </c>
      <c r="C660" t="inlineStr">
        <is>
          <t>企金</t>
        </is>
      </c>
      <c r="D660" t="inlineStr">
        <is>
          <t>金采</t>
        </is>
      </c>
      <c r="E660" t="inlineStr">
        <is>
          <t>金采7-12</t>
        </is>
      </c>
      <c r="F660" t="inlineStr">
        <is>
          <t>上交所</t>
        </is>
      </c>
      <c r="G660" t="inlineStr">
        <is>
          <t>中信建投</t>
        </is>
      </c>
      <c r="H660" t="inlineStr">
        <is>
          <t>兴业证券</t>
        </is>
      </c>
      <c r="I660" t="inlineStr">
        <is>
          <t>浙商上分</t>
        </is>
      </c>
      <c r="J660" t="n">
        <v>9</v>
      </c>
      <c r="K660" t="inlineStr">
        <is>
          <t>7+12</t>
        </is>
      </c>
      <c r="L660" s="309" t="n">
        <v>45789</v>
      </c>
      <c r="M660" t="n">
        <v>0.0144</v>
      </c>
      <c r="N660" t="n">
        <v>0.0187</v>
      </c>
      <c r="O660" t="n">
        <v>2.82</v>
      </c>
      <c r="P660" t="inlineStr">
        <is>
          <t>优先级</t>
        </is>
      </c>
      <c r="Q660" t="n">
        <v>0.9</v>
      </c>
      <c r="R660" t="n">
        <v>8.1</v>
      </c>
      <c r="S660" t="inlineStr">
        <is>
          <t>AAA</t>
        </is>
      </c>
      <c r="T660" t="n">
        <v>0.016</v>
      </c>
      <c r="W660" t="n">
        <v>0.0159</v>
      </c>
      <c r="X660" t="inlineStr">
        <is>
          <t>交银理财</t>
        </is>
      </c>
      <c r="Y660" t="n">
        <v>0.3</v>
      </c>
    </row>
    <row r="661">
      <c r="A661" t="n">
        <v>56</v>
      </c>
      <c r="B661" t="inlineStr">
        <is>
          <t>5月</t>
        </is>
      </c>
      <c r="C661" t="inlineStr">
        <is>
          <t>企金</t>
        </is>
      </c>
      <c r="D661" t="inlineStr">
        <is>
          <t>金采</t>
        </is>
      </c>
      <c r="E661" t="inlineStr">
        <is>
          <t>金采7-12</t>
        </is>
      </c>
      <c r="F661" t="inlineStr">
        <is>
          <t>上交所</t>
        </is>
      </c>
      <c r="G661" t="inlineStr">
        <is>
          <t>中信建投</t>
        </is>
      </c>
      <c r="H661" t="inlineStr">
        <is>
          <t>兴业证券</t>
        </is>
      </c>
      <c r="I661" t="inlineStr">
        <is>
          <t>浙商上分</t>
        </is>
      </c>
      <c r="J661" t="n">
        <v>9</v>
      </c>
      <c r="K661" t="inlineStr">
        <is>
          <t>7+12</t>
        </is>
      </c>
      <c r="L661" s="309" t="n">
        <v>45789</v>
      </c>
      <c r="M661" t="n">
        <v>0.0144</v>
      </c>
      <c r="N661" t="n">
        <v>0.0187</v>
      </c>
      <c r="O661" t="n">
        <v>2.82</v>
      </c>
      <c r="P661" t="inlineStr">
        <is>
          <t>优先级</t>
        </is>
      </c>
      <c r="Q661" t="n">
        <v>0.9</v>
      </c>
      <c r="R661" t="n">
        <v>8.1</v>
      </c>
      <c r="S661" t="inlineStr">
        <is>
          <t>AAA</t>
        </is>
      </c>
      <c r="T661" t="n">
        <v>0.016</v>
      </c>
      <c r="W661" t="n">
        <v>0.016</v>
      </c>
      <c r="X661" t="inlineStr">
        <is>
          <t>交银理财</t>
        </is>
      </c>
      <c r="Y661" t="n">
        <v>1.65</v>
      </c>
    </row>
    <row r="662">
      <c r="A662" t="n">
        <v>56</v>
      </c>
      <c r="B662" t="inlineStr">
        <is>
          <t>5月</t>
        </is>
      </c>
      <c r="C662" t="inlineStr">
        <is>
          <t>企金</t>
        </is>
      </c>
      <c r="D662" t="inlineStr">
        <is>
          <t>金采</t>
        </is>
      </c>
      <c r="E662" t="inlineStr">
        <is>
          <t>金采7-12</t>
        </is>
      </c>
      <c r="F662" t="inlineStr">
        <is>
          <t>上交所</t>
        </is>
      </c>
      <c r="G662" t="inlineStr">
        <is>
          <t>中信建投</t>
        </is>
      </c>
      <c r="H662" t="inlineStr">
        <is>
          <t>兴业证券</t>
        </is>
      </c>
      <c r="I662" t="inlineStr">
        <is>
          <t>浙商上分</t>
        </is>
      </c>
      <c r="J662" t="n">
        <v>9</v>
      </c>
      <c r="K662" t="inlineStr">
        <is>
          <t>7+12</t>
        </is>
      </c>
      <c r="L662" s="309" t="n">
        <v>45789</v>
      </c>
      <c r="M662" t="n">
        <v>0.0144</v>
      </c>
      <c r="N662" t="n">
        <v>0.0187</v>
      </c>
      <c r="O662" t="n">
        <v>2.82</v>
      </c>
      <c r="P662" t="inlineStr">
        <is>
          <t>优先级</t>
        </is>
      </c>
      <c r="Q662" t="n">
        <v>0.9</v>
      </c>
      <c r="R662" t="n">
        <v>8.1</v>
      </c>
      <c r="S662" t="inlineStr">
        <is>
          <t>AAA</t>
        </is>
      </c>
      <c r="T662" t="n">
        <v>0.016</v>
      </c>
      <c r="W662" t="n">
        <v>0.017</v>
      </c>
      <c r="X662" t="inlineStr">
        <is>
          <t>兴业证券</t>
        </is>
      </c>
      <c r="Y662" t="n">
        <v>1.3</v>
      </c>
    </row>
    <row r="663">
      <c r="A663" t="n">
        <v>56</v>
      </c>
      <c r="B663" t="inlineStr">
        <is>
          <t>5月</t>
        </is>
      </c>
      <c r="C663" t="inlineStr">
        <is>
          <t>企金</t>
        </is>
      </c>
      <c r="D663" t="inlineStr">
        <is>
          <t>金采</t>
        </is>
      </c>
      <c r="E663" t="inlineStr">
        <is>
          <t>金采7-12</t>
        </is>
      </c>
      <c r="F663" t="inlineStr">
        <is>
          <t>上交所</t>
        </is>
      </c>
      <c r="G663" t="inlineStr">
        <is>
          <t>中信建投</t>
        </is>
      </c>
      <c r="H663" t="inlineStr">
        <is>
          <t>兴业证券</t>
        </is>
      </c>
      <c r="I663" t="inlineStr">
        <is>
          <t>浙商上分</t>
        </is>
      </c>
      <c r="J663" t="n">
        <v>9</v>
      </c>
      <c r="K663" t="inlineStr">
        <is>
          <t>7+12</t>
        </is>
      </c>
      <c r="L663" s="309" t="n">
        <v>45789</v>
      </c>
      <c r="M663" t="n">
        <v>0.0144</v>
      </c>
      <c r="N663" t="n">
        <v>0.0187</v>
      </c>
      <c r="O663" t="n">
        <v>2.82</v>
      </c>
      <c r="P663" t="inlineStr">
        <is>
          <t>优先级</t>
        </is>
      </c>
      <c r="Q663" t="n">
        <v>0.9</v>
      </c>
      <c r="R663" t="n">
        <v>8.1</v>
      </c>
      <c r="S663" t="inlineStr">
        <is>
          <t>AAA</t>
        </is>
      </c>
      <c r="T663" t="n">
        <v>0.016</v>
      </c>
      <c r="W663" t="n">
        <v>0.017</v>
      </c>
      <c r="X663" t="inlineStr">
        <is>
          <t>中信建投</t>
        </is>
      </c>
      <c r="Y663" t="n">
        <v>1.2</v>
      </c>
    </row>
    <row r="664">
      <c r="A664" t="n">
        <v>56</v>
      </c>
      <c r="B664" t="inlineStr">
        <is>
          <t>5月</t>
        </is>
      </c>
      <c r="C664" t="inlineStr">
        <is>
          <t>企金</t>
        </is>
      </c>
      <c r="D664" t="inlineStr">
        <is>
          <t>金采</t>
        </is>
      </c>
      <c r="E664" t="inlineStr">
        <is>
          <t>金采7-12</t>
        </is>
      </c>
      <c r="F664" t="inlineStr">
        <is>
          <t>上交所</t>
        </is>
      </c>
      <c r="G664" t="inlineStr">
        <is>
          <t>中信建投</t>
        </is>
      </c>
      <c r="H664" t="inlineStr">
        <is>
          <t>兴业证券</t>
        </is>
      </c>
      <c r="I664" t="inlineStr">
        <is>
          <t>浙商上分</t>
        </is>
      </c>
      <c r="J664" t="n">
        <v>9</v>
      </c>
      <c r="K664" t="inlineStr">
        <is>
          <t>7+12</t>
        </is>
      </c>
      <c r="L664" s="309" t="n">
        <v>45789</v>
      </c>
      <c r="M664" t="n">
        <v>0.0144</v>
      </c>
      <c r="N664" t="n">
        <v>0.0187</v>
      </c>
      <c r="O664" t="n">
        <v>2.82</v>
      </c>
      <c r="P664" t="inlineStr">
        <is>
          <t>优先级</t>
        </is>
      </c>
      <c r="Q664" t="n">
        <v>0.9</v>
      </c>
      <c r="R664" t="n">
        <v>8.1</v>
      </c>
      <c r="S664" t="inlineStr">
        <is>
          <t>AAA</t>
        </is>
      </c>
      <c r="T664" t="n">
        <v>0.016</v>
      </c>
      <c r="W664" t="n">
        <v>0.017</v>
      </c>
      <c r="X664" t="inlineStr">
        <is>
          <t>广银理财</t>
        </is>
      </c>
      <c r="Y664" t="n">
        <v>1</v>
      </c>
    </row>
    <row r="665">
      <c r="A665" t="n">
        <v>56</v>
      </c>
      <c r="B665" t="inlineStr">
        <is>
          <t>5月</t>
        </is>
      </c>
      <c r="C665" t="inlineStr">
        <is>
          <t>企金</t>
        </is>
      </c>
      <c r="D665" t="inlineStr">
        <is>
          <t>金采</t>
        </is>
      </c>
      <c r="E665" t="inlineStr">
        <is>
          <t>金采7-12</t>
        </is>
      </c>
      <c r="F665" t="inlineStr">
        <is>
          <t>上交所</t>
        </is>
      </c>
      <c r="G665" t="inlineStr">
        <is>
          <t>中信建投</t>
        </is>
      </c>
      <c r="H665" t="inlineStr">
        <is>
          <t>兴业证券</t>
        </is>
      </c>
      <c r="I665" t="inlineStr">
        <is>
          <t>浙商上分</t>
        </is>
      </c>
      <c r="J665" t="n">
        <v>9</v>
      </c>
      <c r="K665" t="inlineStr">
        <is>
          <t>7+12</t>
        </is>
      </c>
      <c r="L665" s="309" t="n">
        <v>45789</v>
      </c>
      <c r="M665" t="n">
        <v>0.0144</v>
      </c>
      <c r="N665" t="n">
        <v>0.0187</v>
      </c>
      <c r="O665" t="n">
        <v>2.82</v>
      </c>
      <c r="P665" t="inlineStr">
        <is>
          <t>优先级</t>
        </is>
      </c>
      <c r="Q665" t="n">
        <v>0.9</v>
      </c>
      <c r="R665" t="n">
        <v>8.1</v>
      </c>
      <c r="S665" t="inlineStr">
        <is>
          <t>AAA</t>
        </is>
      </c>
      <c r="T665" t="n">
        <v>0.016</v>
      </c>
      <c r="W665" t="n">
        <v>0.0175</v>
      </c>
      <c r="X665" t="inlineStr">
        <is>
          <t>中金自营</t>
        </is>
      </c>
      <c r="Y665" t="n">
        <v>0.3</v>
      </c>
    </row>
    <row r="666">
      <c r="A666" t="n">
        <v>56</v>
      </c>
      <c r="B666" t="inlineStr">
        <is>
          <t>5月</t>
        </is>
      </c>
      <c r="C666" t="inlineStr">
        <is>
          <t>企金</t>
        </is>
      </c>
      <c r="D666" t="inlineStr">
        <is>
          <t>金采</t>
        </is>
      </c>
      <c r="E666" t="inlineStr">
        <is>
          <t>金采7-12</t>
        </is>
      </c>
      <c r="F666" t="inlineStr">
        <is>
          <t>上交所</t>
        </is>
      </c>
      <c r="G666" t="inlineStr">
        <is>
          <t>中信建投</t>
        </is>
      </c>
      <c r="H666" t="inlineStr">
        <is>
          <t>兴业证券</t>
        </is>
      </c>
      <c r="I666" t="inlineStr">
        <is>
          <t>浙商上分</t>
        </is>
      </c>
      <c r="J666" t="n">
        <v>9</v>
      </c>
      <c r="K666" t="inlineStr">
        <is>
          <t>7+12</t>
        </is>
      </c>
      <c r="L666" s="309" t="n">
        <v>45789</v>
      </c>
      <c r="M666" t="n">
        <v>0.0144</v>
      </c>
      <c r="N666" t="n">
        <v>0.0187</v>
      </c>
      <c r="O666" t="n">
        <v>2.82</v>
      </c>
      <c r="P666" t="inlineStr">
        <is>
          <t>优先级</t>
        </is>
      </c>
      <c r="Q666" t="n">
        <v>0.9</v>
      </c>
      <c r="R666" t="n">
        <v>8.1</v>
      </c>
      <c r="S666" t="inlineStr">
        <is>
          <t>AAA</t>
        </is>
      </c>
      <c r="T666" t="n">
        <v>0.016</v>
      </c>
      <c r="W666" t="n">
        <v>0.0185</v>
      </c>
      <c r="X666" t="inlineStr">
        <is>
          <t>百瑞信托</t>
        </is>
      </c>
      <c r="Y666" t="n">
        <v>1</v>
      </c>
    </row>
    <row r="667">
      <c r="A667" t="n">
        <v>56</v>
      </c>
      <c r="B667" t="inlineStr">
        <is>
          <t>5月</t>
        </is>
      </c>
      <c r="C667" t="inlineStr">
        <is>
          <t>企金</t>
        </is>
      </c>
      <c r="D667" t="inlineStr">
        <is>
          <t>金采</t>
        </is>
      </c>
      <c r="E667" t="inlineStr">
        <is>
          <t>金采7-12</t>
        </is>
      </c>
      <c r="F667" t="inlineStr">
        <is>
          <t>上交所</t>
        </is>
      </c>
      <c r="G667" t="inlineStr">
        <is>
          <t>中信建投</t>
        </is>
      </c>
      <c r="H667" t="inlineStr">
        <is>
          <t>兴业证券</t>
        </is>
      </c>
      <c r="I667" t="inlineStr">
        <is>
          <t>浙商上分</t>
        </is>
      </c>
      <c r="J667" t="n">
        <v>9</v>
      </c>
      <c r="K667" t="inlineStr">
        <is>
          <t>7+12</t>
        </is>
      </c>
      <c r="L667" s="309" t="n">
        <v>45789</v>
      </c>
      <c r="M667" t="n">
        <v>0.0144</v>
      </c>
      <c r="N667" t="n">
        <v>0.0187</v>
      </c>
      <c r="O667" t="n">
        <v>2.82</v>
      </c>
      <c r="P667" t="inlineStr">
        <is>
          <t>优先级</t>
        </is>
      </c>
      <c r="Q667" t="n">
        <v>0.9</v>
      </c>
      <c r="R667" t="n">
        <v>8.1</v>
      </c>
      <c r="S667" t="inlineStr">
        <is>
          <t>AAA</t>
        </is>
      </c>
      <c r="T667" t="n">
        <v>0.016</v>
      </c>
      <c r="W667" t="n">
        <v>0.02</v>
      </c>
      <c r="X667" t="inlineStr">
        <is>
          <t>信达证券</t>
        </is>
      </c>
      <c r="Y667" t="n">
        <v>0.8</v>
      </c>
    </row>
    <row r="668">
      <c r="A668" t="n">
        <v>56</v>
      </c>
      <c r="B668" t="inlineStr">
        <is>
          <t>5月</t>
        </is>
      </c>
      <c r="C668" t="inlineStr">
        <is>
          <t>企金</t>
        </is>
      </c>
      <c r="D668" t="inlineStr">
        <is>
          <t>金采</t>
        </is>
      </c>
      <c r="E668" t="inlineStr">
        <is>
          <t>金采7-12</t>
        </is>
      </c>
      <c r="F668" t="inlineStr">
        <is>
          <t>上交所</t>
        </is>
      </c>
      <c r="G668" t="inlineStr">
        <is>
          <t>中信建投</t>
        </is>
      </c>
      <c r="H668" t="inlineStr">
        <is>
          <t>兴业证券</t>
        </is>
      </c>
      <c r="I668" t="inlineStr">
        <is>
          <t>浙商上分</t>
        </is>
      </c>
      <c r="J668" t="n">
        <v>9</v>
      </c>
      <c r="K668" t="inlineStr">
        <is>
          <t>7+12</t>
        </is>
      </c>
      <c r="L668" s="309" t="n">
        <v>45789</v>
      </c>
      <c r="M668" t="n">
        <v>0.0144</v>
      </c>
      <c r="N668" t="n">
        <v>0.0187</v>
      </c>
      <c r="O668" t="n">
        <v>2.82</v>
      </c>
      <c r="P668" t="inlineStr">
        <is>
          <t>优先级</t>
        </is>
      </c>
      <c r="Q668" t="n">
        <v>0.9</v>
      </c>
      <c r="R668" t="n">
        <v>8.1</v>
      </c>
      <c r="S668" t="inlineStr">
        <is>
          <t>AAA</t>
        </is>
      </c>
      <c r="T668" t="n">
        <v>0.016</v>
      </c>
      <c r="W668" t="n">
        <v>0.02</v>
      </c>
      <c r="X668" t="inlineStr">
        <is>
          <t>西部证券</t>
        </is>
      </c>
      <c r="Y668" t="n">
        <v>0.5</v>
      </c>
    </row>
    <row r="669">
      <c r="A669" t="n">
        <v>56</v>
      </c>
      <c r="B669" t="inlineStr">
        <is>
          <t>5月</t>
        </is>
      </c>
      <c r="C669" t="inlineStr">
        <is>
          <t>企金</t>
        </is>
      </c>
      <c r="D669" t="inlineStr">
        <is>
          <t>金采</t>
        </is>
      </c>
      <c r="E669" t="inlineStr">
        <is>
          <t>金采7-12</t>
        </is>
      </c>
      <c r="F669" t="inlineStr">
        <is>
          <t>上交所</t>
        </is>
      </c>
      <c r="G669" t="inlineStr">
        <is>
          <t>中信建投</t>
        </is>
      </c>
      <c r="H669" t="inlineStr">
        <is>
          <t>兴业证券</t>
        </is>
      </c>
      <c r="I669" t="inlineStr">
        <is>
          <t>浙商上分</t>
        </is>
      </c>
      <c r="J669" t="n">
        <v>9</v>
      </c>
      <c r="K669" t="inlineStr">
        <is>
          <t>7+12</t>
        </is>
      </c>
      <c r="L669" s="309" t="n">
        <v>45789</v>
      </c>
      <c r="M669" t="n">
        <v>0.0144</v>
      </c>
      <c r="N669" t="n">
        <v>0.0187</v>
      </c>
      <c r="O669" t="n">
        <v>2.82</v>
      </c>
      <c r="P669" t="inlineStr">
        <is>
          <t>优先级</t>
        </is>
      </c>
      <c r="Q669" t="n">
        <v>0.9</v>
      </c>
      <c r="R669" t="n">
        <v>8.1</v>
      </c>
      <c r="S669" t="inlineStr">
        <is>
          <t>AAA</t>
        </is>
      </c>
      <c r="T669" t="n">
        <v>0.016</v>
      </c>
      <c r="W669" t="n">
        <v>0.021</v>
      </c>
      <c r="X669" t="inlineStr">
        <is>
          <t>德邦证券自营</t>
        </is>
      </c>
      <c r="Y669" t="n">
        <v>0.5</v>
      </c>
    </row>
    <row r="670">
      <c r="A670" t="n">
        <v>56</v>
      </c>
      <c r="B670" t="inlineStr">
        <is>
          <t>5月</t>
        </is>
      </c>
      <c r="C670" t="inlineStr">
        <is>
          <t>企金</t>
        </is>
      </c>
      <c r="D670" t="inlineStr">
        <is>
          <t>金采</t>
        </is>
      </c>
      <c r="E670" t="inlineStr">
        <is>
          <t>金采7-12</t>
        </is>
      </c>
      <c r="F670" t="inlineStr">
        <is>
          <t>上交所</t>
        </is>
      </c>
      <c r="G670" t="inlineStr">
        <is>
          <t>中信建投</t>
        </is>
      </c>
      <c r="H670" t="inlineStr">
        <is>
          <t>兴业证券</t>
        </is>
      </c>
      <c r="I670" t="inlineStr">
        <is>
          <t>浙商上分</t>
        </is>
      </c>
      <c r="J670" t="n">
        <v>9</v>
      </c>
      <c r="K670" t="inlineStr">
        <is>
          <t>7+12</t>
        </is>
      </c>
      <c r="L670" s="309" t="n">
        <v>45789</v>
      </c>
      <c r="M670" t="n">
        <v>0.0144</v>
      </c>
      <c r="N670" t="n">
        <v>0.0187</v>
      </c>
      <c r="O670" t="n">
        <v>2.82</v>
      </c>
      <c r="P670" t="inlineStr">
        <is>
          <t>优先级</t>
        </is>
      </c>
      <c r="Q670" t="n">
        <v>0.9</v>
      </c>
      <c r="R670" t="n">
        <v>8.1</v>
      </c>
      <c r="S670" t="inlineStr">
        <is>
          <t>AAA</t>
        </is>
      </c>
      <c r="T670" t="n">
        <v>0.016</v>
      </c>
      <c r="W670" t="n">
        <v>0.024</v>
      </c>
      <c r="X670" t="inlineStr">
        <is>
          <t>利曦基金</t>
        </is>
      </c>
      <c r="Y670" t="n">
        <v>2</v>
      </c>
    </row>
    <row r="671">
      <c r="A671" t="n">
        <v>56</v>
      </c>
      <c r="B671" t="inlineStr">
        <is>
          <t>5月</t>
        </is>
      </c>
      <c r="C671" t="inlineStr">
        <is>
          <t>企金</t>
        </is>
      </c>
      <c r="D671" t="inlineStr">
        <is>
          <t>金采</t>
        </is>
      </c>
      <c r="E671" t="inlineStr">
        <is>
          <t>金采7-12</t>
        </is>
      </c>
      <c r="F671" t="inlineStr">
        <is>
          <t>上交所</t>
        </is>
      </c>
      <c r="G671" t="inlineStr">
        <is>
          <t>中信建投</t>
        </is>
      </c>
      <c r="H671" t="inlineStr">
        <is>
          <t>兴业证券</t>
        </is>
      </c>
      <c r="I671" t="inlineStr">
        <is>
          <t>浙商上分</t>
        </is>
      </c>
      <c r="J671" t="n">
        <v>9</v>
      </c>
      <c r="K671" t="inlineStr">
        <is>
          <t>7+12</t>
        </is>
      </c>
      <c r="L671" s="309" t="n">
        <v>45789</v>
      </c>
      <c r="M671" t="n">
        <v>0.0144</v>
      </c>
      <c r="N671" t="n">
        <v>0.0187</v>
      </c>
      <c r="O671" t="n">
        <v>2.82</v>
      </c>
      <c r="P671" t="inlineStr">
        <is>
          <t>优先级</t>
        </is>
      </c>
      <c r="Q671" t="n">
        <v>0.9</v>
      </c>
      <c r="R671" t="n">
        <v>8.1</v>
      </c>
      <c r="S671" t="inlineStr">
        <is>
          <t>AAA</t>
        </is>
      </c>
      <c r="T671" t="n">
        <v>0.016</v>
      </c>
      <c r="W671" t="n">
        <v>0.025</v>
      </c>
      <c r="X671" t="inlineStr">
        <is>
          <t>华兴证券</t>
        </is>
      </c>
      <c r="Y671" t="n">
        <v>1.2</v>
      </c>
    </row>
    <row r="672">
      <c r="A672" t="n">
        <v>56</v>
      </c>
      <c r="B672" t="inlineStr">
        <is>
          <t>5月</t>
        </is>
      </c>
      <c r="C672" t="inlineStr">
        <is>
          <t>企金</t>
        </is>
      </c>
      <c r="D672" t="inlineStr">
        <is>
          <t>金采</t>
        </is>
      </c>
      <c r="E672" t="inlineStr">
        <is>
          <t>金采7-12</t>
        </is>
      </c>
      <c r="F672" t="inlineStr">
        <is>
          <t>上交所</t>
        </is>
      </c>
      <c r="G672" t="inlineStr">
        <is>
          <t>中信建投</t>
        </is>
      </c>
      <c r="H672" t="inlineStr">
        <is>
          <t>兴业证券</t>
        </is>
      </c>
      <c r="I672" t="inlineStr">
        <is>
          <t>浙商上分</t>
        </is>
      </c>
      <c r="J672" t="n">
        <v>9</v>
      </c>
      <c r="K672" t="inlineStr">
        <is>
          <t>7+12</t>
        </is>
      </c>
      <c r="L672" s="309" t="n">
        <v>45789</v>
      </c>
      <c r="M672" t="n">
        <v>0.0144</v>
      </c>
      <c r="N672" t="n">
        <v>0.0187</v>
      </c>
      <c r="O672" t="n">
        <v>2.82</v>
      </c>
      <c r="P672" t="inlineStr">
        <is>
          <t>优先级</t>
        </is>
      </c>
      <c r="Q672" t="n">
        <v>0.9</v>
      </c>
      <c r="R672" t="n">
        <v>8.1</v>
      </c>
      <c r="S672" t="inlineStr">
        <is>
          <t>AAA</t>
        </is>
      </c>
      <c r="T672" t="n">
        <v>0.016</v>
      </c>
      <c r="W672" t="n">
        <v>0.025</v>
      </c>
      <c r="X672" t="inlineStr">
        <is>
          <t>国信证券</t>
        </is>
      </c>
      <c r="Y672" t="n">
        <v>0.8</v>
      </c>
    </row>
    <row r="673">
      <c r="A673" t="n">
        <v>56</v>
      </c>
      <c r="B673" t="inlineStr">
        <is>
          <t>5月</t>
        </is>
      </c>
      <c r="C673" t="inlineStr">
        <is>
          <t>企金</t>
        </is>
      </c>
      <c r="D673" t="inlineStr">
        <is>
          <t>金采</t>
        </is>
      </c>
      <c r="E673" t="inlineStr">
        <is>
          <t>金采7-12</t>
        </is>
      </c>
      <c r="F673" t="inlineStr">
        <is>
          <t>上交所</t>
        </is>
      </c>
      <c r="G673" t="inlineStr">
        <is>
          <t>中信建投</t>
        </is>
      </c>
      <c r="H673" t="inlineStr">
        <is>
          <t>兴业证券</t>
        </is>
      </c>
      <c r="I673" t="inlineStr">
        <is>
          <t>浙商上分</t>
        </is>
      </c>
      <c r="J673" t="n">
        <v>9</v>
      </c>
      <c r="K673" t="inlineStr">
        <is>
          <t>7+12</t>
        </is>
      </c>
      <c r="L673" s="309" t="n">
        <v>45789</v>
      </c>
      <c r="M673" t="n">
        <v>0.0144</v>
      </c>
      <c r="N673" t="n">
        <v>0.0187</v>
      </c>
      <c r="O673" t="n">
        <v>2.82</v>
      </c>
      <c r="P673" t="inlineStr">
        <is>
          <t>优先级</t>
        </is>
      </c>
      <c r="Q673" t="n">
        <v>0.9</v>
      </c>
      <c r="R673" t="n">
        <v>8.1</v>
      </c>
      <c r="S673" t="inlineStr">
        <is>
          <t>AAA</t>
        </is>
      </c>
      <c r="T673" t="n">
        <v>0.016</v>
      </c>
      <c r="W673" t="n">
        <v>0.025</v>
      </c>
      <c r="X673" t="inlineStr">
        <is>
          <t>中信建投衍生品自营</t>
        </is>
      </c>
      <c r="Y673" t="n">
        <v>1.35</v>
      </c>
    </row>
    <row r="674">
      <c r="A674" t="n">
        <v>56</v>
      </c>
      <c r="B674" t="inlineStr">
        <is>
          <t>5月</t>
        </is>
      </c>
      <c r="C674" t="inlineStr">
        <is>
          <t>企金</t>
        </is>
      </c>
      <c r="D674" t="inlineStr">
        <is>
          <t>金采</t>
        </is>
      </c>
      <c r="E674" t="inlineStr">
        <is>
          <t>金采7-12</t>
        </is>
      </c>
      <c r="F674" t="inlineStr">
        <is>
          <t>上交所</t>
        </is>
      </c>
      <c r="G674" t="inlineStr">
        <is>
          <t>中信建投</t>
        </is>
      </c>
      <c r="H674" t="inlineStr">
        <is>
          <t>兴业证券</t>
        </is>
      </c>
      <c r="I674" t="inlineStr">
        <is>
          <t>浙商上分</t>
        </is>
      </c>
      <c r="J674" t="n">
        <v>9</v>
      </c>
      <c r="K674" t="inlineStr">
        <is>
          <t>7+12</t>
        </is>
      </c>
      <c r="L674" s="309" t="n">
        <v>45789</v>
      </c>
      <c r="M674" t="n">
        <v>0.0144</v>
      </c>
      <c r="N674" t="n">
        <v>0.0187</v>
      </c>
      <c r="O674" t="n">
        <v>2.82</v>
      </c>
      <c r="P674" s="220" t="inlineStr">
        <is>
          <t>中间级</t>
        </is>
      </c>
      <c r="Q674" s="221" t="n">
        <v>0.05</v>
      </c>
      <c r="R674" s="308" t="n">
        <v>0.45</v>
      </c>
      <c r="S674" s="221" t="inlineStr">
        <is>
          <t>AA</t>
        </is>
      </c>
      <c r="T674" s="221" t="n">
        <v>0.031</v>
      </c>
      <c r="U674" s="217" t="inlineStr">
        <is>
          <t>招银理财</t>
        </is>
      </c>
      <c r="V674" s="25" t="n">
        <v>0.075</v>
      </c>
    </row>
    <row r="675">
      <c r="A675" t="n">
        <v>56</v>
      </c>
      <c r="B675" t="inlineStr">
        <is>
          <t>5月</t>
        </is>
      </c>
      <c r="C675" t="inlineStr">
        <is>
          <t>企金</t>
        </is>
      </c>
      <c r="D675" t="inlineStr">
        <is>
          <t>金采</t>
        </is>
      </c>
      <c r="E675" t="inlineStr">
        <is>
          <t>金采7-12</t>
        </is>
      </c>
      <c r="F675" t="inlineStr">
        <is>
          <t>上交所</t>
        </is>
      </c>
      <c r="G675" t="inlineStr">
        <is>
          <t>中信建投</t>
        </is>
      </c>
      <c r="H675" t="inlineStr">
        <is>
          <t>兴业证券</t>
        </is>
      </c>
      <c r="I675" t="inlineStr">
        <is>
          <t>浙商上分</t>
        </is>
      </c>
      <c r="J675" t="n">
        <v>9</v>
      </c>
      <c r="K675" t="inlineStr">
        <is>
          <t>7+12</t>
        </is>
      </c>
      <c r="L675" s="309" t="n">
        <v>45789</v>
      </c>
      <c r="M675" t="n">
        <v>0.0144</v>
      </c>
      <c r="N675" t="n">
        <v>0.0187</v>
      </c>
      <c r="O675" t="n">
        <v>2.82</v>
      </c>
      <c r="P675" t="inlineStr">
        <is>
          <t>中间级</t>
        </is>
      </c>
      <c r="Q675" t="n">
        <v>0.05</v>
      </c>
      <c r="R675" t="n">
        <v>0.45</v>
      </c>
      <c r="S675" t="inlineStr">
        <is>
          <t>AA</t>
        </is>
      </c>
      <c r="T675" t="n">
        <v>0.031</v>
      </c>
      <c r="U675" s="217" t="inlineStr">
        <is>
          <t>利曦基金</t>
        </is>
      </c>
      <c r="V675" s="325" t="n">
        <v>0.1625</v>
      </c>
    </row>
    <row r="676">
      <c r="A676" t="n">
        <v>56</v>
      </c>
      <c r="B676" t="inlineStr">
        <is>
          <t>5月</t>
        </is>
      </c>
      <c r="C676" t="inlineStr">
        <is>
          <t>企金</t>
        </is>
      </c>
      <c r="D676" t="inlineStr">
        <is>
          <t>金采</t>
        </is>
      </c>
      <c r="E676" t="inlineStr">
        <is>
          <t>金采7-12</t>
        </is>
      </c>
      <c r="F676" t="inlineStr">
        <is>
          <t>上交所</t>
        </is>
      </c>
      <c r="G676" t="inlineStr">
        <is>
          <t>中信建投</t>
        </is>
      </c>
      <c r="H676" t="inlineStr">
        <is>
          <t>兴业证券</t>
        </is>
      </c>
      <c r="I676" t="inlineStr">
        <is>
          <t>浙商上分</t>
        </is>
      </c>
      <c r="J676" t="n">
        <v>9</v>
      </c>
      <c r="K676" t="inlineStr">
        <is>
          <t>7+12</t>
        </is>
      </c>
      <c r="L676" s="309" t="n">
        <v>45789</v>
      </c>
      <c r="M676" t="n">
        <v>0.0144</v>
      </c>
      <c r="N676" t="n">
        <v>0.0187</v>
      </c>
      <c r="O676" t="n">
        <v>2.82</v>
      </c>
      <c r="P676" t="inlineStr">
        <is>
          <t>中间级</t>
        </is>
      </c>
      <c r="Q676" t="n">
        <v>0.05</v>
      </c>
      <c r="R676" t="n">
        <v>0.45</v>
      </c>
      <c r="S676" t="inlineStr">
        <is>
          <t>AA</t>
        </is>
      </c>
      <c r="T676" t="n">
        <v>0.031</v>
      </c>
      <c r="U676" s="217" t="inlineStr">
        <is>
          <t>德邦证券自营</t>
        </is>
      </c>
      <c r="V676" s="25" t="n">
        <v>0.19</v>
      </c>
    </row>
    <row r="677">
      <c r="A677" t="n">
        <v>56</v>
      </c>
      <c r="B677" t="inlineStr">
        <is>
          <t>5月</t>
        </is>
      </c>
      <c r="C677" t="inlineStr">
        <is>
          <t>企金</t>
        </is>
      </c>
      <c r="D677" t="inlineStr">
        <is>
          <t>金采</t>
        </is>
      </c>
      <c r="E677" t="inlineStr">
        <is>
          <t>金采7-12</t>
        </is>
      </c>
      <c r="F677" t="inlineStr">
        <is>
          <t>上交所</t>
        </is>
      </c>
      <c r="G677" t="inlineStr">
        <is>
          <t>中信建投</t>
        </is>
      </c>
      <c r="H677" t="inlineStr">
        <is>
          <t>兴业证券</t>
        </is>
      </c>
      <c r="I677" t="inlineStr">
        <is>
          <t>浙商上分</t>
        </is>
      </c>
      <c r="J677" t="n">
        <v>9</v>
      </c>
      <c r="K677" t="inlineStr">
        <is>
          <t>7+12</t>
        </is>
      </c>
      <c r="L677" s="309" t="n">
        <v>45789</v>
      </c>
      <c r="M677" t="n">
        <v>0.0144</v>
      </c>
      <c r="N677" t="n">
        <v>0.0187</v>
      </c>
      <c r="O677" t="n">
        <v>2.82</v>
      </c>
      <c r="P677" t="inlineStr">
        <is>
          <t>中间级</t>
        </is>
      </c>
      <c r="Q677" t="n">
        <v>0.05</v>
      </c>
      <c r="R677" t="n">
        <v>0.45</v>
      </c>
      <c r="S677" t="inlineStr">
        <is>
          <t>AA</t>
        </is>
      </c>
      <c r="T677" t="n">
        <v>0.031</v>
      </c>
      <c r="U677" s="217" t="inlineStr">
        <is>
          <t>邦汇保理</t>
        </is>
      </c>
      <c r="V677" s="325" t="n">
        <v>0.0225</v>
      </c>
    </row>
    <row r="678">
      <c r="A678" t="n">
        <v>56</v>
      </c>
      <c r="B678" t="inlineStr">
        <is>
          <t>5月</t>
        </is>
      </c>
      <c r="C678" t="inlineStr">
        <is>
          <t>企金</t>
        </is>
      </c>
      <c r="D678" t="inlineStr">
        <is>
          <t>金采</t>
        </is>
      </c>
      <c r="E678" t="inlineStr">
        <is>
          <t>金采7-12</t>
        </is>
      </c>
      <c r="F678" t="inlineStr">
        <is>
          <t>上交所</t>
        </is>
      </c>
      <c r="G678" t="inlineStr">
        <is>
          <t>中信建投</t>
        </is>
      </c>
      <c r="H678" t="inlineStr">
        <is>
          <t>兴业证券</t>
        </is>
      </c>
      <c r="I678" t="inlineStr">
        <is>
          <t>浙商上分</t>
        </is>
      </c>
      <c r="J678" t="n">
        <v>9</v>
      </c>
      <c r="K678" t="inlineStr">
        <is>
          <t>7+12</t>
        </is>
      </c>
      <c r="L678" s="309" t="n">
        <v>45789</v>
      </c>
      <c r="M678" t="n">
        <v>0.0144</v>
      </c>
      <c r="N678" t="n">
        <v>0.0187</v>
      </c>
      <c r="O678" t="n">
        <v>2.82</v>
      </c>
      <c r="P678" s="220" t="inlineStr">
        <is>
          <t>次级</t>
        </is>
      </c>
      <c r="Q678" s="221" t="n">
        <v>0.05</v>
      </c>
      <c r="R678" s="308" t="n">
        <v>0.45</v>
      </c>
      <c r="S678" s="221" t="inlineStr">
        <is>
          <t>无</t>
        </is>
      </c>
      <c r="T678" s="221" t="n">
        <v>0.0455</v>
      </c>
      <c r="U678" s="217" t="inlineStr">
        <is>
          <t>东家铂睿</t>
        </is>
      </c>
      <c r="V678" s="25" t="n">
        <v>0.05</v>
      </c>
    </row>
    <row r="679">
      <c r="A679" t="n">
        <v>56</v>
      </c>
      <c r="B679" t="inlineStr">
        <is>
          <t>5月</t>
        </is>
      </c>
      <c r="C679" t="inlineStr">
        <is>
          <t>企金</t>
        </is>
      </c>
      <c r="D679" t="inlineStr">
        <is>
          <t>金采</t>
        </is>
      </c>
      <c r="E679" t="inlineStr">
        <is>
          <t>金采7-12</t>
        </is>
      </c>
      <c r="F679" t="inlineStr">
        <is>
          <t>上交所</t>
        </is>
      </c>
      <c r="G679" t="inlineStr">
        <is>
          <t>中信建投</t>
        </is>
      </c>
      <c r="H679" t="inlineStr">
        <is>
          <t>兴业证券</t>
        </is>
      </c>
      <c r="I679" t="inlineStr">
        <is>
          <t>浙商上分</t>
        </is>
      </c>
      <c r="J679" t="n">
        <v>9</v>
      </c>
      <c r="K679" t="inlineStr">
        <is>
          <t>7+12</t>
        </is>
      </c>
      <c r="L679" s="309" t="n">
        <v>45789</v>
      </c>
      <c r="M679" t="n">
        <v>0.0144</v>
      </c>
      <c r="N679" t="n">
        <v>0.0187</v>
      </c>
      <c r="O679" t="n">
        <v>2.82</v>
      </c>
      <c r="P679" t="inlineStr">
        <is>
          <t>次级</t>
        </is>
      </c>
      <c r="Q679" t="n">
        <v>0.05</v>
      </c>
      <c r="R679" t="n">
        <v>0.45</v>
      </c>
      <c r="S679" t="inlineStr">
        <is>
          <t>无</t>
        </is>
      </c>
      <c r="T679" t="n">
        <v>0.0455</v>
      </c>
      <c r="U679" s="217" t="inlineStr">
        <is>
          <t>西部证券自营</t>
        </is>
      </c>
      <c r="V679" s="325" t="n">
        <v>0.1875</v>
      </c>
    </row>
    <row r="680">
      <c r="A680" t="n">
        <v>56</v>
      </c>
      <c r="B680" t="inlineStr">
        <is>
          <t>5月</t>
        </is>
      </c>
      <c r="C680" t="inlineStr">
        <is>
          <t>企金</t>
        </is>
      </c>
      <c r="D680" t="inlineStr">
        <is>
          <t>金采</t>
        </is>
      </c>
      <c r="E680" t="inlineStr">
        <is>
          <t>金采7-12</t>
        </is>
      </c>
      <c r="F680" t="inlineStr">
        <is>
          <t>上交所</t>
        </is>
      </c>
      <c r="G680" t="inlineStr">
        <is>
          <t>中信建投</t>
        </is>
      </c>
      <c r="H680" t="inlineStr">
        <is>
          <t>兴业证券</t>
        </is>
      </c>
      <c r="I680" t="inlineStr">
        <is>
          <t>浙商上分</t>
        </is>
      </c>
      <c r="J680" t="n">
        <v>9</v>
      </c>
      <c r="K680" t="inlineStr">
        <is>
          <t>7+12</t>
        </is>
      </c>
      <c r="L680" s="309" t="n">
        <v>45789</v>
      </c>
      <c r="M680" t="n">
        <v>0.0144</v>
      </c>
      <c r="N680" t="n">
        <v>0.0187</v>
      </c>
      <c r="O680" t="n">
        <v>2.82</v>
      </c>
      <c r="P680" t="inlineStr">
        <is>
          <t>次级</t>
        </is>
      </c>
      <c r="Q680" t="n">
        <v>0.05</v>
      </c>
      <c r="R680" t="n">
        <v>0.45</v>
      </c>
      <c r="S680" t="inlineStr">
        <is>
          <t>无</t>
        </is>
      </c>
      <c r="T680" t="n">
        <v>0.0455</v>
      </c>
      <c r="U680" s="217" t="inlineStr">
        <is>
          <t>利曦基金</t>
        </is>
      </c>
      <c r="V680" s="25" t="n">
        <v>0.19</v>
      </c>
    </row>
    <row r="681">
      <c r="A681" t="n">
        <v>56</v>
      </c>
      <c r="B681" t="inlineStr">
        <is>
          <t>5月</t>
        </is>
      </c>
      <c r="C681" t="inlineStr">
        <is>
          <t>企金</t>
        </is>
      </c>
      <c r="D681" t="inlineStr">
        <is>
          <t>金采</t>
        </is>
      </c>
      <c r="E681" t="inlineStr">
        <is>
          <t>金采7-12</t>
        </is>
      </c>
      <c r="F681" t="inlineStr">
        <is>
          <t>上交所</t>
        </is>
      </c>
      <c r="G681" t="inlineStr">
        <is>
          <t>中信建投</t>
        </is>
      </c>
      <c r="H681" t="inlineStr">
        <is>
          <t>兴业证券</t>
        </is>
      </c>
      <c r="I681" t="inlineStr">
        <is>
          <t>浙商上分</t>
        </is>
      </c>
      <c r="J681" t="n">
        <v>9</v>
      </c>
      <c r="K681" t="inlineStr">
        <is>
          <t>7+12</t>
        </is>
      </c>
      <c r="L681" s="309" t="n">
        <v>45789</v>
      </c>
      <c r="M681" t="n">
        <v>0.0144</v>
      </c>
      <c r="N681" t="n">
        <v>0.0187</v>
      </c>
      <c r="O681" t="n">
        <v>2.82</v>
      </c>
      <c r="P681" t="inlineStr">
        <is>
          <t>次级</t>
        </is>
      </c>
      <c r="Q681" t="n">
        <v>0.05</v>
      </c>
      <c r="R681" t="n">
        <v>0.45</v>
      </c>
      <c r="S681" t="inlineStr">
        <is>
          <t>无</t>
        </is>
      </c>
      <c r="T681" t="n">
        <v>0.0455</v>
      </c>
      <c r="U681" s="217" t="inlineStr">
        <is>
          <t>邦汇保理</t>
        </is>
      </c>
      <c r="V681" s="325" t="n">
        <v>0.0225</v>
      </c>
    </row>
    <row r="682">
      <c r="A682" s="223" t="n">
        <v>57</v>
      </c>
      <c r="B682" s="223" t="inlineStr">
        <is>
          <t>5月</t>
        </is>
      </c>
      <c r="C682" s="220" t="inlineStr">
        <is>
          <t>企金</t>
        </is>
      </c>
      <c r="D682" s="220" t="inlineStr">
        <is>
          <t>保理</t>
        </is>
      </c>
      <c r="E682" s="220" t="inlineStr">
        <is>
          <t>京诚14-9</t>
        </is>
      </c>
      <c r="F682" s="220" t="inlineStr">
        <is>
          <t>上交所</t>
        </is>
      </c>
      <c r="G682" s="220" t="inlineStr">
        <is>
          <t>中信证券</t>
        </is>
      </c>
      <c r="H682" s="220" t="inlineStr">
        <is>
          <t>兴业证券</t>
        </is>
      </c>
      <c r="I682" s="220" t="inlineStr">
        <is>
          <t>江苏北分</t>
        </is>
      </c>
      <c r="J682" s="220" t="n">
        <v>5</v>
      </c>
      <c r="K682" s="220" t="inlineStr">
        <is>
          <t>2+4</t>
        </is>
      </c>
      <c r="L682" s="224" t="n">
        <v>46156</v>
      </c>
      <c r="M682" s="225" t="n">
        <v>0.014325</v>
      </c>
      <c r="N682" s="225" t="n">
        <v>0.0157</v>
      </c>
      <c r="O682" s="226" t="n">
        <v>2.67</v>
      </c>
      <c r="P682" s="220" t="inlineStr">
        <is>
          <t>优先级</t>
        </is>
      </c>
      <c r="Q682" s="221" t="n">
        <v>0.99</v>
      </c>
      <c r="R682" s="308" t="n">
        <v>4.95</v>
      </c>
      <c r="S682" s="220" t="inlineStr">
        <is>
          <t>AAA</t>
        </is>
      </c>
      <c r="T682" s="221" t="n">
        <v>0.015</v>
      </c>
      <c r="U682" s="24" t="inlineStr">
        <is>
          <t>平安资产</t>
        </is>
      </c>
      <c r="V682" s="25" t="n">
        <v>2.47</v>
      </c>
      <c r="W682" t="n">
        <v>0.0148</v>
      </c>
      <c r="X682" t="inlineStr">
        <is>
          <t>平安资产</t>
        </is>
      </c>
      <c r="Y682" t="n">
        <v>1</v>
      </c>
    </row>
    <row r="683">
      <c r="A683" t="n">
        <v>57</v>
      </c>
      <c r="B683" t="inlineStr">
        <is>
          <t>5月</t>
        </is>
      </c>
      <c r="C683" t="inlineStr">
        <is>
          <t>企金</t>
        </is>
      </c>
      <c r="D683" t="inlineStr">
        <is>
          <t>保理</t>
        </is>
      </c>
      <c r="E683" t="inlineStr">
        <is>
          <t>京诚14-9</t>
        </is>
      </c>
      <c r="F683" t="inlineStr">
        <is>
          <t>上交所</t>
        </is>
      </c>
      <c r="G683" t="inlineStr">
        <is>
          <t>中信证券</t>
        </is>
      </c>
      <c r="H683" t="inlineStr">
        <is>
          <t>兴业证券</t>
        </is>
      </c>
      <c r="I683" t="inlineStr">
        <is>
          <t>江苏北分</t>
        </is>
      </c>
      <c r="J683" t="n">
        <v>5</v>
      </c>
      <c r="K683" t="inlineStr">
        <is>
          <t>2+4</t>
        </is>
      </c>
      <c r="L683" s="309" t="n">
        <v>46156</v>
      </c>
      <c r="M683" t="n">
        <v>0.014325</v>
      </c>
      <c r="N683" t="n">
        <v>0.0157</v>
      </c>
      <c r="O683" t="n">
        <v>2.67</v>
      </c>
      <c r="P683" t="inlineStr">
        <is>
          <t>优先级</t>
        </is>
      </c>
      <c r="Q683" t="n">
        <v>0.99</v>
      </c>
      <c r="R683" t="n">
        <v>4.95</v>
      </c>
      <c r="S683" t="inlineStr">
        <is>
          <t>AAA</t>
        </is>
      </c>
      <c r="T683" t="n">
        <v>0.015</v>
      </c>
      <c r="U683" s="217" t="inlineStr">
        <is>
          <t>交银理财</t>
        </is>
      </c>
      <c r="V683" s="25" t="n">
        <v>0.18</v>
      </c>
      <c r="W683" t="n">
        <v>0.015</v>
      </c>
      <c r="X683" t="inlineStr">
        <is>
          <t>交银理财</t>
        </is>
      </c>
      <c r="Y683" t="n">
        <v>0.8</v>
      </c>
    </row>
    <row r="684">
      <c r="A684" t="n">
        <v>57</v>
      </c>
      <c r="B684" t="inlineStr">
        <is>
          <t>5月</t>
        </is>
      </c>
      <c r="C684" t="inlineStr">
        <is>
          <t>企金</t>
        </is>
      </c>
      <c r="D684" t="inlineStr">
        <is>
          <t>保理</t>
        </is>
      </c>
      <c r="E684" t="inlineStr">
        <is>
          <t>京诚14-9</t>
        </is>
      </c>
      <c r="F684" t="inlineStr">
        <is>
          <t>上交所</t>
        </is>
      </c>
      <c r="G684" t="inlineStr">
        <is>
          <t>中信证券</t>
        </is>
      </c>
      <c r="H684" t="inlineStr">
        <is>
          <t>兴业证券</t>
        </is>
      </c>
      <c r="I684" t="inlineStr">
        <is>
          <t>江苏北分</t>
        </is>
      </c>
      <c r="J684" t="n">
        <v>5</v>
      </c>
      <c r="K684" t="inlineStr">
        <is>
          <t>2+4</t>
        </is>
      </c>
      <c r="L684" s="309" t="n">
        <v>46156</v>
      </c>
      <c r="M684" t="n">
        <v>0.014325</v>
      </c>
      <c r="N684" t="n">
        <v>0.0157</v>
      </c>
      <c r="O684" t="n">
        <v>2.67</v>
      </c>
      <c r="P684" t="inlineStr">
        <is>
          <t>优先级</t>
        </is>
      </c>
      <c r="Q684" t="n">
        <v>0.99</v>
      </c>
      <c r="R684" t="n">
        <v>4.95</v>
      </c>
      <c r="S684" t="inlineStr">
        <is>
          <t>AAA</t>
        </is>
      </c>
      <c r="T684" t="n">
        <v>0.015</v>
      </c>
      <c r="U684" s="217" t="inlineStr">
        <is>
          <t>民生理财</t>
        </is>
      </c>
      <c r="V684" s="25" t="n">
        <v>1.1</v>
      </c>
      <c r="W684" t="n">
        <v>0.014</v>
      </c>
      <c r="X684" t="inlineStr">
        <is>
          <t>民生理财</t>
        </is>
      </c>
      <c r="Y684" t="n">
        <v>1</v>
      </c>
    </row>
    <row r="685">
      <c r="A685" t="n">
        <v>57</v>
      </c>
      <c r="B685" t="inlineStr">
        <is>
          <t>5月</t>
        </is>
      </c>
      <c r="C685" t="inlineStr">
        <is>
          <t>企金</t>
        </is>
      </c>
      <c r="D685" t="inlineStr">
        <is>
          <t>保理</t>
        </is>
      </c>
      <c r="E685" t="inlineStr">
        <is>
          <t>京诚14-9</t>
        </is>
      </c>
      <c r="F685" t="inlineStr">
        <is>
          <t>上交所</t>
        </is>
      </c>
      <c r="G685" t="inlineStr">
        <is>
          <t>中信证券</t>
        </is>
      </c>
      <c r="H685" t="inlineStr">
        <is>
          <t>兴业证券</t>
        </is>
      </c>
      <c r="I685" t="inlineStr">
        <is>
          <t>江苏北分</t>
        </is>
      </c>
      <c r="J685" t="n">
        <v>5</v>
      </c>
      <c r="K685" t="inlineStr">
        <is>
          <t>2+4</t>
        </is>
      </c>
      <c r="L685" s="309" t="n">
        <v>46156</v>
      </c>
      <c r="M685" t="n">
        <v>0.014325</v>
      </c>
      <c r="N685" t="n">
        <v>0.0157</v>
      </c>
      <c r="O685" t="n">
        <v>2.67</v>
      </c>
      <c r="P685" t="inlineStr">
        <is>
          <t>优先级</t>
        </is>
      </c>
      <c r="Q685" t="n">
        <v>0.99</v>
      </c>
      <c r="R685" t="n">
        <v>4.95</v>
      </c>
      <c r="S685" t="inlineStr">
        <is>
          <t>AAA</t>
        </is>
      </c>
      <c r="T685" t="n">
        <v>0.015</v>
      </c>
      <c r="U685" s="217" t="inlineStr">
        <is>
          <t>光大理财</t>
        </is>
      </c>
      <c r="V685" s="25" t="n">
        <v>0.58</v>
      </c>
      <c r="W685" t="n">
        <v>0.0149</v>
      </c>
      <c r="X685" t="inlineStr">
        <is>
          <t>光大理财</t>
        </is>
      </c>
      <c r="Y685" t="n">
        <v>0.3</v>
      </c>
    </row>
    <row r="686">
      <c r="A686" t="n">
        <v>57</v>
      </c>
      <c r="B686" t="inlineStr">
        <is>
          <t>5月</t>
        </is>
      </c>
      <c r="C686" t="inlineStr">
        <is>
          <t>企金</t>
        </is>
      </c>
      <c r="D686" t="inlineStr">
        <is>
          <t>保理</t>
        </is>
      </c>
      <c r="E686" t="inlineStr">
        <is>
          <t>京诚14-9</t>
        </is>
      </c>
      <c r="F686" t="inlineStr">
        <is>
          <t>上交所</t>
        </is>
      </c>
      <c r="G686" t="inlineStr">
        <is>
          <t>中信证券</t>
        </is>
      </c>
      <c r="H686" t="inlineStr">
        <is>
          <t>兴业证券</t>
        </is>
      </c>
      <c r="I686" t="inlineStr">
        <is>
          <t>江苏北分</t>
        </is>
      </c>
      <c r="J686" t="n">
        <v>5</v>
      </c>
      <c r="K686" t="inlineStr">
        <is>
          <t>2+4</t>
        </is>
      </c>
      <c r="L686" s="309" t="n">
        <v>46156</v>
      </c>
      <c r="M686" t="n">
        <v>0.014325</v>
      </c>
      <c r="N686" t="n">
        <v>0.0157</v>
      </c>
      <c r="O686" t="n">
        <v>2.67</v>
      </c>
      <c r="P686" t="inlineStr">
        <is>
          <t>优先级</t>
        </is>
      </c>
      <c r="Q686" t="n">
        <v>0.99</v>
      </c>
      <c r="R686" t="n">
        <v>4.95</v>
      </c>
      <c r="S686" t="inlineStr">
        <is>
          <t>AAA</t>
        </is>
      </c>
      <c r="T686" t="n">
        <v>0.015</v>
      </c>
      <c r="U686" s="218" t="inlineStr">
        <is>
          <t>平安理财</t>
        </is>
      </c>
      <c r="V686" s="25" t="n">
        <v>0.28</v>
      </c>
    </row>
    <row r="687">
      <c r="A687" t="n">
        <v>57</v>
      </c>
      <c r="B687" t="inlineStr">
        <is>
          <t>5月</t>
        </is>
      </c>
      <c r="C687" t="inlineStr">
        <is>
          <t>企金</t>
        </is>
      </c>
      <c r="D687" t="inlineStr">
        <is>
          <t>保理</t>
        </is>
      </c>
      <c r="E687" t="inlineStr">
        <is>
          <t>京诚14-9</t>
        </is>
      </c>
      <c r="F687" t="inlineStr">
        <is>
          <t>上交所</t>
        </is>
      </c>
      <c r="G687" t="inlineStr">
        <is>
          <t>中信证券</t>
        </is>
      </c>
      <c r="H687" t="inlineStr">
        <is>
          <t>兴业证券</t>
        </is>
      </c>
      <c r="I687" t="inlineStr">
        <is>
          <t>江苏北分</t>
        </is>
      </c>
      <c r="J687" t="n">
        <v>5</v>
      </c>
      <c r="K687" t="inlineStr">
        <is>
          <t>2+4</t>
        </is>
      </c>
      <c r="L687" s="309" t="n">
        <v>46156</v>
      </c>
      <c r="M687" t="n">
        <v>0.014325</v>
      </c>
      <c r="N687" t="n">
        <v>0.0157</v>
      </c>
      <c r="O687" t="n">
        <v>2.67</v>
      </c>
      <c r="P687" t="inlineStr">
        <is>
          <t>优先级</t>
        </is>
      </c>
      <c r="Q687" t="n">
        <v>0.99</v>
      </c>
      <c r="R687" t="n">
        <v>4.95</v>
      </c>
      <c r="S687" t="inlineStr">
        <is>
          <t>AAA</t>
        </is>
      </c>
      <c r="T687" t="n">
        <v>0.015</v>
      </c>
      <c r="U687" s="217" t="inlineStr">
        <is>
          <t>建信理财</t>
        </is>
      </c>
      <c r="V687" s="25" t="n">
        <v>0.34</v>
      </c>
      <c r="W687" t="n">
        <v>0.015</v>
      </c>
      <c r="X687" t="inlineStr">
        <is>
          <t>建信理财</t>
        </is>
      </c>
      <c r="Y687" t="n">
        <v>1.48</v>
      </c>
    </row>
    <row r="688">
      <c r="A688" t="n">
        <v>57</v>
      </c>
      <c r="B688" t="inlineStr">
        <is>
          <t>5月</t>
        </is>
      </c>
      <c r="C688" t="inlineStr">
        <is>
          <t>企金</t>
        </is>
      </c>
      <c r="D688" t="inlineStr">
        <is>
          <t>保理</t>
        </is>
      </c>
      <c r="E688" t="inlineStr">
        <is>
          <t>京诚14-9</t>
        </is>
      </c>
      <c r="F688" t="inlineStr">
        <is>
          <t>上交所</t>
        </is>
      </c>
      <c r="G688" t="inlineStr">
        <is>
          <t>中信证券</t>
        </is>
      </c>
      <c r="H688" t="inlineStr">
        <is>
          <t>兴业证券</t>
        </is>
      </c>
      <c r="I688" t="inlineStr">
        <is>
          <t>江苏北分</t>
        </is>
      </c>
      <c r="J688" t="n">
        <v>5</v>
      </c>
      <c r="K688" t="inlineStr">
        <is>
          <t>2+4</t>
        </is>
      </c>
      <c r="L688" s="309" t="n">
        <v>46156</v>
      </c>
      <c r="M688" t="n">
        <v>0.014325</v>
      </c>
      <c r="N688" t="n">
        <v>0.0157</v>
      </c>
      <c r="O688" t="n">
        <v>2.67</v>
      </c>
      <c r="P688" t="inlineStr">
        <is>
          <t>优先级</t>
        </is>
      </c>
      <c r="Q688" t="n">
        <v>0.99</v>
      </c>
      <c r="R688" t="n">
        <v>4.95</v>
      </c>
      <c r="S688" t="inlineStr">
        <is>
          <t>AAA</t>
        </is>
      </c>
      <c r="T688" t="n">
        <v>0.015</v>
      </c>
      <c r="W688" t="n">
        <v>0.0149</v>
      </c>
      <c r="X688" t="inlineStr">
        <is>
          <t>平安资产</t>
        </is>
      </c>
      <c r="Y688" t="n">
        <v>1.47</v>
      </c>
    </row>
    <row r="689">
      <c r="A689" t="n">
        <v>57</v>
      </c>
      <c r="B689" t="inlineStr">
        <is>
          <t>5月</t>
        </is>
      </c>
      <c r="C689" t="inlineStr">
        <is>
          <t>企金</t>
        </is>
      </c>
      <c r="D689" t="inlineStr">
        <is>
          <t>保理</t>
        </is>
      </c>
      <c r="E689" t="inlineStr">
        <is>
          <t>京诚14-9</t>
        </is>
      </c>
      <c r="F689" t="inlineStr">
        <is>
          <t>上交所</t>
        </is>
      </c>
      <c r="G689" t="inlineStr">
        <is>
          <t>中信证券</t>
        </is>
      </c>
      <c r="H689" t="inlineStr">
        <is>
          <t>兴业证券</t>
        </is>
      </c>
      <c r="I689" t="inlineStr">
        <is>
          <t>江苏北分</t>
        </is>
      </c>
      <c r="J689" t="n">
        <v>5</v>
      </c>
      <c r="K689" t="inlineStr">
        <is>
          <t>2+4</t>
        </is>
      </c>
      <c r="L689" s="309" t="n">
        <v>46156</v>
      </c>
      <c r="M689" t="n">
        <v>0.014325</v>
      </c>
      <c r="N689" t="n">
        <v>0.0157</v>
      </c>
      <c r="O689" t="n">
        <v>2.67</v>
      </c>
      <c r="P689" t="inlineStr">
        <is>
          <t>优先级</t>
        </is>
      </c>
      <c r="Q689" t="n">
        <v>0.99</v>
      </c>
      <c r="R689" t="n">
        <v>4.95</v>
      </c>
      <c r="S689" t="inlineStr">
        <is>
          <t>AAA</t>
        </is>
      </c>
      <c r="T689" t="n">
        <v>0.015</v>
      </c>
      <c r="W689" t="n">
        <v>0.015</v>
      </c>
      <c r="X689" t="inlineStr">
        <is>
          <t>民生理财</t>
        </is>
      </c>
      <c r="Y689" t="n">
        <v>0.48</v>
      </c>
    </row>
    <row r="690">
      <c r="A690" t="n">
        <v>57</v>
      </c>
      <c r="B690" t="inlineStr">
        <is>
          <t>5月</t>
        </is>
      </c>
      <c r="C690" t="inlineStr">
        <is>
          <t>企金</t>
        </is>
      </c>
      <c r="D690" t="inlineStr">
        <is>
          <t>保理</t>
        </is>
      </c>
      <c r="E690" t="inlineStr">
        <is>
          <t>京诚14-9</t>
        </is>
      </c>
      <c r="F690" t="inlineStr">
        <is>
          <t>上交所</t>
        </is>
      </c>
      <c r="G690" t="inlineStr">
        <is>
          <t>中信证券</t>
        </is>
      </c>
      <c r="H690" t="inlineStr">
        <is>
          <t>兴业证券</t>
        </is>
      </c>
      <c r="I690" t="inlineStr">
        <is>
          <t>江苏北分</t>
        </is>
      </c>
      <c r="J690" t="n">
        <v>5</v>
      </c>
      <c r="K690" t="inlineStr">
        <is>
          <t>2+4</t>
        </is>
      </c>
      <c r="L690" s="309" t="n">
        <v>46156</v>
      </c>
      <c r="M690" t="n">
        <v>0.014325</v>
      </c>
      <c r="N690" t="n">
        <v>0.0157</v>
      </c>
      <c r="O690" t="n">
        <v>2.67</v>
      </c>
      <c r="P690" t="inlineStr">
        <is>
          <t>优先级</t>
        </is>
      </c>
      <c r="Q690" t="n">
        <v>0.99</v>
      </c>
      <c r="R690" t="n">
        <v>4.95</v>
      </c>
      <c r="S690" t="inlineStr">
        <is>
          <t>AAA</t>
        </is>
      </c>
      <c r="T690" t="n">
        <v>0.015</v>
      </c>
      <c r="W690" t="n">
        <v>0.015</v>
      </c>
      <c r="X690" t="inlineStr">
        <is>
          <t>光大理财</t>
        </is>
      </c>
      <c r="Y690" t="n">
        <v>1.18</v>
      </c>
    </row>
    <row r="691">
      <c r="A691" t="n">
        <v>57</v>
      </c>
      <c r="B691" t="inlineStr">
        <is>
          <t>5月</t>
        </is>
      </c>
      <c r="C691" t="inlineStr">
        <is>
          <t>企金</t>
        </is>
      </c>
      <c r="D691" t="inlineStr">
        <is>
          <t>保理</t>
        </is>
      </c>
      <c r="E691" t="inlineStr">
        <is>
          <t>京诚14-9</t>
        </is>
      </c>
      <c r="F691" t="inlineStr">
        <is>
          <t>上交所</t>
        </is>
      </c>
      <c r="G691" t="inlineStr">
        <is>
          <t>中信证券</t>
        </is>
      </c>
      <c r="H691" t="inlineStr">
        <is>
          <t>兴业证券</t>
        </is>
      </c>
      <c r="I691" t="inlineStr">
        <is>
          <t>江苏北分</t>
        </is>
      </c>
      <c r="J691" t="n">
        <v>5</v>
      </c>
      <c r="K691" t="inlineStr">
        <is>
          <t>2+4</t>
        </is>
      </c>
      <c r="L691" s="309" t="n">
        <v>46156</v>
      </c>
      <c r="M691" t="n">
        <v>0.014325</v>
      </c>
      <c r="N691" t="n">
        <v>0.0157</v>
      </c>
      <c r="O691" t="n">
        <v>2.67</v>
      </c>
      <c r="P691" t="inlineStr">
        <is>
          <t>优先级</t>
        </is>
      </c>
      <c r="Q691" t="n">
        <v>0.99</v>
      </c>
      <c r="R691" t="n">
        <v>4.95</v>
      </c>
      <c r="S691" t="inlineStr">
        <is>
          <t>AAA</t>
        </is>
      </c>
      <c r="T691" t="n">
        <v>0.015</v>
      </c>
      <c r="W691" t="n">
        <v>0.015</v>
      </c>
      <c r="X691" t="inlineStr">
        <is>
          <t>平安资产</t>
        </is>
      </c>
      <c r="Y691" t="n">
        <v>1.23</v>
      </c>
    </row>
    <row r="692">
      <c r="A692" t="n">
        <v>57</v>
      </c>
      <c r="B692" t="inlineStr">
        <is>
          <t>5月</t>
        </is>
      </c>
      <c r="C692" t="inlineStr">
        <is>
          <t>企金</t>
        </is>
      </c>
      <c r="D692" t="inlineStr">
        <is>
          <t>保理</t>
        </is>
      </c>
      <c r="E692" t="inlineStr">
        <is>
          <t>京诚14-9</t>
        </is>
      </c>
      <c r="F692" t="inlineStr">
        <is>
          <t>上交所</t>
        </is>
      </c>
      <c r="G692" t="inlineStr">
        <is>
          <t>中信证券</t>
        </is>
      </c>
      <c r="H692" t="inlineStr">
        <is>
          <t>兴业证券</t>
        </is>
      </c>
      <c r="I692" t="inlineStr">
        <is>
          <t>江苏北分</t>
        </is>
      </c>
      <c r="J692" t="n">
        <v>5</v>
      </c>
      <c r="K692" t="inlineStr">
        <is>
          <t>2+4</t>
        </is>
      </c>
      <c r="L692" s="309" t="n">
        <v>46156</v>
      </c>
      <c r="M692" t="n">
        <v>0.014325</v>
      </c>
      <c r="N692" t="n">
        <v>0.0157</v>
      </c>
      <c r="O692" t="n">
        <v>2.67</v>
      </c>
      <c r="P692" t="inlineStr">
        <is>
          <t>优先级</t>
        </is>
      </c>
      <c r="Q692" t="n">
        <v>0.99</v>
      </c>
      <c r="R692" t="n">
        <v>4.95</v>
      </c>
      <c r="S692" t="inlineStr">
        <is>
          <t>AAA</t>
        </is>
      </c>
      <c r="T692" t="n">
        <v>0.015</v>
      </c>
      <c r="W692" t="n">
        <v>0.0155</v>
      </c>
      <c r="X692" t="inlineStr">
        <is>
          <t>交银理财</t>
        </is>
      </c>
      <c r="Y692" t="n">
        <v>0.48</v>
      </c>
    </row>
    <row r="693">
      <c r="A693" t="n">
        <v>57</v>
      </c>
      <c r="B693" t="inlineStr">
        <is>
          <t>5月</t>
        </is>
      </c>
      <c r="C693" t="inlineStr">
        <is>
          <t>企金</t>
        </is>
      </c>
      <c r="D693" t="inlineStr">
        <is>
          <t>保理</t>
        </is>
      </c>
      <c r="E693" t="inlineStr">
        <is>
          <t>京诚14-9</t>
        </is>
      </c>
      <c r="F693" t="inlineStr">
        <is>
          <t>上交所</t>
        </is>
      </c>
      <c r="G693" t="inlineStr">
        <is>
          <t>中信证券</t>
        </is>
      </c>
      <c r="H693" t="inlineStr">
        <is>
          <t>兴业证券</t>
        </is>
      </c>
      <c r="I693" t="inlineStr">
        <is>
          <t>江苏北分</t>
        </is>
      </c>
      <c r="J693" t="n">
        <v>5</v>
      </c>
      <c r="K693" t="inlineStr">
        <is>
          <t>2+4</t>
        </is>
      </c>
      <c r="L693" s="309" t="n">
        <v>46156</v>
      </c>
      <c r="M693" t="n">
        <v>0.014325</v>
      </c>
      <c r="N693" t="n">
        <v>0.0157</v>
      </c>
      <c r="O693" t="n">
        <v>2.67</v>
      </c>
      <c r="P693" t="inlineStr">
        <is>
          <t>优先级</t>
        </is>
      </c>
      <c r="Q693" t="n">
        <v>0.99</v>
      </c>
      <c r="R693" t="n">
        <v>4.95</v>
      </c>
      <c r="S693" t="inlineStr">
        <is>
          <t>AAA</t>
        </is>
      </c>
      <c r="T693" t="n">
        <v>0.015</v>
      </c>
      <c r="W693" t="n">
        <v>0.0155</v>
      </c>
      <c r="X693" t="inlineStr">
        <is>
          <t>中银理财</t>
        </is>
      </c>
      <c r="Y693" t="n">
        <v>0.5</v>
      </c>
    </row>
    <row r="694">
      <c r="A694" t="n">
        <v>57</v>
      </c>
      <c r="B694" t="inlineStr">
        <is>
          <t>5月</t>
        </is>
      </c>
      <c r="C694" t="inlineStr">
        <is>
          <t>企金</t>
        </is>
      </c>
      <c r="D694" t="inlineStr">
        <is>
          <t>保理</t>
        </is>
      </c>
      <c r="E694" t="inlineStr">
        <is>
          <t>京诚14-9</t>
        </is>
      </c>
      <c r="F694" t="inlineStr">
        <is>
          <t>上交所</t>
        </is>
      </c>
      <c r="G694" t="inlineStr">
        <is>
          <t>中信证券</t>
        </is>
      </c>
      <c r="H694" t="inlineStr">
        <is>
          <t>兴业证券</t>
        </is>
      </c>
      <c r="I694" t="inlineStr">
        <is>
          <t>江苏北分</t>
        </is>
      </c>
      <c r="J694" t="n">
        <v>5</v>
      </c>
      <c r="K694" t="inlineStr">
        <is>
          <t>2+4</t>
        </is>
      </c>
      <c r="L694" s="309" t="n">
        <v>46156</v>
      </c>
      <c r="M694" t="n">
        <v>0.014325</v>
      </c>
      <c r="N694" t="n">
        <v>0.0157</v>
      </c>
      <c r="O694" t="n">
        <v>2.67</v>
      </c>
      <c r="P694" t="inlineStr">
        <is>
          <t>优先级</t>
        </is>
      </c>
      <c r="Q694" t="n">
        <v>0.99</v>
      </c>
      <c r="R694" t="n">
        <v>4.95</v>
      </c>
      <c r="S694" t="inlineStr">
        <is>
          <t>AAA</t>
        </is>
      </c>
      <c r="T694" t="n">
        <v>0.015</v>
      </c>
      <c r="W694" t="n">
        <v>0.0158</v>
      </c>
      <c r="X694" t="inlineStr">
        <is>
          <t>中银理财</t>
        </is>
      </c>
      <c r="Y694" t="n">
        <v>0.9</v>
      </c>
    </row>
    <row r="695">
      <c r="A695" t="n">
        <v>57</v>
      </c>
      <c r="B695" t="inlineStr">
        <is>
          <t>5月</t>
        </is>
      </c>
      <c r="C695" t="inlineStr">
        <is>
          <t>企金</t>
        </is>
      </c>
      <c r="D695" t="inlineStr">
        <is>
          <t>保理</t>
        </is>
      </c>
      <c r="E695" t="inlineStr">
        <is>
          <t>京诚14-9</t>
        </is>
      </c>
      <c r="F695" t="inlineStr">
        <is>
          <t>上交所</t>
        </is>
      </c>
      <c r="G695" t="inlineStr">
        <is>
          <t>中信证券</t>
        </is>
      </c>
      <c r="H695" t="inlineStr">
        <is>
          <t>兴业证券</t>
        </is>
      </c>
      <c r="I695" t="inlineStr">
        <is>
          <t>江苏北分</t>
        </is>
      </c>
      <c r="J695" t="n">
        <v>5</v>
      </c>
      <c r="K695" t="inlineStr">
        <is>
          <t>2+4</t>
        </is>
      </c>
      <c r="L695" s="309" t="n">
        <v>46156</v>
      </c>
      <c r="M695" t="n">
        <v>0.014325</v>
      </c>
      <c r="N695" t="n">
        <v>0.0157</v>
      </c>
      <c r="O695" t="n">
        <v>2.67</v>
      </c>
      <c r="P695" t="inlineStr">
        <is>
          <t>优先级</t>
        </is>
      </c>
      <c r="Q695" t="n">
        <v>0.99</v>
      </c>
      <c r="R695" t="n">
        <v>4.95</v>
      </c>
      <c r="S695" t="inlineStr">
        <is>
          <t>AAA</t>
        </is>
      </c>
      <c r="T695" t="n">
        <v>0.015</v>
      </c>
      <c r="W695" t="n">
        <v>0.016</v>
      </c>
      <c r="X695" t="inlineStr">
        <is>
          <t>中信证券（投行上报）</t>
        </is>
      </c>
      <c r="Y695" t="n">
        <v>0.74</v>
      </c>
    </row>
    <row r="696">
      <c r="A696" t="n">
        <v>57</v>
      </c>
      <c r="B696" t="inlineStr">
        <is>
          <t>5月</t>
        </is>
      </c>
      <c r="C696" t="inlineStr">
        <is>
          <t>企金</t>
        </is>
      </c>
      <c r="D696" t="inlineStr">
        <is>
          <t>保理</t>
        </is>
      </c>
      <c r="E696" t="inlineStr">
        <is>
          <t>京诚14-9</t>
        </is>
      </c>
      <c r="F696" t="inlineStr">
        <is>
          <t>上交所</t>
        </is>
      </c>
      <c r="G696" t="inlineStr">
        <is>
          <t>中信证券</t>
        </is>
      </c>
      <c r="H696" t="inlineStr">
        <is>
          <t>兴业证券</t>
        </is>
      </c>
      <c r="I696" t="inlineStr">
        <is>
          <t>江苏北分</t>
        </is>
      </c>
      <c r="J696" t="n">
        <v>5</v>
      </c>
      <c r="K696" t="inlineStr">
        <is>
          <t>2+4</t>
        </is>
      </c>
      <c r="L696" s="309" t="n">
        <v>46156</v>
      </c>
      <c r="M696" t="n">
        <v>0.014325</v>
      </c>
      <c r="N696" t="n">
        <v>0.0157</v>
      </c>
      <c r="O696" t="n">
        <v>2.67</v>
      </c>
      <c r="P696" t="inlineStr">
        <is>
          <t>优先级</t>
        </is>
      </c>
      <c r="Q696" t="n">
        <v>0.99</v>
      </c>
      <c r="R696" t="n">
        <v>4.95</v>
      </c>
      <c r="S696" t="inlineStr">
        <is>
          <t>AAA</t>
        </is>
      </c>
      <c r="T696" t="n">
        <v>0.015</v>
      </c>
      <c r="W696" t="n">
        <v>0.016</v>
      </c>
      <c r="X696" t="inlineStr">
        <is>
          <t>中邮理财</t>
        </is>
      </c>
      <c r="Y696" t="n">
        <v>1.48</v>
      </c>
    </row>
    <row r="697">
      <c r="A697" t="n">
        <v>57</v>
      </c>
      <c r="B697" t="inlineStr">
        <is>
          <t>5月</t>
        </is>
      </c>
      <c r="C697" t="inlineStr">
        <is>
          <t>企金</t>
        </is>
      </c>
      <c r="D697" t="inlineStr">
        <is>
          <t>保理</t>
        </is>
      </c>
      <c r="E697" t="inlineStr">
        <is>
          <t>京诚14-9</t>
        </is>
      </c>
      <c r="F697" t="inlineStr">
        <is>
          <t>上交所</t>
        </is>
      </c>
      <c r="G697" t="inlineStr">
        <is>
          <t>中信证券</t>
        </is>
      </c>
      <c r="H697" t="inlineStr">
        <is>
          <t>兴业证券</t>
        </is>
      </c>
      <c r="I697" t="inlineStr">
        <is>
          <t>江苏北分</t>
        </is>
      </c>
      <c r="J697" t="n">
        <v>5</v>
      </c>
      <c r="K697" t="inlineStr">
        <is>
          <t>2+4</t>
        </is>
      </c>
      <c r="L697" s="309" t="n">
        <v>46156</v>
      </c>
      <c r="M697" t="n">
        <v>0.014325</v>
      </c>
      <c r="N697" t="n">
        <v>0.0157</v>
      </c>
      <c r="O697" t="n">
        <v>2.67</v>
      </c>
      <c r="P697" t="inlineStr">
        <is>
          <t>优先级</t>
        </is>
      </c>
      <c r="Q697" t="n">
        <v>0.99</v>
      </c>
      <c r="R697" t="n">
        <v>4.95</v>
      </c>
      <c r="S697" t="inlineStr">
        <is>
          <t>AAA</t>
        </is>
      </c>
      <c r="T697" t="n">
        <v>0.015</v>
      </c>
      <c r="W697" t="n">
        <v>0.0164</v>
      </c>
      <c r="X697" t="inlineStr">
        <is>
          <t>交银理财</t>
        </is>
      </c>
      <c r="Y697" t="n">
        <v>0.2</v>
      </c>
    </row>
    <row r="698">
      <c r="A698" t="n">
        <v>57</v>
      </c>
      <c r="B698" t="inlineStr">
        <is>
          <t>5月</t>
        </is>
      </c>
      <c r="C698" t="inlineStr">
        <is>
          <t>企金</t>
        </is>
      </c>
      <c r="D698" t="inlineStr">
        <is>
          <t>保理</t>
        </is>
      </c>
      <c r="E698" t="inlineStr">
        <is>
          <t>京诚14-9</t>
        </is>
      </c>
      <c r="F698" t="inlineStr">
        <is>
          <t>上交所</t>
        </is>
      </c>
      <c r="G698" t="inlineStr">
        <is>
          <t>中信证券</t>
        </is>
      </c>
      <c r="H698" t="inlineStr">
        <is>
          <t>兴业证券</t>
        </is>
      </c>
      <c r="I698" t="inlineStr">
        <is>
          <t>江苏北分</t>
        </is>
      </c>
      <c r="J698" t="n">
        <v>5</v>
      </c>
      <c r="K698" t="inlineStr">
        <is>
          <t>2+4</t>
        </is>
      </c>
      <c r="L698" s="309" t="n">
        <v>46156</v>
      </c>
      <c r="M698" t="n">
        <v>0.014325</v>
      </c>
      <c r="N698" t="n">
        <v>0.0157</v>
      </c>
      <c r="O698" t="n">
        <v>2.67</v>
      </c>
      <c r="P698" s="220" t="inlineStr">
        <is>
          <t>次级</t>
        </is>
      </c>
      <c r="Q698" s="221" t="n">
        <v>0.01</v>
      </c>
      <c r="R698" s="308" t="n">
        <v>0.05</v>
      </c>
      <c r="S698" s="221" t="inlineStr">
        <is>
          <t>无</t>
        </is>
      </c>
      <c r="T698" s="221" t="n">
        <v>0.043</v>
      </c>
      <c r="U698" s="217" t="inlineStr">
        <is>
          <t>浙商证券自营</t>
        </is>
      </c>
      <c r="V698" s="25" t="n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9140625" customWidth="1" style="8" min="1" max="1"/>
    <col width="12.4140625" customWidth="1" style="8" min="3" max="3"/>
    <col width="51.1640625" customWidth="1" style="8" min="4" max="4"/>
  </cols>
  <sheetData>
    <row r="1" s="8">
      <c r="A1" s="81" t="inlineStr">
        <is>
          <t>资产类型</t>
        </is>
      </c>
      <c r="B1" s="81" t="inlineStr">
        <is>
          <t>交易场所</t>
        </is>
      </c>
      <c r="C1" s="81" t="inlineStr">
        <is>
          <t>储架名称</t>
        </is>
      </c>
      <c r="D1" s="81" t="inlineStr">
        <is>
          <t>计划管理人/主承销商</t>
        </is>
      </c>
      <c r="E1" s="81" t="inlineStr">
        <is>
          <t>储架额度</t>
        </is>
      </c>
      <c r="F1" s="81" t="inlineStr">
        <is>
          <t>已发行</t>
        </is>
      </c>
      <c r="G1" s="81" t="inlineStr">
        <is>
          <t>剩余额度</t>
        </is>
      </c>
      <c r="H1" s="81" t="inlineStr">
        <is>
          <t>申报进度</t>
        </is>
      </c>
    </row>
    <row r="2" s="8">
      <c r="A2" s="82" t="inlineStr">
        <is>
          <t>赊销白条</t>
        </is>
      </c>
      <c r="B2" s="82" t="inlineStr">
        <is>
          <t>银行间</t>
        </is>
      </c>
      <c r="C2" s="82" t="inlineStr">
        <is>
          <t>东裕5号</t>
        </is>
      </c>
      <c r="D2" s="82" t="inlineStr">
        <is>
          <t>国君(30)/招证（20）/中信（30）/中信建投（10）</t>
        </is>
      </c>
      <c r="E2" s="82" t="n">
        <v>100</v>
      </c>
      <c r="F2" s="82" t="n">
        <v>90</v>
      </c>
      <c r="G2" s="82">
        <f>E2-F2</f>
        <v/>
      </c>
      <c r="H2" s="83" t="inlineStr">
        <is>
          <t>发行中</t>
        </is>
      </c>
    </row>
    <row r="3" s="8">
      <c r="A3" s="82" t="inlineStr">
        <is>
          <t>赊销白条</t>
        </is>
      </c>
      <c r="B3" s="82" t="inlineStr">
        <is>
          <t>银行间</t>
        </is>
      </c>
      <c r="C3" s="82" t="inlineStr">
        <is>
          <t>东裕6号</t>
        </is>
      </c>
      <c r="D3" s="82" t="inlineStr">
        <is>
          <t>国君（20）/中信(20)/中信建投（20）/招商证券（10）/国信证券（10）</t>
        </is>
      </c>
      <c r="E3" s="82" t="n">
        <v>100</v>
      </c>
      <c r="F3" s="82" t="n">
        <v>80</v>
      </c>
      <c r="G3" s="82">
        <f>E3-F3</f>
        <v/>
      </c>
      <c r="H3" s="83" t="inlineStr">
        <is>
          <t>发行中</t>
        </is>
      </c>
    </row>
    <row r="4" s="8">
      <c r="A4" s="82" t="inlineStr">
        <is>
          <t>赊销白条</t>
        </is>
      </c>
      <c r="B4" s="82" t="inlineStr">
        <is>
          <t>银行间</t>
        </is>
      </c>
      <c r="C4" s="82" t="inlineStr">
        <is>
          <t>东裕7号ABCP</t>
        </is>
      </c>
      <c r="D4" s="82" t="inlineStr">
        <is>
          <t>招商证券</t>
        </is>
      </c>
      <c r="E4" s="82" t="n">
        <v>100</v>
      </c>
      <c r="F4" s="82" t="n">
        <v>76.15000000000001</v>
      </c>
      <c r="G4" s="82">
        <f>E4-F4</f>
        <v/>
      </c>
      <c r="H4" s="83" t="inlineStr">
        <is>
          <t>发行中</t>
        </is>
      </c>
    </row>
    <row r="5" s="8">
      <c r="A5" s="82" t="inlineStr">
        <is>
          <t>赊销白条</t>
        </is>
      </c>
      <c r="B5" s="82" t="inlineStr">
        <is>
          <t>银行间</t>
        </is>
      </c>
      <c r="C5" s="82" t="inlineStr">
        <is>
          <t>东裕8号</t>
        </is>
      </c>
      <c r="D5" s="82" t="inlineStr">
        <is>
          <t>中信证券</t>
        </is>
      </c>
      <c r="E5" s="82" t="n">
        <v>100</v>
      </c>
      <c r="F5" s="82">
        <f>0</f>
        <v/>
      </c>
      <c r="G5" s="82">
        <f>E5-F5</f>
        <v/>
      </c>
      <c r="H5" s="83" t="inlineStr">
        <is>
          <t>发行中</t>
        </is>
      </c>
    </row>
    <row r="6" s="8">
      <c r="A6" s="82" t="inlineStr">
        <is>
          <t>赊销白条</t>
        </is>
      </c>
      <c r="B6" s="82" t="inlineStr">
        <is>
          <t>上交所</t>
        </is>
      </c>
      <c r="C6" s="82" t="inlineStr">
        <is>
          <t>禾昱6号</t>
        </is>
      </c>
      <c r="D6" s="82" t="inlineStr">
        <is>
          <t>中信（25）/国证资管（15）</t>
        </is>
      </c>
      <c r="E6" s="82" t="n">
        <v>50</v>
      </c>
      <c r="F6" s="82" t="n">
        <v>40</v>
      </c>
      <c r="G6" s="82">
        <f>E6-F6</f>
        <v/>
      </c>
      <c r="H6" s="83" t="inlineStr">
        <is>
          <t>发行中</t>
        </is>
      </c>
    </row>
    <row r="7" s="8">
      <c r="A7" s="82" t="inlineStr">
        <is>
          <t>赊销白条</t>
        </is>
      </c>
      <c r="B7" s="82" t="inlineStr">
        <is>
          <t>上交所</t>
        </is>
      </c>
      <c r="C7" s="82" t="inlineStr">
        <is>
          <t>禾昱7号</t>
        </is>
      </c>
      <c r="D7" s="82" t="inlineStr">
        <is>
          <t>华泰（40）/国证资管</t>
        </is>
      </c>
      <c r="E7" s="82" t="n">
        <v>50</v>
      </c>
      <c r="F7" s="83" t="n">
        <v>40</v>
      </c>
      <c r="G7" s="82">
        <f>E7-F7</f>
        <v/>
      </c>
      <c r="H7" s="83" t="inlineStr">
        <is>
          <t>发行中</t>
        </is>
      </c>
    </row>
    <row r="8" s="8">
      <c r="A8" s="82" t="inlineStr">
        <is>
          <t>赊销白条</t>
        </is>
      </c>
      <c r="B8" s="82" t="inlineStr">
        <is>
          <t>上交所</t>
        </is>
      </c>
      <c r="C8" s="82" t="inlineStr">
        <is>
          <t>禾昱8号</t>
        </is>
      </c>
      <c r="D8" s="82" t="inlineStr">
        <is>
          <t>华泰/建投/国信/西部</t>
        </is>
      </c>
      <c r="E8" s="82" t="n">
        <v>50</v>
      </c>
      <c r="F8" s="83" t="n">
        <v>0</v>
      </c>
      <c r="G8" s="82">
        <f>E8-F8</f>
        <v/>
      </c>
      <c r="H8" s="83" t="inlineStr">
        <is>
          <t>申报中</t>
        </is>
      </c>
    </row>
    <row r="9" s="8">
      <c r="A9" s="83" t="inlineStr">
        <is>
          <t>赊销白条</t>
        </is>
      </c>
      <c r="B9" s="83" t="inlineStr">
        <is>
          <t>深交所</t>
        </is>
      </c>
      <c r="C9" s="82" t="inlineStr">
        <is>
          <t>东道15号</t>
        </is>
      </c>
      <c r="D9" s="83" t="inlineStr">
        <is>
          <t>中信建投（20）/首创证券（10）</t>
        </is>
      </c>
      <c r="E9" s="83" t="n">
        <v>50</v>
      </c>
      <c r="F9" s="83" t="n">
        <v>20</v>
      </c>
      <c r="G9" s="83">
        <f>E9-F9</f>
        <v/>
      </c>
      <c r="H9" s="83" t="inlineStr">
        <is>
          <t>发行中</t>
        </is>
      </c>
    </row>
    <row r="10" s="8">
      <c r="A10" s="83" t="inlineStr">
        <is>
          <t>赊销白条</t>
        </is>
      </c>
      <c r="B10" s="83" t="inlineStr">
        <is>
          <t>深交所</t>
        </is>
      </c>
      <c r="C10" s="82" t="inlineStr">
        <is>
          <t>东道16号</t>
        </is>
      </c>
      <c r="D10" s="83" t="inlineStr">
        <is>
          <t>中信（20）/财通</t>
        </is>
      </c>
      <c r="E10" s="83" t="n">
        <v>50</v>
      </c>
      <c r="F10" s="83" t="n">
        <v>20</v>
      </c>
      <c r="G10" s="83">
        <f>E10-F10</f>
        <v/>
      </c>
      <c r="H10" s="83" t="inlineStr">
        <is>
          <t>发行中</t>
        </is>
      </c>
    </row>
    <row r="11" s="8">
      <c r="A11" s="83" t="inlineStr">
        <is>
          <t>赊销白条</t>
        </is>
      </c>
      <c r="B11" s="83" t="inlineStr">
        <is>
          <t>深交所</t>
        </is>
      </c>
      <c r="C11" s="82" t="inlineStr">
        <is>
          <t>东道17号</t>
        </is>
      </c>
      <c r="D11" s="83" t="inlineStr">
        <is>
          <t>国泰海通/ 国证资管</t>
        </is>
      </c>
      <c r="E11" s="83" t="n">
        <v>50</v>
      </c>
      <c r="F11" s="83" t="n">
        <v>0</v>
      </c>
      <c r="G11" s="83" t="n">
        <v>50</v>
      </c>
      <c r="H11" s="83" t="inlineStr">
        <is>
          <t>发行中</t>
        </is>
      </c>
    </row>
    <row r="12" s="8">
      <c r="A12" s="83" t="inlineStr">
        <is>
          <t>赊销白条</t>
        </is>
      </c>
      <c r="B12" s="83" t="inlineStr">
        <is>
          <t>深交所</t>
        </is>
      </c>
      <c r="C12" s="82" t="inlineStr">
        <is>
          <t>东道18号</t>
        </is>
      </c>
      <c r="D12" s="83" t="n"/>
      <c r="E12" s="83" t="n"/>
      <c r="F12" s="83" t="n"/>
      <c r="G12" s="83" t="n"/>
      <c r="H12" s="83" t="n"/>
    </row>
    <row r="13" ht="14.5" customHeight="1" s="8" thickBot="1">
      <c r="A13" s="83" t="inlineStr">
        <is>
          <t>信托白条</t>
        </is>
      </c>
      <c r="B13" s="83" t="inlineStr">
        <is>
          <t>银行间</t>
        </is>
      </c>
      <c r="C13" s="82" t="inlineStr">
        <is>
          <t>东墨1号</t>
        </is>
      </c>
      <c r="D13" s="83" t="inlineStr">
        <is>
          <t>中信证券</t>
        </is>
      </c>
      <c r="E13" s="83" t="n">
        <v>100</v>
      </c>
      <c r="F13" s="83" t="n">
        <v>0</v>
      </c>
      <c r="G13" s="83" t="n">
        <v>100</v>
      </c>
      <c r="H13" s="83" t="inlineStr">
        <is>
          <t>发行中</t>
        </is>
      </c>
    </row>
    <row r="14" ht="14.5" customHeight="1" s="8" thickBot="1">
      <c r="A14" s="326" t="inlineStr">
        <is>
          <t>小计</t>
        </is>
      </c>
      <c r="B14" s="327" t="n"/>
      <c r="C14" s="327" t="n"/>
      <c r="D14" s="328" t="n"/>
      <c r="E14" s="85">
        <f>SUM(E2:E13)</f>
        <v/>
      </c>
      <c r="F14" s="85">
        <f>SUM(F2:F13)</f>
        <v/>
      </c>
      <c r="G14" s="85">
        <f>SUM(G2:G13)</f>
        <v/>
      </c>
      <c r="H14" s="86" t="n"/>
    </row>
    <row r="15" s="8">
      <c r="A15" s="84" t="inlineStr">
        <is>
          <t>资产类型</t>
        </is>
      </c>
      <c r="B15" s="84" t="inlineStr">
        <is>
          <t>交易场所</t>
        </is>
      </c>
      <c r="C15" s="84" t="inlineStr">
        <is>
          <t>储架名称</t>
        </is>
      </c>
      <c r="D15" s="84" t="inlineStr">
        <is>
          <t>计划管理人/主承销商</t>
        </is>
      </c>
      <c r="E15" s="84" t="inlineStr">
        <is>
          <t>储架额度</t>
        </is>
      </c>
      <c r="F15" s="84" t="inlineStr">
        <is>
          <t>已发行</t>
        </is>
      </c>
      <c r="G15" s="84" t="inlineStr">
        <is>
          <t>剩余额度</t>
        </is>
      </c>
      <c r="H15" s="84" t="inlineStr">
        <is>
          <t>申报进度</t>
        </is>
      </c>
    </row>
    <row r="16" s="8">
      <c r="A16" s="83" t="inlineStr">
        <is>
          <t>小贷金条+小贷白条</t>
        </is>
      </c>
      <c r="B16" s="82" t="inlineStr">
        <is>
          <t>上交所</t>
        </is>
      </c>
      <c r="C16" s="82" t="inlineStr">
        <is>
          <t>博远4号</t>
        </is>
      </c>
      <c r="D16" s="82" t="inlineStr">
        <is>
          <t>华泰资管（30）/国泰君安（20）</t>
        </is>
      </c>
      <c r="E16" s="82" t="n">
        <v>50</v>
      </c>
      <c r="F16" s="82" t="n">
        <v>0</v>
      </c>
      <c r="G16" s="82">
        <f>E16-F16</f>
        <v/>
      </c>
      <c r="H16" s="83" t="inlineStr">
        <is>
          <t>发行中</t>
        </is>
      </c>
    </row>
    <row r="17" s="8">
      <c r="A17" s="82" t="inlineStr">
        <is>
          <t>小贷金条+小贷白条</t>
        </is>
      </c>
      <c r="B17" s="82" t="inlineStr">
        <is>
          <t>上交所</t>
        </is>
      </c>
      <c r="C17" s="82" t="inlineStr">
        <is>
          <t>博远5号</t>
        </is>
      </c>
      <c r="D17" s="82" t="inlineStr">
        <is>
          <t>中信（10）/建投（20）</t>
        </is>
      </c>
      <c r="E17" s="82" t="n">
        <v>50</v>
      </c>
      <c r="F17" s="82" t="n">
        <v>30</v>
      </c>
      <c r="G17" s="82">
        <f>E17-F17</f>
        <v/>
      </c>
      <c r="H17" s="83" t="inlineStr">
        <is>
          <t>发行中</t>
        </is>
      </c>
    </row>
    <row r="18" s="8">
      <c r="A18" s="83" t="inlineStr">
        <is>
          <t>小贷金条+小贷白条</t>
        </is>
      </c>
      <c r="B18" s="82" t="inlineStr">
        <is>
          <t>银行间</t>
        </is>
      </c>
      <c r="C18" s="82" t="inlineStr">
        <is>
          <t>东澜1号</t>
        </is>
      </c>
      <c r="D18" s="83" t="inlineStr">
        <is>
          <t>中信证券</t>
        </is>
      </c>
      <c r="E18" s="82" t="n">
        <v>50</v>
      </c>
      <c r="F18" s="82" t="n">
        <v>10</v>
      </c>
      <c r="G18" s="82">
        <f>E18-F18</f>
        <v/>
      </c>
      <c r="H18" s="83" t="inlineStr">
        <is>
          <t>发行中</t>
        </is>
      </c>
    </row>
    <row r="19" s="8">
      <c r="A19" s="82" t="inlineStr">
        <is>
          <t>信托金条+白取</t>
        </is>
      </c>
      <c r="B19" s="82" t="inlineStr">
        <is>
          <t>上交所</t>
        </is>
      </c>
      <c r="C19" s="82" t="inlineStr">
        <is>
          <t>耘睿22号</t>
        </is>
      </c>
      <c r="D19" s="82" t="inlineStr">
        <is>
          <t>招证（20）/国信（10）</t>
        </is>
      </c>
      <c r="E19" s="82" t="n">
        <v>50</v>
      </c>
      <c r="F19" s="82">
        <f>30</f>
        <v/>
      </c>
      <c r="G19" s="82">
        <f>E19-F19</f>
        <v/>
      </c>
      <c r="H19" s="82" t="inlineStr">
        <is>
          <t>发行中</t>
        </is>
      </c>
    </row>
    <row r="20" s="8">
      <c r="A20" s="82" t="inlineStr">
        <is>
          <t>信托金条+白取</t>
        </is>
      </c>
      <c r="B20" s="82" t="inlineStr">
        <is>
          <t>上交所</t>
        </is>
      </c>
      <c r="C20" s="82" t="inlineStr">
        <is>
          <t>耘睿23号</t>
        </is>
      </c>
      <c r="D20" s="82" t="inlineStr">
        <is>
          <t>华泰/建投(10)/首创/国信（10）</t>
        </is>
      </c>
      <c r="E20" s="82" t="n">
        <v>99</v>
      </c>
      <c r="F20" s="82" t="n">
        <v>20</v>
      </c>
      <c r="G20" s="82">
        <f>E20-F20</f>
        <v/>
      </c>
      <c r="H20" s="82" t="inlineStr">
        <is>
          <t>发行中</t>
        </is>
      </c>
    </row>
    <row r="21" s="8">
      <c r="A21" s="82" t="inlineStr">
        <is>
          <t>信托金条+白取</t>
        </is>
      </c>
      <c r="B21" s="82" t="inlineStr">
        <is>
          <t>上交所</t>
        </is>
      </c>
      <c r="C21" s="82" t="inlineStr">
        <is>
          <t>耘睿24号</t>
        </is>
      </c>
      <c r="D21" s="82" t="inlineStr">
        <is>
          <t>建投（20）/国泰海通（10）/财通(10)/安信</t>
        </is>
      </c>
      <c r="E21" s="82" t="n">
        <v>99</v>
      </c>
      <c r="F21" s="82" t="n">
        <v>40</v>
      </c>
      <c r="G21" s="82">
        <f>E21-F21</f>
        <v/>
      </c>
      <c r="H21" s="82" t="inlineStr">
        <is>
          <t>发行中</t>
        </is>
      </c>
    </row>
    <row r="22" s="8">
      <c r="A22" s="83" t="inlineStr">
        <is>
          <t>信托金条+白取</t>
        </is>
      </c>
      <c r="B22" s="82" t="inlineStr">
        <is>
          <t>深交所</t>
        </is>
      </c>
      <c r="C22" s="82" t="inlineStr">
        <is>
          <t>荟享24号</t>
        </is>
      </c>
      <c r="D22" s="82" t="inlineStr">
        <is>
          <t>华泰（10）/财通（10）/建投（20）/广发</t>
        </is>
      </c>
      <c r="E22" s="82" t="n">
        <v>99</v>
      </c>
      <c r="F22" s="82">
        <f>40</f>
        <v/>
      </c>
      <c r="G22" s="82">
        <f>E22-F22</f>
        <v/>
      </c>
      <c r="H22" s="83" t="inlineStr">
        <is>
          <t>发行中</t>
        </is>
      </c>
    </row>
    <row r="23" s="8">
      <c r="A23" s="83" t="inlineStr">
        <is>
          <t>信托金条+白取</t>
        </is>
      </c>
      <c r="B23" s="82" t="inlineStr">
        <is>
          <t>深交所</t>
        </is>
      </c>
      <c r="C23" s="82" t="inlineStr">
        <is>
          <t>荟享25号</t>
        </is>
      </c>
      <c r="D23" s="82" t="inlineStr">
        <is>
          <t>中信（10）/天风（10）</t>
        </is>
      </c>
      <c r="E23" s="82" t="n">
        <v>50</v>
      </c>
      <c r="F23" s="82" t="n">
        <v>10</v>
      </c>
      <c r="G23" s="82">
        <f>E23-F23</f>
        <v/>
      </c>
      <c r="H23" s="83" t="inlineStr">
        <is>
          <t>发行中</t>
        </is>
      </c>
    </row>
    <row r="24" s="8">
      <c r="A24" s="83" t="inlineStr">
        <is>
          <t>信托金条+白取</t>
        </is>
      </c>
      <c r="B24" s="82" t="inlineStr">
        <is>
          <t>深交所</t>
        </is>
      </c>
      <c r="C24" s="82" t="inlineStr">
        <is>
          <t>荟享26号</t>
        </is>
      </c>
      <c r="D24" s="82" t="inlineStr">
        <is>
          <t>中信/招证/财通/国信</t>
        </is>
      </c>
      <c r="E24" s="82" t="n">
        <v>99</v>
      </c>
      <c r="F24" s="82" t="n">
        <v>0</v>
      </c>
      <c r="G24" s="82">
        <f>E24-F24</f>
        <v/>
      </c>
      <c r="H24" s="83" t="inlineStr">
        <is>
          <t>发行中</t>
        </is>
      </c>
    </row>
    <row r="25" s="8">
      <c r="A25" s="83" t="inlineStr">
        <is>
          <t>信托金条+白取</t>
        </is>
      </c>
      <c r="B25" s="82" t="inlineStr">
        <is>
          <t>深交所</t>
        </is>
      </c>
      <c r="C25" s="82" t="inlineStr">
        <is>
          <t>荟享27号</t>
        </is>
      </c>
      <c r="D25" s="82" t="inlineStr">
        <is>
          <t>国泰海通/华泰/首创/天风</t>
        </is>
      </c>
      <c r="E25" s="82" t="n">
        <v>99</v>
      </c>
      <c r="F25" s="82" t="n">
        <v>0</v>
      </c>
      <c r="G25" s="82">
        <f>E25-F25</f>
        <v/>
      </c>
      <c r="H25" s="83" t="inlineStr">
        <is>
          <t>发行中</t>
        </is>
      </c>
    </row>
    <row r="26" s="8">
      <c r="A26" s="83" t="inlineStr">
        <is>
          <t>金条+白取</t>
        </is>
      </c>
      <c r="B26" s="82" t="inlineStr">
        <is>
          <t>银行间</t>
        </is>
      </c>
      <c r="C26" s="82" t="inlineStr">
        <is>
          <t>东樾1号</t>
        </is>
      </c>
      <c r="D26" s="83" t="inlineStr">
        <is>
          <t>招证（20）/中信（10）/国君（20）/建投（10）/广发（10）</t>
        </is>
      </c>
      <c r="E26" s="82" t="n">
        <v>100</v>
      </c>
      <c r="F26" s="82" t="n">
        <v>70</v>
      </c>
      <c r="G26" s="82">
        <f>E26-F26</f>
        <v/>
      </c>
      <c r="H26" s="83" t="inlineStr">
        <is>
          <t>发行中</t>
        </is>
      </c>
    </row>
    <row r="27" s="8">
      <c r="A27" s="83" t="inlineStr">
        <is>
          <t>金条+白取</t>
        </is>
      </c>
      <c r="B27" s="82" t="inlineStr">
        <is>
          <t>银行间</t>
        </is>
      </c>
      <c r="C27" s="82" t="inlineStr">
        <is>
          <t>东樾2号</t>
        </is>
      </c>
      <c r="D27" s="82" t="inlineStr">
        <is>
          <t>建投（20）/招证（10）/国泰海通/光大/国信/浙商银行</t>
        </is>
      </c>
      <c r="E27" s="82" t="n">
        <v>100</v>
      </c>
      <c r="F27" s="82" t="n">
        <v>30</v>
      </c>
      <c r="G27" s="82">
        <f>E27-F27</f>
        <v/>
      </c>
      <c r="H27" s="83" t="inlineStr">
        <is>
          <t>发行中</t>
        </is>
      </c>
    </row>
    <row r="28" s="8">
      <c r="A28" s="83" t="inlineStr">
        <is>
          <t>金条+白取</t>
        </is>
      </c>
      <c r="B28" s="82" t="inlineStr">
        <is>
          <t>银行间</t>
        </is>
      </c>
      <c r="C28" s="82" t="inlineStr">
        <is>
          <t>东樾3号</t>
        </is>
      </c>
      <c r="D28" s="83" t="inlineStr">
        <is>
          <t>中信证券（10）/中信建投（20）/国泰海通（60）</t>
        </is>
      </c>
      <c r="E28" s="82" t="n">
        <v>100</v>
      </c>
      <c r="F28" s="82" t="n">
        <v>90</v>
      </c>
      <c r="G28" s="82">
        <f>E28-F28</f>
        <v/>
      </c>
      <c r="H28" s="83" t="inlineStr">
        <is>
          <t>发行中</t>
        </is>
      </c>
    </row>
    <row r="29" ht="14.5" customHeight="1" s="8" thickBot="1">
      <c r="A29" s="83" t="inlineStr">
        <is>
          <t>金条+白取+信托白条</t>
        </is>
      </c>
      <c r="B29" s="82" t="inlineStr">
        <is>
          <t>银行间</t>
        </is>
      </c>
      <c r="C29" s="82" t="inlineStr">
        <is>
          <t>东樾4号</t>
        </is>
      </c>
      <c r="D29" s="83" t="inlineStr">
        <is>
          <t>国泰海通/中信证券/中信建投/招商证券/国信证券/光大证券/长城证券</t>
        </is>
      </c>
      <c r="E29" s="82" t="n">
        <v>100</v>
      </c>
      <c r="F29" s="82" t="n">
        <v>0</v>
      </c>
      <c r="G29" s="82">
        <f>E29-F29</f>
        <v/>
      </c>
      <c r="H29" s="83" t="inlineStr">
        <is>
          <t>发行中</t>
        </is>
      </c>
    </row>
    <row r="30" ht="14.5" customHeight="1" s="8" thickBot="1">
      <c r="A30" s="326" t="inlineStr">
        <is>
          <t>小计</t>
        </is>
      </c>
      <c r="B30" s="327" t="n"/>
      <c r="C30" s="327" t="n"/>
      <c r="D30" s="328" t="n"/>
      <c r="E30" s="85">
        <f>SUM(E16:E29)</f>
        <v/>
      </c>
      <c r="F30" s="85">
        <f>SUM(F16:F29)</f>
        <v/>
      </c>
      <c r="G30" s="85">
        <f>SUM(G16:G29)</f>
        <v/>
      </c>
      <c r="H30" s="86" t="n"/>
    </row>
    <row r="31" s="8">
      <c r="A31" s="84" t="inlineStr">
        <is>
          <t>资产类型</t>
        </is>
      </c>
      <c r="B31" s="84" t="inlineStr">
        <is>
          <t>交易场所</t>
        </is>
      </c>
      <c r="C31" s="84" t="inlineStr">
        <is>
          <t>储架名称</t>
        </is>
      </c>
      <c r="D31" s="84" t="inlineStr">
        <is>
          <t>计划管理人/主承销商</t>
        </is>
      </c>
      <c r="E31" s="84" t="inlineStr">
        <is>
          <t>储架额度</t>
        </is>
      </c>
      <c r="F31" s="84" t="inlineStr">
        <is>
          <t>已发行</t>
        </is>
      </c>
      <c r="G31" s="84" t="inlineStr">
        <is>
          <t>剩余额度</t>
        </is>
      </c>
      <c r="H31" s="84" t="inlineStr">
        <is>
          <t>申报进度</t>
        </is>
      </c>
    </row>
    <row r="32" s="8">
      <c r="A32" s="83" t="inlineStr">
        <is>
          <t>保理</t>
        </is>
      </c>
      <c r="B32" s="83" t="inlineStr">
        <is>
          <t>上交所</t>
        </is>
      </c>
      <c r="C32" s="82" t="inlineStr">
        <is>
          <t>京诚13号</t>
        </is>
      </c>
      <c r="D32" s="82" t="inlineStr">
        <is>
          <t>财通（30）/华泰（30）/广发（20）</t>
        </is>
      </c>
      <c r="E32" s="83" t="n">
        <v>80</v>
      </c>
      <c r="F32" s="83" t="n">
        <v>80</v>
      </c>
      <c r="G32" s="83">
        <f>E32-F32</f>
        <v/>
      </c>
      <c r="H32" s="83" t="inlineStr">
        <is>
          <t>发行中</t>
        </is>
      </c>
    </row>
    <row r="33" s="8">
      <c r="A33" s="83" t="inlineStr">
        <is>
          <t>保理</t>
        </is>
      </c>
      <c r="B33" s="83" t="inlineStr">
        <is>
          <t>上交所</t>
        </is>
      </c>
      <c r="C33" s="82" t="inlineStr">
        <is>
          <t>京诚14号</t>
        </is>
      </c>
      <c r="D33" s="82" t="inlineStr">
        <is>
          <t>国证资管（5）/华泰证券（25）</t>
        </is>
      </c>
      <c r="E33" s="83" t="n">
        <v>80</v>
      </c>
      <c r="F33" s="83" t="n">
        <v>30</v>
      </c>
      <c r="G33" s="83">
        <f>E33-F33</f>
        <v/>
      </c>
      <c r="H33" s="83" t="inlineStr">
        <is>
          <t>发行中</t>
        </is>
      </c>
    </row>
    <row r="34" s="8">
      <c r="A34" s="83" t="inlineStr">
        <is>
          <t>保理</t>
        </is>
      </c>
      <c r="B34" s="83" t="inlineStr">
        <is>
          <t>上交所</t>
        </is>
      </c>
      <c r="C34" s="82" t="inlineStr">
        <is>
          <t>京诚15号</t>
        </is>
      </c>
      <c r="D34" s="82" t="inlineStr">
        <is>
          <t>华泰（25）/首创/财通/天风（20）</t>
        </is>
      </c>
      <c r="E34" s="83" t="n">
        <v>80</v>
      </c>
      <c r="F34" s="83" t="n">
        <v>45</v>
      </c>
      <c r="G34" s="83">
        <f>E34-F34</f>
        <v/>
      </c>
      <c r="H34" s="83" t="inlineStr">
        <is>
          <t>发行中</t>
        </is>
      </c>
    </row>
    <row r="35" s="8">
      <c r="A35" s="83" t="inlineStr">
        <is>
          <t>保理</t>
        </is>
      </c>
      <c r="B35" s="83" t="inlineStr">
        <is>
          <t>银行间</t>
        </is>
      </c>
      <c r="C35" s="82" t="inlineStr">
        <is>
          <t>沣盈3号</t>
        </is>
      </c>
      <c r="D35" s="82" t="inlineStr">
        <is>
          <t>中国银行/江苏银行/兴业银行</t>
        </is>
      </c>
      <c r="E35" s="83" t="n">
        <v>100</v>
      </c>
      <c r="F35" s="83" t="n">
        <v>45</v>
      </c>
      <c r="G35" s="83">
        <f>E35-F35</f>
        <v/>
      </c>
      <c r="H35" s="83" t="inlineStr">
        <is>
          <t>发行中</t>
        </is>
      </c>
    </row>
    <row r="36" ht="14.5" customHeight="1" s="8" thickBot="1">
      <c r="A36" s="83" t="inlineStr">
        <is>
          <t>保理</t>
        </is>
      </c>
      <c r="B36" s="83" t="inlineStr">
        <is>
          <t>银行间</t>
        </is>
      </c>
      <c r="C36" s="83" t="inlineStr">
        <is>
          <t>沣盈4号</t>
        </is>
      </c>
      <c r="D36" s="83" t="inlineStr">
        <is>
          <t>中信证券</t>
        </is>
      </c>
      <c r="E36" s="83" t="n">
        <v>50</v>
      </c>
      <c r="F36" s="83" t="n">
        <v>30</v>
      </c>
      <c r="G36" s="83">
        <f>E36-F36</f>
        <v/>
      </c>
      <c r="H36" s="83" t="inlineStr">
        <is>
          <t>发行中</t>
        </is>
      </c>
    </row>
    <row r="37" ht="14.5" customHeight="1" s="8" thickBot="1">
      <c r="A37" s="326" t="inlineStr">
        <is>
          <t>小计</t>
        </is>
      </c>
      <c r="B37" s="327" t="n"/>
      <c r="C37" s="327" t="n"/>
      <c r="D37" s="328" t="n"/>
      <c r="E37" s="87">
        <f>SUM(E26:E36)</f>
        <v/>
      </c>
      <c r="F37" s="87">
        <f>SUM(F26:F36)</f>
        <v/>
      </c>
      <c r="G37" s="87">
        <f>SUM(G26:G36)</f>
        <v/>
      </c>
      <c r="H37" s="88" t="n"/>
    </row>
    <row r="38" s="8">
      <c r="A38" s="81" t="inlineStr">
        <is>
          <t>资产类型</t>
        </is>
      </c>
      <c r="B38" s="81" t="inlineStr">
        <is>
          <t>交易场所</t>
        </is>
      </c>
      <c r="C38" s="81" t="inlineStr">
        <is>
          <t>储架名称</t>
        </is>
      </c>
      <c r="D38" s="81" t="inlineStr">
        <is>
          <t>计划管理人/主承销商</t>
        </is>
      </c>
      <c r="E38" s="81" t="inlineStr">
        <is>
          <t>储架额度</t>
        </is>
      </c>
      <c r="F38" s="81" t="inlineStr">
        <is>
          <t>已发行</t>
        </is>
      </c>
      <c r="G38" s="81" t="inlineStr">
        <is>
          <t>剩余额度</t>
        </is>
      </c>
      <c r="H38" s="81" t="inlineStr">
        <is>
          <t>申报进度</t>
        </is>
      </c>
    </row>
    <row r="39" s="8">
      <c r="A39" s="82" t="inlineStr">
        <is>
          <t>信托企业主贷</t>
        </is>
      </c>
      <c r="B39" s="82" t="inlineStr">
        <is>
          <t>深交所</t>
        </is>
      </c>
      <c r="C39" s="82" t="inlineStr">
        <is>
          <t>荟煜3号</t>
        </is>
      </c>
      <c r="D39" s="82" t="inlineStr">
        <is>
          <t>华泰资管（30）/天风证券（15）</t>
        </is>
      </c>
      <c r="E39" s="82" t="n">
        <v>50</v>
      </c>
      <c r="F39" s="82" t="n">
        <v>45</v>
      </c>
      <c r="G39" s="82">
        <f>E39-F39</f>
        <v/>
      </c>
      <c r="H39" s="83" t="inlineStr">
        <is>
          <t>发行中</t>
        </is>
      </c>
    </row>
    <row r="40" s="8">
      <c r="A40" s="83" t="inlineStr">
        <is>
          <t>信托企业主贷</t>
        </is>
      </c>
      <c r="B40" s="83" t="inlineStr">
        <is>
          <t>上交所</t>
        </is>
      </c>
      <c r="C40" s="83" t="inlineStr">
        <is>
          <t>尚赢1号</t>
        </is>
      </c>
      <c r="D40" s="83" t="inlineStr">
        <is>
          <t>平安证券/华泰资管（40）</t>
        </is>
      </c>
      <c r="E40" s="83" t="n">
        <v>50</v>
      </c>
      <c r="F40" s="83" t="n">
        <v>40</v>
      </c>
      <c r="G40" s="83">
        <f>E40-F40</f>
        <v/>
      </c>
      <c r="H40" s="83" t="inlineStr">
        <is>
          <t>发行中</t>
        </is>
      </c>
    </row>
    <row r="41" s="8">
      <c r="A41" s="83" t="inlineStr">
        <is>
          <t>信托企业主贷</t>
        </is>
      </c>
      <c r="B41" s="83" t="inlineStr">
        <is>
          <t>银行间</t>
        </is>
      </c>
      <c r="C41" s="83" t="inlineStr">
        <is>
          <t>启赢2号</t>
        </is>
      </c>
      <c r="D41" s="83" t="inlineStr">
        <is>
          <t>中信建投（30）/中信证券（15）/国泰海通（40）</t>
        </is>
      </c>
      <c r="E41" s="83" t="n">
        <v>100</v>
      </c>
      <c r="F41" s="83">
        <f>85</f>
        <v/>
      </c>
      <c r="G41" s="83">
        <f>E41-F41</f>
        <v/>
      </c>
      <c r="H41" s="83" t="inlineStr">
        <is>
          <t>发行中</t>
        </is>
      </c>
    </row>
    <row r="42" ht="14.5" customHeight="1" s="8" thickBot="1">
      <c r="A42" s="83" t="inlineStr">
        <is>
          <t>信托企业主贷</t>
        </is>
      </c>
      <c r="B42" s="83" t="inlineStr">
        <is>
          <t>银行间</t>
        </is>
      </c>
      <c r="C42" s="83" t="inlineStr">
        <is>
          <t>启赢3号</t>
        </is>
      </c>
      <c r="D42" s="83" t="inlineStr">
        <is>
          <t>国泰海通(20)/中信证券/建投/国信</t>
        </is>
      </c>
      <c r="E42" s="82" t="n"/>
      <c r="F42" s="82" t="n">
        <v>20</v>
      </c>
      <c r="G42" s="82" t="n"/>
      <c r="H42" s="82" t="n"/>
    </row>
    <row r="43" ht="14.5" customHeight="1" s="8" thickBot="1">
      <c r="A43" s="326" t="inlineStr">
        <is>
          <t>小计</t>
        </is>
      </c>
      <c r="B43" s="327" t="n"/>
      <c r="C43" s="327" t="n"/>
      <c r="D43" s="328" t="n"/>
      <c r="E43" s="87">
        <f>SUM(E32:E42)</f>
        <v/>
      </c>
      <c r="F43" s="87">
        <f>SUM(F32:F42)</f>
        <v/>
      </c>
      <c r="G43" s="87">
        <f>SUM(G32:G42)</f>
        <v/>
      </c>
      <c r="H43" s="88" t="n"/>
    </row>
    <row r="44" s="8">
      <c r="A44" s="81" t="inlineStr">
        <is>
          <t>资产类型</t>
        </is>
      </c>
      <c r="B44" s="81" t="inlineStr">
        <is>
          <t>交易场所</t>
        </is>
      </c>
      <c r="C44" s="81" t="inlineStr">
        <is>
          <t>储架名称</t>
        </is>
      </c>
      <c r="D44" s="81" t="inlineStr">
        <is>
          <t>计划管理人/主承销商</t>
        </is>
      </c>
      <c r="E44" s="81" t="inlineStr">
        <is>
          <t>储架额度</t>
        </is>
      </c>
      <c r="F44" s="81" t="inlineStr">
        <is>
          <t>已发行</t>
        </is>
      </c>
      <c r="G44" s="81" t="inlineStr">
        <is>
          <t>剩余额度</t>
        </is>
      </c>
      <c r="H44" s="81" t="inlineStr">
        <is>
          <t>申报进度</t>
        </is>
      </c>
    </row>
    <row r="45" s="8">
      <c r="A45" s="83" t="inlineStr">
        <is>
          <t>金采</t>
        </is>
      </c>
      <c r="B45" s="83" t="inlineStr">
        <is>
          <t>上交所</t>
        </is>
      </c>
      <c r="C45" s="83" t="inlineStr">
        <is>
          <t>金采4号</t>
        </is>
      </c>
      <c r="D45" s="83" t="inlineStr">
        <is>
          <t>华泰资管（45）/中信建投（30）</t>
        </is>
      </c>
      <c r="E45" s="83" t="n">
        <v>80</v>
      </c>
      <c r="F45" s="83" t="n">
        <v>75</v>
      </c>
      <c r="G45" s="83">
        <f>E45-F45</f>
        <v/>
      </c>
      <c r="H45" s="83" t="inlineStr">
        <is>
          <t>发行中</t>
        </is>
      </c>
    </row>
    <row r="46" s="8">
      <c r="A46" s="83" t="inlineStr">
        <is>
          <t>金采</t>
        </is>
      </c>
      <c r="B46" s="83" t="inlineStr">
        <is>
          <t>上交所</t>
        </is>
      </c>
      <c r="C46" s="83" t="inlineStr">
        <is>
          <t>金采5号</t>
        </is>
      </c>
      <c r="D46" s="83" t="inlineStr">
        <is>
          <t>华泰资管（47）/中信建投（30）</t>
        </is>
      </c>
      <c r="E46" s="83" t="n">
        <v>80</v>
      </c>
      <c r="F46" s="83" t="n">
        <v>77</v>
      </c>
      <c r="G46" s="83">
        <f>E46-F46</f>
        <v/>
      </c>
      <c r="H46" s="83" t="inlineStr">
        <is>
          <t>发行中</t>
        </is>
      </c>
    </row>
    <row r="47" s="8">
      <c r="A47" s="83" t="inlineStr">
        <is>
          <t>金采</t>
        </is>
      </c>
      <c r="B47" s="83" t="inlineStr">
        <is>
          <t>上交所</t>
        </is>
      </c>
      <c r="C47" s="83" t="inlineStr">
        <is>
          <t>金采6号</t>
        </is>
      </c>
      <c r="D47" s="83" t="inlineStr">
        <is>
          <t>国泰君安（23）/天风证券(30)/首创证券（27）</t>
        </is>
      </c>
      <c r="E47" s="83" t="n">
        <v>80</v>
      </c>
      <c r="F47" s="83">
        <f>68+5+7</f>
        <v/>
      </c>
      <c r="G47" s="83">
        <f>E47-F47</f>
        <v/>
      </c>
      <c r="H47" s="83" t="inlineStr">
        <is>
          <t>发行中</t>
        </is>
      </c>
    </row>
    <row r="48" s="8">
      <c r="A48" s="81" t="inlineStr">
        <is>
          <t>资产类型</t>
        </is>
      </c>
      <c r="B48" s="81" t="inlineStr">
        <is>
          <t>交易场所</t>
        </is>
      </c>
      <c r="C48" s="81" t="inlineStr">
        <is>
          <t>储架名称</t>
        </is>
      </c>
      <c r="D48" s="81" t="inlineStr">
        <is>
          <t>计划管理人/主承销商</t>
        </is>
      </c>
      <c r="E48" s="81" t="inlineStr">
        <is>
          <t>储架额度</t>
        </is>
      </c>
      <c r="F48" s="81" t="inlineStr">
        <is>
          <t>已发行</t>
        </is>
      </c>
      <c r="G48" s="81" t="inlineStr">
        <is>
          <t>剩余额度</t>
        </is>
      </c>
      <c r="H48" s="81" t="inlineStr">
        <is>
          <t>申报进度</t>
        </is>
      </c>
    </row>
    <row r="49" s="8">
      <c r="A49" s="83" t="inlineStr">
        <is>
          <t>动产质押</t>
        </is>
      </c>
      <c r="B49" s="83" t="inlineStr">
        <is>
          <t>上交所</t>
        </is>
      </c>
      <c r="C49" s="83" t="inlineStr">
        <is>
          <t>尚亦1号</t>
        </is>
      </c>
      <c r="D49" s="83" t="inlineStr">
        <is>
          <t>华泰资管（24）/国泰君安（6）</t>
        </is>
      </c>
      <c r="E49" s="83" t="n">
        <v>50</v>
      </c>
      <c r="F49" s="83" t="n">
        <v>30</v>
      </c>
      <c r="G49" s="83">
        <f>E49-F49</f>
        <v/>
      </c>
      <c r="H49" s="83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B5" sqref="B5:B6"/>
    </sheetView>
  </sheetViews>
  <sheetFormatPr baseColWidth="8" defaultRowHeight="14"/>
  <cols>
    <col width="10.5" customWidth="1" style="8" min="2" max="3"/>
    <col width="12.08203125" customWidth="1" style="8" min="4" max="4"/>
    <col width="10.33203125" customWidth="1" style="8" min="5" max="5"/>
    <col width="10.75" customWidth="1" style="8" min="6" max="6"/>
    <col width="11.4140625" customWidth="1" style="8" min="7" max="7"/>
    <col width="12.4140625" customWidth="1" style="8" min="8" max="9"/>
  </cols>
  <sheetData>
    <row r="1" customFormat="1" s="15">
      <c r="A1" s="13" t="inlineStr">
        <is>
          <t>月份</t>
        </is>
      </c>
      <c r="B1" s="11" t="inlineStr">
        <is>
          <t>总体规模</t>
        </is>
      </c>
      <c r="C1" s="11" t="inlineStr">
        <is>
          <t>白条公募</t>
        </is>
      </c>
      <c r="D1" s="11" t="inlineStr">
        <is>
          <t>白条非标</t>
        </is>
      </c>
      <c r="E1" s="11" t="inlineStr">
        <is>
          <t>金条公募</t>
        </is>
      </c>
      <c r="F1" s="11" t="inlineStr">
        <is>
          <t>金条非标</t>
        </is>
      </c>
      <c r="G1" s="12" t="inlineStr">
        <is>
          <t>白条取现</t>
        </is>
      </c>
      <c r="H1" s="12" t="inlineStr">
        <is>
          <t>白条取现非标</t>
        </is>
      </c>
      <c r="I1" s="12" t="inlineStr">
        <is>
          <t>消金混池非标</t>
        </is>
      </c>
      <c r="J1" s="11" t="inlineStr">
        <is>
          <t>保理</t>
        </is>
      </c>
      <c r="K1" s="11" t="inlineStr">
        <is>
          <t>金采</t>
        </is>
      </c>
      <c r="L1" s="11" t="inlineStr">
        <is>
          <t>企业主贷</t>
        </is>
      </c>
      <c r="M1" s="12" t="inlineStr">
        <is>
          <t>京企贷</t>
        </is>
      </c>
      <c r="N1" s="12" t="inlineStr">
        <is>
          <t>京小贷</t>
        </is>
      </c>
      <c r="O1" s="11" t="inlineStr">
        <is>
          <t>动产质押</t>
        </is>
      </c>
      <c r="P1" s="11" t="inlineStr">
        <is>
          <t>外部保理</t>
        </is>
      </c>
      <c r="Q1" s="11" t="inlineStr">
        <is>
          <t>融资租赁</t>
        </is>
      </c>
      <c r="R1" s="11" t="inlineStr">
        <is>
          <t>采购融资非标</t>
        </is>
      </c>
      <c r="S1" s="11" t="inlineStr">
        <is>
          <t>外部保理非标</t>
        </is>
      </c>
      <c r="T1" s="12" t="inlineStr">
        <is>
          <t>京赢</t>
        </is>
      </c>
      <c r="U1" s="12" t="inlineStr">
        <is>
          <t>票据</t>
        </is>
      </c>
      <c r="V1" s="11" t="inlineStr">
        <is>
          <t>盛采</t>
        </is>
      </c>
      <c r="W1" s="11" t="inlineStr">
        <is>
          <t>动产非标</t>
        </is>
      </c>
      <c r="X1" s="11" t="inlineStr">
        <is>
          <t>金采非标</t>
        </is>
      </c>
      <c r="Y1" s="11" t="inlineStr">
        <is>
          <t>企业主贷非标</t>
        </is>
      </c>
      <c r="Z1" s="11" t="inlineStr">
        <is>
          <t>动产融资非标</t>
        </is>
      </c>
    </row>
    <row r="2" s="8">
      <c r="A2" s="13" t="inlineStr">
        <is>
          <t>1月</t>
        </is>
      </c>
      <c r="B2" s="9">
        <f>SUM(C2:S2)</f>
        <v/>
      </c>
      <c r="C2" s="9">
        <f>10+10</f>
        <v/>
      </c>
      <c r="D2" s="9" t="n"/>
      <c r="E2" s="9">
        <f>9.3+10</f>
        <v/>
      </c>
      <c r="F2" s="9">
        <f>5+10+15+10+10</f>
        <v/>
      </c>
      <c r="G2" s="9" t="n"/>
      <c r="H2" s="9" t="n"/>
      <c r="I2" s="9" t="n"/>
      <c r="J2" s="9" t="n"/>
      <c r="K2" s="9" t="n"/>
      <c r="L2" s="9">
        <f>10+10+10</f>
        <v/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s="8">
      <c r="A3" s="13" t="inlineStr">
        <is>
          <t>2月</t>
        </is>
      </c>
      <c r="B3" s="9">
        <f>SUM(C3:S3)</f>
        <v/>
      </c>
      <c r="C3" s="9">
        <f>10</f>
        <v/>
      </c>
      <c r="D3" s="9" t="n"/>
      <c r="E3" s="9">
        <f>10+10</f>
        <v/>
      </c>
      <c r="F3" s="9">
        <f>10+10+10+10+10</f>
        <v/>
      </c>
      <c r="G3" s="9" t="n"/>
      <c r="H3" s="9" t="n"/>
      <c r="I3" s="9" t="n"/>
      <c r="J3" s="9" t="n"/>
      <c r="K3" s="9" t="n"/>
      <c r="L3" s="9" t="n"/>
      <c r="M3" s="9">
        <f>10</f>
        <v/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s="8">
      <c r="A4" s="13" t="inlineStr">
        <is>
          <t>3月</t>
        </is>
      </c>
      <c r="B4" s="9">
        <f>SUM(C4:S4)</f>
        <v/>
      </c>
      <c r="C4" s="9">
        <f>9.45+9.45+10+10+10+10</f>
        <v/>
      </c>
      <c r="D4" s="9">
        <f>10+5</f>
        <v/>
      </c>
      <c r="E4" s="9">
        <f>10</f>
        <v/>
      </c>
      <c r="F4" s="9" t="n"/>
      <c r="G4" s="9">
        <f>10</f>
        <v/>
      </c>
      <c r="H4" s="9">
        <f>10</f>
        <v/>
      </c>
      <c r="I4" s="9">
        <f>20</f>
        <v/>
      </c>
      <c r="J4" s="9">
        <f>10</f>
        <v/>
      </c>
      <c r="K4" s="9" t="n"/>
      <c r="L4" s="9">
        <f>5+10</f>
        <v/>
      </c>
      <c r="M4" s="9" t="n"/>
      <c r="N4" s="9" t="n"/>
      <c r="O4" s="9">
        <f>3</f>
        <v/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s="8">
      <c r="A5" s="13" t="inlineStr">
        <is>
          <t>4月</t>
        </is>
      </c>
      <c r="B5" s="9">
        <f>SUM(C5:S5)</f>
        <v/>
      </c>
      <c r="C5" s="9">
        <f>10+10</f>
        <v/>
      </c>
      <c r="D5" s="9" t="n"/>
      <c r="E5" s="9">
        <f>9+9.3+9.3+9.3</f>
        <v/>
      </c>
      <c r="F5" s="9">
        <f>10</f>
        <v/>
      </c>
      <c r="G5" s="9" t="n"/>
      <c r="H5" s="9" t="n"/>
      <c r="I5" s="9">
        <f>20+15</f>
        <v/>
      </c>
      <c r="J5" s="9">
        <f>10</f>
        <v/>
      </c>
      <c r="K5" s="9" t="n"/>
      <c r="L5" s="9">
        <f>10+10</f>
        <v/>
      </c>
      <c r="M5" s="9">
        <f>8</f>
        <v/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8">
      <c r="A6" s="13" t="inlineStr">
        <is>
          <t>5月</t>
        </is>
      </c>
      <c r="B6" s="9">
        <f>SUM(C6:S6)</f>
        <v/>
      </c>
      <c r="C6" s="9" t="n"/>
      <c r="D6" s="9" t="n"/>
      <c r="E6" s="9">
        <f>9.3+9.3+10</f>
        <v/>
      </c>
      <c r="F6" s="9" t="n"/>
      <c r="G6" s="9">
        <f>10</f>
        <v/>
      </c>
      <c r="H6" s="9" t="n"/>
      <c r="I6" s="9" t="n"/>
      <c r="J6" s="9">
        <f>10+5</f>
        <v/>
      </c>
      <c r="K6" s="9">
        <f>9</f>
        <v/>
      </c>
      <c r="L6" s="9" t="n"/>
      <c r="M6" s="9" t="n"/>
      <c r="N6" s="9" t="n"/>
      <c r="O6" s="9" t="n"/>
      <c r="P6" s="9" t="n"/>
      <c r="Q6" s="9" t="n"/>
      <c r="R6" s="9" t="n"/>
      <c r="S6" s="329" t="n"/>
      <c r="T6" s="9" t="n"/>
      <c r="U6" s="9" t="n"/>
      <c r="V6" s="9" t="n"/>
      <c r="W6" s="9" t="n"/>
      <c r="X6" s="9" t="n"/>
      <c r="Y6" s="9" t="n"/>
      <c r="Z6" s="9" t="n"/>
    </row>
    <row r="7" s="8">
      <c r="A7" s="13" t="inlineStr">
        <is>
          <t>6月</t>
        </is>
      </c>
      <c r="B7" s="9">
        <f>SUM(C7:S7)</f>
        <v/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s="8">
      <c r="A8" s="13" t="inlineStr">
        <is>
          <t>7月</t>
        </is>
      </c>
      <c r="B8" s="9">
        <f>SUM(C8:S8)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s="8">
      <c r="A9" s="13" t="inlineStr">
        <is>
          <t>8月</t>
        </is>
      </c>
      <c r="B9" s="9">
        <f>SUM(C9:S9)</f>
        <v/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s="8">
      <c r="A10" s="13" t="inlineStr">
        <is>
          <t>9月</t>
        </is>
      </c>
      <c r="B10" s="9">
        <f>SUM(C10:S10)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s="8">
      <c r="A11" s="13" t="inlineStr">
        <is>
          <t>10月</t>
        </is>
      </c>
      <c r="B11" s="9">
        <f>SUM(C11:S11)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s="8">
      <c r="A12" s="13" t="inlineStr">
        <is>
          <t>11月</t>
        </is>
      </c>
      <c r="B12" s="9">
        <f>SUM(C12:S12)</f>
        <v/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s="8">
      <c r="A13" s="13" t="inlineStr">
        <is>
          <t>12月</t>
        </is>
      </c>
      <c r="B13" s="9">
        <f>SUM(C13:S13)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s="8">
      <c r="A14" s="330" t="inlineStr">
        <is>
          <t>总计</t>
        </is>
      </c>
      <c r="B14" s="329">
        <f>SUM(B2:B13)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8" min="4" max="4"/>
    <col width="19.08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1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1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0" t="inlineStr">
        <is>
          <t>1月</t>
        </is>
      </c>
      <c r="B2" s="220" t="inlineStr">
        <is>
          <t>消金</t>
        </is>
      </c>
      <c r="C2" s="220" t="inlineStr">
        <is>
          <t>信托金条</t>
        </is>
      </c>
      <c r="D2" s="220" t="inlineStr">
        <is>
          <t>25东樾1秋樾（续发）</t>
        </is>
      </c>
      <c r="E2" s="220" t="inlineStr">
        <is>
          <t>银行间</t>
        </is>
      </c>
      <c r="F2" s="220" t="inlineStr">
        <is>
          <t>国泰海通</t>
        </is>
      </c>
      <c r="G2" s="220" t="inlineStr">
        <is>
          <t>宁波银行/南京银行/中信证券</t>
        </is>
      </c>
      <c r="H2" s="220" t="inlineStr">
        <is>
          <t>中行北分</t>
        </is>
      </c>
      <c r="I2" s="220" t="n">
        <v>9.300000000000001</v>
      </c>
      <c r="J2" s="220" t="inlineStr">
        <is>
          <t>10+12</t>
        </is>
      </c>
      <c r="K2" s="224" t="n">
        <v>46034</v>
      </c>
      <c r="L2" s="225" t="n">
        <v>0.01626</v>
      </c>
      <c r="M2" s="311" t="n">
        <v>0.02224</v>
      </c>
      <c r="N2" s="226" t="n">
        <v>1.33</v>
      </c>
      <c r="O2" s="220" t="inlineStr">
        <is>
          <t>优先A</t>
        </is>
      </c>
      <c r="P2" s="221" t="n">
        <v>0.9</v>
      </c>
      <c r="Q2" s="308" t="n">
        <v>9</v>
      </c>
      <c r="R2" s="220" t="inlineStr">
        <is>
          <t>AAA</t>
        </is>
      </c>
      <c r="S2" s="221" t="n">
        <v>0.0189</v>
      </c>
      <c r="T2" s="24" t="inlineStr">
        <is>
          <t>南银理财</t>
        </is>
      </c>
      <c r="U2" s="25" t="n">
        <v>2</v>
      </c>
    </row>
    <row r="3" ht="15.5" customHeight="1" s="8">
      <c r="A3" s="332" t="n"/>
      <c r="B3" s="332" t="n"/>
      <c r="C3" s="332" t="n"/>
      <c r="D3" s="332" t="n"/>
      <c r="E3" s="332" t="n"/>
      <c r="F3" s="332" t="n"/>
      <c r="G3" s="332" t="n"/>
      <c r="H3" s="332" t="n"/>
      <c r="I3" s="332" t="n"/>
      <c r="J3" s="332" t="n"/>
      <c r="K3" s="332" t="n"/>
      <c r="L3" s="332" t="n"/>
      <c r="M3" s="332" t="n"/>
      <c r="N3" s="332" t="n"/>
      <c r="O3" s="332" t="n"/>
      <c r="P3" s="332" t="n"/>
      <c r="Q3" s="332" t="n"/>
      <c r="R3" s="332" t="n"/>
      <c r="S3" s="332" t="n"/>
      <c r="T3" s="24" t="inlineStr">
        <is>
          <t>南京银行</t>
        </is>
      </c>
      <c r="U3" s="25" t="n">
        <v>0.5</v>
      </c>
    </row>
    <row r="4" ht="15.5" customHeight="1" s="8">
      <c r="A4" s="332" t="n"/>
      <c r="B4" s="332" t="n"/>
      <c r="C4" s="332" t="n"/>
      <c r="D4" s="332" t="n"/>
      <c r="E4" s="332" t="n"/>
      <c r="F4" s="332" t="n"/>
      <c r="G4" s="332" t="n"/>
      <c r="H4" s="332" t="n"/>
      <c r="I4" s="332" t="n"/>
      <c r="J4" s="332" t="n"/>
      <c r="K4" s="332" t="n"/>
      <c r="L4" s="332" t="n"/>
      <c r="M4" s="332" t="n"/>
      <c r="N4" s="332" t="n"/>
      <c r="O4" s="332" t="n"/>
      <c r="P4" s="332" t="n"/>
      <c r="Q4" s="332" t="n"/>
      <c r="R4" s="332" t="n"/>
      <c r="S4" s="332" t="n"/>
      <c r="T4" s="24" t="inlineStr">
        <is>
          <t>交银理财</t>
        </is>
      </c>
      <c r="U4" s="25" t="n">
        <v>2.7</v>
      </c>
    </row>
    <row r="5" ht="15.5" customHeight="1" s="8">
      <c r="A5" s="332" t="n"/>
      <c r="B5" s="332" t="n"/>
      <c r="C5" s="332" t="n"/>
      <c r="D5" s="332" t="n"/>
      <c r="E5" s="332" t="n"/>
      <c r="F5" s="332" t="n"/>
      <c r="G5" s="332" t="n"/>
      <c r="H5" s="332" t="n"/>
      <c r="I5" s="332" t="n"/>
      <c r="J5" s="332" t="n"/>
      <c r="K5" s="332" t="n"/>
      <c r="L5" s="332" t="n"/>
      <c r="M5" s="332" t="n"/>
      <c r="N5" s="332" t="n"/>
      <c r="O5" s="332" t="n"/>
      <c r="P5" s="332" t="n"/>
      <c r="Q5" s="332" t="n"/>
      <c r="R5" s="332" t="n"/>
      <c r="S5" s="332" t="n"/>
      <c r="T5" s="24" t="inlineStr">
        <is>
          <t>平安理财</t>
        </is>
      </c>
      <c r="U5" s="25" t="n">
        <v>2.2</v>
      </c>
    </row>
    <row r="6" ht="15.5" customHeight="1" s="8">
      <c r="A6" s="332" t="n"/>
      <c r="B6" s="332" t="n"/>
      <c r="C6" s="332" t="n"/>
      <c r="D6" s="332" t="n"/>
      <c r="E6" s="332" t="n"/>
      <c r="F6" s="332" t="n"/>
      <c r="G6" s="332" t="n"/>
      <c r="H6" s="332" t="n"/>
      <c r="I6" s="332" t="n"/>
      <c r="J6" s="332" t="n"/>
      <c r="K6" s="332" t="n"/>
      <c r="L6" s="332" t="n"/>
      <c r="M6" s="332" t="n"/>
      <c r="N6" s="332" t="n"/>
      <c r="O6" s="332" t="n"/>
      <c r="P6" s="332" t="n"/>
      <c r="Q6" s="332" t="n"/>
      <c r="R6" s="332" t="n"/>
      <c r="S6" s="332" t="n"/>
      <c r="T6" s="24" t="inlineStr">
        <is>
          <t>中银理财</t>
        </is>
      </c>
      <c r="U6" s="25" t="n">
        <v>1</v>
      </c>
    </row>
    <row r="7" ht="15.5" customHeight="1" s="8">
      <c r="A7" s="332" t="n"/>
      <c r="B7" s="332" t="n"/>
      <c r="C7" s="332" t="n"/>
      <c r="D7" s="332" t="n"/>
      <c r="E7" s="332" t="n"/>
      <c r="F7" s="332" t="n"/>
      <c r="G7" s="332" t="n"/>
      <c r="H7" s="332" t="n"/>
      <c r="I7" s="332" t="n"/>
      <c r="J7" s="332" t="n"/>
      <c r="K7" s="332" t="n"/>
      <c r="L7" s="332" t="n"/>
      <c r="M7" s="332" t="n"/>
      <c r="N7" s="332" t="n"/>
      <c r="O7" s="332" t="n"/>
      <c r="P7" s="332" t="n"/>
      <c r="Q7" s="332" t="n"/>
      <c r="R7" s="332" t="n"/>
      <c r="S7" s="332" t="n"/>
      <c r="T7" s="24" t="inlineStr">
        <is>
          <t>申万宏源投顾</t>
        </is>
      </c>
      <c r="U7" s="25" t="n">
        <v>0.2</v>
      </c>
    </row>
    <row r="8" ht="15.5" customHeight="1" s="8">
      <c r="A8" s="332" t="n"/>
      <c r="B8" s="332" t="n"/>
      <c r="C8" s="332" t="n"/>
      <c r="D8" s="332" t="n"/>
      <c r="E8" s="332" t="n"/>
      <c r="F8" s="332" t="n"/>
      <c r="G8" s="332" t="n"/>
      <c r="H8" s="332" t="n"/>
      <c r="I8" s="332" t="n"/>
      <c r="J8" s="332" t="n"/>
      <c r="K8" s="332" t="n"/>
      <c r="L8" s="332" t="n"/>
      <c r="M8" s="332" t="n"/>
      <c r="N8" s="332" t="n"/>
      <c r="O8" s="333" t="n"/>
      <c r="P8" s="333" t="n"/>
      <c r="Q8" s="333" t="n"/>
      <c r="R8" s="333" t="n"/>
      <c r="S8" s="333" t="n"/>
      <c r="T8" s="24" t="inlineStr">
        <is>
          <t>苏银理财</t>
        </is>
      </c>
      <c r="U8" s="25" t="n">
        <v>0.4</v>
      </c>
    </row>
    <row r="9" ht="15.5" customHeight="1" s="8">
      <c r="A9" s="332" t="n"/>
      <c r="B9" s="332" t="n"/>
      <c r="C9" s="332" t="n"/>
      <c r="D9" s="332" t="n"/>
      <c r="E9" s="332" t="n"/>
      <c r="F9" s="332" t="n"/>
      <c r="G9" s="332" t="n"/>
      <c r="H9" s="332" t="n"/>
      <c r="I9" s="332" t="n"/>
      <c r="J9" s="332" t="n"/>
      <c r="K9" s="332" t="n"/>
      <c r="L9" s="332" t="n"/>
      <c r="M9" s="332" t="n"/>
      <c r="N9" s="332" t="n"/>
      <c r="O9" s="220" t="inlineStr">
        <is>
          <t>优先B</t>
        </is>
      </c>
      <c r="P9" s="221" t="n">
        <v>0.03</v>
      </c>
      <c r="Q9" s="308" t="n">
        <v>0.3</v>
      </c>
      <c r="R9" s="221" t="inlineStr">
        <is>
          <t>AA+</t>
        </is>
      </c>
      <c r="S9" s="221" t="n">
        <v>0.022</v>
      </c>
      <c r="T9" s="24" t="inlineStr">
        <is>
          <t>交银理财</t>
        </is>
      </c>
      <c r="U9" s="25" t="n">
        <v>0.09</v>
      </c>
    </row>
    <row r="10" ht="15.5" customHeight="1" s="8">
      <c r="A10" s="332" t="n"/>
      <c r="B10" s="332" t="n"/>
      <c r="C10" s="332" t="n"/>
      <c r="D10" s="332" t="n"/>
      <c r="E10" s="332" t="n"/>
      <c r="F10" s="332" t="n"/>
      <c r="G10" s="332" t="n"/>
      <c r="H10" s="332" t="n"/>
      <c r="I10" s="332" t="n"/>
      <c r="J10" s="332" t="n"/>
      <c r="K10" s="332" t="n"/>
      <c r="L10" s="332" t="n"/>
      <c r="M10" s="332" t="n"/>
      <c r="N10" s="332" t="n"/>
      <c r="O10" s="332" t="n"/>
      <c r="P10" s="332" t="n"/>
      <c r="Q10" s="332" t="n"/>
      <c r="R10" s="332" t="n"/>
      <c r="S10" s="332" t="n"/>
      <c r="T10" s="24" t="inlineStr">
        <is>
          <t>平安理财</t>
        </is>
      </c>
      <c r="U10" s="25" t="n">
        <v>0.07000000000000001</v>
      </c>
    </row>
    <row r="11" ht="15.5" customHeight="1" s="8">
      <c r="A11" s="332" t="n"/>
      <c r="B11" s="332" t="n"/>
      <c r="C11" s="332" t="n"/>
      <c r="D11" s="332" t="n"/>
      <c r="E11" s="332" t="n"/>
      <c r="F11" s="332" t="n"/>
      <c r="G11" s="332" t="n"/>
      <c r="H11" s="332" t="n"/>
      <c r="I11" s="332" t="n"/>
      <c r="J11" s="332" t="n"/>
      <c r="K11" s="332" t="n"/>
      <c r="L11" s="332" t="n"/>
      <c r="M11" s="332" t="n"/>
      <c r="N11" s="332" t="n"/>
      <c r="O11" s="332" t="n"/>
      <c r="P11" s="332" t="n"/>
      <c r="Q11" s="332" t="n"/>
      <c r="R11" s="332" t="n"/>
      <c r="S11" s="332" t="n"/>
      <c r="T11" s="24" t="inlineStr">
        <is>
          <t>国泰海通投行</t>
        </is>
      </c>
      <c r="U11" s="25" t="n">
        <v>0.04</v>
      </c>
    </row>
    <row r="12" ht="15.5" customHeight="1" s="8">
      <c r="A12" s="333" t="n"/>
      <c r="B12" s="333" t="n"/>
      <c r="C12" s="333" t="n"/>
      <c r="D12" s="333" t="n"/>
      <c r="E12" s="333" t="n"/>
      <c r="F12" s="333" t="n"/>
      <c r="G12" s="333" t="n"/>
      <c r="H12" s="333" t="n"/>
      <c r="I12" s="333" t="n"/>
      <c r="J12" s="333" t="n"/>
      <c r="K12" s="333" t="n"/>
      <c r="L12" s="333" t="n"/>
      <c r="M12" s="333" t="n"/>
      <c r="N12" s="333" t="n"/>
      <c r="O12" s="333" t="n"/>
      <c r="P12" s="333" t="n"/>
      <c r="Q12" s="333" t="n"/>
      <c r="R12" s="333" t="n"/>
      <c r="S12" s="333" t="n"/>
      <c r="T12" s="24" t="inlineStr">
        <is>
          <t>中信证券投行</t>
        </is>
      </c>
      <c r="U12" s="25" t="n">
        <v>0.1</v>
      </c>
    </row>
    <row r="13" ht="15.5" customHeight="1" s="8">
      <c r="A13" s="220" t="inlineStr">
        <is>
          <t>1月</t>
        </is>
      </c>
      <c r="B13" s="220" t="inlineStr">
        <is>
          <t>消金</t>
        </is>
      </c>
      <c r="C13" s="220" t="inlineStr">
        <is>
          <t>信托金条</t>
        </is>
      </c>
      <c r="D13" s="220" t="inlineStr">
        <is>
          <t>耘睿23-6</t>
        </is>
      </c>
      <c r="E13" s="220" t="inlineStr">
        <is>
          <t>上交所</t>
        </is>
      </c>
      <c r="F13" s="220" t="inlineStr">
        <is>
          <t>中信建投</t>
        </is>
      </c>
      <c r="G13" s="220" t="inlineStr">
        <is>
          <t>平安证券</t>
        </is>
      </c>
      <c r="H13" s="220" t="inlineStr">
        <is>
          <t>中信北分</t>
        </is>
      </c>
      <c r="I13" s="220" t="n">
        <v>10</v>
      </c>
      <c r="J13" s="220" t="inlineStr">
        <is>
          <t>12+12</t>
        </is>
      </c>
      <c r="K13" s="224" t="n">
        <v>46034</v>
      </c>
      <c r="L13" s="225" t="n">
        <v>0.0164</v>
      </c>
      <c r="M13" s="311" t="n">
        <v>0.02184</v>
      </c>
      <c r="N13" s="226" t="n">
        <v>1.69</v>
      </c>
      <c r="O13" s="220" t="inlineStr">
        <is>
          <t>优先A</t>
        </is>
      </c>
      <c r="P13" s="221" t="n">
        <v>0.9</v>
      </c>
      <c r="Q13" s="308" t="n">
        <v>9</v>
      </c>
      <c r="R13" s="220" t="inlineStr">
        <is>
          <t>AAA</t>
        </is>
      </c>
      <c r="S13" s="221" t="n">
        <v>0.019</v>
      </c>
      <c r="T13" s="265" t="inlineStr">
        <is>
          <t>南银理财</t>
        </is>
      </c>
      <c r="U13" s="25" t="n">
        <v>2</v>
      </c>
    </row>
    <row r="14" ht="15.5" customHeight="1" s="8">
      <c r="A14" s="332" t="n"/>
      <c r="B14" s="332" t="n"/>
      <c r="C14" s="332" t="n"/>
      <c r="D14" s="332" t="n"/>
      <c r="E14" s="332" t="n"/>
      <c r="F14" s="332" t="n"/>
      <c r="G14" s="332" t="n"/>
      <c r="H14" s="332" t="n"/>
      <c r="I14" s="332" t="n"/>
      <c r="J14" s="332" t="n"/>
      <c r="K14" s="332" t="n"/>
      <c r="L14" s="332" t="n"/>
      <c r="M14" s="332" t="n"/>
      <c r="N14" s="332" t="n"/>
      <c r="O14" s="332" t="n"/>
      <c r="P14" s="332" t="n"/>
      <c r="Q14" s="332" t="n"/>
      <c r="R14" s="332" t="n"/>
      <c r="S14" s="332" t="n"/>
      <c r="T14" s="24" t="inlineStr">
        <is>
          <t>中银理财</t>
        </is>
      </c>
      <c r="U14" s="25" t="n">
        <v>0.5</v>
      </c>
    </row>
    <row r="15" ht="15.5" customHeight="1" s="8">
      <c r="A15" s="332" t="n"/>
      <c r="B15" s="332" t="n"/>
      <c r="C15" s="332" t="n"/>
      <c r="D15" s="332" t="n"/>
      <c r="E15" s="332" t="n"/>
      <c r="F15" s="332" t="n"/>
      <c r="G15" s="332" t="n"/>
      <c r="H15" s="332" t="n"/>
      <c r="I15" s="332" t="n"/>
      <c r="J15" s="332" t="n"/>
      <c r="K15" s="332" t="n"/>
      <c r="L15" s="332" t="n"/>
      <c r="M15" s="332" t="n"/>
      <c r="N15" s="332" t="n"/>
      <c r="O15" s="332" t="n"/>
      <c r="P15" s="332" t="n"/>
      <c r="Q15" s="332" t="n"/>
      <c r="R15" s="332" t="n"/>
      <c r="S15" s="332" t="n"/>
      <c r="T15" s="24" t="inlineStr">
        <is>
          <t>广州银行</t>
        </is>
      </c>
      <c r="U15" s="25" t="n">
        <v>2.7</v>
      </c>
    </row>
    <row r="16" ht="15.5" customHeight="1" s="8">
      <c r="A16" s="332" t="n"/>
      <c r="B16" s="332" t="n"/>
      <c r="C16" s="332" t="n"/>
      <c r="D16" s="332" t="n"/>
      <c r="E16" s="332" t="n"/>
      <c r="F16" s="332" t="n"/>
      <c r="G16" s="332" t="n"/>
      <c r="H16" s="332" t="n"/>
      <c r="I16" s="332" t="n"/>
      <c r="J16" s="332" t="n"/>
      <c r="K16" s="332" t="n"/>
      <c r="L16" s="332" t="n"/>
      <c r="M16" s="332" t="n"/>
      <c r="N16" s="332" t="n"/>
      <c r="O16" s="332" t="n"/>
      <c r="P16" s="332" t="n"/>
      <c r="Q16" s="332" t="n"/>
      <c r="R16" s="332" t="n"/>
      <c r="S16" s="332" t="n"/>
      <c r="T16" s="24" t="inlineStr">
        <is>
          <t>平安理财</t>
        </is>
      </c>
      <c r="U16" s="25" t="n">
        <v>2.25</v>
      </c>
    </row>
    <row r="17" ht="15.5" customHeight="1" s="8">
      <c r="A17" s="332" t="n"/>
      <c r="B17" s="332" t="n"/>
      <c r="C17" s="332" t="n"/>
      <c r="D17" s="332" t="n"/>
      <c r="E17" s="332" t="n"/>
      <c r="F17" s="332" t="n"/>
      <c r="G17" s="332" t="n"/>
      <c r="H17" s="332" t="n"/>
      <c r="I17" s="332" t="n"/>
      <c r="J17" s="332" t="n"/>
      <c r="K17" s="332" t="n"/>
      <c r="L17" s="332" t="n"/>
      <c r="M17" s="332" t="n"/>
      <c r="N17" s="332" t="n"/>
      <c r="O17" s="332" t="n"/>
      <c r="P17" s="332" t="n"/>
      <c r="Q17" s="332" t="n"/>
      <c r="R17" s="332" t="n"/>
      <c r="S17" s="332" t="n"/>
      <c r="T17" s="24" t="inlineStr">
        <is>
          <t>华夏基金</t>
        </is>
      </c>
      <c r="U17" s="25" t="n">
        <v>0.9</v>
      </c>
    </row>
    <row r="18" ht="15.5" customHeight="1" s="8">
      <c r="A18" s="332" t="n"/>
      <c r="B18" s="332" t="n"/>
      <c r="C18" s="332" t="n"/>
      <c r="D18" s="332" t="n"/>
      <c r="E18" s="332" t="n"/>
      <c r="F18" s="332" t="n"/>
      <c r="G18" s="332" t="n"/>
      <c r="H18" s="332" t="n"/>
      <c r="I18" s="332" t="n"/>
      <c r="J18" s="332" t="n"/>
      <c r="K18" s="332" t="n"/>
      <c r="L18" s="332" t="n"/>
      <c r="M18" s="332" t="n"/>
      <c r="N18" s="332" t="n"/>
      <c r="O18" s="332" t="n"/>
      <c r="P18" s="332" t="n"/>
      <c r="Q18" s="332" t="n"/>
      <c r="R18" s="332" t="n"/>
      <c r="S18" s="332" t="n"/>
      <c r="T18" s="24" t="inlineStr">
        <is>
          <t>平安证券投行</t>
        </is>
      </c>
      <c r="U18" s="25" t="n">
        <v>0.15</v>
      </c>
    </row>
    <row r="19" ht="15.5" customHeight="1" s="8">
      <c r="A19" s="332" t="n"/>
      <c r="B19" s="332" t="n"/>
      <c r="C19" s="332" t="n"/>
      <c r="D19" s="332" t="n"/>
      <c r="E19" s="332" t="n"/>
      <c r="F19" s="332" t="n"/>
      <c r="G19" s="332" t="n"/>
      <c r="H19" s="332" t="n"/>
      <c r="I19" s="332" t="n"/>
      <c r="J19" s="332" t="n"/>
      <c r="K19" s="332" t="n"/>
      <c r="L19" s="332" t="n"/>
      <c r="M19" s="332" t="n"/>
      <c r="N19" s="332" t="n"/>
      <c r="O19" s="333" t="n"/>
      <c r="P19" s="333" t="n"/>
      <c r="Q19" s="333" t="n"/>
      <c r="R19" s="333" t="n"/>
      <c r="S19" s="333" t="n"/>
      <c r="T19" s="24" t="inlineStr">
        <is>
          <t>光大理财</t>
        </is>
      </c>
      <c r="U19" s="25" t="n">
        <v>0.5</v>
      </c>
    </row>
    <row r="20" ht="15.5" customHeight="1" s="8">
      <c r="A20" s="332" t="n"/>
      <c r="B20" s="332" t="n"/>
      <c r="C20" s="332" t="n"/>
      <c r="D20" s="332" t="n"/>
      <c r="E20" s="332" t="n"/>
      <c r="F20" s="332" t="n"/>
      <c r="G20" s="332" t="n"/>
      <c r="H20" s="332" t="n"/>
      <c r="I20" s="332" t="n"/>
      <c r="J20" s="332" t="n"/>
      <c r="K20" s="332" t="n"/>
      <c r="L20" s="332" t="n"/>
      <c r="M20" s="332" t="n"/>
      <c r="N20" s="332" t="n"/>
      <c r="O20" s="220" t="inlineStr">
        <is>
          <t>优先B</t>
        </is>
      </c>
      <c r="P20" s="221" t="n">
        <v>0.03</v>
      </c>
      <c r="Q20" s="308" t="n">
        <v>0.3</v>
      </c>
      <c r="R20" s="221" t="inlineStr">
        <is>
          <t>AA+</t>
        </is>
      </c>
      <c r="S20" s="221" t="n">
        <v>0.022</v>
      </c>
      <c r="T20" s="265" t="inlineStr">
        <is>
          <t>中信建投投行</t>
        </is>
      </c>
      <c r="U20" s="29" t="n">
        <v>0.23</v>
      </c>
    </row>
    <row r="21" ht="15.5" customHeight="1" s="8">
      <c r="A21" s="332" t="n"/>
      <c r="B21" s="332" t="n"/>
      <c r="C21" s="332" t="n"/>
      <c r="D21" s="332" t="n"/>
      <c r="E21" s="332" t="n"/>
      <c r="F21" s="332" t="n"/>
      <c r="G21" s="332" t="n"/>
      <c r="H21" s="332" t="n"/>
      <c r="I21" s="332" t="n"/>
      <c r="J21" s="332" t="n"/>
      <c r="K21" s="332" t="n"/>
      <c r="L21" s="332" t="n"/>
      <c r="M21" s="332" t="n"/>
      <c r="N21" s="332" t="n"/>
      <c r="O21" s="333" t="n"/>
      <c r="P21" s="333" t="n"/>
      <c r="Q21" s="333" t="n"/>
      <c r="R21" s="333" t="n"/>
      <c r="S21" s="333" t="n"/>
      <c r="T21" s="24" t="inlineStr">
        <is>
          <t>平安理财</t>
        </is>
      </c>
      <c r="U21" s="29" t="n">
        <v>0.07000000000000001</v>
      </c>
    </row>
    <row r="22" ht="15.5" customHeight="1" s="8">
      <c r="A22" s="332" t="n"/>
      <c r="B22" s="332" t="n"/>
      <c r="C22" s="332" t="n"/>
      <c r="D22" s="332" t="n"/>
      <c r="E22" s="332" t="n"/>
      <c r="F22" s="332" t="n"/>
      <c r="G22" s="332" t="n"/>
      <c r="H22" s="332" t="n"/>
      <c r="I22" s="332" t="n"/>
      <c r="J22" s="332" t="n"/>
      <c r="K22" s="332" t="n"/>
      <c r="L22" s="332" t="n"/>
      <c r="M22" s="332" t="n"/>
      <c r="N22" s="332" t="n"/>
      <c r="O22" s="220" t="inlineStr">
        <is>
          <t>中间级</t>
        </is>
      </c>
      <c r="P22" s="221" t="n">
        <v>0.02</v>
      </c>
      <c r="Q22" s="308" t="n">
        <v>0.2</v>
      </c>
      <c r="R22" s="221" t="inlineStr">
        <is>
          <t>AA-</t>
        </is>
      </c>
      <c r="S22" s="221" t="n">
        <v>0.031</v>
      </c>
      <c r="T22" s="265" t="inlineStr">
        <is>
          <t>中信建投机构部</t>
        </is>
      </c>
      <c r="U22" s="265" t="n">
        <v>2000</v>
      </c>
    </row>
    <row r="23" ht="15.5" customHeight="1" s="8">
      <c r="A23" s="332" t="n"/>
      <c r="B23" s="332" t="n"/>
      <c r="C23" s="332" t="n"/>
      <c r="D23" s="332" t="n"/>
      <c r="E23" s="332" t="n"/>
      <c r="F23" s="332" t="n"/>
      <c r="G23" s="332" t="n"/>
      <c r="H23" s="332" t="n"/>
      <c r="I23" s="332" t="n"/>
      <c r="J23" s="332" t="n"/>
      <c r="K23" s="332" t="n"/>
      <c r="L23" s="332" t="n"/>
      <c r="M23" s="332" t="n"/>
      <c r="N23" s="332" t="n"/>
      <c r="O23" s="333" t="n"/>
      <c r="P23" s="333" t="n"/>
      <c r="Q23" s="333" t="n"/>
      <c r="R23" s="333" t="n"/>
      <c r="S23" s="333" t="n"/>
      <c r="T23" s="265" t="inlineStr">
        <is>
          <t>中泰证券自营</t>
        </is>
      </c>
      <c r="U23" s="265" t="n">
        <v>1000</v>
      </c>
    </row>
    <row r="24" ht="15.5" customHeight="1" s="8">
      <c r="A24" s="332" t="n"/>
      <c r="B24" s="332" t="n"/>
      <c r="C24" s="332" t="n"/>
      <c r="D24" s="332" t="n"/>
      <c r="E24" s="332" t="n"/>
      <c r="F24" s="332" t="n"/>
      <c r="G24" s="332" t="n"/>
      <c r="H24" s="332" t="n"/>
      <c r="I24" s="332" t="n"/>
      <c r="J24" s="332" t="n"/>
      <c r="K24" s="332" t="n"/>
      <c r="L24" s="332" t="n"/>
      <c r="M24" s="332" t="n"/>
      <c r="N24" s="332" t="n"/>
      <c r="O24" s="220" t="inlineStr">
        <is>
          <t>受益权</t>
        </is>
      </c>
      <c r="P24" s="221" t="n">
        <v>0.05</v>
      </c>
      <c r="Q24" s="308" t="n">
        <v>0.5</v>
      </c>
      <c r="R24" s="221" t="inlineStr">
        <is>
          <t>无</t>
        </is>
      </c>
      <c r="S24" s="221" t="n">
        <v>0.0485</v>
      </c>
      <c r="T24" s="24" t="inlineStr">
        <is>
          <t>信达证券自营</t>
        </is>
      </c>
      <c r="U24" s="265" t="n">
        <v>0.075</v>
      </c>
    </row>
    <row r="25" ht="15.5" customHeight="1" s="8">
      <c r="A25" s="332" t="n"/>
      <c r="B25" s="332" t="n"/>
      <c r="C25" s="332" t="n"/>
      <c r="D25" s="332" t="n"/>
      <c r="E25" s="332" t="n"/>
      <c r="F25" s="332" t="n"/>
      <c r="G25" s="332" t="n"/>
      <c r="H25" s="332" t="n"/>
      <c r="I25" s="332" t="n"/>
      <c r="J25" s="332" t="n"/>
      <c r="K25" s="332" t="n"/>
      <c r="L25" s="332" t="n"/>
      <c r="M25" s="332" t="n"/>
      <c r="N25" s="332" t="n"/>
      <c r="O25" s="332" t="n"/>
      <c r="P25" s="332" t="n"/>
      <c r="Q25" s="332" t="n"/>
      <c r="R25" s="332" t="n"/>
      <c r="S25" s="332" t="n"/>
      <c r="T25" s="24" t="inlineStr">
        <is>
          <t>国泰海通自营</t>
        </is>
      </c>
      <c r="U25" s="265" t="n">
        <v>0.075</v>
      </c>
    </row>
    <row r="26" ht="15.5" customHeight="1" s="8">
      <c r="A26" s="332" t="n"/>
      <c r="B26" s="332" t="n"/>
      <c r="C26" s="332" t="n"/>
      <c r="D26" s="332" t="n"/>
      <c r="E26" s="332" t="n"/>
      <c r="F26" s="332" t="n"/>
      <c r="G26" s="332" t="n"/>
      <c r="H26" s="332" t="n"/>
      <c r="I26" s="332" t="n"/>
      <c r="J26" s="332" t="n"/>
      <c r="K26" s="332" t="n"/>
      <c r="L26" s="332" t="n"/>
      <c r="M26" s="332" t="n"/>
      <c r="N26" s="332" t="n"/>
      <c r="O26" s="332" t="n"/>
      <c r="P26" s="332" t="n"/>
      <c r="Q26" s="332" t="n"/>
      <c r="R26" s="332" t="n"/>
      <c r="S26" s="332" t="n"/>
      <c r="T26" s="24" t="inlineStr">
        <is>
          <t>华兴证券自营</t>
        </is>
      </c>
      <c r="U26" s="265" t="n">
        <v>0.075</v>
      </c>
    </row>
    <row r="27" ht="15.5" customHeight="1" s="8">
      <c r="A27" s="332" t="n"/>
      <c r="B27" s="332" t="n"/>
      <c r="C27" s="332" t="n"/>
      <c r="D27" s="332" t="n"/>
      <c r="E27" s="332" t="n"/>
      <c r="F27" s="332" t="n"/>
      <c r="G27" s="332" t="n"/>
      <c r="H27" s="332" t="n"/>
      <c r="I27" s="332" t="n"/>
      <c r="J27" s="332" t="n"/>
      <c r="K27" s="332" t="n"/>
      <c r="L27" s="332" t="n"/>
      <c r="M27" s="332" t="n"/>
      <c r="N27" s="332" t="n"/>
      <c r="O27" s="332" t="n"/>
      <c r="P27" s="332" t="n"/>
      <c r="Q27" s="332" t="n"/>
      <c r="R27" s="332" t="n"/>
      <c r="S27" s="332" t="n"/>
      <c r="T27" s="24" t="inlineStr">
        <is>
          <t>国元证券自营</t>
        </is>
      </c>
      <c r="U27" s="265" t="n">
        <v>0.075</v>
      </c>
    </row>
    <row r="28" ht="15.5" customHeight="1" s="8">
      <c r="A28" s="332" t="n"/>
      <c r="B28" s="332" t="n"/>
      <c r="C28" s="332" t="n"/>
      <c r="D28" s="332" t="n"/>
      <c r="E28" s="332" t="n"/>
      <c r="F28" s="332" t="n"/>
      <c r="G28" s="332" t="n"/>
      <c r="H28" s="332" t="n"/>
      <c r="I28" s="332" t="n"/>
      <c r="J28" s="332" t="n"/>
      <c r="K28" s="332" t="n"/>
      <c r="L28" s="332" t="n"/>
      <c r="M28" s="332" t="n"/>
      <c r="N28" s="332" t="n"/>
      <c r="O28" s="332" t="n"/>
      <c r="P28" s="332" t="n"/>
      <c r="Q28" s="332" t="n"/>
      <c r="R28" s="332" t="n"/>
      <c r="S28" s="332" t="n"/>
      <c r="T28" s="24" t="inlineStr">
        <is>
          <t>国信证券自营</t>
        </is>
      </c>
      <c r="U28" s="226" t="n">
        <v>0.1</v>
      </c>
    </row>
    <row r="29" ht="15.5" customHeight="1" s="8">
      <c r="A29" s="333" t="n"/>
      <c r="B29" s="333" t="n"/>
      <c r="C29" s="333" t="n"/>
      <c r="D29" s="333" t="n"/>
      <c r="E29" s="333" t="n"/>
      <c r="F29" s="333" t="n"/>
      <c r="G29" s="333" t="n"/>
      <c r="H29" s="333" t="n"/>
      <c r="I29" s="333" t="n"/>
      <c r="J29" s="333" t="n"/>
      <c r="K29" s="333" t="n"/>
      <c r="L29" s="333" t="n"/>
      <c r="M29" s="333" t="n"/>
      <c r="N29" s="333" t="n"/>
      <c r="O29" s="333" t="n"/>
      <c r="P29" s="333" t="n"/>
      <c r="Q29" s="333" t="n"/>
      <c r="R29" s="333" t="n"/>
      <c r="S29" s="333" t="n"/>
      <c r="T29" s="24" t="inlineStr">
        <is>
          <t>中信建投投顾</t>
        </is>
      </c>
      <c r="U29" s="226" t="n">
        <v>0.1</v>
      </c>
    </row>
    <row r="30" ht="15.5" customHeight="1" s="8">
      <c r="A30" s="220" t="inlineStr">
        <is>
          <t>2月</t>
        </is>
      </c>
      <c r="B30" s="220" t="inlineStr">
        <is>
          <t>消金</t>
        </is>
      </c>
      <c r="C30" s="220" t="inlineStr">
        <is>
          <t>信托金条</t>
        </is>
      </c>
      <c r="D30" s="220" t="inlineStr">
        <is>
          <t>耘睿24-5</t>
        </is>
      </c>
      <c r="E30" s="220" t="inlineStr">
        <is>
          <t>上交所</t>
        </is>
      </c>
      <c r="F30" s="220" t="inlineStr">
        <is>
          <t>财通资管</t>
        </is>
      </c>
      <c r="G30" s="220" t="inlineStr">
        <is>
          <t>中信证券</t>
        </is>
      </c>
      <c r="H30" s="220" t="inlineStr">
        <is>
          <t>工行天津</t>
        </is>
      </c>
      <c r="I30" s="220" t="n">
        <v>10</v>
      </c>
      <c r="J30" s="220" t="inlineStr">
        <is>
          <t>11+13</t>
        </is>
      </c>
      <c r="K30" s="224" t="n">
        <v>46079</v>
      </c>
      <c r="L30" s="225" t="n">
        <v>0.0158</v>
      </c>
      <c r="M30" s="311" t="n">
        <v>0.02088</v>
      </c>
      <c r="N30" s="226" t="n">
        <v>3.77</v>
      </c>
      <c r="O30" s="220" t="inlineStr">
        <is>
          <t>优先A</t>
        </is>
      </c>
      <c r="P30" s="221" t="n">
        <v>0.9</v>
      </c>
      <c r="Q30" s="308" t="n">
        <v>9</v>
      </c>
      <c r="R30" s="220" t="inlineStr">
        <is>
          <t>AAA</t>
        </is>
      </c>
      <c r="S30" s="221" t="n">
        <v>0.018</v>
      </c>
      <c r="T30" s="265" t="inlineStr">
        <is>
          <t>平安理财</t>
        </is>
      </c>
      <c r="U30" s="25" t="n">
        <v>2.25</v>
      </c>
    </row>
    <row r="31" ht="15.5" customHeight="1" s="8">
      <c r="A31" s="332" t="n"/>
      <c r="B31" s="332" t="n"/>
      <c r="C31" s="332" t="n"/>
      <c r="D31" s="332" t="n"/>
      <c r="E31" s="332" t="n"/>
      <c r="F31" s="332" t="n"/>
      <c r="G31" s="332" t="n"/>
      <c r="H31" s="332" t="n"/>
      <c r="I31" s="332" t="n"/>
      <c r="J31" s="332" t="n"/>
      <c r="K31" s="332" t="n"/>
      <c r="L31" s="332" t="n"/>
      <c r="M31" s="332" t="n"/>
      <c r="N31" s="332" t="n"/>
      <c r="O31" s="332" t="n"/>
      <c r="P31" s="332" t="n"/>
      <c r="Q31" s="332" t="n"/>
      <c r="R31" s="332" t="n"/>
      <c r="S31" s="332" t="n"/>
      <c r="T31" s="24" t="inlineStr">
        <is>
          <t>中银理财</t>
        </is>
      </c>
      <c r="U31" s="25" t="n">
        <v>0.8</v>
      </c>
    </row>
    <row r="32" ht="15.5" customHeight="1" s="8">
      <c r="A32" s="332" t="n"/>
      <c r="B32" s="332" t="n"/>
      <c r="C32" s="332" t="n"/>
      <c r="D32" s="332" t="n"/>
      <c r="E32" s="332" t="n"/>
      <c r="F32" s="332" t="n"/>
      <c r="G32" s="332" t="n"/>
      <c r="H32" s="332" t="n"/>
      <c r="I32" s="332" t="n"/>
      <c r="J32" s="332" t="n"/>
      <c r="K32" s="332" t="n"/>
      <c r="L32" s="332" t="n"/>
      <c r="M32" s="332" t="n"/>
      <c r="N32" s="332" t="n"/>
      <c r="O32" s="332" t="n"/>
      <c r="P32" s="332" t="n"/>
      <c r="Q32" s="332" t="n"/>
      <c r="R32" s="332" t="n"/>
      <c r="S32" s="332" t="n"/>
      <c r="T32" s="24" t="inlineStr">
        <is>
          <t>华泰资管</t>
        </is>
      </c>
      <c r="U32" s="25" t="n">
        <v>0.1</v>
      </c>
    </row>
    <row r="33" ht="15.5" customHeight="1" s="8">
      <c r="A33" s="332" t="n"/>
      <c r="B33" s="332" t="n"/>
      <c r="C33" s="332" t="n"/>
      <c r="D33" s="332" t="n"/>
      <c r="E33" s="332" t="n"/>
      <c r="F33" s="332" t="n"/>
      <c r="G33" s="332" t="n"/>
      <c r="H33" s="332" t="n"/>
      <c r="I33" s="332" t="n"/>
      <c r="J33" s="332" t="n"/>
      <c r="K33" s="332" t="n"/>
      <c r="L33" s="332" t="n"/>
      <c r="M33" s="332" t="n"/>
      <c r="N33" s="332" t="n"/>
      <c r="O33" s="332" t="n"/>
      <c r="P33" s="332" t="n"/>
      <c r="Q33" s="332" t="n"/>
      <c r="R33" s="332" t="n"/>
      <c r="S33" s="332" t="n"/>
      <c r="T33" s="24" t="inlineStr">
        <is>
          <t>交银理财</t>
        </is>
      </c>
      <c r="U33" s="25" t="n">
        <v>0.3</v>
      </c>
    </row>
    <row r="34" ht="15.5" customHeight="1" s="8">
      <c r="A34" s="332" t="n"/>
      <c r="B34" s="332" t="n"/>
      <c r="C34" s="332" t="n"/>
      <c r="D34" s="332" t="n"/>
      <c r="E34" s="332" t="n"/>
      <c r="F34" s="332" t="n"/>
      <c r="G34" s="332" t="n"/>
      <c r="H34" s="332" t="n"/>
      <c r="I34" s="332" t="n"/>
      <c r="J34" s="332" t="n"/>
      <c r="K34" s="332" t="n"/>
      <c r="L34" s="332" t="n"/>
      <c r="M34" s="332" t="n"/>
      <c r="N34" s="332" t="n"/>
      <c r="O34" s="332" t="n"/>
      <c r="P34" s="332" t="n"/>
      <c r="Q34" s="332" t="n"/>
      <c r="R34" s="332" t="n"/>
      <c r="S34" s="332" t="n"/>
      <c r="T34" s="24" t="inlineStr">
        <is>
          <t>华夏基金</t>
        </is>
      </c>
      <c r="U34" s="25" t="n">
        <v>0.52</v>
      </c>
    </row>
    <row r="35" ht="15.5" customHeight="1" s="8">
      <c r="A35" s="332" t="n"/>
      <c r="B35" s="332" t="n"/>
      <c r="C35" s="332" t="n"/>
      <c r="D35" s="332" t="n"/>
      <c r="E35" s="332" t="n"/>
      <c r="F35" s="332" t="n"/>
      <c r="G35" s="332" t="n"/>
      <c r="H35" s="332" t="n"/>
      <c r="I35" s="332" t="n"/>
      <c r="J35" s="332" t="n"/>
      <c r="K35" s="332" t="n"/>
      <c r="L35" s="332" t="n"/>
      <c r="M35" s="332" t="n"/>
      <c r="N35" s="332" t="n"/>
      <c r="O35" s="332" t="n"/>
      <c r="P35" s="332" t="n"/>
      <c r="Q35" s="332" t="n"/>
      <c r="R35" s="332" t="n"/>
      <c r="S35" s="332" t="n"/>
      <c r="T35" s="24" t="inlineStr">
        <is>
          <t>工银理财</t>
        </is>
      </c>
      <c r="U35" s="25" t="n">
        <v>0.86</v>
      </c>
    </row>
    <row r="36" ht="15.5" customHeight="1" s="8">
      <c r="A36" s="332" t="n"/>
      <c r="B36" s="332" t="n"/>
      <c r="C36" s="332" t="n"/>
      <c r="D36" s="332" t="n"/>
      <c r="E36" s="332" t="n"/>
      <c r="F36" s="332" t="n"/>
      <c r="G36" s="332" t="n"/>
      <c r="H36" s="332" t="n"/>
      <c r="I36" s="332" t="n"/>
      <c r="J36" s="332" t="n"/>
      <c r="K36" s="332" t="n"/>
      <c r="L36" s="332" t="n"/>
      <c r="M36" s="332" t="n"/>
      <c r="N36" s="332" t="n"/>
      <c r="O36" s="332" t="n"/>
      <c r="P36" s="332" t="n"/>
      <c r="Q36" s="332" t="n"/>
      <c r="R36" s="332" t="n"/>
      <c r="S36" s="332" t="n"/>
      <c r="T36" s="24" t="inlineStr">
        <is>
          <t>中邮理财</t>
        </is>
      </c>
      <c r="U36" s="25" t="n">
        <v>1.52</v>
      </c>
    </row>
    <row r="37" ht="15.5" customHeight="1" s="8">
      <c r="A37" s="332" t="n"/>
      <c r="B37" s="332" t="n"/>
      <c r="C37" s="332" t="n"/>
      <c r="D37" s="332" t="n"/>
      <c r="E37" s="332" t="n"/>
      <c r="F37" s="332" t="n"/>
      <c r="G37" s="332" t="n"/>
      <c r="H37" s="332" t="n"/>
      <c r="I37" s="332" t="n"/>
      <c r="J37" s="332" t="n"/>
      <c r="K37" s="332" t="n"/>
      <c r="L37" s="332" t="n"/>
      <c r="M37" s="332" t="n"/>
      <c r="N37" s="332" t="n"/>
      <c r="O37" s="332" t="n"/>
      <c r="P37" s="332" t="n"/>
      <c r="Q37" s="332" t="n"/>
      <c r="R37" s="332" t="n"/>
      <c r="S37" s="332" t="n"/>
      <c r="T37" s="24" t="inlineStr">
        <is>
          <t>广银理财</t>
        </is>
      </c>
      <c r="U37" s="25" t="n">
        <v>1.15</v>
      </c>
    </row>
    <row r="38" ht="15.5" customHeight="1" s="8">
      <c r="A38" s="332" t="n"/>
      <c r="B38" s="332" t="n"/>
      <c r="C38" s="332" t="n"/>
      <c r="D38" s="332" t="n"/>
      <c r="E38" s="332" t="n"/>
      <c r="F38" s="332" t="n"/>
      <c r="G38" s="332" t="n"/>
      <c r="H38" s="332" t="n"/>
      <c r="I38" s="332" t="n"/>
      <c r="J38" s="332" t="n"/>
      <c r="K38" s="332" t="n"/>
      <c r="L38" s="332" t="n"/>
      <c r="M38" s="332" t="n"/>
      <c r="N38" s="332" t="n"/>
      <c r="O38" s="332" t="n"/>
      <c r="P38" s="332" t="n"/>
      <c r="Q38" s="332" t="n"/>
      <c r="R38" s="332" t="n"/>
      <c r="S38" s="332" t="n"/>
      <c r="T38" s="24" t="inlineStr">
        <is>
          <t>杭州联合银行</t>
        </is>
      </c>
      <c r="U38" s="25" t="n">
        <v>0.6</v>
      </c>
    </row>
    <row r="39" ht="15.5" customHeight="1" s="8">
      <c r="A39" s="332" t="n"/>
      <c r="B39" s="332" t="n"/>
      <c r="C39" s="332" t="n"/>
      <c r="D39" s="332" t="n"/>
      <c r="E39" s="332" t="n"/>
      <c r="F39" s="332" t="n"/>
      <c r="G39" s="332" t="n"/>
      <c r="H39" s="332" t="n"/>
      <c r="I39" s="332" t="n"/>
      <c r="J39" s="332" t="n"/>
      <c r="K39" s="332" t="n"/>
      <c r="L39" s="332" t="n"/>
      <c r="M39" s="332" t="n"/>
      <c r="N39" s="332" t="n"/>
      <c r="O39" s="333" t="n"/>
      <c r="P39" s="333" t="n"/>
      <c r="Q39" s="333" t="n"/>
      <c r="R39" s="333" t="n"/>
      <c r="S39" s="333" t="n"/>
      <c r="T39" s="265" t="inlineStr">
        <is>
          <t>厦门国际银行</t>
        </is>
      </c>
      <c r="U39" s="25" t="n">
        <v>0.9</v>
      </c>
    </row>
    <row r="40" ht="15.5" customHeight="1" s="8">
      <c r="A40" s="332" t="n"/>
      <c r="B40" s="332" t="n"/>
      <c r="C40" s="332" t="n"/>
      <c r="D40" s="332" t="n"/>
      <c r="E40" s="332" t="n"/>
      <c r="F40" s="332" t="n"/>
      <c r="G40" s="332" t="n"/>
      <c r="H40" s="332" t="n"/>
      <c r="I40" s="332" t="n"/>
      <c r="J40" s="332" t="n"/>
      <c r="K40" s="332" t="n"/>
      <c r="L40" s="332" t="n"/>
      <c r="M40" s="332" t="n"/>
      <c r="N40" s="332" t="n"/>
      <c r="O40" s="220" t="inlineStr">
        <is>
          <t>优先B</t>
        </is>
      </c>
      <c r="P40" s="221" t="n">
        <v>0.03</v>
      </c>
      <c r="Q40" s="308" t="n">
        <v>0.3</v>
      </c>
      <c r="R40" s="221" t="inlineStr">
        <is>
          <t>AA+</t>
        </is>
      </c>
      <c r="S40" s="221" t="n">
        <v>0.02</v>
      </c>
      <c r="T40" s="265" t="inlineStr">
        <is>
          <t>交银理财</t>
        </is>
      </c>
      <c r="U40" s="29" t="n">
        <v>0.09</v>
      </c>
    </row>
    <row r="41" ht="15.5" customHeight="1" s="8">
      <c r="A41" s="332" t="n"/>
      <c r="B41" s="332" t="n"/>
      <c r="C41" s="332" t="n"/>
      <c r="D41" s="332" t="n"/>
      <c r="E41" s="332" t="n"/>
      <c r="F41" s="332" t="n"/>
      <c r="G41" s="332" t="n"/>
      <c r="H41" s="332" t="n"/>
      <c r="I41" s="332" t="n"/>
      <c r="J41" s="332" t="n"/>
      <c r="K41" s="332" t="n"/>
      <c r="L41" s="332" t="n"/>
      <c r="M41" s="332" t="n"/>
      <c r="N41" s="332" t="n"/>
      <c r="O41" s="332" t="n"/>
      <c r="P41" s="332" t="n"/>
      <c r="Q41" s="332" t="n"/>
      <c r="R41" s="332" t="n"/>
      <c r="S41" s="332" t="n"/>
      <c r="T41" s="265" t="inlineStr">
        <is>
          <t>远行基金</t>
        </is>
      </c>
      <c r="U41" s="29" t="n">
        <v>0.05</v>
      </c>
    </row>
    <row r="42" ht="15.5" customHeight="1" s="8">
      <c r="A42" s="332" t="n"/>
      <c r="B42" s="332" t="n"/>
      <c r="C42" s="332" t="n"/>
      <c r="D42" s="332" t="n"/>
      <c r="E42" s="332" t="n"/>
      <c r="F42" s="332" t="n"/>
      <c r="G42" s="332" t="n"/>
      <c r="H42" s="332" t="n"/>
      <c r="I42" s="332" t="n"/>
      <c r="J42" s="332" t="n"/>
      <c r="K42" s="332" t="n"/>
      <c r="L42" s="332" t="n"/>
      <c r="M42" s="332" t="n"/>
      <c r="N42" s="332" t="n"/>
      <c r="O42" s="332" t="n"/>
      <c r="P42" s="332" t="n"/>
      <c r="Q42" s="332" t="n"/>
      <c r="R42" s="332" t="n"/>
      <c r="S42" s="332" t="n"/>
      <c r="T42" s="265" t="inlineStr">
        <is>
          <t>建信信托</t>
        </is>
      </c>
      <c r="U42" s="29" t="n">
        <v>0.15</v>
      </c>
    </row>
    <row r="43" ht="15.5" customHeight="1" s="8">
      <c r="A43" s="332" t="n"/>
      <c r="B43" s="332" t="n"/>
      <c r="C43" s="332" t="n"/>
      <c r="D43" s="332" t="n"/>
      <c r="E43" s="332" t="n"/>
      <c r="F43" s="332" t="n"/>
      <c r="G43" s="332" t="n"/>
      <c r="H43" s="332" t="n"/>
      <c r="I43" s="332" t="n"/>
      <c r="J43" s="332" t="n"/>
      <c r="K43" s="332" t="n"/>
      <c r="L43" s="332" t="n"/>
      <c r="M43" s="332" t="n"/>
      <c r="N43" s="332" t="n"/>
      <c r="O43" s="333" t="n"/>
      <c r="P43" s="333" t="n"/>
      <c r="Q43" s="333" t="n"/>
      <c r="R43" s="333" t="n"/>
      <c r="S43" s="333" t="n"/>
      <c r="T43" s="24" t="inlineStr">
        <is>
          <t>财通资管</t>
        </is>
      </c>
      <c r="U43" s="29" t="n">
        <v>0.01</v>
      </c>
    </row>
    <row r="44" ht="15.5" customHeight="1" s="8">
      <c r="A44" s="332" t="n"/>
      <c r="B44" s="332" t="n"/>
      <c r="C44" s="332" t="n"/>
      <c r="D44" s="332" t="n"/>
      <c r="E44" s="332" t="n"/>
      <c r="F44" s="332" t="n"/>
      <c r="G44" s="332" t="n"/>
      <c r="H44" s="332" t="n"/>
      <c r="I44" s="332" t="n"/>
      <c r="J44" s="332" t="n"/>
      <c r="K44" s="332" t="n"/>
      <c r="L44" s="332" t="n"/>
      <c r="M44" s="332" t="n"/>
      <c r="N44" s="332" t="n"/>
      <c r="O44" s="220" t="inlineStr">
        <is>
          <t>中间级</t>
        </is>
      </c>
      <c r="P44" s="221" t="n">
        <v>0.02</v>
      </c>
      <c r="Q44" s="308" t="n">
        <v>0.2</v>
      </c>
      <c r="R44" s="221" t="inlineStr">
        <is>
          <t>AA-</t>
        </is>
      </c>
      <c r="S44" s="221" t="n">
        <v>0.031</v>
      </c>
      <c r="T44" s="265" t="inlineStr">
        <is>
          <t>沛轩投资</t>
        </is>
      </c>
      <c r="U44" s="265" t="n">
        <v>0.1</v>
      </c>
    </row>
    <row r="45" ht="15.5" customHeight="1" s="8">
      <c r="A45" s="332" t="n"/>
      <c r="B45" s="332" t="n"/>
      <c r="C45" s="332" t="n"/>
      <c r="D45" s="332" t="n"/>
      <c r="E45" s="332" t="n"/>
      <c r="F45" s="332" t="n"/>
      <c r="G45" s="332" t="n"/>
      <c r="H45" s="332" t="n"/>
      <c r="I45" s="332" t="n"/>
      <c r="J45" s="332" t="n"/>
      <c r="K45" s="332" t="n"/>
      <c r="L45" s="332" t="n"/>
      <c r="M45" s="332" t="n"/>
      <c r="N45" s="332" t="n"/>
      <c r="O45" s="332" t="n"/>
      <c r="P45" s="332" t="n"/>
      <c r="Q45" s="332" t="n"/>
      <c r="R45" s="332" t="n"/>
      <c r="S45" s="332" t="n"/>
      <c r="T45" s="265" t="inlineStr">
        <is>
          <t>远东宏信</t>
        </is>
      </c>
      <c r="U45" s="265" t="n">
        <v>0.05</v>
      </c>
    </row>
    <row r="46" ht="15.5" customHeight="1" s="8">
      <c r="A46" s="332" t="n"/>
      <c r="B46" s="332" t="n"/>
      <c r="C46" s="332" t="n"/>
      <c r="D46" s="332" t="n"/>
      <c r="E46" s="332" t="n"/>
      <c r="F46" s="332" t="n"/>
      <c r="G46" s="332" t="n"/>
      <c r="H46" s="332" t="n"/>
      <c r="I46" s="332" t="n"/>
      <c r="J46" s="332" t="n"/>
      <c r="K46" s="332" t="n"/>
      <c r="L46" s="332" t="n"/>
      <c r="M46" s="332" t="n"/>
      <c r="N46" s="332" t="n"/>
      <c r="O46" s="333" t="n"/>
      <c r="P46" s="333" t="n"/>
      <c r="Q46" s="333" t="n"/>
      <c r="R46" s="333" t="n"/>
      <c r="S46" s="333" t="n"/>
      <c r="T46" s="265" t="inlineStr">
        <is>
          <t>中泰证券自营</t>
        </is>
      </c>
      <c r="U46" s="265" t="n">
        <v>0.05</v>
      </c>
    </row>
    <row r="47" ht="15.5" customHeight="1" s="8">
      <c r="A47" s="333" t="n"/>
      <c r="B47" s="333" t="n"/>
      <c r="C47" s="333" t="n"/>
      <c r="D47" s="333" t="n"/>
      <c r="E47" s="333" t="n"/>
      <c r="F47" s="333" t="n"/>
      <c r="G47" s="333" t="n"/>
      <c r="H47" s="333" t="n"/>
      <c r="I47" s="333" t="n"/>
      <c r="J47" s="333" t="n"/>
      <c r="K47" s="333" t="n"/>
      <c r="L47" s="333" t="n"/>
      <c r="M47" s="333" t="n"/>
      <c r="N47" s="333" t="n"/>
      <c r="O47" s="227" t="inlineStr">
        <is>
          <t>受益权</t>
        </is>
      </c>
      <c r="P47" s="231" t="n">
        <v>0.05</v>
      </c>
      <c r="Q47" s="320" t="n">
        <v>0.5</v>
      </c>
      <c r="R47" s="231" t="inlineStr">
        <is>
          <t>无</t>
        </is>
      </c>
      <c r="S47" s="231" t="inlineStr">
        <is>
          <t>-</t>
        </is>
      </c>
      <c r="T47" s="24" t="inlineStr">
        <is>
          <t>员工理财</t>
        </is>
      </c>
      <c r="U47" s="226" t="n">
        <v>0.5</v>
      </c>
    </row>
    <row r="48" ht="15.5" customHeight="1" s="8">
      <c r="A48" s="220" t="inlineStr">
        <is>
          <t>2月</t>
        </is>
      </c>
      <c r="B48" s="220" t="inlineStr">
        <is>
          <t>消金</t>
        </is>
      </c>
      <c r="C48" s="220" t="inlineStr">
        <is>
          <t>信托金条</t>
        </is>
      </c>
      <c r="D48" s="220" t="inlineStr">
        <is>
          <t>耘睿24-6</t>
        </is>
      </c>
      <c r="E48" s="220" t="inlineStr">
        <is>
          <t>上交所</t>
        </is>
      </c>
      <c r="F48" s="220" t="inlineStr">
        <is>
          <t>国泰海通</t>
        </is>
      </c>
      <c r="G48" s="220" t="inlineStr">
        <is>
          <t>平安证券</t>
        </is>
      </c>
      <c r="H48" s="220" t="inlineStr">
        <is>
          <t>民生北分</t>
        </is>
      </c>
      <c r="I48" s="220" t="n">
        <v>10</v>
      </c>
      <c r="J48" s="220" t="inlineStr">
        <is>
          <t>11+13</t>
        </is>
      </c>
      <c r="K48" s="224" t="n">
        <v>46080</v>
      </c>
      <c r="L48" s="225" t="n">
        <v>0.01595</v>
      </c>
      <c r="M48" s="311" t="n">
        <v>0.02087</v>
      </c>
      <c r="N48" s="226" t="n">
        <v>2.585</v>
      </c>
      <c r="O48" s="220" t="inlineStr">
        <is>
          <t>优先A</t>
        </is>
      </c>
      <c r="P48" s="221" t="n">
        <v>0.9</v>
      </c>
      <c r="Q48" s="308" t="n">
        <v>9</v>
      </c>
      <c r="R48" s="220" t="inlineStr">
        <is>
          <t>AAA</t>
        </is>
      </c>
      <c r="S48" s="221" t="n">
        <v>0.018</v>
      </c>
      <c r="T48" s="265" t="inlineStr">
        <is>
          <t>交银理财</t>
        </is>
      </c>
      <c r="U48" s="25" t="n">
        <v>2.25</v>
      </c>
    </row>
    <row r="49" ht="15.5" customHeight="1" s="8">
      <c r="A49" s="332" t="n"/>
      <c r="B49" s="332" t="n"/>
      <c r="C49" s="332" t="n"/>
      <c r="D49" s="332" t="n"/>
      <c r="E49" s="332" t="n"/>
      <c r="F49" s="332" t="n"/>
      <c r="G49" s="332" t="n"/>
      <c r="H49" s="332" t="n"/>
      <c r="I49" s="332" t="n"/>
      <c r="J49" s="332" t="n"/>
      <c r="K49" s="332" t="n"/>
      <c r="L49" s="332" t="n"/>
      <c r="M49" s="332" t="n"/>
      <c r="N49" s="332" t="n"/>
      <c r="O49" s="332" t="n"/>
      <c r="P49" s="332" t="n"/>
      <c r="Q49" s="332" t="n"/>
      <c r="R49" s="332" t="n"/>
      <c r="S49" s="332" t="n"/>
      <c r="T49" s="24" t="inlineStr">
        <is>
          <t>平安理财</t>
        </is>
      </c>
      <c r="U49" s="25" t="n">
        <v>2.25</v>
      </c>
    </row>
    <row r="50" ht="15.5" customHeight="1" s="8">
      <c r="A50" s="332" t="n"/>
      <c r="B50" s="332" t="n"/>
      <c r="C50" s="332" t="n"/>
      <c r="D50" s="332" t="n"/>
      <c r="E50" s="332" t="n"/>
      <c r="F50" s="332" t="n"/>
      <c r="G50" s="332" t="n"/>
      <c r="H50" s="332" t="n"/>
      <c r="I50" s="332" t="n"/>
      <c r="J50" s="332" t="n"/>
      <c r="K50" s="332" t="n"/>
      <c r="L50" s="332" t="n"/>
      <c r="M50" s="332" t="n"/>
      <c r="N50" s="332" t="n"/>
      <c r="O50" s="332" t="n"/>
      <c r="P50" s="332" t="n"/>
      <c r="Q50" s="332" t="n"/>
      <c r="R50" s="332" t="n"/>
      <c r="S50" s="332" t="n"/>
      <c r="T50" s="24" t="inlineStr">
        <is>
          <t>厦门国际银行</t>
        </is>
      </c>
      <c r="U50" s="25" t="n">
        <v>1.4</v>
      </c>
    </row>
    <row r="51" ht="15.5" customHeight="1" s="8">
      <c r="A51" s="332" t="n"/>
      <c r="B51" s="332" t="n"/>
      <c r="C51" s="332" t="n"/>
      <c r="D51" s="332" t="n"/>
      <c r="E51" s="332" t="n"/>
      <c r="F51" s="332" t="n"/>
      <c r="G51" s="332" t="n"/>
      <c r="H51" s="332" t="n"/>
      <c r="I51" s="332" t="n"/>
      <c r="J51" s="332" t="n"/>
      <c r="K51" s="332" t="n"/>
      <c r="L51" s="332" t="n"/>
      <c r="M51" s="332" t="n"/>
      <c r="N51" s="332" t="n"/>
      <c r="O51" s="332" t="n"/>
      <c r="P51" s="332" t="n"/>
      <c r="Q51" s="332" t="n"/>
      <c r="R51" s="332" t="n"/>
      <c r="S51" s="332" t="n"/>
      <c r="T51" s="24" t="inlineStr">
        <is>
          <t>工银理财</t>
        </is>
      </c>
      <c r="U51" s="25" t="n">
        <v>1.3</v>
      </c>
    </row>
    <row r="52" ht="15.5" customHeight="1" s="8">
      <c r="A52" s="332" t="n"/>
      <c r="B52" s="332" t="n"/>
      <c r="C52" s="332" t="n"/>
      <c r="D52" s="332" t="n"/>
      <c r="E52" s="332" t="n"/>
      <c r="F52" s="332" t="n"/>
      <c r="G52" s="332" t="n"/>
      <c r="H52" s="332" t="n"/>
      <c r="I52" s="332" t="n"/>
      <c r="J52" s="332" t="n"/>
      <c r="K52" s="332" t="n"/>
      <c r="L52" s="332" t="n"/>
      <c r="M52" s="332" t="n"/>
      <c r="N52" s="332" t="n"/>
      <c r="O52" s="332" t="n"/>
      <c r="P52" s="332" t="n"/>
      <c r="Q52" s="332" t="n"/>
      <c r="R52" s="332" t="n"/>
      <c r="S52" s="332" t="n"/>
      <c r="T52" s="24" t="inlineStr">
        <is>
          <t>中银理财</t>
        </is>
      </c>
      <c r="U52" s="25" t="n">
        <v>1</v>
      </c>
    </row>
    <row r="53" ht="15.5" customHeight="1" s="8">
      <c r="A53" s="332" t="n"/>
      <c r="B53" s="332" t="n"/>
      <c r="C53" s="332" t="n"/>
      <c r="D53" s="332" t="n"/>
      <c r="E53" s="332" t="n"/>
      <c r="F53" s="332" t="n"/>
      <c r="G53" s="332" t="n"/>
      <c r="H53" s="332" t="n"/>
      <c r="I53" s="332" t="n"/>
      <c r="J53" s="332" t="n"/>
      <c r="K53" s="332" t="n"/>
      <c r="L53" s="332" t="n"/>
      <c r="M53" s="332" t="n"/>
      <c r="N53" s="332" t="n"/>
      <c r="O53" s="333" t="n"/>
      <c r="P53" s="333" t="n"/>
      <c r="Q53" s="333" t="n"/>
      <c r="R53" s="333" t="n"/>
      <c r="S53" s="333" t="n"/>
      <c r="T53" s="24" t="inlineStr">
        <is>
          <t>广银理财</t>
        </is>
      </c>
      <c r="U53" s="25" t="n">
        <v>0.8</v>
      </c>
    </row>
    <row r="54" ht="15.5" customHeight="1" s="8">
      <c r="A54" s="332" t="n"/>
      <c r="B54" s="332" t="n"/>
      <c r="C54" s="332" t="n"/>
      <c r="D54" s="332" t="n"/>
      <c r="E54" s="332" t="n"/>
      <c r="F54" s="332" t="n"/>
      <c r="G54" s="332" t="n"/>
      <c r="H54" s="332" t="n"/>
      <c r="I54" s="332" t="n"/>
      <c r="J54" s="332" t="n"/>
      <c r="K54" s="332" t="n"/>
      <c r="L54" s="332" t="n"/>
      <c r="M54" s="332" t="n"/>
      <c r="N54" s="332" t="n"/>
      <c r="O54" s="220" t="inlineStr">
        <is>
          <t>优先B</t>
        </is>
      </c>
      <c r="P54" s="221" t="n">
        <v>0.03</v>
      </c>
      <c r="Q54" s="308" t="n">
        <v>0.3</v>
      </c>
      <c r="R54" s="221" t="inlineStr">
        <is>
          <t>AA+</t>
        </is>
      </c>
      <c r="S54" s="221" t="n">
        <v>0.02</v>
      </c>
      <c r="T54" s="265" t="inlineStr">
        <is>
          <t>建信信托</t>
        </is>
      </c>
      <c r="U54" s="29" t="n">
        <v>0.14</v>
      </c>
    </row>
    <row r="55" ht="15.5" customHeight="1" s="8">
      <c r="A55" s="332" t="n"/>
      <c r="B55" s="332" t="n"/>
      <c r="C55" s="332" t="n"/>
      <c r="D55" s="332" t="n"/>
      <c r="E55" s="332" t="n"/>
      <c r="F55" s="332" t="n"/>
      <c r="G55" s="332" t="n"/>
      <c r="H55" s="332" t="n"/>
      <c r="I55" s="332" t="n"/>
      <c r="J55" s="332" t="n"/>
      <c r="K55" s="332" t="n"/>
      <c r="L55" s="332" t="n"/>
      <c r="M55" s="332" t="n"/>
      <c r="N55" s="332" t="n"/>
      <c r="O55" s="332" t="n"/>
      <c r="P55" s="332" t="n"/>
      <c r="Q55" s="332" t="n"/>
      <c r="R55" s="332" t="n"/>
      <c r="S55" s="332" t="n"/>
      <c r="T55" s="265" t="inlineStr">
        <is>
          <t>交银理财</t>
        </is>
      </c>
      <c r="U55" s="29" t="n">
        <v>0.09</v>
      </c>
    </row>
    <row r="56" ht="15.5" customHeight="1" s="8">
      <c r="A56" s="332" t="n"/>
      <c r="B56" s="332" t="n"/>
      <c r="C56" s="332" t="n"/>
      <c r="D56" s="332" t="n"/>
      <c r="E56" s="332" t="n"/>
      <c r="F56" s="332" t="n"/>
      <c r="G56" s="332" t="n"/>
      <c r="H56" s="332" t="n"/>
      <c r="I56" s="332" t="n"/>
      <c r="J56" s="332" t="n"/>
      <c r="K56" s="332" t="n"/>
      <c r="L56" s="332" t="n"/>
      <c r="M56" s="332" t="n"/>
      <c r="N56" s="332" t="n"/>
      <c r="O56" s="333" t="n"/>
      <c r="P56" s="333" t="n"/>
      <c r="Q56" s="333" t="n"/>
      <c r="R56" s="333" t="n"/>
      <c r="S56" s="333" t="n"/>
      <c r="T56" s="24" t="inlineStr">
        <is>
          <t>平安理财</t>
        </is>
      </c>
      <c r="U56" s="29" t="n">
        <v>0.07000000000000001</v>
      </c>
    </row>
    <row r="57" ht="15.5" customHeight="1" s="8">
      <c r="A57" s="332" t="n"/>
      <c r="B57" s="332" t="n"/>
      <c r="C57" s="332" t="n"/>
      <c r="D57" s="332" t="n"/>
      <c r="E57" s="332" t="n"/>
      <c r="F57" s="332" t="n"/>
      <c r="G57" s="332" t="n"/>
      <c r="H57" s="332" t="n"/>
      <c r="I57" s="332" t="n"/>
      <c r="J57" s="332" t="n"/>
      <c r="K57" s="332" t="n"/>
      <c r="L57" s="332" t="n"/>
      <c r="M57" s="332" t="n"/>
      <c r="N57" s="332" t="n"/>
      <c r="O57" s="220" t="inlineStr">
        <is>
          <t>中间级</t>
        </is>
      </c>
      <c r="P57" s="221" t="n">
        <v>0.02</v>
      </c>
      <c r="Q57" s="308" t="n">
        <v>0.2</v>
      </c>
      <c r="R57" s="221" t="inlineStr">
        <is>
          <t>AA-</t>
        </is>
      </c>
      <c r="S57" s="221" t="n">
        <v>0.031</v>
      </c>
      <c r="T57" s="24" t="inlineStr">
        <is>
          <t>德邦证券自营</t>
        </is>
      </c>
      <c r="U57" s="226" t="n">
        <v>0.1</v>
      </c>
    </row>
    <row r="58" ht="15.5" customHeight="1" s="8">
      <c r="A58" s="332" t="n"/>
      <c r="B58" s="332" t="n"/>
      <c r="C58" s="332" t="n"/>
      <c r="D58" s="332" t="n"/>
      <c r="E58" s="332" t="n"/>
      <c r="F58" s="332" t="n"/>
      <c r="G58" s="332" t="n"/>
      <c r="H58" s="332" t="n"/>
      <c r="I58" s="332" t="n"/>
      <c r="J58" s="332" t="n"/>
      <c r="K58" s="332" t="n"/>
      <c r="L58" s="332" t="n"/>
      <c r="M58" s="332" t="n"/>
      <c r="N58" s="332" t="n"/>
      <c r="O58" s="333" t="n"/>
      <c r="P58" s="333" t="n"/>
      <c r="Q58" s="333" t="n"/>
      <c r="R58" s="333" t="n"/>
      <c r="S58" s="333" t="n"/>
      <c r="T58" s="24" t="inlineStr">
        <is>
          <t>中信建投衍生品</t>
        </is>
      </c>
      <c r="U58" s="226" t="n">
        <v>0.1</v>
      </c>
    </row>
    <row r="59" ht="15.5" customHeight="1" s="8">
      <c r="A59" s="333" t="n"/>
      <c r="B59" s="333" t="n"/>
      <c r="C59" s="333" t="n"/>
      <c r="D59" s="333" t="n"/>
      <c r="E59" s="333" t="n"/>
      <c r="F59" s="333" t="n"/>
      <c r="G59" s="333" t="n"/>
      <c r="H59" s="333" t="n"/>
      <c r="I59" s="333" t="n"/>
      <c r="J59" s="333" t="n"/>
      <c r="K59" s="333" t="n"/>
      <c r="L59" s="333" t="n"/>
      <c r="M59" s="333" t="n"/>
      <c r="N59" s="333" t="n"/>
      <c r="O59" s="220" t="inlineStr">
        <is>
          <t>受益权</t>
        </is>
      </c>
      <c r="P59" s="221" t="n">
        <v>0.05</v>
      </c>
      <c r="Q59" s="308" t="n">
        <v>0.5</v>
      </c>
      <c r="R59" s="221" t="inlineStr">
        <is>
          <t>无</t>
        </is>
      </c>
      <c r="S59" s="221" t="inlineStr">
        <is>
          <t>-</t>
        </is>
      </c>
      <c r="T59" s="265" t="inlineStr">
        <is>
          <t>员工理财</t>
        </is>
      </c>
      <c r="U59" s="226" t="n">
        <v>0.5</v>
      </c>
    </row>
    <row r="60" ht="15.5" customHeight="1" s="8">
      <c r="A60" s="305" t="inlineStr">
        <is>
          <t>3月</t>
        </is>
      </c>
      <c r="B60" s="305" t="inlineStr">
        <is>
          <t>消金</t>
        </is>
      </c>
      <c r="C60" s="305" t="inlineStr">
        <is>
          <t>信托金条</t>
        </is>
      </c>
      <c r="D60" s="305" t="inlineStr">
        <is>
          <t>耘睿23-9</t>
        </is>
      </c>
      <c r="E60" s="305" t="inlineStr">
        <is>
          <t>上交所</t>
        </is>
      </c>
      <c r="F60" s="305" t="inlineStr">
        <is>
          <t>中信建投</t>
        </is>
      </c>
      <c r="G60" s="305" t="inlineStr">
        <is>
          <t>兴业证券</t>
        </is>
      </c>
      <c r="H60" s="305" t="inlineStr">
        <is>
          <t>青岛银行总行</t>
        </is>
      </c>
      <c r="I60" s="245" t="n">
        <v>10</v>
      </c>
      <c r="J60" s="305" t="inlineStr">
        <is>
          <t>11+13</t>
        </is>
      </c>
      <c r="K60" s="246" t="n">
        <v>46111</v>
      </c>
      <c r="L60" s="247" t="n">
        <v>0.0153</v>
      </c>
      <c r="M60" s="306" t="n">
        <v>0.01992</v>
      </c>
      <c r="N60" s="245" t="n">
        <v>3.48</v>
      </c>
      <c r="O60" s="235" t="inlineStr">
        <is>
          <t>优先A</t>
        </is>
      </c>
      <c r="P60" s="236" t="n">
        <v>0.9</v>
      </c>
      <c r="Q60" s="307" t="n">
        <v>9</v>
      </c>
      <c r="R60" s="235" t="inlineStr">
        <is>
          <t>AAA</t>
        </is>
      </c>
      <c r="S60" s="236" t="n">
        <v>0.017</v>
      </c>
      <c r="T60" s="235" t="inlineStr">
        <is>
          <t>南银理财</t>
        </is>
      </c>
      <c r="U60" s="308" t="n">
        <v>1.8</v>
      </c>
    </row>
    <row r="61" ht="15.5" customHeight="1" s="8">
      <c r="A61" s="332" t="n"/>
      <c r="B61" s="332" t="n"/>
      <c r="C61" s="332" t="n"/>
      <c r="D61" s="332" t="n"/>
      <c r="E61" s="332" t="n"/>
      <c r="F61" s="332" t="n"/>
      <c r="G61" s="332" t="n"/>
      <c r="H61" s="332" t="n"/>
      <c r="I61" s="332" t="n"/>
      <c r="J61" s="332" t="n"/>
      <c r="K61" s="332" t="n"/>
      <c r="L61" s="332" t="n"/>
      <c r="M61" s="332" t="n"/>
      <c r="N61" s="332" t="n"/>
      <c r="O61" s="332" t="n"/>
      <c r="P61" s="332" t="n"/>
      <c r="Q61" s="332" t="n"/>
      <c r="R61" s="332" t="n"/>
      <c r="S61" s="332" t="n"/>
      <c r="T61" s="235" t="inlineStr">
        <is>
          <t>交银理财</t>
        </is>
      </c>
      <c r="U61" s="308" t="n">
        <v>2.38</v>
      </c>
    </row>
    <row r="62" ht="15.5" customHeight="1" s="8">
      <c r="A62" s="332" t="n"/>
      <c r="B62" s="332" t="n"/>
      <c r="C62" s="332" t="n"/>
      <c r="D62" s="332" t="n"/>
      <c r="E62" s="332" t="n"/>
      <c r="F62" s="332" t="n"/>
      <c r="G62" s="332" t="n"/>
      <c r="H62" s="332" t="n"/>
      <c r="I62" s="332" t="n"/>
      <c r="J62" s="332" t="n"/>
      <c r="K62" s="332" t="n"/>
      <c r="L62" s="332" t="n"/>
      <c r="M62" s="332" t="n"/>
      <c r="N62" s="332" t="n"/>
      <c r="O62" s="332" t="n"/>
      <c r="P62" s="332" t="n"/>
      <c r="Q62" s="332" t="n"/>
      <c r="R62" s="332" t="n"/>
      <c r="S62" s="332" t="n"/>
      <c r="T62" s="235" t="inlineStr">
        <is>
          <t>中银理财</t>
        </is>
      </c>
      <c r="U62" s="308" t="n">
        <v>2.38</v>
      </c>
    </row>
    <row r="63" ht="15.5" customHeight="1" s="8">
      <c r="A63" s="332" t="n"/>
      <c r="B63" s="332" t="n"/>
      <c r="C63" s="332" t="n"/>
      <c r="D63" s="332" t="n"/>
      <c r="E63" s="332" t="n"/>
      <c r="F63" s="332" t="n"/>
      <c r="G63" s="332" t="n"/>
      <c r="H63" s="332" t="n"/>
      <c r="I63" s="332" t="n"/>
      <c r="J63" s="332" t="n"/>
      <c r="K63" s="332" t="n"/>
      <c r="L63" s="332" t="n"/>
      <c r="M63" s="332" t="n"/>
      <c r="N63" s="332" t="n"/>
      <c r="O63" s="332" t="n"/>
      <c r="P63" s="332" t="n"/>
      <c r="Q63" s="332" t="n"/>
      <c r="R63" s="332" t="n"/>
      <c r="S63" s="332" t="n"/>
      <c r="T63" s="235" t="inlineStr">
        <is>
          <t>平安理财</t>
        </is>
      </c>
      <c r="U63" s="308" t="n">
        <v>0.06</v>
      </c>
    </row>
    <row r="64" ht="15.5" customHeight="1" s="8">
      <c r="A64" s="332" t="n"/>
      <c r="B64" s="332" t="n"/>
      <c r="C64" s="332" t="n"/>
      <c r="D64" s="332" t="n"/>
      <c r="E64" s="332" t="n"/>
      <c r="F64" s="332" t="n"/>
      <c r="G64" s="332" t="n"/>
      <c r="H64" s="332" t="n"/>
      <c r="I64" s="332" t="n"/>
      <c r="J64" s="332" t="n"/>
      <c r="K64" s="332" t="n"/>
      <c r="L64" s="332" t="n"/>
      <c r="M64" s="332" t="n"/>
      <c r="N64" s="332" t="n"/>
      <c r="O64" s="333" t="n"/>
      <c r="P64" s="333" t="n"/>
      <c r="Q64" s="333" t="n"/>
      <c r="R64" s="333" t="n"/>
      <c r="S64" s="333" t="n"/>
      <c r="T64" s="235" t="inlineStr">
        <is>
          <t>中邮理财</t>
        </is>
      </c>
      <c r="U64" s="308" t="n">
        <v>2.38</v>
      </c>
    </row>
    <row r="65" ht="15.5" customHeight="1" s="8">
      <c r="A65" s="332" t="n"/>
      <c r="B65" s="332" t="n"/>
      <c r="C65" s="332" t="n"/>
      <c r="D65" s="332" t="n"/>
      <c r="E65" s="332" t="n"/>
      <c r="F65" s="332" t="n"/>
      <c r="G65" s="332" t="n"/>
      <c r="H65" s="332" t="n"/>
      <c r="I65" s="332" t="n"/>
      <c r="J65" s="332" t="n"/>
      <c r="K65" s="332" t="n"/>
      <c r="L65" s="332" t="n"/>
      <c r="M65" s="332" t="n"/>
      <c r="N65" s="332" t="n"/>
      <c r="O65" s="235" t="inlineStr">
        <is>
          <t>优先B</t>
        </is>
      </c>
      <c r="P65" s="236" t="n">
        <v>0.03</v>
      </c>
      <c r="Q65" s="307" t="n">
        <v>0.3</v>
      </c>
      <c r="R65" s="235" t="inlineStr">
        <is>
          <t>AA+</t>
        </is>
      </c>
      <c r="S65" s="236" t="n">
        <v>0.0185</v>
      </c>
      <c r="T65" s="235" t="inlineStr">
        <is>
          <t>重庆农商理财</t>
        </is>
      </c>
      <c r="U65" s="308" t="n">
        <v>0.09</v>
      </c>
    </row>
    <row r="66" ht="15.5" customHeight="1" s="8">
      <c r="A66" s="332" t="n"/>
      <c r="B66" s="332" t="n"/>
      <c r="C66" s="332" t="n"/>
      <c r="D66" s="332" t="n"/>
      <c r="E66" s="332" t="n"/>
      <c r="F66" s="332" t="n"/>
      <c r="G66" s="332" t="n"/>
      <c r="H66" s="332" t="n"/>
      <c r="I66" s="332" t="n"/>
      <c r="J66" s="332" t="n"/>
      <c r="K66" s="332" t="n"/>
      <c r="L66" s="332" t="n"/>
      <c r="M66" s="332" t="n"/>
      <c r="N66" s="332" t="n"/>
      <c r="O66" s="332" t="n"/>
      <c r="P66" s="332" t="n"/>
      <c r="Q66" s="332" t="n"/>
      <c r="R66" s="332" t="n"/>
      <c r="S66" s="332" t="n"/>
      <c r="T66" s="235" t="inlineStr">
        <is>
          <t>交银理财</t>
        </is>
      </c>
      <c r="U66" s="308" t="n">
        <v>0.09</v>
      </c>
    </row>
    <row r="67" ht="15.5" customHeight="1" s="8">
      <c r="A67" s="332" t="n"/>
      <c r="B67" s="332" t="n"/>
      <c r="C67" s="332" t="n"/>
      <c r="D67" s="332" t="n"/>
      <c r="E67" s="332" t="n"/>
      <c r="F67" s="332" t="n"/>
      <c r="G67" s="332" t="n"/>
      <c r="H67" s="332" t="n"/>
      <c r="I67" s="332" t="n"/>
      <c r="J67" s="332" t="n"/>
      <c r="K67" s="332" t="n"/>
      <c r="L67" s="332" t="n"/>
      <c r="M67" s="332" t="n"/>
      <c r="N67" s="332" t="n"/>
      <c r="O67" s="332" t="n"/>
      <c r="P67" s="332" t="n"/>
      <c r="Q67" s="332" t="n"/>
      <c r="R67" s="332" t="n"/>
      <c r="S67" s="332" t="n"/>
      <c r="T67" s="235" t="inlineStr">
        <is>
          <t>平安理财</t>
        </is>
      </c>
      <c r="U67" s="308" t="n">
        <v>0.07000000000000001</v>
      </c>
    </row>
    <row r="68" ht="15.5" customHeight="1" s="8">
      <c r="A68" s="332" t="n"/>
      <c r="B68" s="332" t="n"/>
      <c r="C68" s="332" t="n"/>
      <c r="D68" s="332" t="n"/>
      <c r="E68" s="332" t="n"/>
      <c r="F68" s="332" t="n"/>
      <c r="G68" s="332" t="n"/>
      <c r="H68" s="332" t="n"/>
      <c r="I68" s="332" t="n"/>
      <c r="J68" s="332" t="n"/>
      <c r="K68" s="332" t="n"/>
      <c r="L68" s="332" t="n"/>
      <c r="M68" s="332" t="n"/>
      <c r="N68" s="332" t="n"/>
      <c r="O68" s="333" t="n"/>
      <c r="P68" s="333" t="n"/>
      <c r="Q68" s="333" t="n"/>
      <c r="R68" s="333" t="n"/>
      <c r="S68" s="333" t="n"/>
      <c r="T68" s="235" t="inlineStr">
        <is>
          <t>中信建投投行</t>
        </is>
      </c>
      <c r="U68" s="308" t="n">
        <v>0.05</v>
      </c>
    </row>
    <row r="69" ht="15.5" customHeight="1" s="8">
      <c r="A69" s="332" t="n"/>
      <c r="B69" s="332" t="n"/>
      <c r="C69" s="332" t="n"/>
      <c r="D69" s="332" t="n"/>
      <c r="E69" s="332" t="n"/>
      <c r="F69" s="332" t="n"/>
      <c r="G69" s="332" t="n"/>
      <c r="H69" s="332" t="n"/>
      <c r="I69" s="332" t="n"/>
      <c r="J69" s="332" t="n"/>
      <c r="K69" s="332" t="n"/>
      <c r="L69" s="332" t="n"/>
      <c r="M69" s="332" t="n"/>
      <c r="N69" s="332" t="n"/>
      <c r="O69" s="235" t="inlineStr">
        <is>
          <t>中间级</t>
        </is>
      </c>
      <c r="P69" s="236" t="n">
        <v>0.02</v>
      </c>
      <c r="Q69" s="307" t="n">
        <v>0.2</v>
      </c>
      <c r="R69" s="235" t="inlineStr">
        <is>
          <t>A+</t>
        </is>
      </c>
      <c r="S69" s="236" t="n">
        <v>0.031</v>
      </c>
      <c r="T69" s="235" t="inlineStr">
        <is>
          <t>建信信托</t>
        </is>
      </c>
      <c r="U69" s="308" t="n">
        <v>0.2</v>
      </c>
    </row>
    <row r="70" ht="15.5" customHeight="1" s="8">
      <c r="A70" s="332" t="n"/>
      <c r="B70" s="332" t="n"/>
      <c r="C70" s="332" t="n"/>
      <c r="D70" s="332" t="n"/>
      <c r="E70" s="332" t="n"/>
      <c r="F70" s="332" t="n"/>
      <c r="G70" s="332" t="n"/>
      <c r="H70" s="332" t="n"/>
      <c r="I70" s="332" t="n"/>
      <c r="J70" s="332" t="n"/>
      <c r="K70" s="332" t="n"/>
      <c r="L70" s="332" t="n"/>
      <c r="M70" s="332" t="n"/>
      <c r="N70" s="332" t="n"/>
      <c r="O70" s="235" t="inlineStr">
        <is>
          <t>次级</t>
        </is>
      </c>
      <c r="P70" s="236" t="n">
        <v>0.05</v>
      </c>
      <c r="Q70" s="307" t="n">
        <v>0.5</v>
      </c>
      <c r="R70" s="235" t="inlineStr">
        <is>
          <t>无</t>
        </is>
      </c>
      <c r="S70" s="236" t="n">
        <v>0.0505</v>
      </c>
      <c r="T70" s="235" t="inlineStr">
        <is>
          <t>中信证券自营</t>
        </is>
      </c>
      <c r="U70" s="310" t="n">
        <v>0.075</v>
      </c>
    </row>
    <row r="71" ht="15.5" customHeight="1" s="8">
      <c r="A71" s="333" t="n"/>
      <c r="B71" s="333" t="n"/>
      <c r="C71" s="333" t="n"/>
      <c r="D71" s="333" t="n"/>
      <c r="E71" s="333" t="n"/>
      <c r="F71" s="333" t="n"/>
      <c r="G71" s="333" t="n"/>
      <c r="H71" s="333" t="n"/>
      <c r="I71" s="333" t="n"/>
      <c r="J71" s="333" t="n"/>
      <c r="K71" s="333" t="n"/>
      <c r="L71" s="333" t="n"/>
      <c r="M71" s="333" t="n"/>
      <c r="N71" s="333" t="n"/>
      <c r="O71" s="333" t="n"/>
      <c r="P71" s="333" t="n"/>
      <c r="Q71" s="333" t="n"/>
      <c r="R71" s="333" t="n"/>
      <c r="S71" s="333" t="n"/>
      <c r="T71" s="235" t="inlineStr">
        <is>
          <t>国信证券自营</t>
        </is>
      </c>
      <c r="U71" s="310" t="n">
        <v>0.425</v>
      </c>
    </row>
    <row r="72" ht="15.5" customHeight="1" s="8">
      <c r="A72" s="305" t="inlineStr">
        <is>
          <t>4月</t>
        </is>
      </c>
      <c r="B72" s="305" t="inlineStr">
        <is>
          <t>消金</t>
        </is>
      </c>
      <c r="C72" s="305" t="inlineStr">
        <is>
          <t>信托金条</t>
        </is>
      </c>
      <c r="D72" s="305" t="inlineStr">
        <is>
          <t>耘睿23-10</t>
        </is>
      </c>
      <c r="E72" s="305" t="inlineStr">
        <is>
          <t>上交所</t>
        </is>
      </c>
      <c r="F72" s="305" t="inlineStr">
        <is>
          <t>中信建投</t>
        </is>
      </c>
      <c r="G72" s="305" t="inlineStr">
        <is>
          <t>兴业证券</t>
        </is>
      </c>
      <c r="H72" s="305" t="inlineStr">
        <is>
          <t>青岛银行总行</t>
        </is>
      </c>
      <c r="I72" s="245" t="n">
        <v>9</v>
      </c>
      <c r="J72" s="305" t="inlineStr">
        <is>
          <t>11+13</t>
        </is>
      </c>
      <c r="K72" s="246" t="n">
        <v>46119</v>
      </c>
      <c r="L72" s="247" t="n">
        <v>0.0146</v>
      </c>
      <c r="M72" s="306" t="n">
        <v>0.01975</v>
      </c>
      <c r="N72" s="245" t="n">
        <v>3.53</v>
      </c>
      <c r="O72" s="235" t="inlineStr">
        <is>
          <t>优先A</t>
        </is>
      </c>
      <c r="P72" s="236" t="n">
        <v>0.9</v>
      </c>
      <c r="Q72" s="307" t="n">
        <v>8.1</v>
      </c>
      <c r="R72" s="235" t="inlineStr">
        <is>
          <t>AAA</t>
        </is>
      </c>
      <c r="S72" s="236" t="n">
        <v>0.0168</v>
      </c>
      <c r="T72" s="235" t="inlineStr">
        <is>
          <t>民生理财</t>
        </is>
      </c>
      <c r="U72" s="308" t="n">
        <v>1.5</v>
      </c>
    </row>
    <row r="73" ht="15.5" customHeight="1" s="8">
      <c r="A73" s="332" t="n"/>
      <c r="B73" s="332" t="n"/>
      <c r="C73" s="332" t="n"/>
      <c r="D73" s="332" t="n"/>
      <c r="E73" s="332" t="n"/>
      <c r="F73" s="332" t="n"/>
      <c r="G73" s="332" t="n"/>
      <c r="H73" s="332" t="n"/>
      <c r="I73" s="332" t="n"/>
      <c r="J73" s="332" t="n"/>
      <c r="K73" s="332" t="n"/>
      <c r="L73" s="332" t="n"/>
      <c r="M73" s="332" t="n"/>
      <c r="N73" s="332" t="n"/>
      <c r="O73" s="332" t="n"/>
      <c r="P73" s="332" t="n"/>
      <c r="Q73" s="332" t="n"/>
      <c r="R73" s="332" t="n"/>
      <c r="S73" s="332" t="n"/>
      <c r="T73" s="235" t="inlineStr">
        <is>
          <t>交银理财</t>
        </is>
      </c>
      <c r="U73" s="308" t="n">
        <v>0.96</v>
      </c>
    </row>
    <row r="74" ht="15.5" customHeight="1" s="8">
      <c r="A74" s="332" t="n"/>
      <c r="B74" s="332" t="n"/>
      <c r="C74" s="332" t="n"/>
      <c r="D74" s="332" t="n"/>
      <c r="E74" s="332" t="n"/>
      <c r="F74" s="332" t="n"/>
      <c r="G74" s="332" t="n"/>
      <c r="H74" s="332" t="n"/>
      <c r="I74" s="332" t="n"/>
      <c r="J74" s="332" t="n"/>
      <c r="K74" s="332" t="n"/>
      <c r="L74" s="332" t="n"/>
      <c r="M74" s="332" t="n"/>
      <c r="N74" s="332" t="n"/>
      <c r="O74" s="332" t="n"/>
      <c r="P74" s="332" t="n"/>
      <c r="Q74" s="332" t="n"/>
      <c r="R74" s="332" t="n"/>
      <c r="S74" s="332" t="n"/>
      <c r="T74" s="235" t="inlineStr">
        <is>
          <t>中银理财</t>
        </is>
      </c>
      <c r="U74" s="308" t="n">
        <v>2.4</v>
      </c>
    </row>
    <row r="75" ht="15.5" customHeight="1" s="8">
      <c r="A75" s="332" t="n"/>
      <c r="B75" s="332" t="n"/>
      <c r="C75" s="332" t="n"/>
      <c r="D75" s="332" t="n"/>
      <c r="E75" s="332" t="n"/>
      <c r="F75" s="332" t="n"/>
      <c r="G75" s="332" t="n"/>
      <c r="H75" s="332" t="n"/>
      <c r="I75" s="332" t="n"/>
      <c r="J75" s="332" t="n"/>
      <c r="K75" s="332" t="n"/>
      <c r="L75" s="332" t="n"/>
      <c r="M75" s="332" t="n"/>
      <c r="N75" s="332" t="n"/>
      <c r="O75" s="332" t="n"/>
      <c r="P75" s="332" t="n"/>
      <c r="Q75" s="332" t="n"/>
      <c r="R75" s="332" t="n"/>
      <c r="S75" s="332" t="n"/>
      <c r="T75" s="235" t="inlineStr">
        <is>
          <t>兴银理财</t>
        </is>
      </c>
      <c r="U75" s="308" t="n">
        <v>0.2</v>
      </c>
    </row>
    <row r="76" ht="15.5" customHeight="1" s="8">
      <c r="A76" s="332" t="n"/>
      <c r="B76" s="332" t="n"/>
      <c r="C76" s="332" t="n"/>
      <c r="D76" s="332" t="n"/>
      <c r="E76" s="332" t="n"/>
      <c r="F76" s="332" t="n"/>
      <c r="G76" s="332" t="n"/>
      <c r="H76" s="332" t="n"/>
      <c r="I76" s="332" t="n"/>
      <c r="J76" s="332" t="n"/>
      <c r="K76" s="332" t="n"/>
      <c r="L76" s="332" t="n"/>
      <c r="M76" s="332" t="n"/>
      <c r="N76" s="332" t="n"/>
      <c r="O76" s="332" t="n"/>
      <c r="P76" s="332" t="n"/>
      <c r="Q76" s="332" t="n"/>
      <c r="R76" s="332" t="n"/>
      <c r="S76" s="332" t="n"/>
      <c r="T76" s="235" t="inlineStr">
        <is>
          <t>厦门国际银行</t>
        </is>
      </c>
      <c r="U76" s="308" t="n">
        <v>0.15</v>
      </c>
    </row>
    <row r="77" ht="15.5" customHeight="1" s="8">
      <c r="A77" s="332" t="n"/>
      <c r="B77" s="332" t="n"/>
      <c r="C77" s="332" t="n"/>
      <c r="D77" s="332" t="n"/>
      <c r="E77" s="332" t="n"/>
      <c r="F77" s="332" t="n"/>
      <c r="G77" s="332" t="n"/>
      <c r="H77" s="332" t="n"/>
      <c r="I77" s="332" t="n"/>
      <c r="J77" s="332" t="n"/>
      <c r="K77" s="332" t="n"/>
      <c r="L77" s="332" t="n"/>
      <c r="M77" s="332" t="n"/>
      <c r="N77" s="332" t="n"/>
      <c r="O77" s="332" t="n"/>
      <c r="P77" s="332" t="n"/>
      <c r="Q77" s="332" t="n"/>
      <c r="R77" s="332" t="n"/>
      <c r="S77" s="332" t="n"/>
      <c r="T77" s="235" t="inlineStr">
        <is>
          <t>苏银理财</t>
        </is>
      </c>
      <c r="U77" s="308" t="n">
        <v>0.46</v>
      </c>
    </row>
    <row r="78" ht="15.5" customHeight="1" s="8">
      <c r="A78" s="332" t="n"/>
      <c r="B78" s="332" t="n"/>
      <c r="C78" s="332" t="n"/>
      <c r="D78" s="332" t="n"/>
      <c r="E78" s="332" t="n"/>
      <c r="F78" s="332" t="n"/>
      <c r="G78" s="332" t="n"/>
      <c r="H78" s="332" t="n"/>
      <c r="I78" s="332" t="n"/>
      <c r="J78" s="332" t="n"/>
      <c r="K78" s="332" t="n"/>
      <c r="L78" s="332" t="n"/>
      <c r="M78" s="332" t="n"/>
      <c r="N78" s="332" t="n"/>
      <c r="O78" s="333" t="n"/>
      <c r="P78" s="333" t="n"/>
      <c r="Q78" s="333" t="n"/>
      <c r="R78" s="333" t="n"/>
      <c r="S78" s="333" t="n"/>
      <c r="T78" s="235" t="inlineStr">
        <is>
          <t>中邮理财</t>
        </is>
      </c>
      <c r="U78" s="308" t="n">
        <v>2.43</v>
      </c>
    </row>
    <row r="79" ht="15.5" customHeight="1" s="8">
      <c r="A79" s="332" t="n"/>
      <c r="B79" s="332" t="n"/>
      <c r="C79" s="332" t="n"/>
      <c r="D79" s="332" t="n"/>
      <c r="E79" s="332" t="n"/>
      <c r="F79" s="332" t="n"/>
      <c r="G79" s="332" t="n"/>
      <c r="H79" s="332" t="n"/>
      <c r="I79" s="332" t="n"/>
      <c r="J79" s="332" t="n"/>
      <c r="K79" s="332" t="n"/>
      <c r="L79" s="332" t="n"/>
      <c r="M79" s="332" t="n"/>
      <c r="N79" s="332" t="n"/>
      <c r="O79" s="235" t="inlineStr">
        <is>
          <t>优先B</t>
        </is>
      </c>
      <c r="P79" s="236" t="n">
        <v>0.03</v>
      </c>
      <c r="Q79" s="307" t="n">
        <v>0.27</v>
      </c>
      <c r="R79" s="235" t="inlineStr">
        <is>
          <t>AA+</t>
        </is>
      </c>
      <c r="S79" s="236" t="n">
        <v>0.0185</v>
      </c>
      <c r="T79" s="235" t="inlineStr">
        <is>
          <t>民生理财</t>
        </is>
      </c>
      <c r="U79" s="308" t="n">
        <v>0.08</v>
      </c>
    </row>
    <row r="80" ht="15.5" customHeight="1" s="8">
      <c r="A80" s="332" t="n"/>
      <c r="B80" s="332" t="n"/>
      <c r="C80" s="332" t="n"/>
      <c r="D80" s="332" t="n"/>
      <c r="E80" s="332" t="n"/>
      <c r="F80" s="332" t="n"/>
      <c r="G80" s="332" t="n"/>
      <c r="H80" s="332" t="n"/>
      <c r="I80" s="332" t="n"/>
      <c r="J80" s="332" t="n"/>
      <c r="K80" s="332" t="n"/>
      <c r="L80" s="332" t="n"/>
      <c r="M80" s="332" t="n"/>
      <c r="N80" s="332" t="n"/>
      <c r="O80" s="332" t="n"/>
      <c r="P80" s="332" t="n"/>
      <c r="Q80" s="332" t="n"/>
      <c r="R80" s="332" t="n"/>
      <c r="S80" s="332" t="n"/>
      <c r="T80" s="235" t="inlineStr">
        <is>
          <t>交银理财</t>
        </is>
      </c>
      <c r="U80" s="308" t="n">
        <v>0.08</v>
      </c>
    </row>
    <row r="81" ht="15.5" customHeight="1" s="8">
      <c r="A81" s="332" t="n"/>
      <c r="B81" s="332" t="n"/>
      <c r="C81" s="332" t="n"/>
      <c r="D81" s="332" t="n"/>
      <c r="E81" s="332" t="n"/>
      <c r="F81" s="332" t="n"/>
      <c r="G81" s="332" t="n"/>
      <c r="H81" s="332" t="n"/>
      <c r="I81" s="332" t="n"/>
      <c r="J81" s="332" t="n"/>
      <c r="K81" s="332" t="n"/>
      <c r="L81" s="332" t="n"/>
      <c r="M81" s="332" t="n"/>
      <c r="N81" s="332" t="n"/>
      <c r="O81" s="332" t="n"/>
      <c r="P81" s="332" t="n"/>
      <c r="Q81" s="332" t="n"/>
      <c r="R81" s="332" t="n"/>
      <c r="S81" s="332" t="n"/>
      <c r="T81" s="235" t="inlineStr">
        <is>
          <t>重庆农商理财</t>
        </is>
      </c>
      <c r="U81" s="308" t="n">
        <v>0.08</v>
      </c>
    </row>
    <row r="82" ht="15.5" customHeight="1" s="8">
      <c r="A82" s="332" t="n"/>
      <c r="B82" s="332" t="n"/>
      <c r="C82" s="332" t="n"/>
      <c r="D82" s="332" t="n"/>
      <c r="E82" s="332" t="n"/>
      <c r="F82" s="332" t="n"/>
      <c r="G82" s="332" t="n"/>
      <c r="H82" s="332" t="n"/>
      <c r="I82" s="332" t="n"/>
      <c r="J82" s="332" t="n"/>
      <c r="K82" s="332" t="n"/>
      <c r="L82" s="332" t="n"/>
      <c r="M82" s="332" t="n"/>
      <c r="N82" s="332" t="n"/>
      <c r="O82" s="333" t="n"/>
      <c r="P82" s="333" t="n"/>
      <c r="Q82" s="333" t="n"/>
      <c r="R82" s="333" t="n"/>
      <c r="S82" s="333" t="n"/>
      <c r="T82" s="235" t="inlineStr">
        <is>
          <t>中邮理财</t>
        </is>
      </c>
      <c r="U82" s="308" t="n">
        <v>0.03</v>
      </c>
    </row>
    <row r="83" ht="15.5" customHeight="1" s="8">
      <c r="A83" s="332" t="n"/>
      <c r="B83" s="332" t="n"/>
      <c r="C83" s="332" t="n"/>
      <c r="D83" s="332" t="n"/>
      <c r="E83" s="332" t="n"/>
      <c r="F83" s="332" t="n"/>
      <c r="G83" s="332" t="n"/>
      <c r="H83" s="332" t="n"/>
      <c r="I83" s="332" t="n"/>
      <c r="J83" s="332" t="n"/>
      <c r="K83" s="332" t="n"/>
      <c r="L83" s="332" t="n"/>
      <c r="M83" s="332" t="n"/>
      <c r="N83" s="332" t="n"/>
      <c r="O83" s="235" t="inlineStr">
        <is>
          <t>中间级</t>
        </is>
      </c>
      <c r="P83" s="236" t="n">
        <v>0.02</v>
      </c>
      <c r="Q83" s="307" t="n">
        <v>0.2</v>
      </c>
      <c r="R83" s="235" t="inlineStr">
        <is>
          <t>A+</t>
        </is>
      </c>
      <c r="S83" s="236" t="n">
        <v>0.031</v>
      </c>
      <c r="T83" s="235" t="inlineStr">
        <is>
          <t>德邦证券自营</t>
        </is>
      </c>
      <c r="U83" s="308" t="n">
        <v>0.18</v>
      </c>
    </row>
    <row r="84" ht="15.5" customHeight="1" s="8">
      <c r="A84" s="332" t="n"/>
      <c r="B84" s="332" t="n"/>
      <c r="C84" s="332" t="n"/>
      <c r="D84" s="332" t="n"/>
      <c r="E84" s="332" t="n"/>
      <c r="F84" s="332" t="n"/>
      <c r="G84" s="332" t="n"/>
      <c r="H84" s="332" t="n"/>
      <c r="I84" s="332" t="n"/>
      <c r="J84" s="332" t="n"/>
      <c r="K84" s="332" t="n"/>
      <c r="L84" s="332" t="n"/>
      <c r="M84" s="332" t="n"/>
      <c r="N84" s="332" t="n"/>
      <c r="O84" s="235" t="inlineStr">
        <is>
          <t>次级</t>
        </is>
      </c>
      <c r="P84" s="236" t="n">
        <v>0.05</v>
      </c>
      <c r="Q84" s="307" t="n">
        <v>0.45</v>
      </c>
      <c r="R84" s="235" t="inlineStr">
        <is>
          <t>无</t>
        </is>
      </c>
      <c r="S84" s="236" t="n">
        <v>0.0505</v>
      </c>
      <c r="T84" s="235" t="inlineStr">
        <is>
          <t>中信证券自营</t>
        </is>
      </c>
      <c r="U84" s="310" t="n">
        <v>0.065</v>
      </c>
    </row>
    <row r="85" ht="15.5" customHeight="1" s="8">
      <c r="A85" s="333" t="n"/>
      <c r="B85" s="333" t="n"/>
      <c r="C85" s="333" t="n"/>
      <c r="D85" s="333" t="n"/>
      <c r="E85" s="333" t="n"/>
      <c r="F85" s="333" t="n"/>
      <c r="G85" s="333" t="n"/>
      <c r="H85" s="333" t="n"/>
      <c r="I85" s="333" t="n"/>
      <c r="J85" s="333" t="n"/>
      <c r="K85" s="333" t="n"/>
      <c r="L85" s="333" t="n"/>
      <c r="M85" s="333" t="n"/>
      <c r="N85" s="333" t="n"/>
      <c r="O85" s="333" t="n"/>
      <c r="P85" s="333" t="n"/>
      <c r="Q85" s="333" t="n"/>
      <c r="R85" s="333" t="n"/>
      <c r="S85" s="333" t="n"/>
      <c r="T85" s="235" t="inlineStr">
        <is>
          <t>国信证券自营</t>
        </is>
      </c>
      <c r="U85" s="310" t="n">
        <v>0.385</v>
      </c>
    </row>
    <row r="86" ht="15.5" customHeight="1" s="8">
      <c r="A86" s="305" t="inlineStr">
        <is>
          <t>4月</t>
        </is>
      </c>
      <c r="B86" s="305" t="inlineStr">
        <is>
          <t>消金</t>
        </is>
      </c>
      <c r="C86" s="305" t="inlineStr">
        <is>
          <t>信托金条</t>
        </is>
      </c>
      <c r="D86" s="305" t="inlineStr">
        <is>
          <t>耘睿21-1（续发）</t>
        </is>
      </c>
      <c r="E86" s="305" t="inlineStr">
        <is>
          <t>上交所</t>
        </is>
      </c>
      <c r="F86" s="305" t="inlineStr">
        <is>
          <t>招商证券</t>
        </is>
      </c>
      <c r="G86" s="305" t="inlineStr">
        <is>
          <t>东方证券</t>
        </is>
      </c>
      <c r="H86" s="305" t="inlineStr">
        <is>
          <t>上银北分</t>
        </is>
      </c>
      <c r="I86" s="245" t="n">
        <v>9.300000000000001</v>
      </c>
      <c r="J86" s="305" t="inlineStr">
        <is>
          <t>12+12</t>
        </is>
      </c>
      <c r="K86" s="246" t="n">
        <v>46134</v>
      </c>
      <c r="L86" s="247" t="n">
        <v>0.0146</v>
      </c>
      <c r="M86" s="306" t="n">
        <v>0.01932</v>
      </c>
      <c r="N86" s="245" t="n">
        <v>1.89</v>
      </c>
      <c r="O86" s="235" t="inlineStr">
        <is>
          <t>优先A</t>
        </is>
      </c>
      <c r="P86" s="236" t="n">
        <v>0.9</v>
      </c>
      <c r="Q86" s="307" t="n">
        <v>9</v>
      </c>
      <c r="R86" s="235" t="inlineStr">
        <is>
          <t>AAA</t>
        </is>
      </c>
      <c r="S86" s="236" t="n">
        <v>0.016</v>
      </c>
      <c r="T86" s="235" t="inlineStr">
        <is>
          <t>中邮理财</t>
        </is>
      </c>
      <c r="U86" s="308" t="n">
        <v>1.45</v>
      </c>
    </row>
    <row r="87" ht="15.5" customHeight="1" s="8">
      <c r="A87" s="332" t="n"/>
      <c r="B87" s="332" t="n"/>
      <c r="C87" s="332" t="n"/>
      <c r="D87" s="332" t="n"/>
      <c r="E87" s="332" t="n"/>
      <c r="F87" s="332" t="n"/>
      <c r="G87" s="332" t="n"/>
      <c r="H87" s="332" t="n"/>
      <c r="I87" s="332" t="n"/>
      <c r="J87" s="332" t="n"/>
      <c r="K87" s="332" t="n"/>
      <c r="L87" s="332" t="n"/>
      <c r="M87" s="332" t="n"/>
      <c r="N87" s="332" t="n"/>
      <c r="O87" s="332" t="n"/>
      <c r="P87" s="332" t="n"/>
      <c r="Q87" s="332" t="n"/>
      <c r="R87" s="332" t="n"/>
      <c r="S87" s="332" t="n"/>
      <c r="T87" s="235" t="inlineStr">
        <is>
          <t>渝农商理财</t>
        </is>
      </c>
      <c r="U87" s="308" t="n">
        <v>1</v>
      </c>
    </row>
    <row r="88" ht="15.5" customHeight="1" s="8">
      <c r="A88" s="332" t="n"/>
      <c r="B88" s="332" t="n"/>
      <c r="C88" s="332" t="n"/>
      <c r="D88" s="332" t="n"/>
      <c r="E88" s="332" t="n"/>
      <c r="F88" s="332" t="n"/>
      <c r="G88" s="332" t="n"/>
      <c r="H88" s="332" t="n"/>
      <c r="I88" s="332" t="n"/>
      <c r="J88" s="332" t="n"/>
      <c r="K88" s="332" t="n"/>
      <c r="L88" s="332" t="n"/>
      <c r="M88" s="332" t="n"/>
      <c r="N88" s="332" t="n"/>
      <c r="O88" s="332" t="n"/>
      <c r="P88" s="332" t="n"/>
      <c r="Q88" s="332" t="n"/>
      <c r="R88" s="332" t="n"/>
      <c r="S88" s="332" t="n"/>
      <c r="T88" s="235" t="inlineStr">
        <is>
          <t>民生理财</t>
        </is>
      </c>
      <c r="U88" s="308" t="n">
        <v>1.55</v>
      </c>
    </row>
    <row r="89" ht="15.5" customHeight="1" s="8">
      <c r="A89" s="332" t="n"/>
      <c r="B89" s="332" t="n"/>
      <c r="C89" s="332" t="n"/>
      <c r="D89" s="332" t="n"/>
      <c r="E89" s="332" t="n"/>
      <c r="F89" s="332" t="n"/>
      <c r="G89" s="332" t="n"/>
      <c r="H89" s="332" t="n"/>
      <c r="I89" s="332" t="n"/>
      <c r="J89" s="332" t="n"/>
      <c r="K89" s="332" t="n"/>
      <c r="L89" s="332" t="n"/>
      <c r="M89" s="332" t="n"/>
      <c r="N89" s="332" t="n"/>
      <c r="O89" s="332" t="n"/>
      <c r="P89" s="332" t="n"/>
      <c r="Q89" s="332" t="n"/>
      <c r="R89" s="332" t="n"/>
      <c r="S89" s="332" t="n"/>
      <c r="T89" s="235" t="inlineStr">
        <is>
          <t>交银理财</t>
        </is>
      </c>
      <c r="U89" s="308" t="n">
        <v>1.72</v>
      </c>
    </row>
    <row r="90" ht="15.5" customHeight="1" s="8">
      <c r="A90" s="332" t="n"/>
      <c r="B90" s="332" t="n"/>
      <c r="C90" s="332" t="n"/>
      <c r="D90" s="332" t="n"/>
      <c r="E90" s="332" t="n"/>
      <c r="F90" s="332" t="n"/>
      <c r="G90" s="332" t="n"/>
      <c r="H90" s="332" t="n"/>
      <c r="I90" s="332" t="n"/>
      <c r="J90" s="332" t="n"/>
      <c r="K90" s="332" t="n"/>
      <c r="L90" s="332" t="n"/>
      <c r="M90" s="332" t="n"/>
      <c r="N90" s="332" t="n"/>
      <c r="O90" s="332" t="n"/>
      <c r="P90" s="332" t="n"/>
      <c r="Q90" s="332" t="n"/>
      <c r="R90" s="332" t="n"/>
      <c r="S90" s="332" t="n"/>
      <c r="T90" s="235" t="inlineStr">
        <is>
          <t>建信理财</t>
        </is>
      </c>
      <c r="U90" s="308" t="n">
        <v>2.28</v>
      </c>
    </row>
    <row r="91" ht="15.5" customHeight="1" s="8">
      <c r="A91" s="332" t="n"/>
      <c r="B91" s="332" t="n"/>
      <c r="C91" s="332" t="n"/>
      <c r="D91" s="332" t="n"/>
      <c r="E91" s="332" t="n"/>
      <c r="F91" s="332" t="n"/>
      <c r="G91" s="332" t="n"/>
      <c r="H91" s="332" t="n"/>
      <c r="I91" s="332" t="n"/>
      <c r="J91" s="332" t="n"/>
      <c r="K91" s="332" t="n"/>
      <c r="L91" s="332" t="n"/>
      <c r="M91" s="332" t="n"/>
      <c r="N91" s="332" t="n"/>
      <c r="O91" s="333" t="n"/>
      <c r="P91" s="333" t="n"/>
      <c r="Q91" s="333" t="n"/>
      <c r="R91" s="333" t="n"/>
      <c r="S91" s="333" t="n"/>
      <c r="T91" s="235" t="inlineStr">
        <is>
          <t>杭州联合银行</t>
        </is>
      </c>
      <c r="U91" s="308" t="n">
        <v>1</v>
      </c>
    </row>
    <row r="92" ht="15.5" customHeight="1" s="8">
      <c r="A92" s="332" t="n"/>
      <c r="B92" s="332" t="n"/>
      <c r="C92" s="332" t="n"/>
      <c r="D92" s="332" t="n"/>
      <c r="E92" s="332" t="n"/>
      <c r="F92" s="332" t="n"/>
      <c r="G92" s="332" t="n"/>
      <c r="H92" s="332" t="n"/>
      <c r="I92" s="332" t="n"/>
      <c r="J92" s="332" t="n"/>
      <c r="K92" s="332" t="n"/>
      <c r="L92" s="332" t="n"/>
      <c r="M92" s="332" t="n"/>
      <c r="N92" s="332" t="n"/>
      <c r="O92" s="235" t="inlineStr">
        <is>
          <t>优先B</t>
        </is>
      </c>
      <c r="P92" s="236" t="n">
        <v>0.03</v>
      </c>
      <c r="Q92" s="307" t="n">
        <v>0.3</v>
      </c>
      <c r="R92" s="235" t="inlineStr">
        <is>
          <t>AA+</t>
        </is>
      </c>
      <c r="S92" s="236" t="n">
        <v>0.0179</v>
      </c>
      <c r="T92" s="235" t="inlineStr">
        <is>
          <t>交银理财</t>
        </is>
      </c>
      <c r="U92" s="308" t="n">
        <v>0.09</v>
      </c>
    </row>
    <row r="93" ht="15.5" customHeight="1" s="8">
      <c r="A93" s="332" t="n"/>
      <c r="B93" s="332" t="n"/>
      <c r="C93" s="332" t="n"/>
      <c r="D93" s="332" t="n"/>
      <c r="E93" s="332" t="n"/>
      <c r="F93" s="332" t="n"/>
      <c r="G93" s="332" t="n"/>
      <c r="H93" s="332" t="n"/>
      <c r="I93" s="332" t="n"/>
      <c r="J93" s="332" t="n"/>
      <c r="K93" s="332" t="n"/>
      <c r="L93" s="332" t="n"/>
      <c r="M93" s="332" t="n"/>
      <c r="N93" s="332" t="n"/>
      <c r="O93" s="332" t="n"/>
      <c r="P93" s="332" t="n"/>
      <c r="Q93" s="332" t="n"/>
      <c r="R93" s="332" t="n"/>
      <c r="S93" s="332" t="n"/>
      <c r="T93" s="235" t="inlineStr">
        <is>
          <t>民生理财</t>
        </is>
      </c>
      <c r="U93" s="308" t="n">
        <v>0.09</v>
      </c>
    </row>
    <row r="94" ht="15.5" customHeight="1" s="8">
      <c r="A94" s="332" t="n"/>
      <c r="B94" s="332" t="n"/>
      <c r="C94" s="332" t="n"/>
      <c r="D94" s="332" t="n"/>
      <c r="E94" s="332" t="n"/>
      <c r="F94" s="332" t="n"/>
      <c r="G94" s="332" t="n"/>
      <c r="H94" s="332" t="n"/>
      <c r="I94" s="332" t="n"/>
      <c r="J94" s="332" t="n"/>
      <c r="K94" s="332" t="n"/>
      <c r="L94" s="332" t="n"/>
      <c r="M94" s="332" t="n"/>
      <c r="N94" s="332" t="n"/>
      <c r="O94" s="332" t="n"/>
      <c r="P94" s="332" t="n"/>
      <c r="Q94" s="332" t="n"/>
      <c r="R94" s="332" t="n"/>
      <c r="S94" s="332" t="n"/>
      <c r="T94" s="235" t="inlineStr">
        <is>
          <t>渝农商理财</t>
        </is>
      </c>
      <c r="U94" s="308" t="n">
        <v>0.09</v>
      </c>
    </row>
    <row r="95" ht="15.5" customHeight="1" s="8">
      <c r="A95" s="333" t="n"/>
      <c r="B95" s="333" t="n"/>
      <c r="C95" s="333" t="n"/>
      <c r="D95" s="333" t="n"/>
      <c r="E95" s="333" t="n"/>
      <c r="F95" s="333" t="n"/>
      <c r="G95" s="333" t="n"/>
      <c r="H95" s="333" t="n"/>
      <c r="I95" s="333" t="n"/>
      <c r="J95" s="333" t="n"/>
      <c r="K95" s="333" t="n"/>
      <c r="L95" s="333" t="n"/>
      <c r="M95" s="333" t="n"/>
      <c r="N95" s="333" t="n"/>
      <c r="O95" s="333" t="n"/>
      <c r="P95" s="333" t="n"/>
      <c r="Q95" s="333" t="n"/>
      <c r="R95" s="333" t="n"/>
      <c r="S95" s="333" t="n"/>
      <c r="T95" s="235" t="inlineStr">
        <is>
          <t>杭州联合银行</t>
        </is>
      </c>
      <c r="U95" s="308" t="n">
        <v>0.03</v>
      </c>
    </row>
    <row r="96" ht="15.5" customHeight="1" s="8">
      <c r="A96" s="305" t="inlineStr">
        <is>
          <t>4月</t>
        </is>
      </c>
      <c r="B96" s="305" t="inlineStr">
        <is>
          <t>消金</t>
        </is>
      </c>
      <c r="C96" s="305" t="inlineStr">
        <is>
          <t>信托金条</t>
        </is>
      </c>
      <c r="D96" s="305" t="inlineStr">
        <is>
          <t>耘睿21-2（续发）</t>
        </is>
      </c>
      <c r="E96" s="305" t="inlineStr">
        <is>
          <t>上交所</t>
        </is>
      </c>
      <c r="F96" s="305" t="inlineStr">
        <is>
          <t>中信证券</t>
        </is>
      </c>
      <c r="G96" s="305" t="inlineStr">
        <is>
          <t>华福证券</t>
        </is>
      </c>
      <c r="H96" s="305" t="inlineStr">
        <is>
          <t>民生北分</t>
        </is>
      </c>
      <c r="I96" s="245" t="n">
        <v>9.300000000000001</v>
      </c>
      <c r="J96" s="305" t="inlineStr">
        <is>
          <t>11+12</t>
        </is>
      </c>
      <c r="K96" s="246" t="n">
        <v>46134</v>
      </c>
      <c r="L96" s="247" t="n">
        <v>0.0146</v>
      </c>
      <c r="M96" s="306" t="n">
        <v>0.01936</v>
      </c>
      <c r="N96" s="245" t="n">
        <v>1.8</v>
      </c>
      <c r="O96" s="235" t="inlineStr">
        <is>
          <t>优先A</t>
        </is>
      </c>
      <c r="P96" s="236" t="n">
        <v>0.9</v>
      </c>
      <c r="Q96" s="307" t="n">
        <v>9</v>
      </c>
      <c r="R96" s="235" t="inlineStr">
        <is>
          <t>AAA</t>
        </is>
      </c>
      <c r="S96" s="236" t="n">
        <v>0.016</v>
      </c>
      <c r="T96" s="235" t="inlineStr">
        <is>
          <t>中信证券投行</t>
        </is>
      </c>
      <c r="U96" s="308" t="n">
        <v>0.3</v>
      </c>
    </row>
    <row r="97" ht="15.5" customHeight="1" s="8">
      <c r="A97" s="332" t="n"/>
      <c r="B97" s="332" t="n"/>
      <c r="C97" s="332" t="n"/>
      <c r="D97" s="332" t="n"/>
      <c r="E97" s="332" t="n"/>
      <c r="F97" s="332" t="n"/>
      <c r="G97" s="332" t="n"/>
      <c r="H97" s="332" t="n"/>
      <c r="I97" s="332" t="n"/>
      <c r="J97" s="332" t="n"/>
      <c r="K97" s="332" t="n"/>
      <c r="L97" s="332" t="n"/>
      <c r="M97" s="332" t="n"/>
      <c r="N97" s="332" t="n"/>
      <c r="O97" s="332" t="n"/>
      <c r="P97" s="332" t="n"/>
      <c r="Q97" s="332" t="n"/>
      <c r="R97" s="332" t="n"/>
      <c r="S97" s="332" t="n"/>
      <c r="T97" s="235" t="inlineStr">
        <is>
          <t>广州银行</t>
        </is>
      </c>
      <c r="U97" s="308" t="n">
        <v>1</v>
      </c>
    </row>
    <row r="98" ht="15.5" customHeight="1" s="8">
      <c r="A98" s="332" t="n"/>
      <c r="B98" s="332" t="n"/>
      <c r="C98" s="332" t="n"/>
      <c r="D98" s="332" t="n"/>
      <c r="E98" s="332" t="n"/>
      <c r="F98" s="332" t="n"/>
      <c r="G98" s="332" t="n"/>
      <c r="H98" s="332" t="n"/>
      <c r="I98" s="332" t="n"/>
      <c r="J98" s="332" t="n"/>
      <c r="K98" s="332" t="n"/>
      <c r="L98" s="332" t="n"/>
      <c r="M98" s="332" t="n"/>
      <c r="N98" s="332" t="n"/>
      <c r="O98" s="332" t="n"/>
      <c r="P98" s="332" t="n"/>
      <c r="Q98" s="332" t="n"/>
      <c r="R98" s="332" t="n"/>
      <c r="S98" s="332" t="n"/>
      <c r="T98" s="235" t="inlineStr">
        <is>
          <t>交银理财</t>
        </is>
      </c>
      <c r="U98" s="308" t="n">
        <v>2</v>
      </c>
    </row>
    <row r="99" ht="15.5" customHeight="1" s="8">
      <c r="A99" s="332" t="n"/>
      <c r="B99" s="332" t="n"/>
      <c r="C99" s="332" t="n"/>
      <c r="D99" s="332" t="n"/>
      <c r="E99" s="332" t="n"/>
      <c r="F99" s="332" t="n"/>
      <c r="G99" s="332" t="n"/>
      <c r="H99" s="332" t="n"/>
      <c r="I99" s="332" t="n"/>
      <c r="J99" s="332" t="n"/>
      <c r="K99" s="332" t="n"/>
      <c r="L99" s="332" t="n"/>
      <c r="M99" s="332" t="n"/>
      <c r="N99" s="332" t="n"/>
      <c r="O99" s="332" t="n"/>
      <c r="P99" s="332" t="n"/>
      <c r="Q99" s="332" t="n"/>
      <c r="R99" s="332" t="n"/>
      <c r="S99" s="332" t="n"/>
      <c r="T99" s="235" t="inlineStr">
        <is>
          <t>民生理财</t>
        </is>
      </c>
      <c r="U99" s="308" t="n">
        <v>2</v>
      </c>
    </row>
    <row r="100" ht="15.5" customHeight="1" s="8">
      <c r="A100" s="332" t="n"/>
      <c r="B100" s="332" t="n"/>
      <c r="C100" s="332" t="n"/>
      <c r="D100" s="332" t="n"/>
      <c r="E100" s="332" t="n"/>
      <c r="F100" s="332" t="n"/>
      <c r="G100" s="332" t="n"/>
      <c r="H100" s="332" t="n"/>
      <c r="I100" s="332" t="n"/>
      <c r="J100" s="332" t="n"/>
      <c r="K100" s="332" t="n"/>
      <c r="L100" s="332" t="n"/>
      <c r="M100" s="332" t="n"/>
      <c r="N100" s="332" t="n"/>
      <c r="O100" s="332" t="n"/>
      <c r="P100" s="332" t="n"/>
      <c r="Q100" s="332" t="n"/>
      <c r="R100" s="332" t="n"/>
      <c r="S100" s="332" t="n"/>
      <c r="T100" s="235" t="inlineStr">
        <is>
          <t>招银理财</t>
        </is>
      </c>
      <c r="U100" s="308" t="n">
        <v>2.7</v>
      </c>
    </row>
    <row r="101" ht="15.5" customHeight="1" s="8">
      <c r="A101" s="332" t="n"/>
      <c r="B101" s="332" t="n"/>
      <c r="C101" s="332" t="n"/>
      <c r="D101" s="332" t="n"/>
      <c r="E101" s="332" t="n"/>
      <c r="F101" s="332" t="n"/>
      <c r="G101" s="332" t="n"/>
      <c r="H101" s="332" t="n"/>
      <c r="I101" s="332" t="n"/>
      <c r="J101" s="332" t="n"/>
      <c r="K101" s="332" t="n"/>
      <c r="L101" s="332" t="n"/>
      <c r="M101" s="332" t="n"/>
      <c r="N101" s="332" t="n"/>
      <c r="O101" s="333" t="n"/>
      <c r="P101" s="333" t="n"/>
      <c r="Q101" s="333" t="n"/>
      <c r="R101" s="333" t="n"/>
      <c r="S101" s="333" t="n"/>
      <c r="T101" s="235" t="inlineStr">
        <is>
          <t>杭州联合银行</t>
        </is>
      </c>
      <c r="U101" s="308" t="n">
        <v>1</v>
      </c>
    </row>
    <row r="102" ht="15.5" customHeight="1" s="8">
      <c r="A102" s="332" t="n"/>
      <c r="B102" s="332" t="n"/>
      <c r="C102" s="332" t="n"/>
      <c r="D102" s="332" t="n"/>
      <c r="E102" s="332" t="n"/>
      <c r="F102" s="332" t="n"/>
      <c r="G102" s="332" t="n"/>
      <c r="H102" s="332" t="n"/>
      <c r="I102" s="332" t="n"/>
      <c r="J102" s="332" t="n"/>
      <c r="K102" s="332" t="n"/>
      <c r="L102" s="332" t="n"/>
      <c r="M102" s="332" t="n"/>
      <c r="N102" s="332" t="n"/>
      <c r="O102" s="235" t="inlineStr">
        <is>
          <t>优先B</t>
        </is>
      </c>
      <c r="P102" s="236" t="n">
        <v>0.03</v>
      </c>
      <c r="Q102" s="307" t="n">
        <v>0.3</v>
      </c>
      <c r="R102" s="235" t="inlineStr">
        <is>
          <t>AA+</t>
        </is>
      </c>
      <c r="S102" s="236" t="n">
        <v>0.0179</v>
      </c>
      <c r="T102" s="235" t="inlineStr">
        <is>
          <t>交银理财</t>
        </is>
      </c>
      <c r="U102" s="308" t="n">
        <v>0.09</v>
      </c>
    </row>
    <row r="103" ht="15.5" customHeight="1" s="8">
      <c r="A103" s="332" t="n"/>
      <c r="B103" s="332" t="n"/>
      <c r="C103" s="332" t="n"/>
      <c r="D103" s="332" t="n"/>
      <c r="E103" s="332" t="n"/>
      <c r="F103" s="332" t="n"/>
      <c r="G103" s="332" t="n"/>
      <c r="H103" s="332" t="n"/>
      <c r="I103" s="332" t="n"/>
      <c r="J103" s="332" t="n"/>
      <c r="K103" s="332" t="n"/>
      <c r="L103" s="332" t="n"/>
      <c r="M103" s="332" t="n"/>
      <c r="N103" s="332" t="n"/>
      <c r="O103" s="332" t="n"/>
      <c r="P103" s="332" t="n"/>
      <c r="Q103" s="332" t="n"/>
      <c r="R103" s="332" t="n"/>
      <c r="S103" s="332" t="n"/>
      <c r="T103" s="235" t="inlineStr">
        <is>
          <t>民生理财</t>
        </is>
      </c>
      <c r="U103" s="308" t="n">
        <v>0.09</v>
      </c>
    </row>
    <row r="104" ht="15.5" customHeight="1" s="8">
      <c r="A104" s="332" t="n"/>
      <c r="B104" s="332" t="n"/>
      <c r="C104" s="332" t="n"/>
      <c r="D104" s="332" t="n"/>
      <c r="E104" s="332" t="n"/>
      <c r="F104" s="332" t="n"/>
      <c r="G104" s="332" t="n"/>
      <c r="H104" s="332" t="n"/>
      <c r="I104" s="332" t="n"/>
      <c r="J104" s="332" t="n"/>
      <c r="K104" s="332" t="n"/>
      <c r="L104" s="332" t="n"/>
      <c r="M104" s="332" t="n"/>
      <c r="N104" s="332" t="n"/>
      <c r="O104" s="332" t="n"/>
      <c r="P104" s="332" t="n"/>
      <c r="Q104" s="332" t="n"/>
      <c r="R104" s="332" t="n"/>
      <c r="S104" s="332" t="n"/>
      <c r="T104" s="235" t="inlineStr">
        <is>
          <t>招银理财</t>
        </is>
      </c>
      <c r="U104" s="308" t="n">
        <v>0.09</v>
      </c>
    </row>
    <row r="105" ht="15.5" customHeight="1" s="8">
      <c r="A105" s="333" t="n"/>
      <c r="B105" s="333" t="n"/>
      <c r="C105" s="333" t="n"/>
      <c r="D105" s="333" t="n"/>
      <c r="E105" s="333" t="n"/>
      <c r="F105" s="333" t="n"/>
      <c r="G105" s="333" t="n"/>
      <c r="H105" s="333" t="n"/>
      <c r="I105" s="333" t="n"/>
      <c r="J105" s="333" t="n"/>
      <c r="K105" s="333" t="n"/>
      <c r="L105" s="333" t="n"/>
      <c r="M105" s="333" t="n"/>
      <c r="N105" s="333" t="n"/>
      <c r="O105" s="333" t="n"/>
      <c r="P105" s="333" t="n"/>
      <c r="Q105" s="333" t="n"/>
      <c r="R105" s="333" t="n"/>
      <c r="S105" s="333" t="n"/>
      <c r="T105" s="235" t="inlineStr">
        <is>
          <t>杭州联合银行</t>
        </is>
      </c>
      <c r="U105" s="308" t="n">
        <v>0.03</v>
      </c>
    </row>
    <row r="106" ht="15.5" customHeight="1" s="8">
      <c r="A106" s="305" t="inlineStr">
        <is>
          <t>4月</t>
        </is>
      </c>
      <c r="B106" s="305" t="inlineStr">
        <is>
          <t>消金</t>
        </is>
      </c>
      <c r="C106" s="305" t="inlineStr">
        <is>
          <t>信托金条</t>
        </is>
      </c>
      <c r="D106" s="305" t="inlineStr">
        <is>
          <t>耘睿21-3（续发）</t>
        </is>
      </c>
      <c r="E106" s="305" t="inlineStr">
        <is>
          <t>上交所</t>
        </is>
      </c>
      <c r="F106" s="305" t="inlineStr">
        <is>
          <t>招商证券</t>
        </is>
      </c>
      <c r="G106" s="305" t="inlineStr">
        <is>
          <t>信达证券</t>
        </is>
      </c>
      <c r="H106" s="305" t="inlineStr">
        <is>
          <t>交银北分</t>
        </is>
      </c>
      <c r="I106" s="245" t="n">
        <v>9.300000000000001</v>
      </c>
      <c r="J106" s="305" t="inlineStr">
        <is>
          <t>11+12</t>
        </is>
      </c>
      <c r="K106" s="246" t="n">
        <v>46135</v>
      </c>
      <c r="L106" s="247" t="n">
        <v>0.0146</v>
      </c>
      <c r="M106" s="306" t="n">
        <v>0.01936</v>
      </c>
      <c r="N106" s="245" t="n">
        <v>1.89</v>
      </c>
      <c r="O106" s="235" t="inlineStr">
        <is>
          <t>优先A</t>
        </is>
      </c>
      <c r="P106" s="236" t="n">
        <v>0.9</v>
      </c>
      <c r="Q106" s="307" t="n">
        <v>9</v>
      </c>
      <c r="R106" s="235" t="inlineStr">
        <is>
          <t>AAA</t>
        </is>
      </c>
      <c r="S106" s="236" t="n">
        <v>0.016</v>
      </c>
      <c r="T106" s="235" t="inlineStr">
        <is>
          <t>中邮理财</t>
        </is>
      </c>
      <c r="U106" s="308" t="n">
        <v>1.87</v>
      </c>
    </row>
    <row r="107" ht="15.5" customHeight="1" s="8">
      <c r="A107" s="332" t="n"/>
      <c r="B107" s="332" t="n"/>
      <c r="C107" s="332" t="n"/>
      <c r="D107" s="332" t="n"/>
      <c r="E107" s="332" t="n"/>
      <c r="F107" s="332" t="n"/>
      <c r="G107" s="332" t="n"/>
      <c r="H107" s="332" t="n"/>
      <c r="I107" s="332" t="n"/>
      <c r="J107" s="332" t="n"/>
      <c r="K107" s="332" t="n"/>
      <c r="L107" s="332" t="n"/>
      <c r="M107" s="332" t="n"/>
      <c r="N107" s="332" t="n"/>
      <c r="O107" s="332" t="n"/>
      <c r="P107" s="332" t="n"/>
      <c r="Q107" s="332" t="n"/>
      <c r="R107" s="332" t="n"/>
      <c r="S107" s="332" t="n"/>
      <c r="T107" s="235" t="inlineStr">
        <is>
          <t>渝农商理财</t>
        </is>
      </c>
      <c r="U107" s="308" t="n">
        <v>1</v>
      </c>
    </row>
    <row r="108" ht="15.5" customHeight="1" s="8">
      <c r="A108" s="332" t="n"/>
      <c r="B108" s="332" t="n"/>
      <c r="C108" s="332" t="n"/>
      <c r="D108" s="332" t="n"/>
      <c r="E108" s="332" t="n"/>
      <c r="F108" s="332" t="n"/>
      <c r="G108" s="332" t="n"/>
      <c r="H108" s="332" t="n"/>
      <c r="I108" s="332" t="n"/>
      <c r="J108" s="332" t="n"/>
      <c r="K108" s="332" t="n"/>
      <c r="L108" s="332" t="n"/>
      <c r="M108" s="332" t="n"/>
      <c r="N108" s="332" t="n"/>
      <c r="O108" s="332" t="n"/>
      <c r="P108" s="332" t="n"/>
      <c r="Q108" s="332" t="n"/>
      <c r="R108" s="332" t="n"/>
      <c r="S108" s="332" t="n"/>
      <c r="T108" s="235" t="inlineStr">
        <is>
          <t>民生理财</t>
        </is>
      </c>
      <c r="U108" s="308" t="n">
        <v>1.38</v>
      </c>
    </row>
    <row r="109" ht="15.5" customHeight="1" s="8">
      <c r="A109" s="332" t="n"/>
      <c r="B109" s="332" t="n"/>
      <c r="C109" s="332" t="n"/>
      <c r="D109" s="332" t="n"/>
      <c r="E109" s="332" t="n"/>
      <c r="F109" s="332" t="n"/>
      <c r="G109" s="332" t="n"/>
      <c r="H109" s="332" t="n"/>
      <c r="I109" s="332" t="n"/>
      <c r="J109" s="332" t="n"/>
      <c r="K109" s="332" t="n"/>
      <c r="L109" s="332" t="n"/>
      <c r="M109" s="332" t="n"/>
      <c r="N109" s="332" t="n"/>
      <c r="O109" s="332" t="n"/>
      <c r="P109" s="332" t="n"/>
      <c r="Q109" s="332" t="n"/>
      <c r="R109" s="332" t="n"/>
      <c r="S109" s="332" t="n"/>
      <c r="T109" s="235" t="inlineStr">
        <is>
          <t>交银理财</t>
        </is>
      </c>
      <c r="U109" s="308" t="n">
        <v>1.58</v>
      </c>
    </row>
    <row r="110" ht="15.5" customHeight="1" s="8">
      <c r="A110" s="332" t="n"/>
      <c r="B110" s="332" t="n"/>
      <c r="C110" s="332" t="n"/>
      <c r="D110" s="332" t="n"/>
      <c r="E110" s="332" t="n"/>
      <c r="F110" s="332" t="n"/>
      <c r="G110" s="332" t="n"/>
      <c r="H110" s="332" t="n"/>
      <c r="I110" s="332" t="n"/>
      <c r="J110" s="332" t="n"/>
      <c r="K110" s="332" t="n"/>
      <c r="L110" s="332" t="n"/>
      <c r="M110" s="332" t="n"/>
      <c r="N110" s="332" t="n"/>
      <c r="O110" s="332" t="n"/>
      <c r="P110" s="332" t="n"/>
      <c r="Q110" s="332" t="n"/>
      <c r="R110" s="332" t="n"/>
      <c r="S110" s="332" t="n"/>
      <c r="T110" s="235" t="inlineStr">
        <is>
          <t>建信信托</t>
        </is>
      </c>
      <c r="U110" s="308" t="n">
        <v>2.17</v>
      </c>
    </row>
    <row r="111" ht="15.5" customHeight="1" s="8">
      <c r="A111" s="332" t="n"/>
      <c r="B111" s="332" t="n"/>
      <c r="C111" s="332" t="n"/>
      <c r="D111" s="332" t="n"/>
      <c r="E111" s="332" t="n"/>
      <c r="F111" s="332" t="n"/>
      <c r="G111" s="332" t="n"/>
      <c r="H111" s="332" t="n"/>
      <c r="I111" s="332" t="n"/>
      <c r="J111" s="332" t="n"/>
      <c r="K111" s="332" t="n"/>
      <c r="L111" s="332" t="n"/>
      <c r="M111" s="332" t="n"/>
      <c r="N111" s="332" t="n"/>
      <c r="O111" s="333" t="n"/>
      <c r="P111" s="333" t="n"/>
      <c r="Q111" s="333" t="n"/>
      <c r="R111" s="333" t="n"/>
      <c r="S111" s="333" t="n"/>
      <c r="T111" s="235" t="inlineStr">
        <is>
          <t>杭州联合银行</t>
        </is>
      </c>
      <c r="U111" s="308" t="n">
        <v>1</v>
      </c>
    </row>
    <row r="112" ht="15.5" customHeight="1" s="8">
      <c r="A112" s="332" t="n"/>
      <c r="B112" s="332" t="n"/>
      <c r="C112" s="332" t="n"/>
      <c r="D112" s="332" t="n"/>
      <c r="E112" s="332" t="n"/>
      <c r="F112" s="332" t="n"/>
      <c r="G112" s="332" t="n"/>
      <c r="H112" s="332" t="n"/>
      <c r="I112" s="332" t="n"/>
      <c r="J112" s="332" t="n"/>
      <c r="K112" s="332" t="n"/>
      <c r="L112" s="332" t="n"/>
      <c r="M112" s="332" t="n"/>
      <c r="N112" s="332" t="n"/>
      <c r="O112" s="235" t="inlineStr">
        <is>
          <t>优先B</t>
        </is>
      </c>
      <c r="P112" s="236" t="n">
        <v>0.03</v>
      </c>
      <c r="Q112" s="307" t="n">
        <v>0.3</v>
      </c>
      <c r="R112" s="235" t="inlineStr">
        <is>
          <t>AA+</t>
        </is>
      </c>
      <c r="S112" s="236" t="n">
        <v>0.0178</v>
      </c>
      <c r="T112" s="235" t="inlineStr">
        <is>
          <t>交银理财</t>
        </is>
      </c>
      <c r="U112" s="308" t="n">
        <v>0.09</v>
      </c>
    </row>
    <row r="113" ht="15.5" customHeight="1" s="8">
      <c r="A113" s="332" t="n"/>
      <c r="B113" s="332" t="n"/>
      <c r="C113" s="332" t="n"/>
      <c r="D113" s="332" t="n"/>
      <c r="E113" s="332" t="n"/>
      <c r="F113" s="332" t="n"/>
      <c r="G113" s="332" t="n"/>
      <c r="H113" s="332" t="n"/>
      <c r="I113" s="332" t="n"/>
      <c r="J113" s="332" t="n"/>
      <c r="K113" s="332" t="n"/>
      <c r="L113" s="332" t="n"/>
      <c r="M113" s="332" t="n"/>
      <c r="N113" s="332" t="n"/>
      <c r="O113" s="332" t="n"/>
      <c r="P113" s="332" t="n"/>
      <c r="Q113" s="332" t="n"/>
      <c r="R113" s="332" t="n"/>
      <c r="S113" s="332" t="n"/>
      <c r="T113" s="235" t="inlineStr">
        <is>
          <t>民生理财</t>
        </is>
      </c>
      <c r="U113" s="308" t="n">
        <v>0.09</v>
      </c>
    </row>
    <row r="114" ht="15.5" customHeight="1" s="8">
      <c r="A114" s="332" t="n"/>
      <c r="B114" s="332" t="n"/>
      <c r="C114" s="332" t="n"/>
      <c r="D114" s="332" t="n"/>
      <c r="E114" s="332" t="n"/>
      <c r="F114" s="332" t="n"/>
      <c r="G114" s="332" t="n"/>
      <c r="H114" s="332" t="n"/>
      <c r="I114" s="332" t="n"/>
      <c r="J114" s="332" t="n"/>
      <c r="K114" s="332" t="n"/>
      <c r="L114" s="332" t="n"/>
      <c r="M114" s="332" t="n"/>
      <c r="N114" s="332" t="n"/>
      <c r="O114" s="332" t="n"/>
      <c r="P114" s="332" t="n"/>
      <c r="Q114" s="332" t="n"/>
      <c r="R114" s="332" t="n"/>
      <c r="S114" s="332" t="n"/>
      <c r="T114" s="235" t="inlineStr">
        <is>
          <t>渝农商理财</t>
        </is>
      </c>
      <c r="U114" s="308" t="n">
        <v>0.09</v>
      </c>
    </row>
    <row r="115" ht="15.5" customHeight="1" s="8">
      <c r="A115" s="333" t="n"/>
      <c r="B115" s="333" t="n"/>
      <c r="C115" s="333" t="n"/>
      <c r="D115" s="333" t="n"/>
      <c r="E115" s="333" t="n"/>
      <c r="F115" s="333" t="n"/>
      <c r="G115" s="333" t="n"/>
      <c r="H115" s="333" t="n"/>
      <c r="I115" s="333" t="n"/>
      <c r="J115" s="333" t="n"/>
      <c r="K115" s="333" t="n"/>
      <c r="L115" s="333" t="n"/>
      <c r="M115" s="333" t="n"/>
      <c r="N115" s="333" t="n"/>
      <c r="O115" s="333" t="n"/>
      <c r="P115" s="333" t="n"/>
      <c r="Q115" s="333" t="n"/>
      <c r="R115" s="333" t="n"/>
      <c r="S115" s="333" t="n"/>
      <c r="T115" s="235" t="inlineStr">
        <is>
          <t>杭州联合银行</t>
        </is>
      </c>
      <c r="U115" s="308" t="n">
        <v>0.03</v>
      </c>
    </row>
    <row r="116" ht="15.5" customHeight="1" s="8">
      <c r="A116" s="305" t="inlineStr">
        <is>
          <t>5月</t>
        </is>
      </c>
      <c r="B116" s="305" t="inlineStr">
        <is>
          <t>消金</t>
        </is>
      </c>
      <c r="C116" s="305" t="inlineStr">
        <is>
          <t>信托金条</t>
        </is>
      </c>
      <c r="D116" s="305" t="inlineStr">
        <is>
          <t>耘睿21-5（续发）</t>
        </is>
      </c>
      <c r="E116" s="305" t="inlineStr">
        <is>
          <t>上交所</t>
        </is>
      </c>
      <c r="F116" s="305" t="inlineStr">
        <is>
          <t>招商证券</t>
        </is>
      </c>
      <c r="G116" s="305" t="inlineStr">
        <is>
          <t>申万宏源资管</t>
        </is>
      </c>
      <c r="H116" s="305" t="inlineStr">
        <is>
          <t>光大重分</t>
        </is>
      </c>
      <c r="I116" s="245" t="n">
        <v>9.300000000000001</v>
      </c>
      <c r="J116" s="305" t="inlineStr">
        <is>
          <t>11+12</t>
        </is>
      </c>
      <c r="K116" s="246" t="n">
        <v>46148</v>
      </c>
      <c r="L116" s="247" t="n">
        <v>0.01445</v>
      </c>
      <c r="M116" s="306" t="n">
        <v>0.01982</v>
      </c>
      <c r="N116" s="245" t="n">
        <v>1.48</v>
      </c>
      <c r="O116" s="235" t="inlineStr">
        <is>
          <t>优先A</t>
        </is>
      </c>
      <c r="P116" s="236" t="n">
        <v>0.9</v>
      </c>
      <c r="Q116" s="307" t="n">
        <v>9</v>
      </c>
      <c r="R116" s="235" t="inlineStr">
        <is>
          <t>AAA</t>
        </is>
      </c>
      <c r="S116" s="236" t="n">
        <v>0.0165</v>
      </c>
      <c r="T116" s="235" t="inlineStr">
        <is>
          <t>中邮理财</t>
        </is>
      </c>
      <c r="U116" s="308" t="n">
        <v>2.3</v>
      </c>
    </row>
    <row r="117" ht="15.5" customHeight="1" s="8">
      <c r="A117" s="332" t="n"/>
      <c r="B117" s="332" t="n"/>
      <c r="C117" s="332" t="n"/>
      <c r="D117" s="332" t="n"/>
      <c r="E117" s="332" t="n"/>
      <c r="F117" s="332" t="n"/>
      <c r="G117" s="332" t="n"/>
      <c r="H117" s="332" t="n"/>
      <c r="I117" s="332" t="n"/>
      <c r="J117" s="332" t="n"/>
      <c r="K117" s="332" t="n"/>
      <c r="L117" s="332" t="n"/>
      <c r="M117" s="332" t="n"/>
      <c r="N117" s="332" t="n"/>
      <c r="O117" s="332" t="n"/>
      <c r="P117" s="332" t="n"/>
      <c r="Q117" s="332" t="n"/>
      <c r="R117" s="332" t="n"/>
      <c r="S117" s="332" t="n"/>
      <c r="T117" s="235" t="inlineStr">
        <is>
          <t>招商证券投行</t>
        </is>
      </c>
      <c r="U117" s="308" t="n">
        <v>0.2</v>
      </c>
    </row>
    <row r="118" ht="15.5" customHeight="1" s="8">
      <c r="A118" s="332" t="n"/>
      <c r="B118" s="332" t="n"/>
      <c r="C118" s="332" t="n"/>
      <c r="D118" s="332" t="n"/>
      <c r="E118" s="332" t="n"/>
      <c r="F118" s="332" t="n"/>
      <c r="G118" s="332" t="n"/>
      <c r="H118" s="332" t="n"/>
      <c r="I118" s="332" t="n"/>
      <c r="J118" s="332" t="n"/>
      <c r="K118" s="332" t="n"/>
      <c r="L118" s="332" t="n"/>
      <c r="M118" s="332" t="n"/>
      <c r="N118" s="332" t="n"/>
      <c r="O118" s="332" t="n"/>
      <c r="P118" s="332" t="n"/>
      <c r="Q118" s="332" t="n"/>
      <c r="R118" s="332" t="n"/>
      <c r="S118" s="332" t="n"/>
      <c r="T118" s="235" t="inlineStr">
        <is>
          <t>渝农商理财</t>
        </is>
      </c>
      <c r="U118" s="308" t="n">
        <v>1.1</v>
      </c>
    </row>
    <row r="119" ht="15.5" customHeight="1" s="8">
      <c r="A119" s="332" t="n"/>
      <c r="B119" s="332" t="n"/>
      <c r="C119" s="332" t="n"/>
      <c r="D119" s="332" t="n"/>
      <c r="E119" s="332" t="n"/>
      <c r="F119" s="332" t="n"/>
      <c r="G119" s="332" t="n"/>
      <c r="H119" s="332" t="n"/>
      <c r="I119" s="332" t="n"/>
      <c r="J119" s="332" t="n"/>
      <c r="K119" s="332" t="n"/>
      <c r="L119" s="332" t="n"/>
      <c r="M119" s="332" t="n"/>
      <c r="N119" s="332" t="n"/>
      <c r="O119" s="332" t="n"/>
      <c r="P119" s="332" t="n"/>
      <c r="Q119" s="332" t="n"/>
      <c r="R119" s="332" t="n"/>
      <c r="S119" s="332" t="n"/>
      <c r="T119" s="235" t="inlineStr">
        <is>
          <t>申万宏源资管</t>
        </is>
      </c>
      <c r="U119" s="308" t="n">
        <v>0.2</v>
      </c>
    </row>
    <row r="120" ht="15.5" customHeight="1" s="8">
      <c r="A120" s="332" t="n"/>
      <c r="B120" s="332" t="n"/>
      <c r="C120" s="332" t="n"/>
      <c r="D120" s="332" t="n"/>
      <c r="E120" s="332" t="n"/>
      <c r="F120" s="332" t="n"/>
      <c r="G120" s="332" t="n"/>
      <c r="H120" s="332" t="n"/>
      <c r="I120" s="332" t="n"/>
      <c r="J120" s="332" t="n"/>
      <c r="K120" s="332" t="n"/>
      <c r="L120" s="332" t="n"/>
      <c r="M120" s="332" t="n"/>
      <c r="N120" s="332" t="n"/>
      <c r="O120" s="332" t="n"/>
      <c r="P120" s="332" t="n"/>
      <c r="Q120" s="332" t="n"/>
      <c r="R120" s="332" t="n"/>
      <c r="S120" s="332" t="n"/>
      <c r="T120" s="235" t="inlineStr">
        <is>
          <t>建信理财</t>
        </is>
      </c>
      <c r="U120" s="308" t="n">
        <v>2.7</v>
      </c>
    </row>
    <row r="121" ht="15.5" customHeight="1" s="8">
      <c r="A121" s="332" t="n"/>
      <c r="B121" s="332" t="n"/>
      <c r="C121" s="332" t="n"/>
      <c r="D121" s="332" t="n"/>
      <c r="E121" s="332" t="n"/>
      <c r="F121" s="332" t="n"/>
      <c r="G121" s="332" t="n"/>
      <c r="H121" s="332" t="n"/>
      <c r="I121" s="332" t="n"/>
      <c r="J121" s="332" t="n"/>
      <c r="K121" s="332" t="n"/>
      <c r="L121" s="332" t="n"/>
      <c r="M121" s="332" t="n"/>
      <c r="N121" s="332" t="n"/>
      <c r="O121" s="332" t="n"/>
      <c r="P121" s="332" t="n"/>
      <c r="Q121" s="332" t="n"/>
      <c r="R121" s="332" t="n"/>
      <c r="S121" s="332" t="n"/>
      <c r="T121" s="235" t="inlineStr">
        <is>
          <t>杭州联合银行</t>
        </is>
      </c>
      <c r="U121" s="308" t="n">
        <v>1</v>
      </c>
    </row>
    <row r="122" ht="15.5" customHeight="1" s="8">
      <c r="A122" s="332" t="n"/>
      <c r="B122" s="332" t="n"/>
      <c r="C122" s="332" t="n"/>
      <c r="D122" s="332" t="n"/>
      <c r="E122" s="332" t="n"/>
      <c r="F122" s="332" t="n"/>
      <c r="G122" s="332" t="n"/>
      <c r="H122" s="332" t="n"/>
      <c r="I122" s="332" t="n"/>
      <c r="J122" s="332" t="n"/>
      <c r="K122" s="332" t="n"/>
      <c r="L122" s="332" t="n"/>
      <c r="M122" s="332" t="n"/>
      <c r="N122" s="332" t="n"/>
      <c r="O122" s="332" t="n"/>
      <c r="P122" s="332" t="n"/>
      <c r="Q122" s="332" t="n"/>
      <c r="R122" s="332" t="n"/>
      <c r="S122" s="332" t="n"/>
      <c r="T122" s="235" t="inlineStr">
        <is>
          <t>广银理财</t>
        </is>
      </c>
      <c r="U122" s="308" t="n">
        <v>1</v>
      </c>
    </row>
    <row r="123" ht="15.5" customHeight="1" s="8">
      <c r="A123" s="332" t="n"/>
      <c r="B123" s="332" t="n"/>
      <c r="C123" s="332" t="n"/>
      <c r="D123" s="332" t="n"/>
      <c r="E123" s="332" t="n"/>
      <c r="F123" s="332" t="n"/>
      <c r="G123" s="332" t="n"/>
      <c r="H123" s="332" t="n"/>
      <c r="I123" s="332" t="n"/>
      <c r="J123" s="332" t="n"/>
      <c r="K123" s="332" t="n"/>
      <c r="L123" s="332" t="n"/>
      <c r="M123" s="332" t="n"/>
      <c r="N123" s="332" t="n"/>
      <c r="O123" s="333" t="n"/>
      <c r="P123" s="333" t="n"/>
      <c r="Q123" s="333" t="n"/>
      <c r="R123" s="333" t="n"/>
      <c r="S123" s="333" t="n"/>
      <c r="T123" s="235" t="inlineStr">
        <is>
          <t>工银瑞信基金</t>
        </is>
      </c>
      <c r="U123" s="308" t="n">
        <v>0.5</v>
      </c>
    </row>
    <row r="124" ht="15.5" customHeight="1" s="8">
      <c r="A124" s="332" t="n"/>
      <c r="B124" s="332" t="n"/>
      <c r="C124" s="332" t="n"/>
      <c r="D124" s="332" t="n"/>
      <c r="E124" s="332" t="n"/>
      <c r="F124" s="332" t="n"/>
      <c r="G124" s="332" t="n"/>
      <c r="H124" s="332" t="n"/>
      <c r="I124" s="332" t="n"/>
      <c r="J124" s="332" t="n"/>
      <c r="K124" s="332" t="n"/>
      <c r="L124" s="332" t="n"/>
      <c r="M124" s="332" t="n"/>
      <c r="N124" s="332" t="n"/>
      <c r="O124" s="235" t="inlineStr">
        <is>
          <t>优先B</t>
        </is>
      </c>
      <c r="P124" s="236" t="n">
        <v>0.03</v>
      </c>
      <c r="Q124" s="307" t="n">
        <v>0.3</v>
      </c>
      <c r="R124" s="235" t="inlineStr">
        <is>
          <t>AA+</t>
        </is>
      </c>
      <c r="S124" s="236" t="n">
        <v>0.0185</v>
      </c>
      <c r="T124" s="235" t="inlineStr">
        <is>
          <t>杭州联合银行</t>
        </is>
      </c>
      <c r="U124" s="308" t="n">
        <v>0.09</v>
      </c>
    </row>
    <row r="125" ht="15.5" customHeight="1" s="8">
      <c r="A125" s="332" t="n"/>
      <c r="B125" s="332" t="n"/>
      <c r="C125" s="332" t="n"/>
      <c r="D125" s="332" t="n"/>
      <c r="E125" s="332" t="n"/>
      <c r="F125" s="332" t="n"/>
      <c r="G125" s="332" t="n"/>
      <c r="H125" s="332" t="n"/>
      <c r="I125" s="332" t="n"/>
      <c r="J125" s="332" t="n"/>
      <c r="K125" s="332" t="n"/>
      <c r="L125" s="332" t="n"/>
      <c r="M125" s="332" t="n"/>
      <c r="N125" s="332" t="n"/>
      <c r="O125" s="332" t="n"/>
      <c r="P125" s="332" t="n"/>
      <c r="Q125" s="332" t="n"/>
      <c r="R125" s="332" t="n"/>
      <c r="S125" s="332" t="n"/>
      <c r="T125" s="235" t="inlineStr">
        <is>
          <t>渝农商理财</t>
        </is>
      </c>
      <c r="U125" s="308" t="n">
        <v>0.09</v>
      </c>
    </row>
    <row r="126" ht="15.5" customHeight="1" s="8">
      <c r="A126" s="333" t="n"/>
      <c r="B126" s="333" t="n"/>
      <c r="C126" s="333" t="n"/>
      <c r="D126" s="333" t="n"/>
      <c r="E126" s="333" t="n"/>
      <c r="F126" s="333" t="n"/>
      <c r="G126" s="333" t="n"/>
      <c r="H126" s="333" t="n"/>
      <c r="I126" s="333" t="n"/>
      <c r="J126" s="333" t="n"/>
      <c r="K126" s="333" t="n"/>
      <c r="L126" s="333" t="n"/>
      <c r="M126" s="333" t="n"/>
      <c r="N126" s="333" t="n"/>
      <c r="O126" s="333" t="n"/>
      <c r="P126" s="333" t="n"/>
      <c r="Q126" s="333" t="n"/>
      <c r="R126" s="333" t="n"/>
      <c r="S126" s="333" t="n"/>
      <c r="T126" s="235" t="inlineStr">
        <is>
          <t>中信建投投顾</t>
        </is>
      </c>
      <c r="U126" s="308" t="n">
        <v>0.12</v>
      </c>
    </row>
    <row r="127" ht="15.5" customHeight="1" s="8">
      <c r="A127" s="305" t="inlineStr">
        <is>
          <t>5月</t>
        </is>
      </c>
      <c r="B127" s="305" t="inlineStr">
        <is>
          <t>消金</t>
        </is>
      </c>
      <c r="C127" s="305" t="inlineStr">
        <is>
          <t>信托金条</t>
        </is>
      </c>
      <c r="D127" s="305" t="inlineStr">
        <is>
          <t>耘睿21-4（续发）</t>
        </is>
      </c>
      <c r="E127" s="305" t="inlineStr">
        <is>
          <t>上交所</t>
        </is>
      </c>
      <c r="F127" s="305" t="inlineStr">
        <is>
          <t>中信证券</t>
        </is>
      </c>
      <c r="G127" s="305" t="inlineStr">
        <is>
          <t>国金证券</t>
        </is>
      </c>
      <c r="H127" s="305" t="inlineStr">
        <is>
          <t>江苏北分</t>
        </is>
      </c>
      <c r="I127" s="245" t="n">
        <v>9.300000000000001</v>
      </c>
      <c r="J127" s="305" t="inlineStr">
        <is>
          <t>11+12</t>
        </is>
      </c>
      <c r="K127" s="246" t="n">
        <v>46148</v>
      </c>
      <c r="L127" s="247" t="n">
        <v>0.01445</v>
      </c>
      <c r="M127" s="306" t="n">
        <v>0.01982</v>
      </c>
      <c r="N127" s="245" t="n">
        <v>1.87</v>
      </c>
      <c r="O127" s="235" t="inlineStr">
        <is>
          <t>优先A</t>
        </is>
      </c>
      <c r="P127" s="236" t="n">
        <v>0.9</v>
      </c>
      <c r="Q127" s="307" t="n">
        <v>9</v>
      </c>
      <c r="R127" s="235" t="inlineStr">
        <is>
          <t>AAA</t>
        </is>
      </c>
      <c r="S127" s="236" t="n">
        <v>0.0165</v>
      </c>
      <c r="T127" s="235" t="inlineStr">
        <is>
          <t>建信理财</t>
        </is>
      </c>
      <c r="U127" s="308" t="n">
        <v>2.7</v>
      </c>
    </row>
    <row r="128" ht="15.5" customHeight="1" s="8">
      <c r="A128" s="332" t="n"/>
      <c r="B128" s="332" t="n"/>
      <c r="C128" s="332" t="n"/>
      <c r="D128" s="332" t="n"/>
      <c r="E128" s="332" t="n"/>
      <c r="F128" s="332" t="n"/>
      <c r="G128" s="332" t="n"/>
      <c r="H128" s="332" t="n"/>
      <c r="I128" s="332" t="n"/>
      <c r="J128" s="332" t="n"/>
      <c r="K128" s="332" t="n"/>
      <c r="L128" s="332" t="n"/>
      <c r="M128" s="332" t="n"/>
      <c r="N128" s="332" t="n"/>
      <c r="O128" s="332" t="n"/>
      <c r="P128" s="332" t="n"/>
      <c r="Q128" s="332" t="n"/>
      <c r="R128" s="332" t="n"/>
      <c r="S128" s="332" t="n"/>
      <c r="T128" s="235" t="inlineStr">
        <is>
          <t>招银理财</t>
        </is>
      </c>
      <c r="U128" s="308" t="n">
        <v>2</v>
      </c>
    </row>
    <row r="129" ht="15.5" customHeight="1" s="8">
      <c r="A129" s="332" t="n"/>
      <c r="B129" s="332" t="n"/>
      <c r="C129" s="332" t="n"/>
      <c r="D129" s="332" t="n"/>
      <c r="E129" s="332" t="n"/>
      <c r="F129" s="332" t="n"/>
      <c r="G129" s="332" t="n"/>
      <c r="H129" s="332" t="n"/>
      <c r="I129" s="332" t="n"/>
      <c r="J129" s="332" t="n"/>
      <c r="K129" s="332" t="n"/>
      <c r="L129" s="332" t="n"/>
      <c r="M129" s="332" t="n"/>
      <c r="N129" s="332" t="n"/>
      <c r="O129" s="332" t="n"/>
      <c r="P129" s="332" t="n"/>
      <c r="Q129" s="332" t="n"/>
      <c r="R129" s="332" t="n"/>
      <c r="S129" s="332" t="n"/>
      <c r="T129" s="235" t="inlineStr">
        <is>
          <t>中邮理财</t>
        </is>
      </c>
      <c r="U129" s="308" t="n">
        <v>1.26</v>
      </c>
    </row>
    <row r="130" ht="15.5" customHeight="1" s="8">
      <c r="A130" s="332" t="n"/>
      <c r="B130" s="332" t="n"/>
      <c r="C130" s="332" t="n"/>
      <c r="D130" s="332" t="n"/>
      <c r="E130" s="332" t="n"/>
      <c r="F130" s="332" t="n"/>
      <c r="G130" s="332" t="n"/>
      <c r="H130" s="332" t="n"/>
      <c r="I130" s="332" t="n"/>
      <c r="J130" s="332" t="n"/>
      <c r="K130" s="332" t="n"/>
      <c r="L130" s="332" t="n"/>
      <c r="M130" s="332" t="n"/>
      <c r="N130" s="332" t="n"/>
      <c r="O130" s="332" t="n"/>
      <c r="P130" s="332" t="n"/>
      <c r="Q130" s="332" t="n"/>
      <c r="R130" s="332" t="n"/>
      <c r="S130" s="332" t="n"/>
      <c r="T130" s="235" t="inlineStr">
        <is>
          <t>渝农商理财</t>
        </is>
      </c>
      <c r="U130" s="308" t="n">
        <v>1.1</v>
      </c>
    </row>
    <row r="131" ht="15.5" customHeight="1" s="8">
      <c r="A131" s="332" t="n"/>
      <c r="B131" s="332" t="n"/>
      <c r="C131" s="332" t="n"/>
      <c r="D131" s="332" t="n"/>
      <c r="E131" s="332" t="n"/>
      <c r="F131" s="332" t="n"/>
      <c r="G131" s="332" t="n"/>
      <c r="H131" s="332" t="n"/>
      <c r="I131" s="332" t="n"/>
      <c r="J131" s="332" t="n"/>
      <c r="K131" s="332" t="n"/>
      <c r="L131" s="332" t="n"/>
      <c r="M131" s="332" t="n"/>
      <c r="N131" s="332" t="n"/>
      <c r="O131" s="332" t="n"/>
      <c r="P131" s="332" t="n"/>
      <c r="Q131" s="332" t="n"/>
      <c r="R131" s="332" t="n"/>
      <c r="S131" s="332" t="n"/>
      <c r="T131" s="235" t="inlineStr">
        <is>
          <t>杭州联合银行</t>
        </is>
      </c>
      <c r="U131" s="308" t="n">
        <v>1</v>
      </c>
    </row>
    <row r="132" ht="15.5" customHeight="1" s="8">
      <c r="A132" s="332" t="n"/>
      <c r="B132" s="332" t="n"/>
      <c r="C132" s="332" t="n"/>
      <c r="D132" s="332" t="n"/>
      <c r="E132" s="332" t="n"/>
      <c r="F132" s="332" t="n"/>
      <c r="G132" s="332" t="n"/>
      <c r="H132" s="332" t="n"/>
      <c r="I132" s="332" t="n"/>
      <c r="J132" s="332" t="n"/>
      <c r="K132" s="332" t="n"/>
      <c r="L132" s="332" t="n"/>
      <c r="M132" s="332" t="n"/>
      <c r="N132" s="332" t="n"/>
      <c r="O132" s="332" t="n"/>
      <c r="P132" s="332" t="n"/>
      <c r="Q132" s="332" t="n"/>
      <c r="R132" s="332" t="n"/>
      <c r="S132" s="332" t="n"/>
      <c r="T132" s="235" t="inlineStr">
        <is>
          <t>广银理财</t>
        </is>
      </c>
      <c r="U132" s="308" t="n">
        <v>0.63</v>
      </c>
    </row>
    <row r="133" ht="15.5" customHeight="1" s="8">
      <c r="A133" s="332" t="n"/>
      <c r="B133" s="332" t="n"/>
      <c r="C133" s="332" t="n"/>
      <c r="D133" s="332" t="n"/>
      <c r="E133" s="332" t="n"/>
      <c r="F133" s="332" t="n"/>
      <c r="G133" s="332" t="n"/>
      <c r="H133" s="332" t="n"/>
      <c r="I133" s="332" t="n"/>
      <c r="J133" s="332" t="n"/>
      <c r="K133" s="332" t="n"/>
      <c r="L133" s="332" t="n"/>
      <c r="M133" s="332" t="n"/>
      <c r="N133" s="332" t="n"/>
      <c r="O133" s="333" t="n"/>
      <c r="P133" s="333" t="n"/>
      <c r="Q133" s="333" t="n"/>
      <c r="R133" s="333" t="n"/>
      <c r="S133" s="333" t="n"/>
      <c r="T133" s="252" t="inlineStr">
        <is>
          <t>工银瑞信基金</t>
        </is>
      </c>
      <c r="U133" s="308" t="n">
        <v>0.31</v>
      </c>
    </row>
    <row r="134" ht="15.5" customHeight="1" s="8">
      <c r="A134" s="332" t="n"/>
      <c r="B134" s="332" t="n"/>
      <c r="C134" s="332" t="n"/>
      <c r="D134" s="332" t="n"/>
      <c r="E134" s="332" t="n"/>
      <c r="F134" s="332" t="n"/>
      <c r="G134" s="332" t="n"/>
      <c r="H134" s="332" t="n"/>
      <c r="I134" s="332" t="n"/>
      <c r="J134" s="332" t="n"/>
      <c r="K134" s="332" t="n"/>
      <c r="L134" s="332" t="n"/>
      <c r="M134" s="332" t="n"/>
      <c r="N134" s="332" t="n"/>
      <c r="O134" s="235" t="inlineStr">
        <is>
          <t>优先B</t>
        </is>
      </c>
      <c r="P134" s="236" t="n">
        <v>0.03</v>
      </c>
      <c r="Q134" s="307" t="n">
        <v>0.3</v>
      </c>
      <c r="R134" s="235" t="inlineStr">
        <is>
          <t>AA+</t>
        </is>
      </c>
      <c r="S134" s="236" t="n">
        <v>0.0185</v>
      </c>
      <c r="T134" s="235" t="inlineStr">
        <is>
          <t>招银理财</t>
        </is>
      </c>
      <c r="U134" s="308" t="n">
        <v>0.09</v>
      </c>
    </row>
    <row r="135" ht="15.5" customHeight="1" s="8">
      <c r="A135" s="332" t="n"/>
      <c r="B135" s="332" t="n"/>
      <c r="C135" s="332" t="n"/>
      <c r="D135" s="332" t="n"/>
      <c r="E135" s="332" t="n"/>
      <c r="F135" s="332" t="n"/>
      <c r="G135" s="332" t="n"/>
      <c r="H135" s="332" t="n"/>
      <c r="I135" s="332" t="n"/>
      <c r="J135" s="332" t="n"/>
      <c r="K135" s="332" t="n"/>
      <c r="L135" s="332" t="n"/>
      <c r="M135" s="332" t="n"/>
      <c r="N135" s="332" t="n"/>
      <c r="O135" s="332" t="n"/>
      <c r="P135" s="332" t="n"/>
      <c r="Q135" s="332" t="n"/>
      <c r="R135" s="332" t="n"/>
      <c r="S135" s="332" t="n"/>
      <c r="T135" s="235" t="inlineStr">
        <is>
          <t>杭州联合银行</t>
        </is>
      </c>
      <c r="U135" s="308" t="n">
        <v>0.09</v>
      </c>
    </row>
    <row r="136" ht="15.5" customHeight="1" s="8">
      <c r="A136" s="332" t="n"/>
      <c r="B136" s="332" t="n"/>
      <c r="C136" s="332" t="n"/>
      <c r="D136" s="332" t="n"/>
      <c r="E136" s="332" t="n"/>
      <c r="F136" s="332" t="n"/>
      <c r="G136" s="332" t="n"/>
      <c r="H136" s="332" t="n"/>
      <c r="I136" s="332" t="n"/>
      <c r="J136" s="332" t="n"/>
      <c r="K136" s="332" t="n"/>
      <c r="L136" s="332" t="n"/>
      <c r="M136" s="332" t="n"/>
      <c r="N136" s="332" t="n"/>
      <c r="O136" s="332" t="n"/>
      <c r="P136" s="332" t="n"/>
      <c r="Q136" s="332" t="n"/>
      <c r="R136" s="332" t="n"/>
      <c r="S136" s="332" t="n"/>
      <c r="T136" s="235" t="inlineStr">
        <is>
          <t>渝农商理财</t>
        </is>
      </c>
      <c r="U136" s="308" t="n">
        <v>0.07000000000000001</v>
      </c>
    </row>
    <row r="137" ht="15.5" customHeight="1" s="8">
      <c r="A137" s="333" t="n"/>
      <c r="B137" s="333" t="n"/>
      <c r="C137" s="333" t="n"/>
      <c r="D137" s="333" t="n"/>
      <c r="E137" s="333" t="n"/>
      <c r="F137" s="333" t="n"/>
      <c r="G137" s="333" t="n"/>
      <c r="H137" s="333" t="n"/>
      <c r="I137" s="333" t="n"/>
      <c r="J137" s="333" t="n"/>
      <c r="K137" s="333" t="n"/>
      <c r="L137" s="333" t="n"/>
      <c r="M137" s="333" t="n"/>
      <c r="N137" s="333" t="n"/>
      <c r="O137" s="333" t="n"/>
      <c r="P137" s="333" t="n"/>
      <c r="Q137" s="333" t="n"/>
      <c r="R137" s="333" t="n"/>
      <c r="S137" s="333" t="n"/>
      <c r="T137" s="235" t="inlineStr">
        <is>
          <t>中信证券投行</t>
        </is>
      </c>
      <c r="U137" s="308" t="n">
        <v>0.05</v>
      </c>
    </row>
    <row r="138" ht="15.5" customHeight="1" s="8">
      <c r="A138" s="305" t="inlineStr">
        <is>
          <t>5月</t>
        </is>
      </c>
      <c r="B138" s="305" t="inlineStr">
        <is>
          <t>消金</t>
        </is>
      </c>
      <c r="C138" s="305" t="inlineStr">
        <is>
          <t>信托金条</t>
        </is>
      </c>
      <c r="D138" s="305" t="inlineStr">
        <is>
          <t>耘睿24-7</t>
        </is>
      </c>
      <c r="E138" s="305" t="inlineStr">
        <is>
          <t>上交所</t>
        </is>
      </c>
      <c r="F138" s="305" t="inlineStr">
        <is>
          <t>财通资管</t>
        </is>
      </c>
      <c r="G138" s="305" t="inlineStr">
        <is>
          <t>国联证券</t>
        </is>
      </c>
      <c r="H138" s="305" t="inlineStr">
        <is>
          <t>招行北分</t>
        </is>
      </c>
      <c r="I138" s="245" t="n">
        <v>10</v>
      </c>
      <c r="J138" s="305" t="inlineStr">
        <is>
          <t>11+13</t>
        </is>
      </c>
      <c r="K138" s="246" t="n">
        <v>46148</v>
      </c>
      <c r="L138" s="247" t="n">
        <v>0.01445</v>
      </c>
      <c r="M138" s="306" t="n">
        <v>0.01915</v>
      </c>
      <c r="N138" s="245" t="n">
        <v>2.09</v>
      </c>
      <c r="O138" s="235" t="inlineStr">
        <is>
          <t>优先A</t>
        </is>
      </c>
      <c r="P138" s="236" t="n">
        <v>0.9</v>
      </c>
      <c r="Q138" s="307" t="n">
        <v>9</v>
      </c>
      <c r="R138" s="235" t="inlineStr">
        <is>
          <t>AAA</t>
        </is>
      </c>
      <c r="S138" s="236" t="n">
        <v>0.0162</v>
      </c>
      <c r="T138" s="235" t="inlineStr">
        <is>
          <t>招银理财</t>
        </is>
      </c>
      <c r="U138" s="308" t="n">
        <v>2.7</v>
      </c>
    </row>
    <row r="139" ht="15.5" customHeight="1" s="8">
      <c r="A139" s="332" t="n"/>
      <c r="B139" s="332" t="n"/>
      <c r="C139" s="332" t="n"/>
      <c r="D139" s="332" t="n"/>
      <c r="E139" s="332" t="n"/>
      <c r="F139" s="332" t="n"/>
      <c r="G139" s="332" t="n"/>
      <c r="H139" s="332" t="n"/>
      <c r="I139" s="332" t="n"/>
      <c r="J139" s="332" t="n"/>
      <c r="K139" s="332" t="n"/>
      <c r="L139" s="332" t="n"/>
      <c r="M139" s="332" t="n"/>
      <c r="N139" s="332" t="n"/>
      <c r="O139" s="332" t="n"/>
      <c r="P139" s="332" t="n"/>
      <c r="Q139" s="332" t="n"/>
      <c r="R139" s="332" t="n"/>
      <c r="S139" s="332" t="n"/>
      <c r="T139" s="235" t="inlineStr">
        <is>
          <t>渝农商理财</t>
        </is>
      </c>
      <c r="U139" s="308" t="n">
        <v>1</v>
      </c>
    </row>
    <row r="140" ht="15.5" customHeight="1" s="8">
      <c r="A140" s="332" t="n"/>
      <c r="B140" s="332" t="n"/>
      <c r="C140" s="332" t="n"/>
      <c r="D140" s="332" t="n"/>
      <c r="E140" s="332" t="n"/>
      <c r="F140" s="332" t="n"/>
      <c r="G140" s="332" t="n"/>
      <c r="H140" s="332" t="n"/>
      <c r="I140" s="332" t="n"/>
      <c r="J140" s="332" t="n"/>
      <c r="K140" s="332" t="n"/>
      <c r="L140" s="332" t="n"/>
      <c r="M140" s="332" t="n"/>
      <c r="N140" s="332" t="n"/>
      <c r="O140" s="332" t="n"/>
      <c r="P140" s="332" t="n"/>
      <c r="Q140" s="332" t="n"/>
      <c r="R140" s="332" t="n"/>
      <c r="S140" s="332" t="n"/>
      <c r="T140" s="235" t="inlineStr">
        <is>
          <t>建信理财</t>
        </is>
      </c>
      <c r="U140" s="308" t="n">
        <v>2.7</v>
      </c>
    </row>
    <row r="141" ht="15.5" customHeight="1" s="8">
      <c r="A141" s="332" t="n"/>
      <c r="B141" s="332" t="n"/>
      <c r="C141" s="332" t="n"/>
      <c r="D141" s="332" t="n"/>
      <c r="E141" s="332" t="n"/>
      <c r="F141" s="332" t="n"/>
      <c r="G141" s="332" t="n"/>
      <c r="H141" s="332" t="n"/>
      <c r="I141" s="332" t="n"/>
      <c r="J141" s="332" t="n"/>
      <c r="K141" s="332" t="n"/>
      <c r="L141" s="332" t="n"/>
      <c r="M141" s="332" t="n"/>
      <c r="N141" s="332" t="n"/>
      <c r="O141" s="332" t="n"/>
      <c r="P141" s="332" t="n"/>
      <c r="Q141" s="332" t="n"/>
      <c r="R141" s="332" t="n"/>
      <c r="S141" s="332" t="n"/>
      <c r="T141" s="235" t="inlineStr">
        <is>
          <t>中邮理财</t>
        </is>
      </c>
      <c r="U141" s="308" t="n">
        <v>1.9</v>
      </c>
    </row>
    <row r="142" ht="15.5" customHeight="1" s="8">
      <c r="A142" s="332" t="n"/>
      <c r="B142" s="332" t="n"/>
      <c r="C142" s="332" t="n"/>
      <c r="D142" s="332" t="n"/>
      <c r="E142" s="332" t="n"/>
      <c r="F142" s="332" t="n"/>
      <c r="G142" s="332" t="n"/>
      <c r="H142" s="332" t="n"/>
      <c r="I142" s="332" t="n"/>
      <c r="J142" s="332" t="n"/>
      <c r="K142" s="332" t="n"/>
      <c r="L142" s="332" t="n"/>
      <c r="M142" s="332" t="n"/>
      <c r="N142" s="332" t="n"/>
      <c r="O142" s="333" t="n"/>
      <c r="P142" s="333" t="n"/>
      <c r="Q142" s="333" t="n"/>
      <c r="R142" s="333" t="n"/>
      <c r="S142" s="333" t="n"/>
      <c r="T142" s="235" t="inlineStr">
        <is>
          <t>广银理财</t>
        </is>
      </c>
      <c r="U142" s="308" t="n">
        <v>0.7</v>
      </c>
    </row>
    <row r="143" ht="15.5" customHeight="1" s="8">
      <c r="A143" s="332" t="n"/>
      <c r="B143" s="332" t="n"/>
      <c r="C143" s="332" t="n"/>
      <c r="D143" s="332" t="n"/>
      <c r="E143" s="332" t="n"/>
      <c r="F143" s="332" t="n"/>
      <c r="G143" s="332" t="n"/>
      <c r="H143" s="332" t="n"/>
      <c r="I143" s="332" t="n"/>
      <c r="J143" s="332" t="n"/>
      <c r="K143" s="332" t="n"/>
      <c r="L143" s="332" t="n"/>
      <c r="M143" s="332" t="n"/>
      <c r="N143" s="332" t="n"/>
      <c r="O143" s="235" t="inlineStr">
        <is>
          <t>优先B</t>
        </is>
      </c>
      <c r="P143" s="236" t="n">
        <v>0.03</v>
      </c>
      <c r="Q143" s="307" t="n">
        <v>0.3</v>
      </c>
      <c r="R143" s="235" t="inlineStr">
        <is>
          <t>AA+</t>
        </is>
      </c>
      <c r="S143" s="236" t="n">
        <v>0.0185</v>
      </c>
      <c r="T143" s="235" t="inlineStr">
        <is>
          <t>招银理财</t>
        </is>
      </c>
      <c r="U143" s="308" t="n">
        <v>0.09</v>
      </c>
    </row>
    <row r="144" ht="15.5" customHeight="1" s="8">
      <c r="A144" s="332" t="n"/>
      <c r="B144" s="332" t="n"/>
      <c r="C144" s="332" t="n"/>
      <c r="D144" s="332" t="n"/>
      <c r="E144" s="332" t="n"/>
      <c r="F144" s="332" t="n"/>
      <c r="G144" s="332" t="n"/>
      <c r="H144" s="332" t="n"/>
      <c r="I144" s="332" t="n"/>
      <c r="J144" s="332" t="n"/>
      <c r="K144" s="332" t="n"/>
      <c r="L144" s="332" t="n"/>
      <c r="M144" s="332" t="n"/>
      <c r="N144" s="332" t="n"/>
      <c r="O144" s="332" t="n"/>
      <c r="P144" s="332" t="n"/>
      <c r="Q144" s="332" t="n"/>
      <c r="R144" s="332" t="n"/>
      <c r="S144" s="332" t="n"/>
      <c r="T144" s="235" t="inlineStr">
        <is>
          <t>渝农商理财</t>
        </is>
      </c>
      <c r="U144" s="308" t="n">
        <v>0.07000000000000001</v>
      </c>
    </row>
    <row r="145" ht="15.5" customHeight="1" s="8">
      <c r="A145" s="332" t="n"/>
      <c r="B145" s="332" t="n"/>
      <c r="C145" s="332" t="n"/>
      <c r="D145" s="332" t="n"/>
      <c r="E145" s="332" t="n"/>
      <c r="F145" s="332" t="n"/>
      <c r="G145" s="332" t="n"/>
      <c r="H145" s="332" t="n"/>
      <c r="I145" s="332" t="n"/>
      <c r="J145" s="332" t="n"/>
      <c r="K145" s="332" t="n"/>
      <c r="L145" s="332" t="n"/>
      <c r="M145" s="332" t="n"/>
      <c r="N145" s="332" t="n"/>
      <c r="O145" s="332" t="n"/>
      <c r="P145" s="332" t="n"/>
      <c r="Q145" s="332" t="n"/>
      <c r="R145" s="332" t="n"/>
      <c r="S145" s="332" t="n"/>
      <c r="T145" s="235" t="inlineStr">
        <is>
          <t>财通资管</t>
        </is>
      </c>
      <c r="U145" s="308" t="n">
        <v>0.1</v>
      </c>
    </row>
    <row r="146" ht="15.5" customHeight="1" s="8">
      <c r="A146" s="332" t="n"/>
      <c r="B146" s="332" t="n"/>
      <c r="C146" s="332" t="n"/>
      <c r="D146" s="332" t="n"/>
      <c r="E146" s="332" t="n"/>
      <c r="F146" s="332" t="n"/>
      <c r="G146" s="332" t="n"/>
      <c r="H146" s="332" t="n"/>
      <c r="I146" s="332" t="n"/>
      <c r="J146" s="332" t="n"/>
      <c r="K146" s="332" t="n"/>
      <c r="L146" s="332" t="n"/>
      <c r="M146" s="332" t="n"/>
      <c r="N146" s="332" t="n"/>
      <c r="O146" s="333" t="n"/>
      <c r="P146" s="333" t="n"/>
      <c r="Q146" s="333" t="n"/>
      <c r="R146" s="333" t="n"/>
      <c r="S146" s="333" t="n"/>
      <c r="T146" s="235" t="inlineStr">
        <is>
          <t>国联民生投行</t>
        </is>
      </c>
      <c r="U146" s="308" t="n">
        <v>0.04</v>
      </c>
    </row>
    <row r="147" ht="15.5" customHeight="1" s="8">
      <c r="A147" s="332" t="n"/>
      <c r="B147" s="332" t="n"/>
      <c r="C147" s="332" t="n"/>
      <c r="D147" s="332" t="n"/>
      <c r="E147" s="332" t="n"/>
      <c r="F147" s="332" t="n"/>
      <c r="G147" s="332" t="n"/>
      <c r="H147" s="332" t="n"/>
      <c r="I147" s="332" t="n"/>
      <c r="J147" s="332" t="n"/>
      <c r="K147" s="332" t="n"/>
      <c r="L147" s="332" t="n"/>
      <c r="M147" s="332" t="n"/>
      <c r="N147" s="332" t="n"/>
      <c r="O147" s="235" t="inlineStr">
        <is>
          <t>中间级</t>
        </is>
      </c>
      <c r="P147" s="236" t="n">
        <v>0.02</v>
      </c>
      <c r="Q147" s="307" t="n">
        <v>0.2</v>
      </c>
      <c r="R147" s="235" t="inlineStr">
        <is>
          <t>A+</t>
        </is>
      </c>
      <c r="S147" s="236" t="n">
        <v>0.031</v>
      </c>
      <c r="T147" s="235" t="inlineStr">
        <is>
          <t>中泰证券自营</t>
        </is>
      </c>
      <c r="U147" s="308" t="n">
        <v>0.1</v>
      </c>
    </row>
    <row r="148" ht="15.5" customHeight="1" s="8">
      <c r="A148" s="332" t="n"/>
      <c r="B148" s="332" t="n"/>
      <c r="C148" s="332" t="n"/>
      <c r="D148" s="332" t="n"/>
      <c r="E148" s="332" t="n"/>
      <c r="F148" s="332" t="n"/>
      <c r="G148" s="332" t="n"/>
      <c r="H148" s="332" t="n"/>
      <c r="I148" s="332" t="n"/>
      <c r="J148" s="332" t="n"/>
      <c r="K148" s="332" t="n"/>
      <c r="L148" s="332" t="n"/>
      <c r="M148" s="332" t="n"/>
      <c r="N148" s="332" t="n"/>
      <c r="O148" s="333" t="n"/>
      <c r="P148" s="333" t="n"/>
      <c r="Q148" s="333" t="n"/>
      <c r="R148" s="333" t="n"/>
      <c r="S148" s="333" t="n"/>
      <c r="T148" s="235" t="inlineStr">
        <is>
          <t>中金财富</t>
        </is>
      </c>
      <c r="U148" s="308" t="n">
        <v>0.1</v>
      </c>
    </row>
    <row r="149" ht="15.5" customHeight="1" s="8">
      <c r="A149" s="332" t="n"/>
      <c r="B149" s="332" t="n"/>
      <c r="C149" s="332" t="n"/>
      <c r="D149" s="332" t="n"/>
      <c r="E149" s="332" t="n"/>
      <c r="F149" s="332" t="n"/>
      <c r="G149" s="332" t="n"/>
      <c r="H149" s="332" t="n"/>
      <c r="I149" s="332" t="n"/>
      <c r="J149" s="332" t="n"/>
      <c r="K149" s="332" t="n"/>
      <c r="L149" s="332" t="n"/>
      <c r="M149" s="332" t="n"/>
      <c r="N149" s="332" t="n"/>
      <c r="O149" s="235" t="inlineStr">
        <is>
          <t>次级</t>
        </is>
      </c>
      <c r="P149" s="236" t="n">
        <v>0.05</v>
      </c>
      <c r="Q149" s="307" t="n">
        <v>0.5</v>
      </c>
      <c r="R149" s="235" t="inlineStr">
        <is>
          <t>无</t>
        </is>
      </c>
      <c r="S149" s="236" t="n">
        <v>0.0495</v>
      </c>
      <c r="T149" s="235" t="inlineStr">
        <is>
          <t>中信建投衍生品</t>
        </is>
      </c>
      <c r="U149" s="310" t="n">
        <v>0.225</v>
      </c>
    </row>
    <row r="150" ht="15.5" customHeight="1" s="8">
      <c r="A150" s="332" t="n"/>
      <c r="B150" s="332" t="n"/>
      <c r="C150" s="332" t="n"/>
      <c r="D150" s="332" t="n"/>
      <c r="E150" s="332" t="n"/>
      <c r="F150" s="332" t="n"/>
      <c r="G150" s="332" t="n"/>
      <c r="H150" s="332" t="n"/>
      <c r="I150" s="332" t="n"/>
      <c r="J150" s="332" t="n"/>
      <c r="K150" s="332" t="n"/>
      <c r="L150" s="332" t="n"/>
      <c r="M150" s="332" t="n"/>
      <c r="N150" s="332" t="n"/>
      <c r="O150" s="332" t="n"/>
      <c r="P150" s="332" t="n"/>
      <c r="Q150" s="332" t="n"/>
      <c r="R150" s="332" t="n"/>
      <c r="S150" s="332" t="n"/>
      <c r="T150" s="235" t="inlineStr">
        <is>
          <t>中金投顾</t>
        </is>
      </c>
      <c r="U150" s="308" t="n">
        <v>0.2</v>
      </c>
    </row>
    <row r="151" ht="15.5" customHeight="1" s="8">
      <c r="A151" s="333" t="n"/>
      <c r="B151" s="333" t="n"/>
      <c r="C151" s="333" t="n"/>
      <c r="D151" s="333" t="n"/>
      <c r="E151" s="333" t="n"/>
      <c r="F151" s="333" t="n"/>
      <c r="G151" s="333" t="n"/>
      <c r="H151" s="333" t="n"/>
      <c r="I151" s="333" t="n"/>
      <c r="J151" s="333" t="n"/>
      <c r="K151" s="333" t="n"/>
      <c r="L151" s="333" t="n"/>
      <c r="M151" s="333" t="n"/>
      <c r="N151" s="333" t="n"/>
      <c r="O151" s="333" t="n"/>
      <c r="P151" s="333" t="n"/>
      <c r="Q151" s="333" t="n"/>
      <c r="R151" s="333" t="n"/>
      <c r="S151" s="333" t="n"/>
      <c r="T151" s="235" t="inlineStr">
        <is>
          <t>中信证券自营</t>
        </is>
      </c>
      <c r="U151" s="310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B86:B95"/>
    <mergeCell ref="M13:M29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S72:S78"/>
    <mergeCell ref="K116:K126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S106:S111"/>
    <mergeCell ref="M72:M85"/>
    <mergeCell ref="R72:R78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C72:C85"/>
    <mergeCell ref="F2:F12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S92:S95"/>
    <mergeCell ref="I30:I47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8" min="2" max="2"/>
    <col width="12.4140625" customWidth="1" style="8" min="3" max="3"/>
    <col width="10.9140625" customWidth="1" style="8" min="4" max="4"/>
    <col width="12.9140625" customWidth="1" style="8" min="5" max="7"/>
    <col width="17.25" customWidth="1" style="8" min="8" max="12"/>
    <col width="13.25" customWidth="1" style="8" min="13" max="13"/>
  </cols>
  <sheetData>
    <row r="1" customFormat="1" s="68">
      <c r="A1" s="17" t="n"/>
      <c r="B1" s="69" t="inlineStr">
        <is>
          <t>25东樾1秋樾（续发）</t>
        </is>
      </c>
      <c r="C1" s="69" t="inlineStr">
        <is>
          <t>耘睿23-6</t>
        </is>
      </c>
      <c r="D1" s="69" t="inlineStr">
        <is>
          <t>耘睿24-5</t>
        </is>
      </c>
      <c r="E1" s="69" t="inlineStr">
        <is>
          <t>耘睿24-5</t>
        </is>
      </c>
      <c r="F1" s="69" t="inlineStr">
        <is>
          <t>耘睿23-9</t>
        </is>
      </c>
      <c r="G1" s="69" t="inlineStr">
        <is>
          <t>耘睿23-10</t>
        </is>
      </c>
      <c r="H1" s="69" t="inlineStr">
        <is>
          <t>耘睿21-1（续发）</t>
        </is>
      </c>
      <c r="I1" s="69" t="inlineStr">
        <is>
          <t>耘睿21-2（续发）</t>
        </is>
      </c>
      <c r="J1" s="69" t="inlineStr">
        <is>
          <t>耘睿21-3（续发）</t>
        </is>
      </c>
      <c r="K1" s="69" t="inlineStr">
        <is>
          <t>耘睿21-5（续发）</t>
        </is>
      </c>
      <c r="L1" s="69" t="inlineStr">
        <is>
          <t>耘睿21-4（续发）</t>
        </is>
      </c>
      <c r="M1" s="69" t="inlineStr">
        <is>
          <t>耘睿24-7</t>
        </is>
      </c>
    </row>
    <row r="2">
      <c r="A2" s="20" t="inlineStr">
        <is>
          <t>日期</t>
        </is>
      </c>
      <c r="B2" s="21" t="n">
        <v>46031</v>
      </c>
      <c r="C2" s="21" t="n">
        <v>46034</v>
      </c>
      <c r="D2" s="21" t="n">
        <v>46079</v>
      </c>
      <c r="E2" s="21" t="n">
        <v>46080</v>
      </c>
      <c r="F2" s="21" t="n">
        <v>46111</v>
      </c>
      <c r="G2" s="21" t="n">
        <v>46119</v>
      </c>
      <c r="H2" s="21" t="n">
        <v>46134</v>
      </c>
      <c r="I2" s="21" t="n">
        <v>46134</v>
      </c>
      <c r="J2" s="21" t="n">
        <v>46135</v>
      </c>
      <c r="K2" s="21" t="n">
        <v>46148</v>
      </c>
      <c r="L2" s="21" t="n">
        <v>46148</v>
      </c>
      <c r="M2" s="21" t="n">
        <v>46148</v>
      </c>
    </row>
    <row r="3">
      <c r="A3" s="20" t="inlineStr">
        <is>
          <t>优先A</t>
        </is>
      </c>
      <c r="B3" s="22" t="n">
        <v>0.0189</v>
      </c>
      <c r="C3" s="22" t="n">
        <v>0.019</v>
      </c>
      <c r="D3" s="22" t="n">
        <v>0.018</v>
      </c>
      <c r="E3" s="22" t="n">
        <v>0.018</v>
      </c>
      <c r="F3" s="22" t="n">
        <v>0.017</v>
      </c>
      <c r="G3" s="22" t="n">
        <v>0.0168</v>
      </c>
      <c r="H3" s="22" t="n">
        <v>0.016</v>
      </c>
      <c r="I3" s="22" t="n">
        <v>0.016</v>
      </c>
      <c r="J3" s="22" t="n">
        <v>0.016</v>
      </c>
      <c r="K3" s="22" t="n">
        <v>0.0165</v>
      </c>
      <c r="L3" s="22" t="n">
        <v>0.0165</v>
      </c>
      <c r="M3" s="22" t="n">
        <v>0.0162</v>
      </c>
    </row>
    <row r="4">
      <c r="A4" s="20" t="inlineStr">
        <is>
          <t>优先B</t>
        </is>
      </c>
      <c r="B4" s="22" t="n">
        <v>0.022</v>
      </c>
      <c r="C4" s="22" t="n">
        <v>0.022</v>
      </c>
      <c r="D4" s="22" t="n">
        <v>0.02</v>
      </c>
      <c r="E4" s="22" t="n">
        <v>0.02</v>
      </c>
      <c r="F4" s="22" t="n">
        <v>0.0185</v>
      </c>
      <c r="G4" s="22" t="n">
        <v>0.0185</v>
      </c>
      <c r="H4" s="22" t="n">
        <v>0.0179</v>
      </c>
      <c r="I4" s="22" t="n">
        <v>0.0179</v>
      </c>
      <c r="J4" s="22" t="n">
        <v>0.0178</v>
      </c>
      <c r="K4" s="22" t="n">
        <v>0.0185</v>
      </c>
      <c r="L4" s="22" t="n">
        <v>0.0185</v>
      </c>
      <c r="M4" s="22" t="n">
        <v>0.0185</v>
      </c>
    </row>
    <row r="5">
      <c r="A5" s="20" t="inlineStr">
        <is>
          <t>国股CD</t>
        </is>
      </c>
      <c r="B5" s="22" t="n">
        <v>0.0163</v>
      </c>
      <c r="C5" s="22" t="n">
        <v>0.0164</v>
      </c>
      <c r="D5" s="22" t="n">
        <v>0.0158</v>
      </c>
      <c r="E5" s="22" t="n">
        <v>0.016</v>
      </c>
      <c r="F5" s="22" t="n">
        <v>0.0153</v>
      </c>
      <c r="G5" s="22" t="n">
        <v>0.0146</v>
      </c>
      <c r="H5" s="22" t="n">
        <v>0.0146</v>
      </c>
      <c r="I5" s="22" t="n">
        <v>0.0146</v>
      </c>
      <c r="J5" s="22" t="n">
        <v>0.0146</v>
      </c>
      <c r="K5" s="22" t="n">
        <v>0.0145</v>
      </c>
      <c r="L5" s="22" t="n">
        <v>0.0145</v>
      </c>
      <c r="M5" s="22" t="n">
        <v>0.0145</v>
      </c>
    </row>
    <row r="6">
      <c r="A6" s="20" t="inlineStr">
        <is>
          <t>ALL-IN成本</t>
        </is>
      </c>
      <c r="B6" s="334" t="n">
        <v>0.02224</v>
      </c>
      <c r="C6" s="334" t="n">
        <v>0.02184</v>
      </c>
      <c r="D6" s="334" t="n">
        <v>0.02094</v>
      </c>
      <c r="E6" s="334" t="n">
        <v>0.02087</v>
      </c>
      <c r="F6" s="334" t="n">
        <v>0.01992</v>
      </c>
      <c r="G6" s="334" t="n">
        <v>0.01975</v>
      </c>
      <c r="H6" s="334" t="n">
        <v>0.01932</v>
      </c>
      <c r="I6" s="334" t="n">
        <v>0.01936</v>
      </c>
      <c r="J6" s="334" t="n">
        <v>0.01936</v>
      </c>
      <c r="K6" s="334" t="n">
        <v>0.01982</v>
      </c>
      <c r="L6" s="334" t="n">
        <v>0.01982</v>
      </c>
      <c r="M6" s="334" t="n">
        <v>0.01915</v>
      </c>
    </row>
    <row r="7">
      <c r="A7" s="20" t="inlineStr">
        <is>
          <t>认购倍数</t>
        </is>
      </c>
      <c r="B7" s="23" t="n">
        <v>1.33</v>
      </c>
      <c r="C7" s="23" t="n">
        <v>1.69</v>
      </c>
      <c r="D7" s="23" t="n">
        <v>3.77</v>
      </c>
      <c r="E7" s="23" t="n">
        <v>2.59</v>
      </c>
      <c r="F7" s="23" t="n">
        <v>3.48</v>
      </c>
      <c r="G7" s="23" t="n">
        <v>3.53</v>
      </c>
      <c r="H7" s="23" t="n">
        <v>1.89</v>
      </c>
      <c r="I7" s="23" t="n">
        <v>1.8</v>
      </c>
      <c r="J7" s="23" t="n">
        <v>1.89</v>
      </c>
      <c r="K7" s="23" t="n">
        <v>1.48</v>
      </c>
      <c r="L7" s="23" t="n">
        <v>1.87</v>
      </c>
      <c r="M7" s="23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1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1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0" t="inlineStr">
        <is>
          <t>1月</t>
        </is>
      </c>
      <c r="B2" s="220" t="inlineStr">
        <is>
          <t>消金</t>
        </is>
      </c>
      <c r="C2" s="220" t="inlineStr">
        <is>
          <t>信托金条</t>
        </is>
      </c>
      <c r="D2" s="223" t="inlineStr">
        <is>
          <t>云泓75号</t>
        </is>
      </c>
      <c r="E2" s="220" t="inlineStr">
        <is>
          <t>平层非标</t>
        </is>
      </c>
      <c r="F2" s="220" t="inlineStr">
        <is>
          <t>云南信托</t>
        </is>
      </c>
      <c r="G2" s="220" t="inlineStr">
        <is>
          <t>-</t>
        </is>
      </c>
      <c r="H2" s="220" t="inlineStr">
        <is>
          <t>中信北分</t>
        </is>
      </c>
      <c r="I2" s="220" t="n">
        <v>5</v>
      </c>
      <c r="J2" s="220" t="inlineStr">
        <is>
          <t>18+1</t>
        </is>
      </c>
      <c r="K2" s="224" t="n">
        <v>46050</v>
      </c>
      <c r="L2" s="225" t="n">
        <v>0.01585</v>
      </c>
      <c r="M2" s="311" t="n">
        <v>0.02505</v>
      </c>
      <c r="N2" s="226" t="inlineStr">
        <is>
          <t>-</t>
        </is>
      </c>
      <c r="O2" s="220" t="inlineStr">
        <is>
          <t>平层</t>
        </is>
      </c>
      <c r="P2" s="221" t="n">
        <v>1</v>
      </c>
      <c r="Q2" s="308" t="n">
        <v>5</v>
      </c>
      <c r="R2" s="220" t="inlineStr">
        <is>
          <t>无</t>
        </is>
      </c>
      <c r="S2" s="221" t="n">
        <v>0.0235</v>
      </c>
      <c r="T2" s="24" t="inlineStr">
        <is>
          <t>沪农商</t>
        </is>
      </c>
      <c r="U2" s="29" t="n">
        <v>5</v>
      </c>
    </row>
    <row r="3" ht="15.5" customHeight="1" s="8">
      <c r="A3" s="265" t="inlineStr">
        <is>
          <t>1月</t>
        </is>
      </c>
      <c r="B3" s="265" t="inlineStr">
        <is>
          <t>消金</t>
        </is>
      </c>
      <c r="C3" s="265" t="inlineStr">
        <is>
          <t>信托金条</t>
        </is>
      </c>
      <c r="D3" s="265" t="inlineStr">
        <is>
          <t>京熠1号1期</t>
        </is>
      </c>
      <c r="E3" s="265" t="inlineStr">
        <is>
          <t>中保登</t>
        </is>
      </c>
      <c r="F3" s="265" t="inlineStr">
        <is>
          <t>泰康资产</t>
        </is>
      </c>
      <c r="G3" s="265" t="inlineStr">
        <is>
          <t>国寿投资</t>
        </is>
      </c>
      <c r="H3" s="265" t="inlineStr">
        <is>
          <t>民生北分</t>
        </is>
      </c>
      <c r="I3" s="265" t="n">
        <v>15</v>
      </c>
      <c r="J3" s="265" t="inlineStr">
        <is>
          <t>18+12</t>
        </is>
      </c>
      <c r="K3" s="266" t="n">
        <v>46051</v>
      </c>
      <c r="L3" s="225" t="n">
        <v>0.0158</v>
      </c>
      <c r="M3" s="311" t="n">
        <v>0.0264</v>
      </c>
      <c r="N3" s="265" t="inlineStr">
        <is>
          <t>-</t>
        </is>
      </c>
      <c r="O3" s="227" t="inlineStr">
        <is>
          <t>优先级</t>
        </is>
      </c>
      <c r="P3" s="231" t="n">
        <v>0.9</v>
      </c>
      <c r="Q3" s="285" t="n">
        <v>13.5</v>
      </c>
      <c r="R3" s="227" t="inlineStr">
        <is>
          <t>AAA</t>
        </is>
      </c>
      <c r="S3" s="231" t="n">
        <v>0.0235</v>
      </c>
      <c r="T3" s="24" t="inlineStr">
        <is>
          <t>国寿投资</t>
        </is>
      </c>
      <c r="U3" s="29" t="n">
        <v>13.5</v>
      </c>
    </row>
    <row r="4" ht="15.5" customHeight="1" s="8">
      <c r="A4" s="332" t="n"/>
      <c r="B4" s="332" t="n"/>
      <c r="C4" s="332" t="n"/>
      <c r="D4" s="332" t="n"/>
      <c r="E4" s="332" t="n"/>
      <c r="F4" s="332" t="n"/>
      <c r="G4" s="332" t="n"/>
      <c r="H4" s="332" t="n"/>
      <c r="I4" s="332" t="n"/>
      <c r="J4" s="332" t="n"/>
      <c r="K4" s="332" t="n"/>
      <c r="L4" s="332" t="n"/>
      <c r="M4" s="332" t="n"/>
      <c r="N4" s="332" t="n"/>
      <c r="O4" s="223" t="inlineStr">
        <is>
          <t>中间级</t>
        </is>
      </c>
      <c r="P4" s="267" t="n">
        <v>0.05</v>
      </c>
      <c r="Q4" s="268" t="n">
        <v>0.75</v>
      </c>
      <c r="R4" s="220" t="inlineStr">
        <is>
          <t>AA-</t>
        </is>
      </c>
      <c r="S4" s="267" t="n">
        <v>0.032</v>
      </c>
      <c r="T4" s="24" t="inlineStr">
        <is>
          <t>中信建投衍生品</t>
        </is>
      </c>
      <c r="U4" s="226" t="n">
        <v>0.1</v>
      </c>
    </row>
    <row r="5" ht="15.5" customHeight="1" s="8">
      <c r="A5" s="332" t="n"/>
      <c r="B5" s="332" t="n"/>
      <c r="C5" s="332" t="n"/>
      <c r="D5" s="332" t="n"/>
      <c r="E5" s="332" t="n"/>
      <c r="F5" s="332" t="n"/>
      <c r="G5" s="332" t="n"/>
      <c r="H5" s="332" t="n"/>
      <c r="I5" s="332" t="n"/>
      <c r="J5" s="332" t="n"/>
      <c r="K5" s="332" t="n"/>
      <c r="L5" s="332" t="n"/>
      <c r="M5" s="332" t="n"/>
      <c r="N5" s="332" t="n"/>
      <c r="O5" s="332" t="n"/>
      <c r="P5" s="332" t="n"/>
      <c r="Q5" s="332" t="n"/>
      <c r="R5" s="332" t="n"/>
      <c r="S5" s="332" t="n"/>
      <c r="T5" s="24" t="inlineStr">
        <is>
          <t>中信建投机构部</t>
        </is>
      </c>
      <c r="U5" s="226" t="n">
        <v>0.2</v>
      </c>
    </row>
    <row r="6" ht="15.5" customHeight="1" s="8">
      <c r="A6" s="332" t="n"/>
      <c r="B6" s="332" t="n"/>
      <c r="C6" s="332" t="n"/>
      <c r="D6" s="332" t="n"/>
      <c r="E6" s="332" t="n"/>
      <c r="F6" s="332" t="n"/>
      <c r="G6" s="332" t="n"/>
      <c r="H6" s="332" t="n"/>
      <c r="I6" s="332" t="n"/>
      <c r="J6" s="332" t="n"/>
      <c r="K6" s="332" t="n"/>
      <c r="L6" s="332" t="n"/>
      <c r="M6" s="332" t="n"/>
      <c r="N6" s="332" t="n"/>
      <c r="O6" s="332" t="n"/>
      <c r="P6" s="332" t="n"/>
      <c r="Q6" s="332" t="n"/>
      <c r="R6" s="332" t="n"/>
      <c r="S6" s="332" t="n"/>
      <c r="T6" s="24" t="inlineStr">
        <is>
          <t>国信证券自营</t>
        </is>
      </c>
      <c r="U6" s="226" t="n">
        <v>0.2</v>
      </c>
    </row>
    <row r="7" ht="15.5" customHeight="1" s="8">
      <c r="A7" s="332" t="n"/>
      <c r="B7" s="332" t="n"/>
      <c r="C7" s="332" t="n"/>
      <c r="D7" s="332" t="n"/>
      <c r="E7" s="332" t="n"/>
      <c r="F7" s="332" t="n"/>
      <c r="G7" s="332" t="n"/>
      <c r="H7" s="332" t="n"/>
      <c r="I7" s="332" t="n"/>
      <c r="J7" s="332" t="n"/>
      <c r="K7" s="332" t="n"/>
      <c r="L7" s="332" t="n"/>
      <c r="M7" s="332" t="n"/>
      <c r="N7" s="332" t="n"/>
      <c r="O7" s="333" t="n"/>
      <c r="P7" s="333" t="n"/>
      <c r="Q7" s="333" t="n"/>
      <c r="R7" s="333" t="n"/>
      <c r="S7" s="333" t="n"/>
      <c r="T7" s="24" t="inlineStr">
        <is>
          <t>中信建投投顾</t>
        </is>
      </c>
      <c r="U7" s="226" t="n">
        <v>0.25</v>
      </c>
    </row>
    <row r="8" ht="15.5" customHeight="1" s="8">
      <c r="A8" s="332" t="n"/>
      <c r="B8" s="332" t="n"/>
      <c r="C8" s="332" t="n"/>
      <c r="D8" s="332" t="n"/>
      <c r="E8" s="332" t="n"/>
      <c r="F8" s="332" t="n"/>
      <c r="G8" s="332" t="n"/>
      <c r="H8" s="332" t="n"/>
      <c r="I8" s="332" t="n"/>
      <c r="J8" s="332" t="n"/>
      <c r="K8" s="332" t="n"/>
      <c r="L8" s="332" t="n"/>
      <c r="M8" s="332" t="n"/>
      <c r="N8" s="332" t="n"/>
      <c r="O8" s="223" t="inlineStr">
        <is>
          <t>受益权</t>
        </is>
      </c>
      <c r="P8" s="267" t="n">
        <v>0.05</v>
      </c>
      <c r="Q8" s="268" t="n">
        <v>0.75</v>
      </c>
      <c r="R8" s="223" t="inlineStr">
        <is>
          <t>无</t>
        </is>
      </c>
      <c r="S8" s="267" t="n">
        <v>0.0485</v>
      </c>
      <c r="T8" s="24" t="inlineStr">
        <is>
          <t>中信建投投顾</t>
        </is>
      </c>
      <c r="U8" s="268" t="n">
        <v>0.25</v>
      </c>
    </row>
    <row r="9" ht="15.5" customHeight="1" s="8">
      <c r="A9" s="332" t="n"/>
      <c r="B9" s="332" t="n"/>
      <c r="C9" s="332" t="n"/>
      <c r="D9" s="332" t="n"/>
      <c r="E9" s="332" t="n"/>
      <c r="F9" s="332" t="n"/>
      <c r="G9" s="332" t="n"/>
      <c r="H9" s="332" t="n"/>
      <c r="I9" s="332" t="n"/>
      <c r="J9" s="332" t="n"/>
      <c r="K9" s="332" t="n"/>
      <c r="L9" s="332" t="n"/>
      <c r="M9" s="332" t="n"/>
      <c r="N9" s="332" t="n"/>
      <c r="O9" s="332" t="n"/>
      <c r="P9" s="332" t="n"/>
      <c r="Q9" s="332" t="n"/>
      <c r="R9" s="332" t="n"/>
      <c r="S9" s="332" t="n"/>
      <c r="T9" s="217" t="inlineStr">
        <is>
          <t>信达证券自营</t>
        </is>
      </c>
      <c r="U9" s="268" t="n">
        <v>0.2</v>
      </c>
    </row>
    <row r="10" ht="15.5" customHeight="1" s="8">
      <c r="A10" s="333" t="n"/>
      <c r="B10" s="333" t="n"/>
      <c r="C10" s="333" t="n"/>
      <c r="D10" s="333" t="n"/>
      <c r="E10" s="333" t="n"/>
      <c r="F10" s="333" t="n"/>
      <c r="G10" s="333" t="n"/>
      <c r="H10" s="333" t="n"/>
      <c r="I10" s="333" t="n"/>
      <c r="J10" s="333" t="n"/>
      <c r="K10" s="333" t="n"/>
      <c r="L10" s="333" t="n"/>
      <c r="M10" s="333" t="n"/>
      <c r="N10" s="333" t="n"/>
      <c r="O10" s="333" t="n"/>
      <c r="P10" s="333" t="n"/>
      <c r="Q10" s="333" t="n"/>
      <c r="R10" s="333" t="n"/>
      <c r="S10" s="333" t="n"/>
      <c r="T10" s="217" t="inlineStr">
        <is>
          <t>中金投顾</t>
        </is>
      </c>
      <c r="U10" s="268" t="n">
        <v>0.3</v>
      </c>
    </row>
    <row r="11" ht="15.5" customHeight="1" s="8">
      <c r="A11" s="265" t="inlineStr">
        <is>
          <t>1月</t>
        </is>
      </c>
      <c r="B11" s="265" t="inlineStr">
        <is>
          <t>消金</t>
        </is>
      </c>
      <c r="C11" s="265" t="inlineStr">
        <is>
          <t>信托金条</t>
        </is>
      </c>
      <c r="D11" s="265" t="inlineStr">
        <is>
          <t>京惠3号3期</t>
        </is>
      </c>
      <c r="E11" s="265" t="inlineStr">
        <is>
          <t>中保登</t>
        </is>
      </c>
      <c r="F11" s="265" t="inlineStr">
        <is>
          <t>泰康资产</t>
        </is>
      </c>
      <c r="G11" s="265" t="inlineStr">
        <is>
          <t>民生通惠</t>
        </is>
      </c>
      <c r="H11" s="265" t="inlineStr">
        <is>
          <t>中信北分</t>
        </is>
      </c>
      <c r="I11" s="265" t="n">
        <v>10</v>
      </c>
      <c r="J11" s="265" t="inlineStr">
        <is>
          <t>11+12</t>
        </is>
      </c>
      <c r="K11" s="266" t="n">
        <v>46051</v>
      </c>
      <c r="L11" s="225" t="n">
        <v>0.0158</v>
      </c>
      <c r="M11" s="311" t="n">
        <v>0.0253</v>
      </c>
      <c r="N11" s="265" t="inlineStr">
        <is>
          <t>-</t>
        </is>
      </c>
      <c r="O11" s="220" t="inlineStr">
        <is>
          <t>优先A1</t>
        </is>
      </c>
      <c r="P11" s="221" t="n">
        <v>0.83</v>
      </c>
      <c r="Q11" s="226" t="n">
        <v>8.300000000000001</v>
      </c>
      <c r="R11" s="220" t="inlineStr">
        <is>
          <t>AAA</t>
        </is>
      </c>
      <c r="S11" s="221" t="n">
        <v>0.0225</v>
      </c>
      <c r="T11" s="24" t="inlineStr">
        <is>
          <t>汇丰银行</t>
        </is>
      </c>
      <c r="U11" s="29" t="n">
        <v>8.300000000000001</v>
      </c>
    </row>
    <row r="12" ht="15.5" customHeight="1" s="8">
      <c r="A12" s="332" t="n"/>
      <c r="B12" s="332" t="n"/>
      <c r="C12" s="332" t="n"/>
      <c r="D12" s="332" t="n"/>
      <c r="E12" s="332" t="n"/>
      <c r="F12" s="332" t="n"/>
      <c r="G12" s="332" t="n"/>
      <c r="H12" s="332" t="n"/>
      <c r="I12" s="332" t="n"/>
      <c r="J12" s="332" t="n"/>
      <c r="K12" s="332" t="n"/>
      <c r="L12" s="332" t="n"/>
      <c r="M12" s="332" t="n"/>
      <c r="N12" s="332" t="n"/>
      <c r="O12" s="220" t="inlineStr">
        <is>
          <t>优先A2</t>
        </is>
      </c>
      <c r="P12" s="221" t="n">
        <v>0.07000000000000001</v>
      </c>
      <c r="Q12" s="226" t="n">
        <v>0.7</v>
      </c>
      <c r="R12" s="220" t="inlineStr">
        <is>
          <t>AAA</t>
        </is>
      </c>
      <c r="S12" s="221" t="n">
        <v>0.023</v>
      </c>
      <c r="T12" s="217" t="inlineStr">
        <is>
          <t>国信证券自营</t>
        </is>
      </c>
      <c r="U12" s="226" t="n">
        <v>0.3</v>
      </c>
    </row>
    <row r="13" ht="15.5" customHeight="1" s="8">
      <c r="A13" s="332" t="n"/>
      <c r="B13" s="332" t="n"/>
      <c r="C13" s="332" t="n"/>
      <c r="D13" s="332" t="n"/>
      <c r="E13" s="332" t="n"/>
      <c r="F13" s="332" t="n"/>
      <c r="G13" s="332" t="n"/>
      <c r="H13" s="332" t="n"/>
      <c r="I13" s="332" t="n"/>
      <c r="J13" s="332" t="n"/>
      <c r="K13" s="332" t="n"/>
      <c r="L13" s="332" t="n"/>
      <c r="M13" s="332" t="n"/>
      <c r="N13" s="332" t="n"/>
      <c r="O13" s="332" t="n"/>
      <c r="P13" s="332" t="n"/>
      <c r="Q13" s="332" t="n"/>
      <c r="R13" s="332" t="n"/>
      <c r="S13" s="332" t="n"/>
      <c r="T13" s="217" t="inlineStr">
        <is>
          <t>信达证券自营</t>
        </is>
      </c>
      <c r="U13" s="226" t="n">
        <v>0.2</v>
      </c>
    </row>
    <row r="14" ht="15.5" customHeight="1" s="8">
      <c r="A14" s="332" t="n"/>
      <c r="B14" s="332" t="n"/>
      <c r="C14" s="332" t="n"/>
      <c r="D14" s="332" t="n"/>
      <c r="E14" s="332" t="n"/>
      <c r="F14" s="332" t="n"/>
      <c r="G14" s="332" t="n"/>
      <c r="H14" s="332" t="n"/>
      <c r="I14" s="332" t="n"/>
      <c r="J14" s="332" t="n"/>
      <c r="K14" s="332" t="n"/>
      <c r="L14" s="332" t="n"/>
      <c r="M14" s="332" t="n"/>
      <c r="N14" s="332" t="n"/>
      <c r="O14" s="333" t="n"/>
      <c r="P14" s="333" t="n"/>
      <c r="Q14" s="333" t="n"/>
      <c r="R14" s="333" t="n"/>
      <c r="S14" s="333" t="n"/>
      <c r="T14" s="217" t="inlineStr">
        <is>
          <t>中信建投投顾</t>
        </is>
      </c>
      <c r="U14" s="226" t="n">
        <v>0.2</v>
      </c>
    </row>
    <row r="15" ht="15.5" customHeight="1" s="8">
      <c r="A15" s="332" t="n"/>
      <c r="B15" s="332" t="n"/>
      <c r="C15" s="332" t="n"/>
      <c r="D15" s="332" t="n"/>
      <c r="E15" s="332" t="n"/>
      <c r="F15" s="332" t="n"/>
      <c r="G15" s="332" t="n"/>
      <c r="H15" s="332" t="n"/>
      <c r="I15" s="332" t="n"/>
      <c r="J15" s="332" t="n"/>
      <c r="K15" s="332" t="n"/>
      <c r="L15" s="332" t="n"/>
      <c r="M15" s="332" t="n"/>
      <c r="N15" s="332" t="n"/>
      <c r="O15" s="217" t="inlineStr">
        <is>
          <t>优先B</t>
        </is>
      </c>
      <c r="P15" s="46" t="n">
        <v>0.03</v>
      </c>
      <c r="Q15" s="268" t="n">
        <v>0.3</v>
      </c>
      <c r="R15" s="220" t="inlineStr">
        <is>
          <t>AA+</t>
        </is>
      </c>
      <c r="S15" s="267" t="n">
        <v>0.024</v>
      </c>
      <c r="T15" s="217" t="inlineStr">
        <is>
          <t>中金投顾</t>
        </is>
      </c>
      <c r="U15" s="226" t="n">
        <v>0.3</v>
      </c>
    </row>
    <row r="16" ht="15.5" customHeight="1" s="8">
      <c r="A16" s="332" t="n"/>
      <c r="B16" s="332" t="n"/>
      <c r="C16" s="332" t="n"/>
      <c r="D16" s="332" t="n"/>
      <c r="E16" s="332" t="n"/>
      <c r="F16" s="332" t="n"/>
      <c r="G16" s="332" t="n"/>
      <c r="H16" s="332" t="n"/>
      <c r="I16" s="332" t="n"/>
      <c r="J16" s="332" t="n"/>
      <c r="K16" s="332" t="n"/>
      <c r="L16" s="332" t="n"/>
      <c r="M16" s="332" t="n"/>
      <c r="N16" s="332" t="n"/>
      <c r="O16" s="223" t="inlineStr">
        <is>
          <t>中间级</t>
        </is>
      </c>
      <c r="P16" s="267" t="n">
        <v>0.02</v>
      </c>
      <c r="Q16" s="268" t="n">
        <v>0.2</v>
      </c>
      <c r="R16" s="220" t="inlineStr">
        <is>
          <t>AA-</t>
        </is>
      </c>
      <c r="S16" s="267" t="n">
        <v>0.031</v>
      </c>
      <c r="T16" s="217" t="inlineStr">
        <is>
          <t>国信证券自营</t>
        </is>
      </c>
      <c r="U16" s="226" t="n">
        <v>0.1</v>
      </c>
    </row>
    <row r="17" ht="15.5" customHeight="1" s="8">
      <c r="A17" s="332" t="n"/>
      <c r="B17" s="332" t="n"/>
      <c r="C17" s="332" t="n"/>
      <c r="D17" s="332" t="n"/>
      <c r="E17" s="332" t="n"/>
      <c r="F17" s="332" t="n"/>
      <c r="G17" s="332" t="n"/>
      <c r="H17" s="332" t="n"/>
      <c r="I17" s="332" t="n"/>
      <c r="J17" s="332" t="n"/>
      <c r="K17" s="332" t="n"/>
      <c r="L17" s="332" t="n"/>
      <c r="M17" s="332" t="n"/>
      <c r="N17" s="332" t="n"/>
      <c r="O17" s="333" t="n"/>
      <c r="P17" s="333" t="n"/>
      <c r="Q17" s="333" t="n"/>
      <c r="R17" s="333" t="n"/>
      <c r="S17" s="333" t="n"/>
      <c r="T17" s="217" t="inlineStr">
        <is>
          <t>信达证券自营</t>
        </is>
      </c>
      <c r="U17" s="226" t="n">
        <v>0.1</v>
      </c>
    </row>
    <row r="18" ht="15.5" customHeight="1" s="8">
      <c r="A18" s="332" t="n"/>
      <c r="B18" s="332" t="n"/>
      <c r="C18" s="332" t="n"/>
      <c r="D18" s="332" t="n"/>
      <c r="E18" s="332" t="n"/>
      <c r="F18" s="332" t="n"/>
      <c r="G18" s="332" t="n"/>
      <c r="H18" s="332" t="n"/>
      <c r="I18" s="332" t="n"/>
      <c r="J18" s="332" t="n"/>
      <c r="K18" s="332" t="n"/>
      <c r="L18" s="332" t="n"/>
      <c r="M18" s="332" t="n"/>
      <c r="N18" s="332" t="n"/>
      <c r="O18" s="223" t="inlineStr">
        <is>
          <t>受益权</t>
        </is>
      </c>
      <c r="P18" s="267" t="n">
        <v>0.05</v>
      </c>
      <c r="Q18" s="268" t="n">
        <v>0.5</v>
      </c>
      <c r="R18" s="223" t="inlineStr">
        <is>
          <t>无</t>
        </is>
      </c>
      <c r="S18" s="267" t="n">
        <v>0.0485</v>
      </c>
      <c r="T18" s="217" t="inlineStr">
        <is>
          <t>国信证券自营</t>
        </is>
      </c>
      <c r="U18" s="268" t="n">
        <v>0.3</v>
      </c>
    </row>
    <row r="19" ht="15.5" customHeight="1" s="8">
      <c r="A19" s="333" t="n"/>
      <c r="B19" s="333" t="n"/>
      <c r="C19" s="333" t="n"/>
      <c r="D19" s="333" t="n"/>
      <c r="E19" s="333" t="n"/>
      <c r="F19" s="333" t="n"/>
      <c r="G19" s="333" t="n"/>
      <c r="H19" s="333" t="n"/>
      <c r="I19" s="333" t="n"/>
      <c r="J19" s="333" t="n"/>
      <c r="K19" s="333" t="n"/>
      <c r="L19" s="333" t="n"/>
      <c r="M19" s="333" t="n"/>
      <c r="N19" s="333" t="n"/>
      <c r="O19" s="333" t="n"/>
      <c r="P19" s="333" t="n"/>
      <c r="Q19" s="333" t="n"/>
      <c r="R19" s="333" t="n"/>
      <c r="S19" s="333" t="n"/>
      <c r="T19" s="217" t="inlineStr">
        <is>
          <t>中金投顾</t>
        </is>
      </c>
      <c r="U19" s="268" t="n">
        <v>0.2</v>
      </c>
    </row>
    <row r="20" ht="15.5" customHeight="1" s="8">
      <c r="A20" s="220" t="inlineStr">
        <is>
          <t>1月</t>
        </is>
      </c>
      <c r="B20" s="220" t="inlineStr">
        <is>
          <t>消金</t>
        </is>
      </c>
      <c r="C20" s="220" t="inlineStr">
        <is>
          <t>信托金条</t>
        </is>
      </c>
      <c r="D20" s="44" t="inlineStr">
        <is>
          <t>栗泽15号</t>
        </is>
      </c>
      <c r="E20" s="220" t="inlineStr">
        <is>
          <t>平层非标</t>
        </is>
      </c>
      <c r="F20" s="220" t="inlineStr">
        <is>
          <t>中粮信托</t>
        </is>
      </c>
      <c r="G20" s="220" t="inlineStr">
        <is>
          <t>-</t>
        </is>
      </c>
      <c r="H20" s="220" t="inlineStr">
        <is>
          <t>南银北分</t>
        </is>
      </c>
      <c r="I20" s="220" t="n">
        <v>10</v>
      </c>
      <c r="J20" s="220" t="inlineStr">
        <is>
          <t>11+1</t>
        </is>
      </c>
      <c r="K20" s="224" t="n">
        <v>46052</v>
      </c>
      <c r="L20" s="225" t="n">
        <v>0.016</v>
      </c>
      <c r="M20" s="311" t="n">
        <v>0.02405</v>
      </c>
      <c r="N20" s="226" t="inlineStr">
        <is>
          <t>-</t>
        </is>
      </c>
      <c r="O20" s="220" t="inlineStr">
        <is>
          <t>平层</t>
        </is>
      </c>
      <c r="P20" s="221" t="n">
        <v>1</v>
      </c>
      <c r="Q20" s="308" t="n">
        <v>10</v>
      </c>
      <c r="R20" s="220" t="inlineStr">
        <is>
          <t>无</t>
        </is>
      </c>
      <c r="S20" s="221" t="n">
        <v>0.0225</v>
      </c>
      <c r="T20" s="24" t="inlineStr">
        <is>
          <t>南银理财</t>
        </is>
      </c>
      <c r="U20" s="29" t="n">
        <v>10</v>
      </c>
    </row>
    <row r="21" ht="15.5" customHeight="1" s="8">
      <c r="A21" s="220" t="inlineStr">
        <is>
          <t>1月</t>
        </is>
      </c>
      <c r="B21" s="220" t="inlineStr">
        <is>
          <t>消金</t>
        </is>
      </c>
      <c r="C21" s="220" t="inlineStr">
        <is>
          <t>信托金条</t>
        </is>
      </c>
      <c r="D21" s="44" t="inlineStr">
        <is>
          <t>栗泽16号</t>
        </is>
      </c>
      <c r="E21" s="220" t="inlineStr">
        <is>
          <t>平层非标</t>
        </is>
      </c>
      <c r="F21" s="220" t="inlineStr">
        <is>
          <t>中粮信托</t>
        </is>
      </c>
      <c r="G21" s="220" t="inlineStr">
        <is>
          <t>-</t>
        </is>
      </c>
      <c r="H21" s="220" t="inlineStr">
        <is>
          <t>邮储北分</t>
        </is>
      </c>
      <c r="I21" s="220" t="n">
        <v>10</v>
      </c>
      <c r="J21" s="220" t="inlineStr">
        <is>
          <t>11+1</t>
        </is>
      </c>
      <c r="K21" s="224" t="n">
        <v>46052</v>
      </c>
      <c r="L21" s="225" t="n">
        <v>0.016</v>
      </c>
      <c r="M21" s="311" t="n">
        <v>0.02405</v>
      </c>
      <c r="N21" s="226" t="inlineStr">
        <is>
          <t>-</t>
        </is>
      </c>
      <c r="O21" s="220" t="inlineStr">
        <is>
          <t>平层</t>
        </is>
      </c>
      <c r="P21" s="221" t="n">
        <v>1</v>
      </c>
      <c r="Q21" s="308" t="n">
        <v>10</v>
      </c>
      <c r="R21" s="220" t="inlineStr">
        <is>
          <t>无</t>
        </is>
      </c>
      <c r="S21" s="221" t="n">
        <v>0.0225</v>
      </c>
      <c r="T21" s="24" t="inlineStr">
        <is>
          <t>中邮理财</t>
        </is>
      </c>
      <c r="U21" s="29" t="n">
        <v>10</v>
      </c>
    </row>
    <row r="22" ht="15.5" customHeight="1" s="8">
      <c r="A22" s="220" t="inlineStr">
        <is>
          <t>2月</t>
        </is>
      </c>
      <c r="B22" s="220" t="inlineStr">
        <is>
          <t>消金</t>
        </is>
      </c>
      <c r="C22" s="220" t="inlineStr">
        <is>
          <t>信托金条</t>
        </is>
      </c>
      <c r="D22" s="44" t="inlineStr">
        <is>
          <t>京耘3号</t>
        </is>
      </c>
      <c r="E22" s="220" t="inlineStr">
        <is>
          <t>平层非标</t>
        </is>
      </c>
      <c r="F22" s="220" t="inlineStr">
        <is>
          <t>厦门信托</t>
        </is>
      </c>
      <c r="G22" s="220" t="inlineStr">
        <is>
          <t>-</t>
        </is>
      </c>
      <c r="H22" s="220" t="inlineStr">
        <is>
          <t>兴业北分</t>
        </is>
      </c>
      <c r="I22" s="220" t="n">
        <v>10</v>
      </c>
      <c r="J22" s="220" t="inlineStr">
        <is>
          <t>10+2</t>
        </is>
      </c>
      <c r="K22" s="224" t="n">
        <v>46057</v>
      </c>
      <c r="L22" s="225" t="n">
        <v>0.0158</v>
      </c>
      <c r="M22" s="311" t="n">
        <v>0.02375</v>
      </c>
      <c r="N22" s="226">
        <f>-M28</f>
        <v/>
      </c>
      <c r="O22" s="220" t="inlineStr">
        <is>
          <t>平层</t>
        </is>
      </c>
      <c r="P22" s="221" t="n">
        <v>1</v>
      </c>
      <c r="Q22" s="308" t="n">
        <v>10</v>
      </c>
      <c r="R22" s="220" t="inlineStr">
        <is>
          <t>无</t>
        </is>
      </c>
      <c r="S22" s="221" t="n">
        <v>0.0222</v>
      </c>
      <c r="T22" s="24" t="inlineStr">
        <is>
          <t>兴银理财</t>
        </is>
      </c>
      <c r="U22" s="29" t="n">
        <v>10</v>
      </c>
    </row>
    <row r="23" ht="15.5" customHeight="1" s="8">
      <c r="A23" s="265" t="inlineStr">
        <is>
          <t>2月</t>
        </is>
      </c>
      <c r="B23" s="265" t="inlineStr">
        <is>
          <t>消金</t>
        </is>
      </c>
      <c r="C23" s="265" t="inlineStr">
        <is>
          <t>信托金条</t>
        </is>
      </c>
      <c r="D23" s="265" t="inlineStr">
        <is>
          <t>京至2号1期</t>
        </is>
      </c>
      <c r="E23" s="265" t="inlineStr">
        <is>
          <t>中保登</t>
        </is>
      </c>
      <c r="F23" s="265" t="inlineStr">
        <is>
          <t>泰康资产</t>
        </is>
      </c>
      <c r="G23" s="265" t="inlineStr">
        <is>
          <t>-</t>
        </is>
      </c>
      <c r="H23" s="265" t="inlineStr">
        <is>
          <t>江苏北分</t>
        </is>
      </c>
      <c r="I23" s="265" t="n">
        <v>10</v>
      </c>
      <c r="J23" s="265" t="inlineStr">
        <is>
          <t>23+12</t>
        </is>
      </c>
      <c r="K23" s="266" t="n">
        <v>46080</v>
      </c>
      <c r="L23" s="225" t="n">
        <v>0.01595</v>
      </c>
      <c r="M23" s="311" t="n">
        <v>0.02709</v>
      </c>
      <c r="N23" s="265" t="inlineStr">
        <is>
          <t>-</t>
        </is>
      </c>
      <c r="O23" s="220" t="inlineStr">
        <is>
          <t>优先A1</t>
        </is>
      </c>
      <c r="P23" s="221" t="n">
        <v>0.83</v>
      </c>
      <c r="Q23" s="226" t="n">
        <v>8.300000000000001</v>
      </c>
      <c r="R23" s="220" t="inlineStr">
        <is>
          <t>AAA</t>
        </is>
      </c>
      <c r="S23" s="221" t="n">
        <v>0.024</v>
      </c>
      <c r="T23" s="24" t="inlineStr">
        <is>
          <t>花旗银行</t>
        </is>
      </c>
      <c r="U23" s="29" t="n">
        <v>8.300000000000001</v>
      </c>
    </row>
    <row r="24" ht="15.5" customHeight="1" s="8">
      <c r="A24" s="332" t="n"/>
      <c r="B24" s="332" t="n"/>
      <c r="C24" s="332" t="n"/>
      <c r="D24" s="332" t="n"/>
      <c r="E24" s="332" t="n"/>
      <c r="F24" s="332" t="n"/>
      <c r="G24" s="332" t="n"/>
      <c r="H24" s="332" t="n"/>
      <c r="I24" s="332" t="n"/>
      <c r="J24" s="332" t="n"/>
      <c r="K24" s="332" t="n"/>
      <c r="L24" s="332" t="n"/>
      <c r="M24" s="332" t="n"/>
      <c r="N24" s="332" t="n"/>
      <c r="O24" s="220" t="inlineStr">
        <is>
          <t>优先A2</t>
        </is>
      </c>
      <c r="P24" s="221" t="n">
        <v>0.04</v>
      </c>
      <c r="Q24" s="226" t="n">
        <v>0.4</v>
      </c>
      <c r="R24" s="220" t="inlineStr">
        <is>
          <t>AAA</t>
        </is>
      </c>
      <c r="S24" s="221" t="n">
        <v>0.0245</v>
      </c>
      <c r="T24" s="217" t="inlineStr">
        <is>
          <t>中信建投投顾</t>
        </is>
      </c>
      <c r="U24" s="226" t="n">
        <v>0.4</v>
      </c>
    </row>
    <row r="25" ht="15.5" customHeight="1" s="8">
      <c r="A25" s="332" t="n"/>
      <c r="B25" s="332" t="n"/>
      <c r="C25" s="332" t="n"/>
      <c r="D25" s="332" t="n"/>
      <c r="E25" s="332" t="n"/>
      <c r="F25" s="332" t="n"/>
      <c r="G25" s="332" t="n"/>
      <c r="H25" s="332" t="n"/>
      <c r="I25" s="332" t="n"/>
      <c r="J25" s="332" t="n"/>
      <c r="K25" s="332" t="n"/>
      <c r="L25" s="332" t="n"/>
      <c r="M25" s="332" t="n"/>
      <c r="N25" s="332" t="n"/>
      <c r="O25" s="217" t="inlineStr">
        <is>
          <t>优先B</t>
        </is>
      </c>
      <c r="P25" s="46" t="n">
        <v>0.04</v>
      </c>
      <c r="Q25" s="268" t="n">
        <v>0.4</v>
      </c>
      <c r="R25" s="220" t="inlineStr">
        <is>
          <t>AA+</t>
        </is>
      </c>
      <c r="S25" s="267" t="n">
        <v>0.0255</v>
      </c>
      <c r="T25" s="217" t="inlineStr">
        <is>
          <t>中信建投投顾</t>
        </is>
      </c>
      <c r="U25" s="226" t="n">
        <v>0.4</v>
      </c>
    </row>
    <row r="26" ht="15.5" customHeight="1" s="8">
      <c r="A26" s="332" t="n"/>
      <c r="B26" s="332" t="n"/>
      <c r="C26" s="332" t="n"/>
      <c r="D26" s="332" t="n"/>
      <c r="E26" s="332" t="n"/>
      <c r="F26" s="332" t="n"/>
      <c r="G26" s="332" t="n"/>
      <c r="H26" s="332" t="n"/>
      <c r="I26" s="332" t="n"/>
      <c r="J26" s="332" t="n"/>
      <c r="K26" s="332" t="n"/>
      <c r="L26" s="332" t="n"/>
      <c r="M26" s="332" t="n"/>
      <c r="N26" s="332" t="n"/>
      <c r="O26" s="223" t="inlineStr">
        <is>
          <t>中间级</t>
        </is>
      </c>
      <c r="P26" s="267" t="n">
        <v>0.04</v>
      </c>
      <c r="Q26" s="268" t="n">
        <v>0.4</v>
      </c>
      <c r="R26" s="220" t="inlineStr">
        <is>
          <t>AA-</t>
        </is>
      </c>
      <c r="S26" s="267" t="n">
        <v>0.032</v>
      </c>
      <c r="T26" s="217" t="inlineStr">
        <is>
          <t>中信建投投顾</t>
        </is>
      </c>
      <c r="U26" s="226" t="n">
        <v>0.4</v>
      </c>
    </row>
    <row r="27" ht="15.5" customHeight="1" s="8">
      <c r="A27" s="333" t="n"/>
      <c r="B27" s="333" t="n"/>
      <c r="C27" s="333" t="n"/>
      <c r="D27" s="333" t="n"/>
      <c r="E27" s="333" t="n"/>
      <c r="F27" s="333" t="n"/>
      <c r="G27" s="333" t="n"/>
      <c r="H27" s="333" t="n"/>
      <c r="I27" s="333" t="n"/>
      <c r="J27" s="333" t="n"/>
      <c r="K27" s="333" t="n"/>
      <c r="L27" s="333" t="n"/>
      <c r="M27" s="333" t="n"/>
      <c r="N27" s="333" t="n"/>
      <c r="O27" s="223" t="inlineStr">
        <is>
          <t>受益权</t>
        </is>
      </c>
      <c r="P27" s="267" t="n">
        <v>0.05</v>
      </c>
      <c r="Q27" s="268" t="n">
        <v>0.5</v>
      </c>
      <c r="R27" s="223" t="inlineStr">
        <is>
          <t>无</t>
        </is>
      </c>
      <c r="S27" s="267" t="n">
        <v>0.0485</v>
      </c>
      <c r="T27" s="217" t="inlineStr">
        <is>
          <t>中信建投投顾</t>
        </is>
      </c>
      <c r="U27" s="268" t="n">
        <v>0.5</v>
      </c>
    </row>
    <row r="28" ht="15.5" customHeight="1" s="8">
      <c r="A28" s="265" t="inlineStr">
        <is>
          <t>2月</t>
        </is>
      </c>
      <c r="B28" s="265" t="inlineStr">
        <is>
          <t>消金</t>
        </is>
      </c>
      <c r="C28" s="265" t="inlineStr">
        <is>
          <t>信托金条</t>
        </is>
      </c>
      <c r="D28" s="265" t="inlineStr">
        <is>
          <t>京至2号2期</t>
        </is>
      </c>
      <c r="E28" s="265" t="inlineStr">
        <is>
          <t>中保登</t>
        </is>
      </c>
      <c r="F28" s="265" t="inlineStr">
        <is>
          <t>泰康资产</t>
        </is>
      </c>
      <c r="G28" s="265" t="inlineStr">
        <is>
          <t>-</t>
        </is>
      </c>
      <c r="H28" s="265" t="inlineStr">
        <is>
          <t>江苏北分</t>
        </is>
      </c>
      <c r="I28" s="265" t="n">
        <v>10</v>
      </c>
      <c r="J28" s="265" t="inlineStr">
        <is>
          <t>23+12</t>
        </is>
      </c>
      <c r="K28" s="266" t="n">
        <v>46080</v>
      </c>
      <c r="L28" s="225" t="n">
        <v>0.01595</v>
      </c>
      <c r="M28" s="311" t="n">
        <v>0.02709</v>
      </c>
      <c r="N28" s="265" t="inlineStr">
        <is>
          <t>-</t>
        </is>
      </c>
      <c r="O28" s="220" t="inlineStr">
        <is>
          <t>优先A1</t>
        </is>
      </c>
      <c r="P28" s="221" t="n">
        <v>0.83</v>
      </c>
      <c r="Q28" s="226" t="n">
        <v>8.300000000000001</v>
      </c>
      <c r="R28" s="220" t="inlineStr">
        <is>
          <t>AAA</t>
        </is>
      </c>
      <c r="S28" s="221" t="n">
        <v>0.024</v>
      </c>
      <c r="T28" s="24" t="inlineStr">
        <is>
          <t>花旗银行</t>
        </is>
      </c>
      <c r="U28" s="29" t="n">
        <v>8.300000000000001</v>
      </c>
    </row>
    <row r="29" ht="15.5" customHeight="1" s="8">
      <c r="A29" s="332" t="n"/>
      <c r="B29" s="332" t="n"/>
      <c r="C29" s="332" t="n"/>
      <c r="D29" s="332" t="n"/>
      <c r="E29" s="332" t="n"/>
      <c r="F29" s="332" t="n"/>
      <c r="G29" s="332" t="n"/>
      <c r="H29" s="332" t="n"/>
      <c r="I29" s="332" t="n"/>
      <c r="J29" s="332" t="n"/>
      <c r="K29" s="332" t="n"/>
      <c r="L29" s="332" t="n"/>
      <c r="M29" s="332" t="n"/>
      <c r="N29" s="332" t="n"/>
      <c r="O29" s="220" t="inlineStr">
        <is>
          <t>优先A2</t>
        </is>
      </c>
      <c r="P29" s="221" t="n">
        <v>0.04</v>
      </c>
      <c r="Q29" s="226" t="n">
        <v>0.4</v>
      </c>
      <c r="R29" s="220" t="inlineStr">
        <is>
          <t>AAA</t>
        </is>
      </c>
      <c r="S29" s="221" t="n">
        <v>0.0245</v>
      </c>
      <c r="T29" s="217" t="inlineStr">
        <is>
          <t>中金财富</t>
        </is>
      </c>
      <c r="U29" s="226" t="n">
        <v>0.4</v>
      </c>
    </row>
    <row r="30" ht="15.5" customHeight="1" s="8">
      <c r="A30" s="332" t="n"/>
      <c r="B30" s="332" t="n"/>
      <c r="C30" s="332" t="n"/>
      <c r="D30" s="332" t="n"/>
      <c r="E30" s="332" t="n"/>
      <c r="F30" s="332" t="n"/>
      <c r="G30" s="332" t="n"/>
      <c r="H30" s="332" t="n"/>
      <c r="I30" s="332" t="n"/>
      <c r="J30" s="332" t="n"/>
      <c r="K30" s="332" t="n"/>
      <c r="L30" s="332" t="n"/>
      <c r="M30" s="332" t="n"/>
      <c r="N30" s="332" t="n"/>
      <c r="O30" s="223" t="inlineStr">
        <is>
          <t>优先B</t>
        </is>
      </c>
      <c r="P30" s="267" t="n">
        <v>0.04</v>
      </c>
      <c r="Q30" s="268" t="n">
        <v>0.4</v>
      </c>
      <c r="R30" s="220" t="inlineStr">
        <is>
          <t>AA+</t>
        </is>
      </c>
      <c r="S30" s="321" t="n">
        <v>0.0255</v>
      </c>
      <c r="T30" s="217" t="inlineStr">
        <is>
          <t>中金自营</t>
        </is>
      </c>
      <c r="U30" s="226" t="n">
        <v>0.2</v>
      </c>
    </row>
    <row r="31" ht="15.5" customHeight="1" s="8">
      <c r="A31" s="332" t="n"/>
      <c r="B31" s="332" t="n"/>
      <c r="C31" s="332" t="n"/>
      <c r="D31" s="332" t="n"/>
      <c r="E31" s="332" t="n"/>
      <c r="F31" s="332" t="n"/>
      <c r="G31" s="332" t="n"/>
      <c r="H31" s="332" t="n"/>
      <c r="I31" s="332" t="n"/>
      <c r="J31" s="332" t="n"/>
      <c r="K31" s="332" t="n"/>
      <c r="L31" s="332" t="n"/>
      <c r="M31" s="332" t="n"/>
      <c r="N31" s="332" t="n"/>
      <c r="O31" s="333" t="n"/>
      <c r="P31" s="333" t="n"/>
      <c r="Q31" s="333" t="n"/>
      <c r="R31" s="333" t="n"/>
      <c r="S31" s="333" t="n"/>
      <c r="T31" s="217" t="inlineStr">
        <is>
          <t>中信建投机构部</t>
        </is>
      </c>
      <c r="U31" s="226" t="n">
        <v>0.2</v>
      </c>
    </row>
    <row r="32" ht="15.5" customHeight="1" s="8">
      <c r="A32" s="332" t="n"/>
      <c r="B32" s="332" t="n"/>
      <c r="C32" s="332" t="n"/>
      <c r="D32" s="332" t="n"/>
      <c r="E32" s="332" t="n"/>
      <c r="F32" s="332" t="n"/>
      <c r="G32" s="332" t="n"/>
      <c r="H32" s="332" t="n"/>
      <c r="I32" s="332" t="n"/>
      <c r="J32" s="332" t="n"/>
      <c r="K32" s="332" t="n"/>
      <c r="L32" s="332" t="n"/>
      <c r="M32" s="332" t="n"/>
      <c r="N32" s="332" t="n"/>
      <c r="O32" s="223" t="inlineStr">
        <is>
          <t>中间级</t>
        </is>
      </c>
      <c r="P32" s="267" t="n">
        <v>0.04</v>
      </c>
      <c r="Q32" s="268" t="n">
        <v>0.4</v>
      </c>
      <c r="R32" s="220" t="inlineStr">
        <is>
          <t>AA-</t>
        </is>
      </c>
      <c r="S32" s="267" t="n">
        <v>0.032</v>
      </c>
      <c r="T32" s="217" t="inlineStr">
        <is>
          <t>中金自营</t>
        </is>
      </c>
      <c r="U32" s="226" t="n">
        <v>0.4</v>
      </c>
    </row>
    <row r="33" ht="15.5" customHeight="1" s="8">
      <c r="A33" s="332" t="n"/>
      <c r="B33" s="332" t="n"/>
      <c r="C33" s="332" t="n"/>
      <c r="D33" s="332" t="n"/>
      <c r="E33" s="332" t="n"/>
      <c r="F33" s="332" t="n"/>
      <c r="G33" s="332" t="n"/>
      <c r="H33" s="332" t="n"/>
      <c r="I33" s="332" t="n"/>
      <c r="J33" s="332" t="n"/>
      <c r="K33" s="332" t="n"/>
      <c r="L33" s="332" t="n"/>
      <c r="M33" s="332" t="n"/>
      <c r="N33" s="332" t="n"/>
      <c r="O33" s="223" t="inlineStr">
        <is>
          <t>受益权</t>
        </is>
      </c>
      <c r="P33" s="267" t="n">
        <v>0.05</v>
      </c>
      <c r="Q33" s="268" t="n">
        <v>0.5</v>
      </c>
      <c r="R33" s="223" t="inlineStr">
        <is>
          <t>无</t>
        </is>
      </c>
      <c r="S33" s="267" t="n">
        <v>0.0485</v>
      </c>
      <c r="T33" s="217" t="inlineStr">
        <is>
          <t>中信建投机构部</t>
        </is>
      </c>
      <c r="U33" s="268" t="n">
        <v>0.3</v>
      </c>
    </row>
    <row r="34" ht="15.5" customHeight="1" s="8">
      <c r="A34" s="333" t="n"/>
      <c r="B34" s="333" t="n"/>
      <c r="C34" s="333" t="n"/>
      <c r="D34" s="333" t="n"/>
      <c r="E34" s="333" t="n"/>
      <c r="F34" s="333" t="n"/>
      <c r="G34" s="333" t="n"/>
      <c r="H34" s="333" t="n"/>
      <c r="I34" s="333" t="n"/>
      <c r="J34" s="333" t="n"/>
      <c r="K34" s="333" t="n"/>
      <c r="L34" s="333" t="n"/>
      <c r="M34" s="333" t="n"/>
      <c r="N34" s="333" t="n"/>
      <c r="O34" s="333" t="n"/>
      <c r="P34" s="333" t="n"/>
      <c r="Q34" s="333" t="n"/>
      <c r="R34" s="333" t="n"/>
      <c r="S34" s="333" t="n"/>
      <c r="T34" s="217" t="inlineStr">
        <is>
          <t>中金财富</t>
        </is>
      </c>
      <c r="U34" s="268" t="n">
        <v>0.2</v>
      </c>
    </row>
    <row r="35" ht="15.5" customHeight="1" s="8">
      <c r="A35" s="220" t="inlineStr">
        <is>
          <t>2月</t>
        </is>
      </c>
      <c r="B35" s="220" t="inlineStr">
        <is>
          <t>消金</t>
        </is>
      </c>
      <c r="C35" s="220" t="inlineStr">
        <is>
          <t>信托金条</t>
        </is>
      </c>
      <c r="D35" s="44" t="inlineStr">
        <is>
          <t>栗泽17号</t>
        </is>
      </c>
      <c r="E35" s="220" t="inlineStr">
        <is>
          <t>平层非标</t>
        </is>
      </c>
      <c r="F35" s="220" t="inlineStr">
        <is>
          <t>中粮信托</t>
        </is>
      </c>
      <c r="G35" s="220" t="inlineStr">
        <is>
          <t>-</t>
        </is>
      </c>
      <c r="H35" s="220" t="inlineStr">
        <is>
          <t>邮储北分</t>
        </is>
      </c>
      <c r="I35" s="220" t="n">
        <v>10</v>
      </c>
      <c r="J35" s="220" t="inlineStr">
        <is>
          <t>11+1</t>
        </is>
      </c>
      <c r="K35" s="224" t="n">
        <v>46080</v>
      </c>
      <c r="L35" s="225" t="n">
        <v>0.01595</v>
      </c>
      <c r="M35" s="311" t="n">
        <v>0.02455</v>
      </c>
      <c r="N35" s="226" t="inlineStr">
        <is>
          <t>-</t>
        </is>
      </c>
      <c r="O35" s="220" t="inlineStr">
        <is>
          <t>平层</t>
        </is>
      </c>
      <c r="P35" s="221" t="n">
        <v>1</v>
      </c>
      <c r="Q35" s="308" t="n">
        <v>10</v>
      </c>
      <c r="R35" s="220" t="inlineStr">
        <is>
          <t>无</t>
        </is>
      </c>
      <c r="S35" s="221" t="n">
        <v>0.023</v>
      </c>
      <c r="T35" s="24" t="inlineStr">
        <is>
          <t>中邮理财</t>
        </is>
      </c>
      <c r="U35" s="29" t="n">
        <v>10</v>
      </c>
    </row>
    <row r="36" ht="15.5" customHeight="1" s="8">
      <c r="A36" s="220" t="inlineStr">
        <is>
          <t>2月</t>
        </is>
      </c>
      <c r="B36" s="220" t="inlineStr">
        <is>
          <t>消金</t>
        </is>
      </c>
      <c r="C36" s="220" t="inlineStr">
        <is>
          <t>信托金条</t>
        </is>
      </c>
      <c r="D36" s="44" t="inlineStr">
        <is>
          <t>栗泽18号</t>
        </is>
      </c>
      <c r="E36" s="220" t="inlineStr">
        <is>
          <t>平层非标</t>
        </is>
      </c>
      <c r="F36" s="220" t="inlineStr">
        <is>
          <t>中粮信托</t>
        </is>
      </c>
      <c r="G36" s="220" t="inlineStr">
        <is>
          <t>-</t>
        </is>
      </c>
      <c r="H36" s="220" t="inlineStr">
        <is>
          <t>民生北分</t>
        </is>
      </c>
      <c r="I36" s="220" t="n">
        <v>10</v>
      </c>
      <c r="J36" s="220" t="inlineStr">
        <is>
          <t>11+1</t>
        </is>
      </c>
      <c r="K36" s="224" t="n">
        <v>46080</v>
      </c>
      <c r="L36" s="225" t="n">
        <v>0.01595</v>
      </c>
      <c r="M36" s="311" t="n">
        <v>0.02455</v>
      </c>
      <c r="N36" s="226" t="inlineStr">
        <is>
          <t>-</t>
        </is>
      </c>
      <c r="O36" s="220" t="inlineStr">
        <is>
          <t>平层</t>
        </is>
      </c>
      <c r="P36" s="221" t="n">
        <v>1</v>
      </c>
      <c r="Q36" s="308" t="n">
        <v>10</v>
      </c>
      <c r="R36" s="220" t="inlineStr">
        <is>
          <t>无</t>
        </is>
      </c>
      <c r="S36" s="221" t="n">
        <v>0.023</v>
      </c>
      <c r="T36" s="24" t="inlineStr">
        <is>
          <t>苏银理财</t>
        </is>
      </c>
      <c r="U36" s="29" t="n">
        <v>10</v>
      </c>
    </row>
    <row r="37" ht="15.5" customHeight="1" s="8">
      <c r="A37" s="220" t="inlineStr">
        <is>
          <t>4月</t>
        </is>
      </c>
      <c r="B37" s="220" t="inlineStr">
        <is>
          <t>消金</t>
        </is>
      </c>
      <c r="C37" s="220" t="inlineStr">
        <is>
          <t>信托金条</t>
        </is>
      </c>
      <c r="D37" s="44" t="inlineStr">
        <is>
          <t>栗泽21号</t>
        </is>
      </c>
      <c r="E37" s="220" t="inlineStr">
        <is>
          <t>平层非标</t>
        </is>
      </c>
      <c r="F37" s="44" t="inlineStr">
        <is>
          <t>中粮信托</t>
        </is>
      </c>
      <c r="G37" s="220" t="inlineStr">
        <is>
          <t>-</t>
        </is>
      </c>
      <c r="H37" s="223" t="inlineStr">
        <is>
          <t>兴银北分</t>
        </is>
      </c>
      <c r="I37" s="44" t="n">
        <v>10</v>
      </c>
      <c r="J37" s="44" t="inlineStr">
        <is>
          <t>11+1</t>
        </is>
      </c>
      <c r="K37" s="224" t="n">
        <v>46142</v>
      </c>
      <c r="L37" s="225" t="n">
        <v>0.01445</v>
      </c>
      <c r="M37" s="311" t="n">
        <v>0.02425</v>
      </c>
      <c r="N37" s="226" t="inlineStr">
        <is>
          <t>-</t>
        </is>
      </c>
      <c r="O37" s="220" t="inlineStr">
        <is>
          <t>平层</t>
        </is>
      </c>
      <c r="P37" s="221" t="n">
        <v>1</v>
      </c>
      <c r="Q37" s="201" t="n">
        <v>10</v>
      </c>
      <c r="R37" s="220" t="inlineStr">
        <is>
          <t>无</t>
        </is>
      </c>
      <c r="S37" s="311" t="n">
        <v>0.0227</v>
      </c>
      <c r="T37" s="24" t="inlineStr">
        <is>
          <t>兴银理财</t>
        </is>
      </c>
      <c r="U37" s="4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A23:A27"/>
    <mergeCell ref="O16:O1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8" min="1" max="1"/>
    <col width="12.75" customWidth="1" style="8" min="2" max="3"/>
    <col width="11.83203125" customWidth="1" style="8" min="4" max="4"/>
    <col width="12.75" customWidth="1" style="8" min="5" max="6"/>
    <col width="10.9140625" customWidth="1" style="8" min="7" max="7"/>
    <col width="11.83203125" customWidth="1" style="8" min="8" max="9"/>
    <col width="12.75" customWidth="1" style="8" min="10" max="12"/>
  </cols>
  <sheetData>
    <row r="1" customFormat="1" s="68">
      <c r="A1" s="17" t="n"/>
      <c r="B1" s="69" t="inlineStr">
        <is>
          <t>云泓75号</t>
        </is>
      </c>
      <c r="C1" s="69" t="inlineStr">
        <is>
          <t>京熠1号1期</t>
        </is>
      </c>
      <c r="D1" s="69" t="inlineStr">
        <is>
          <t>京惠3号3期</t>
        </is>
      </c>
      <c r="E1" s="69" t="inlineStr">
        <is>
          <t>栗泽15号</t>
        </is>
      </c>
      <c r="F1" s="69" t="inlineStr">
        <is>
          <t>栗泽16号</t>
        </is>
      </c>
      <c r="G1" s="69" t="inlineStr">
        <is>
          <t>京耘3号</t>
        </is>
      </c>
      <c r="H1" s="69" t="inlineStr">
        <is>
          <t>京至2号1期</t>
        </is>
      </c>
      <c r="I1" s="69" t="inlineStr">
        <is>
          <t>京至2号2期</t>
        </is>
      </c>
      <c r="J1" s="69" t="inlineStr">
        <is>
          <t>栗泽17号</t>
        </is>
      </c>
      <c r="K1" s="69" t="inlineStr">
        <is>
          <t>栗泽18号</t>
        </is>
      </c>
      <c r="L1" s="69" t="inlineStr">
        <is>
          <t>栗泽21号</t>
        </is>
      </c>
    </row>
    <row r="2">
      <c r="A2" s="20" t="inlineStr">
        <is>
          <t>日期</t>
        </is>
      </c>
      <c r="B2" s="21" t="n">
        <v>46050</v>
      </c>
      <c r="C2" s="21" t="n">
        <v>46051</v>
      </c>
      <c r="D2" s="21" t="n">
        <v>46051</v>
      </c>
      <c r="E2" s="21" t="n">
        <v>46052</v>
      </c>
      <c r="F2" s="21" t="n">
        <v>46052</v>
      </c>
      <c r="G2" s="21" t="n">
        <v>46057</v>
      </c>
      <c r="H2" s="21" t="n">
        <v>46080</v>
      </c>
      <c r="I2" s="21" t="n">
        <v>46080</v>
      </c>
      <c r="J2" s="21" t="n">
        <v>46080</v>
      </c>
      <c r="K2" s="21" t="n">
        <v>46080</v>
      </c>
      <c r="L2" s="21" t="n">
        <v>46142</v>
      </c>
    </row>
    <row r="3">
      <c r="A3" s="20" t="inlineStr">
        <is>
          <t>价格</t>
        </is>
      </c>
      <c r="B3" s="22" t="n">
        <v>0.0235</v>
      </c>
      <c r="C3" s="22" t="n">
        <v>0.0235</v>
      </c>
      <c r="D3" s="22" t="n">
        <v>0.0225</v>
      </c>
      <c r="E3" s="22" t="n">
        <v>0.0225</v>
      </c>
      <c r="F3" s="22" t="n">
        <v>0.0225</v>
      </c>
      <c r="G3" s="22" t="n">
        <v>0.022</v>
      </c>
      <c r="H3" s="22" t="n">
        <v>0.024</v>
      </c>
      <c r="I3" s="22" t="n">
        <v>0.024</v>
      </c>
      <c r="J3" s="22" t="n">
        <v>0.023</v>
      </c>
      <c r="K3" s="22" t="n">
        <v>0.023</v>
      </c>
      <c r="L3" s="22" t="n">
        <v>0.0227</v>
      </c>
    </row>
    <row r="4">
      <c r="A4" s="20" t="inlineStr">
        <is>
          <t>国股CD</t>
        </is>
      </c>
      <c r="B4" s="22" t="n">
        <v>0.0159</v>
      </c>
      <c r="C4" s="22" t="n">
        <v>0.0158</v>
      </c>
      <c r="D4" s="22" t="n">
        <v>0.0158</v>
      </c>
      <c r="E4" s="22" t="n">
        <v>0.016</v>
      </c>
      <c r="F4" s="22" t="n">
        <v>0.016</v>
      </c>
      <c r="G4" s="22" t="n">
        <v>0.0158</v>
      </c>
      <c r="H4" s="22" t="n">
        <v>0.016</v>
      </c>
      <c r="I4" s="22" t="n">
        <v>0.016</v>
      </c>
      <c r="J4" s="22" t="n">
        <v>0.016</v>
      </c>
      <c r="K4" s="22" t="n">
        <v>0.016</v>
      </c>
      <c r="L4" s="22" t="n">
        <v>0.01445</v>
      </c>
    </row>
    <row r="5">
      <c r="A5" s="20" t="inlineStr">
        <is>
          <t>ALL-IN成本</t>
        </is>
      </c>
      <c r="B5" s="334" t="n">
        <v>0.02505</v>
      </c>
      <c r="C5" s="334" t="n">
        <v>0.0264</v>
      </c>
      <c r="D5" s="334" t="n">
        <v>0.0253</v>
      </c>
      <c r="E5" s="334" t="n">
        <v>0.02405</v>
      </c>
      <c r="F5" s="334" t="n">
        <v>0.02405</v>
      </c>
      <c r="G5" s="334" t="n">
        <v>0.02375</v>
      </c>
      <c r="H5" s="334" t="n">
        <v>0.02709</v>
      </c>
      <c r="I5" s="334" t="n">
        <v>0.02709</v>
      </c>
      <c r="J5" s="334" t="n">
        <v>0.02455</v>
      </c>
      <c r="K5" s="334" t="n">
        <v>0.02455</v>
      </c>
      <c r="L5" s="334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8" min="4" max="4"/>
    <col width="16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1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1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305" t="inlineStr">
        <is>
          <t>1月</t>
        </is>
      </c>
      <c r="B2" s="305" t="inlineStr">
        <is>
          <t>消金</t>
        </is>
      </c>
      <c r="C2" s="305" t="inlineStr">
        <is>
          <t>赊销白条</t>
        </is>
      </c>
      <c r="D2" s="305" t="inlineStr">
        <is>
          <t>东道17-3</t>
        </is>
      </c>
      <c r="E2" s="305" t="inlineStr">
        <is>
          <t>深交所</t>
        </is>
      </c>
      <c r="F2" s="305" t="inlineStr">
        <is>
          <t>国泰海通</t>
        </is>
      </c>
      <c r="G2" s="305" t="inlineStr">
        <is>
          <t>中信证券</t>
        </is>
      </c>
      <c r="H2" s="305" t="inlineStr">
        <is>
          <t>邮储中关村</t>
        </is>
      </c>
      <c r="I2" s="245" t="n">
        <v>10</v>
      </c>
      <c r="J2" s="305" t="inlineStr">
        <is>
          <t>21+3</t>
        </is>
      </c>
      <c r="K2" s="246" t="n">
        <v>46030</v>
      </c>
      <c r="L2" s="247" t="n">
        <v>0.016</v>
      </c>
      <c r="M2" s="247" t="n">
        <v>0.022</v>
      </c>
      <c r="N2" s="245" t="n">
        <v>1.81</v>
      </c>
      <c r="O2" s="235" t="inlineStr">
        <is>
          <t>优先A</t>
        </is>
      </c>
      <c r="P2" s="236" t="n">
        <v>0.87</v>
      </c>
      <c r="Q2" s="307" t="n">
        <v>8.699999999999999</v>
      </c>
      <c r="R2" s="235" t="inlineStr">
        <is>
          <t>AAA</t>
        </is>
      </c>
      <c r="S2" s="236" t="n">
        <v>0.0195</v>
      </c>
      <c r="T2" s="235" t="inlineStr">
        <is>
          <t>邮储银行</t>
        </is>
      </c>
      <c r="U2" s="308" t="n">
        <v>4</v>
      </c>
    </row>
    <row r="3" ht="15.5" customHeight="1" s="8">
      <c r="A3" s="332" t="n"/>
      <c r="B3" s="332" t="n"/>
      <c r="C3" s="332" t="n"/>
      <c r="D3" s="332" t="n"/>
      <c r="E3" s="332" t="n"/>
      <c r="F3" s="332" t="n"/>
      <c r="G3" s="332" t="n"/>
      <c r="H3" s="332" t="n"/>
      <c r="I3" s="332" t="n"/>
      <c r="J3" s="332" t="n"/>
      <c r="K3" s="332" t="n"/>
      <c r="L3" s="332" t="n"/>
      <c r="M3" s="332" t="n"/>
      <c r="N3" s="332" t="n"/>
      <c r="O3" s="332" t="n"/>
      <c r="P3" s="332" t="n"/>
      <c r="Q3" s="332" t="n"/>
      <c r="R3" s="332" t="n"/>
      <c r="S3" s="332" t="n"/>
      <c r="T3" s="235" t="inlineStr">
        <is>
          <t>国泰海通投行</t>
        </is>
      </c>
      <c r="U3" s="308" t="n">
        <v>1.3</v>
      </c>
    </row>
    <row r="4" ht="15.5" customHeight="1" s="8">
      <c r="A4" s="332" t="n"/>
      <c r="B4" s="332" t="n"/>
      <c r="C4" s="332" t="n"/>
      <c r="D4" s="332" t="n"/>
      <c r="E4" s="332" t="n"/>
      <c r="F4" s="332" t="n"/>
      <c r="G4" s="332" t="n"/>
      <c r="H4" s="332" t="n"/>
      <c r="I4" s="332" t="n"/>
      <c r="J4" s="332" t="n"/>
      <c r="K4" s="332" t="n"/>
      <c r="L4" s="332" t="n"/>
      <c r="M4" s="332" t="n"/>
      <c r="N4" s="332" t="n"/>
      <c r="O4" s="332" t="n"/>
      <c r="P4" s="332" t="n"/>
      <c r="Q4" s="332" t="n"/>
      <c r="R4" s="332" t="n"/>
      <c r="S4" s="332" t="n"/>
      <c r="T4" s="235" t="inlineStr">
        <is>
          <t>中信证券投行</t>
        </is>
      </c>
      <c r="U4" s="308" t="n">
        <v>1.3</v>
      </c>
    </row>
    <row r="5" ht="15.5" customHeight="1" s="8">
      <c r="A5" s="332" t="n"/>
      <c r="B5" s="332" t="n"/>
      <c r="C5" s="332" t="n"/>
      <c r="D5" s="332" t="n"/>
      <c r="E5" s="332" t="n"/>
      <c r="F5" s="332" t="n"/>
      <c r="G5" s="332" t="n"/>
      <c r="H5" s="332" t="n"/>
      <c r="I5" s="332" t="n"/>
      <c r="J5" s="332" t="n"/>
      <c r="K5" s="332" t="n"/>
      <c r="L5" s="332" t="n"/>
      <c r="M5" s="332" t="n"/>
      <c r="N5" s="332" t="n"/>
      <c r="O5" s="332" t="n"/>
      <c r="P5" s="332" t="n"/>
      <c r="Q5" s="332" t="n"/>
      <c r="R5" s="332" t="n"/>
      <c r="S5" s="332" t="n"/>
      <c r="T5" s="235" t="inlineStr">
        <is>
          <t>国开证券自营</t>
        </is>
      </c>
      <c r="U5" s="308" t="n">
        <v>1</v>
      </c>
    </row>
    <row r="6" ht="15.5" customHeight="1" s="8">
      <c r="A6" s="332" t="n"/>
      <c r="B6" s="332" t="n"/>
      <c r="C6" s="332" t="n"/>
      <c r="D6" s="332" t="n"/>
      <c r="E6" s="332" t="n"/>
      <c r="F6" s="332" t="n"/>
      <c r="G6" s="332" t="n"/>
      <c r="H6" s="332" t="n"/>
      <c r="I6" s="332" t="n"/>
      <c r="J6" s="332" t="n"/>
      <c r="K6" s="332" t="n"/>
      <c r="L6" s="332" t="n"/>
      <c r="M6" s="332" t="n"/>
      <c r="N6" s="332" t="n"/>
      <c r="O6" s="332" t="n"/>
      <c r="P6" s="332" t="n"/>
      <c r="Q6" s="332" t="n"/>
      <c r="R6" s="332" t="n"/>
      <c r="S6" s="332" t="n"/>
      <c r="T6" s="235" t="inlineStr">
        <is>
          <t>京东世贸</t>
        </is>
      </c>
      <c r="U6" s="310" t="n">
        <v>0.435</v>
      </c>
    </row>
    <row r="7" ht="15.5" customHeight="1" s="8">
      <c r="A7" s="332" t="n"/>
      <c r="B7" s="332" t="n"/>
      <c r="C7" s="332" t="n"/>
      <c r="D7" s="332" t="n"/>
      <c r="E7" s="332" t="n"/>
      <c r="F7" s="332" t="n"/>
      <c r="G7" s="332" t="n"/>
      <c r="H7" s="332" t="n"/>
      <c r="I7" s="332" t="n"/>
      <c r="J7" s="332" t="n"/>
      <c r="K7" s="332" t="n"/>
      <c r="L7" s="332" t="n"/>
      <c r="M7" s="332" t="n"/>
      <c r="N7" s="332" t="n"/>
      <c r="O7" s="332" t="n"/>
      <c r="P7" s="332" t="n"/>
      <c r="Q7" s="332" t="n"/>
      <c r="R7" s="332" t="n"/>
      <c r="S7" s="332" t="n"/>
      <c r="T7" s="235" t="inlineStr">
        <is>
          <t>中信建投投顾</t>
        </is>
      </c>
      <c r="U7" s="310" t="n">
        <v>0.365</v>
      </c>
    </row>
    <row r="8" ht="15.5" customHeight="1" s="8">
      <c r="A8" s="332" t="n"/>
      <c r="B8" s="332" t="n"/>
      <c r="C8" s="332" t="n"/>
      <c r="D8" s="332" t="n"/>
      <c r="E8" s="332" t="n"/>
      <c r="F8" s="332" t="n"/>
      <c r="G8" s="332" t="n"/>
      <c r="H8" s="332" t="n"/>
      <c r="I8" s="332" t="n"/>
      <c r="J8" s="332" t="n"/>
      <c r="K8" s="332" t="n"/>
      <c r="L8" s="332" t="n"/>
      <c r="M8" s="332" t="n"/>
      <c r="N8" s="332" t="n"/>
      <c r="O8" s="333" t="n"/>
      <c r="P8" s="333" t="n"/>
      <c r="Q8" s="333" t="n"/>
      <c r="R8" s="333" t="n"/>
      <c r="S8" s="333" t="n"/>
      <c r="T8" s="235" t="inlineStr">
        <is>
          <t>交银理财</t>
        </is>
      </c>
      <c r="U8" s="308" t="n">
        <v>0.3</v>
      </c>
    </row>
    <row r="9" ht="15.5" customHeight="1" s="8">
      <c r="A9" s="332" t="n"/>
      <c r="B9" s="332" t="n"/>
      <c r="C9" s="332" t="n"/>
      <c r="D9" s="332" t="n"/>
      <c r="E9" s="332" t="n"/>
      <c r="F9" s="332" t="n"/>
      <c r="G9" s="332" t="n"/>
      <c r="H9" s="332" t="n"/>
      <c r="I9" s="332" t="n"/>
      <c r="J9" s="332" t="n"/>
      <c r="K9" s="332" t="n"/>
      <c r="L9" s="332" t="n"/>
      <c r="M9" s="332" t="n"/>
      <c r="N9" s="332" t="n"/>
      <c r="O9" s="235" t="inlineStr">
        <is>
          <t>优先B</t>
        </is>
      </c>
      <c r="P9" s="236" t="n">
        <v>0.04</v>
      </c>
      <c r="Q9" s="307" t="n">
        <v>0.4</v>
      </c>
      <c r="R9" s="235" t="inlineStr">
        <is>
          <t>AA+</t>
        </is>
      </c>
      <c r="S9" s="236" t="n">
        <v>0.022</v>
      </c>
      <c r="T9" s="235" t="inlineStr">
        <is>
          <t>建信信托</t>
        </is>
      </c>
      <c r="U9" s="308" t="n">
        <v>0.26</v>
      </c>
    </row>
    <row r="10" ht="15.5" customHeight="1" s="8">
      <c r="A10" s="332" t="n"/>
      <c r="B10" s="332" t="n"/>
      <c r="C10" s="332" t="n"/>
      <c r="D10" s="332" t="n"/>
      <c r="E10" s="332" t="n"/>
      <c r="F10" s="332" t="n"/>
      <c r="G10" s="332" t="n"/>
      <c r="H10" s="332" t="n"/>
      <c r="I10" s="332" t="n"/>
      <c r="J10" s="332" t="n"/>
      <c r="K10" s="332" t="n"/>
      <c r="L10" s="332" t="n"/>
      <c r="M10" s="332" t="n"/>
      <c r="N10" s="332" t="n"/>
      <c r="O10" s="332" t="n"/>
      <c r="P10" s="332" t="n"/>
      <c r="Q10" s="332" t="n"/>
      <c r="R10" s="332" t="n"/>
      <c r="S10" s="332" t="n"/>
      <c r="T10" s="235" t="inlineStr">
        <is>
          <t>交银理财</t>
        </is>
      </c>
      <c r="U10" s="308" t="n">
        <v>0.12</v>
      </c>
    </row>
    <row r="11" ht="15.5" customHeight="1" s="8">
      <c r="A11" s="332" t="n"/>
      <c r="B11" s="332" t="n"/>
      <c r="C11" s="332" t="n"/>
      <c r="D11" s="332" t="n"/>
      <c r="E11" s="332" t="n"/>
      <c r="F11" s="332" t="n"/>
      <c r="G11" s="332" t="n"/>
      <c r="H11" s="332" t="n"/>
      <c r="I11" s="332" t="n"/>
      <c r="J11" s="332" t="n"/>
      <c r="K11" s="332" t="n"/>
      <c r="L11" s="332" t="n"/>
      <c r="M11" s="332" t="n"/>
      <c r="N11" s="332" t="n"/>
      <c r="O11" s="333" t="n"/>
      <c r="P11" s="333" t="n"/>
      <c r="Q11" s="333" t="n"/>
      <c r="R11" s="333" t="n"/>
      <c r="S11" s="333" t="n"/>
      <c r="T11" s="235" t="inlineStr">
        <is>
          <t>京东世贸</t>
        </is>
      </c>
      <c r="U11" s="308" t="n">
        <v>0.02</v>
      </c>
    </row>
    <row r="12" ht="15.5" customHeight="1" s="8">
      <c r="A12" s="332" t="n"/>
      <c r="B12" s="332" t="n"/>
      <c r="C12" s="332" t="n"/>
      <c r="D12" s="332" t="n"/>
      <c r="E12" s="332" t="n"/>
      <c r="F12" s="332" t="n"/>
      <c r="G12" s="332" t="n"/>
      <c r="H12" s="332" t="n"/>
      <c r="I12" s="332" t="n"/>
      <c r="J12" s="332" t="n"/>
      <c r="K12" s="332" t="n"/>
      <c r="L12" s="332" t="n"/>
      <c r="M12" s="332" t="n"/>
      <c r="N12" s="332" t="n"/>
      <c r="O12" s="235" t="inlineStr">
        <is>
          <t>中间级</t>
        </is>
      </c>
      <c r="P12" s="236" t="n">
        <v>0.04</v>
      </c>
      <c r="Q12" s="307" t="n">
        <v>0.4</v>
      </c>
      <c r="R12" s="235" t="inlineStr">
        <is>
          <t>A</t>
        </is>
      </c>
      <c r="S12" s="236" t="n">
        <v>0.032</v>
      </c>
      <c r="T12" s="235" t="inlineStr">
        <is>
          <t>中信建投机构部</t>
        </is>
      </c>
      <c r="U12" s="308" t="n">
        <v>0.1</v>
      </c>
    </row>
    <row r="13" ht="15.5" customHeight="1" s="8">
      <c r="A13" s="332" t="n"/>
      <c r="B13" s="332" t="n"/>
      <c r="C13" s="332" t="n"/>
      <c r="D13" s="332" t="n"/>
      <c r="E13" s="332" t="n"/>
      <c r="F13" s="332" t="n"/>
      <c r="G13" s="332" t="n"/>
      <c r="H13" s="332" t="n"/>
      <c r="I13" s="332" t="n"/>
      <c r="J13" s="332" t="n"/>
      <c r="K13" s="332" t="n"/>
      <c r="L13" s="332" t="n"/>
      <c r="M13" s="332" t="n"/>
      <c r="N13" s="332" t="n"/>
      <c r="O13" s="332" t="n"/>
      <c r="P13" s="332" t="n"/>
      <c r="Q13" s="332" t="n"/>
      <c r="R13" s="332" t="n"/>
      <c r="S13" s="332" t="n"/>
      <c r="T13" s="235" t="inlineStr">
        <is>
          <t>中信建投衍生品</t>
        </is>
      </c>
      <c r="U13" s="308" t="n">
        <v>0.18</v>
      </c>
    </row>
    <row r="14" ht="15.5" customHeight="1" s="8">
      <c r="A14" s="332" t="n"/>
      <c r="B14" s="332" t="n"/>
      <c r="C14" s="332" t="n"/>
      <c r="D14" s="332" t="n"/>
      <c r="E14" s="332" t="n"/>
      <c r="F14" s="332" t="n"/>
      <c r="G14" s="332" t="n"/>
      <c r="H14" s="332" t="n"/>
      <c r="I14" s="332" t="n"/>
      <c r="J14" s="332" t="n"/>
      <c r="K14" s="332" t="n"/>
      <c r="L14" s="332" t="n"/>
      <c r="M14" s="332" t="n"/>
      <c r="N14" s="332" t="n"/>
      <c r="O14" s="332" t="n"/>
      <c r="P14" s="332" t="n"/>
      <c r="Q14" s="332" t="n"/>
      <c r="R14" s="332" t="n"/>
      <c r="S14" s="332" t="n"/>
      <c r="T14" s="235" t="inlineStr">
        <is>
          <t>中信建投投顾</t>
        </is>
      </c>
      <c r="U14" s="308" t="n">
        <v>0.1</v>
      </c>
    </row>
    <row r="15" ht="15.5" customHeight="1" s="8">
      <c r="A15" s="332" t="n"/>
      <c r="B15" s="332" t="n"/>
      <c r="C15" s="332" t="n"/>
      <c r="D15" s="332" t="n"/>
      <c r="E15" s="332" t="n"/>
      <c r="F15" s="332" t="n"/>
      <c r="G15" s="332" t="n"/>
      <c r="H15" s="332" t="n"/>
      <c r="I15" s="332" t="n"/>
      <c r="J15" s="332" t="n"/>
      <c r="K15" s="332" t="n"/>
      <c r="L15" s="332" t="n"/>
      <c r="M15" s="332" t="n"/>
      <c r="N15" s="332" t="n"/>
      <c r="O15" s="333" t="n"/>
      <c r="P15" s="333" t="n"/>
      <c r="Q15" s="333" t="n"/>
      <c r="R15" s="333" t="n"/>
      <c r="S15" s="333" t="n"/>
      <c r="T15" s="235" t="inlineStr">
        <is>
          <t>京东世贸</t>
        </is>
      </c>
      <c r="U15" s="308" t="n">
        <v>0.02</v>
      </c>
    </row>
    <row r="16" ht="15.5" customHeight="1" s="8">
      <c r="A16" s="332" t="n"/>
      <c r="B16" s="332" t="n"/>
      <c r="C16" s="332" t="n"/>
      <c r="D16" s="332" t="n"/>
      <c r="E16" s="332" t="n"/>
      <c r="F16" s="332" t="n"/>
      <c r="G16" s="332" t="n"/>
      <c r="H16" s="332" t="n"/>
      <c r="I16" s="332" t="n"/>
      <c r="J16" s="332" t="n"/>
      <c r="K16" s="332" t="n"/>
      <c r="L16" s="332" t="n"/>
      <c r="M16" s="332" t="n"/>
      <c r="N16" s="332" t="n"/>
      <c r="O16" s="235" t="inlineStr">
        <is>
          <t>次级</t>
        </is>
      </c>
      <c r="P16" s="236" t="n">
        <v>0.05</v>
      </c>
      <c r="Q16" s="307" t="n">
        <v>0.5</v>
      </c>
      <c r="R16" s="235" t="inlineStr">
        <is>
          <t>无</t>
        </is>
      </c>
      <c r="S16" s="236" t="n">
        <v>0.045</v>
      </c>
      <c r="T16" s="235" t="inlineStr">
        <is>
          <t>信达证券自营</t>
        </is>
      </c>
      <c r="U16" s="308" t="n">
        <v>0.23</v>
      </c>
    </row>
    <row r="17" ht="15.5" customHeight="1" s="8">
      <c r="A17" s="332" t="n"/>
      <c r="B17" s="332" t="n"/>
      <c r="C17" s="332" t="n"/>
      <c r="D17" s="332" t="n"/>
      <c r="E17" s="332" t="n"/>
      <c r="F17" s="332" t="n"/>
      <c r="G17" s="332" t="n"/>
      <c r="H17" s="332" t="n"/>
      <c r="I17" s="332" t="n"/>
      <c r="J17" s="332" t="n"/>
      <c r="K17" s="332" t="n"/>
      <c r="L17" s="332" t="n"/>
      <c r="M17" s="332" t="n"/>
      <c r="N17" s="332" t="n"/>
      <c r="O17" s="332" t="n"/>
      <c r="P17" s="332" t="n"/>
      <c r="Q17" s="332" t="n"/>
      <c r="R17" s="332" t="n"/>
      <c r="S17" s="332" t="n"/>
      <c r="T17" s="235" t="inlineStr">
        <is>
          <t>中信证券投顾</t>
        </is>
      </c>
      <c r="U17" s="308" t="n">
        <v>0.07000000000000001</v>
      </c>
    </row>
    <row r="18" ht="15.5" customHeight="1" s="8">
      <c r="A18" s="332" t="n"/>
      <c r="B18" s="332" t="n"/>
      <c r="C18" s="332" t="n"/>
      <c r="D18" s="332" t="n"/>
      <c r="E18" s="332" t="n"/>
      <c r="F18" s="332" t="n"/>
      <c r="G18" s="332" t="n"/>
      <c r="H18" s="332" t="n"/>
      <c r="I18" s="332" t="n"/>
      <c r="J18" s="332" t="n"/>
      <c r="K18" s="332" t="n"/>
      <c r="L18" s="332" t="n"/>
      <c r="M18" s="332" t="n"/>
      <c r="N18" s="332" t="n"/>
      <c r="O18" s="332" t="n"/>
      <c r="P18" s="332" t="n"/>
      <c r="Q18" s="332" t="n"/>
      <c r="R18" s="332" t="n"/>
      <c r="S18" s="332" t="n"/>
      <c r="T18" s="235" t="inlineStr">
        <is>
          <t>华兴证券自营</t>
        </is>
      </c>
      <c r="U18" s="310" t="n">
        <v>0.075</v>
      </c>
    </row>
    <row r="19" ht="15.5" customHeight="1" s="8">
      <c r="A19" s="332" t="n"/>
      <c r="B19" s="332" t="n"/>
      <c r="C19" s="332" t="n"/>
      <c r="D19" s="332" t="n"/>
      <c r="E19" s="332" t="n"/>
      <c r="F19" s="332" t="n"/>
      <c r="G19" s="332" t="n"/>
      <c r="H19" s="332" t="n"/>
      <c r="I19" s="332" t="n"/>
      <c r="J19" s="332" t="n"/>
      <c r="K19" s="332" t="n"/>
      <c r="L19" s="332" t="n"/>
      <c r="M19" s="332" t="n"/>
      <c r="N19" s="332" t="n"/>
      <c r="O19" s="332" t="n"/>
      <c r="P19" s="332" t="n"/>
      <c r="Q19" s="332" t="n"/>
      <c r="R19" s="332" t="n"/>
      <c r="S19" s="332" t="n"/>
      <c r="T19" s="235" t="inlineStr">
        <is>
          <t>东家铂睿</t>
        </is>
      </c>
      <c r="U19" s="308" t="n">
        <v>0.1</v>
      </c>
    </row>
    <row r="20" ht="15.5" customHeight="1" s="8">
      <c r="A20" s="333" t="n"/>
      <c r="B20" s="333" t="n"/>
      <c r="C20" s="333" t="n"/>
      <c r="D20" s="333" t="n"/>
      <c r="E20" s="333" t="n"/>
      <c r="F20" s="333" t="n"/>
      <c r="G20" s="333" t="n"/>
      <c r="H20" s="333" t="n"/>
      <c r="I20" s="333" t="n"/>
      <c r="J20" s="333" t="n"/>
      <c r="K20" s="333" t="n"/>
      <c r="L20" s="333" t="n"/>
      <c r="M20" s="333" t="n"/>
      <c r="N20" s="333" t="n"/>
      <c r="O20" s="333" t="n"/>
      <c r="P20" s="333" t="n"/>
      <c r="Q20" s="333" t="n"/>
      <c r="R20" s="333" t="n"/>
      <c r="S20" s="333" t="n"/>
      <c r="T20" s="235" t="inlineStr">
        <is>
          <t>京东世贸</t>
        </is>
      </c>
      <c r="U20" s="310" t="n">
        <v>0.025</v>
      </c>
    </row>
    <row r="21" ht="15.5" customHeight="1" s="8">
      <c r="A21" s="305" t="inlineStr">
        <is>
          <t>1月</t>
        </is>
      </c>
      <c r="B21" s="305" t="inlineStr">
        <is>
          <t>消金</t>
        </is>
      </c>
      <c r="C21" s="305" t="inlineStr">
        <is>
          <t>赊销白条</t>
        </is>
      </c>
      <c r="D21" s="305" t="inlineStr">
        <is>
          <t>东裕11号伯裕1期（可续发）</t>
        </is>
      </c>
      <c r="E21" s="305" t="inlineStr">
        <is>
          <t>银行间</t>
        </is>
      </c>
      <c r="F21" s="305" t="inlineStr">
        <is>
          <t>招商证券</t>
        </is>
      </c>
      <c r="G21" s="305" t="inlineStr">
        <is>
          <t>江苏银行/南京银行/国信证券/杭州银行</t>
        </is>
      </c>
      <c r="H21" s="305" t="inlineStr">
        <is>
          <t>江苏北分</t>
        </is>
      </c>
      <c r="I21" s="245" t="n">
        <v>10</v>
      </c>
      <c r="J21" s="305" t="inlineStr">
        <is>
          <t>12+12+10+2</t>
        </is>
      </c>
      <c r="K21" s="246" t="n">
        <v>46049</v>
      </c>
      <c r="L21" s="247" t="n">
        <v>0.0159</v>
      </c>
      <c r="M21" s="259" t="n">
        <v>0.02</v>
      </c>
      <c r="N21" s="260" t="n">
        <v>2.4</v>
      </c>
      <c r="O21" s="235" t="inlineStr">
        <is>
          <t>优先A</t>
        </is>
      </c>
      <c r="P21" s="221" t="n">
        <v>0.9</v>
      </c>
      <c r="Q21" s="308" t="n">
        <v>9</v>
      </c>
      <c r="R21" s="220" t="inlineStr">
        <is>
          <t>AAA</t>
        </is>
      </c>
      <c r="S21" s="221" t="n">
        <v>0.018</v>
      </c>
      <c r="T21" s="30" t="inlineStr">
        <is>
          <t>国信证券投行</t>
        </is>
      </c>
      <c r="U21" s="29" t="n">
        <v>0.1</v>
      </c>
    </row>
    <row r="22" ht="15.5" customHeight="1" s="8">
      <c r="A22" s="332" t="n"/>
      <c r="B22" s="332" t="n"/>
      <c r="C22" s="332" t="n"/>
      <c r="D22" s="332" t="n"/>
      <c r="E22" s="332" t="n"/>
      <c r="F22" s="332" t="n"/>
      <c r="G22" s="332" t="n"/>
      <c r="H22" s="332" t="n"/>
      <c r="I22" s="332" t="n"/>
      <c r="J22" s="332" t="n"/>
      <c r="K22" s="332" t="n"/>
      <c r="L22" s="332" t="n"/>
      <c r="M22" s="332" t="n"/>
      <c r="N22" s="332" t="n"/>
      <c r="O22" s="332" t="n"/>
      <c r="P22" s="332" t="n"/>
      <c r="Q22" s="332" t="n"/>
      <c r="R22" s="332" t="n"/>
      <c r="S22" s="332" t="n"/>
      <c r="T22" s="30" t="inlineStr">
        <is>
          <t>杭银理财</t>
        </is>
      </c>
      <c r="U22" s="308" t="n">
        <v>0.45</v>
      </c>
    </row>
    <row r="23" ht="15.5" customHeight="1" s="8">
      <c r="A23" s="332" t="n"/>
      <c r="B23" s="332" t="n"/>
      <c r="C23" s="332" t="n"/>
      <c r="D23" s="332" t="n"/>
      <c r="E23" s="332" t="n"/>
      <c r="F23" s="332" t="n"/>
      <c r="G23" s="332" t="n"/>
      <c r="H23" s="332" t="n"/>
      <c r="I23" s="332" t="n"/>
      <c r="J23" s="332" t="n"/>
      <c r="K23" s="332" t="n"/>
      <c r="L23" s="332" t="n"/>
      <c r="M23" s="332" t="n"/>
      <c r="N23" s="332" t="n"/>
      <c r="O23" s="332" t="n"/>
      <c r="P23" s="332" t="n"/>
      <c r="Q23" s="332" t="n"/>
      <c r="R23" s="332" t="n"/>
      <c r="S23" s="332" t="n"/>
      <c r="T23" s="30" t="inlineStr">
        <is>
          <t>江苏银行</t>
        </is>
      </c>
      <c r="U23" s="308" t="n">
        <v>1.8</v>
      </c>
    </row>
    <row r="24" ht="15.5" customHeight="1" s="8">
      <c r="A24" s="332" t="n"/>
      <c r="B24" s="332" t="n"/>
      <c r="C24" s="332" t="n"/>
      <c r="D24" s="332" t="n"/>
      <c r="E24" s="332" t="n"/>
      <c r="F24" s="332" t="n"/>
      <c r="G24" s="332" t="n"/>
      <c r="H24" s="332" t="n"/>
      <c r="I24" s="332" t="n"/>
      <c r="J24" s="332" t="n"/>
      <c r="K24" s="332" t="n"/>
      <c r="L24" s="332" t="n"/>
      <c r="M24" s="332" t="n"/>
      <c r="N24" s="332" t="n"/>
      <c r="O24" s="332" t="n"/>
      <c r="P24" s="332" t="n"/>
      <c r="Q24" s="332" t="n"/>
      <c r="R24" s="332" t="n"/>
      <c r="S24" s="332" t="n"/>
      <c r="T24" s="235" t="inlineStr">
        <is>
          <t>利曦基金</t>
        </is>
      </c>
      <c r="U24" s="308" t="n">
        <v>0.3</v>
      </c>
    </row>
    <row r="25" ht="15.5" customHeight="1" s="8">
      <c r="A25" s="332" t="n"/>
      <c r="B25" s="332" t="n"/>
      <c r="C25" s="332" t="n"/>
      <c r="D25" s="332" t="n"/>
      <c r="E25" s="332" t="n"/>
      <c r="F25" s="332" t="n"/>
      <c r="G25" s="332" t="n"/>
      <c r="H25" s="332" t="n"/>
      <c r="I25" s="332" t="n"/>
      <c r="J25" s="332" t="n"/>
      <c r="K25" s="332" t="n"/>
      <c r="L25" s="332" t="n"/>
      <c r="M25" s="332" t="n"/>
      <c r="N25" s="332" t="n"/>
      <c r="O25" s="332" t="n"/>
      <c r="P25" s="332" t="n"/>
      <c r="Q25" s="332" t="n"/>
      <c r="R25" s="332" t="n"/>
      <c r="S25" s="332" t="n"/>
      <c r="T25" s="235" t="inlineStr">
        <is>
          <t>南京银行</t>
        </is>
      </c>
      <c r="U25" s="308" t="n">
        <v>0.8</v>
      </c>
    </row>
    <row r="26" ht="15.5" customHeight="1" s="8">
      <c r="A26" s="332" t="n"/>
      <c r="B26" s="332" t="n"/>
      <c r="C26" s="332" t="n"/>
      <c r="D26" s="332" t="n"/>
      <c r="E26" s="332" t="n"/>
      <c r="F26" s="332" t="n"/>
      <c r="G26" s="332" t="n"/>
      <c r="H26" s="332" t="n"/>
      <c r="I26" s="332" t="n"/>
      <c r="J26" s="332" t="n"/>
      <c r="K26" s="332" t="n"/>
      <c r="L26" s="332" t="n"/>
      <c r="M26" s="332" t="n"/>
      <c r="N26" s="332" t="n"/>
      <c r="O26" s="332" t="n"/>
      <c r="P26" s="332" t="n"/>
      <c r="Q26" s="332" t="n"/>
      <c r="R26" s="332" t="n"/>
      <c r="S26" s="332" t="n"/>
      <c r="T26" s="235" t="inlineStr">
        <is>
          <t>南银理财</t>
        </is>
      </c>
      <c r="U26" s="308" t="n">
        <v>0.5</v>
      </c>
    </row>
    <row r="27" ht="15.5" customHeight="1" s="8">
      <c r="A27" s="332" t="n"/>
      <c r="B27" s="332" t="n"/>
      <c r="C27" s="332" t="n"/>
      <c r="D27" s="332" t="n"/>
      <c r="E27" s="332" t="n"/>
      <c r="F27" s="332" t="n"/>
      <c r="G27" s="332" t="n"/>
      <c r="H27" s="332" t="n"/>
      <c r="I27" s="332" t="n"/>
      <c r="J27" s="332" t="n"/>
      <c r="K27" s="332" t="n"/>
      <c r="L27" s="332" t="n"/>
      <c r="M27" s="332" t="n"/>
      <c r="N27" s="332" t="n"/>
      <c r="O27" s="332" t="n"/>
      <c r="P27" s="332" t="n"/>
      <c r="Q27" s="332" t="n"/>
      <c r="R27" s="332" t="n"/>
      <c r="S27" s="332" t="n"/>
      <c r="T27" s="235" t="inlineStr">
        <is>
          <t>平安理财</t>
        </is>
      </c>
      <c r="U27" s="308" t="n">
        <v>2.25</v>
      </c>
    </row>
    <row r="28" ht="15.5" customHeight="1" s="8">
      <c r="A28" s="332" t="n"/>
      <c r="B28" s="332" t="n"/>
      <c r="C28" s="332" t="n"/>
      <c r="D28" s="332" t="n"/>
      <c r="E28" s="332" t="n"/>
      <c r="F28" s="332" t="n"/>
      <c r="G28" s="332" t="n"/>
      <c r="H28" s="332" t="n"/>
      <c r="I28" s="332" t="n"/>
      <c r="J28" s="332" t="n"/>
      <c r="K28" s="332" t="n"/>
      <c r="L28" s="332" t="n"/>
      <c r="M28" s="332" t="n"/>
      <c r="N28" s="332" t="n"/>
      <c r="O28" s="332" t="n"/>
      <c r="P28" s="332" t="n"/>
      <c r="Q28" s="332" t="n"/>
      <c r="R28" s="332" t="n"/>
      <c r="S28" s="332" t="n"/>
      <c r="T28" s="235" t="inlineStr">
        <is>
          <t>兴银理财</t>
        </is>
      </c>
      <c r="U28" s="308" t="n">
        <v>0.1</v>
      </c>
    </row>
    <row r="29" ht="15.5" customHeight="1" s="8">
      <c r="A29" s="332" t="n"/>
      <c r="B29" s="332" t="n"/>
      <c r="C29" s="332" t="n"/>
      <c r="D29" s="332" t="n"/>
      <c r="E29" s="332" t="n"/>
      <c r="F29" s="332" t="n"/>
      <c r="G29" s="332" t="n"/>
      <c r="H29" s="332" t="n"/>
      <c r="I29" s="332" t="n"/>
      <c r="J29" s="332" t="n"/>
      <c r="K29" s="332" t="n"/>
      <c r="L29" s="332" t="n"/>
      <c r="M29" s="332" t="n"/>
      <c r="N29" s="332" t="n"/>
      <c r="O29" s="333" t="n"/>
      <c r="P29" s="333" t="n"/>
      <c r="Q29" s="333" t="n"/>
      <c r="R29" s="333" t="n"/>
      <c r="S29" s="333" t="n"/>
      <c r="T29" s="235" t="inlineStr">
        <is>
          <t>中银理财</t>
        </is>
      </c>
      <c r="U29" s="308" t="n">
        <v>2.7</v>
      </c>
    </row>
    <row r="30" ht="15.5" customHeight="1" s="8">
      <c r="A30" s="332" t="n"/>
      <c r="B30" s="332" t="n"/>
      <c r="C30" s="332" t="n"/>
      <c r="D30" s="332" t="n"/>
      <c r="E30" s="332" t="n"/>
      <c r="F30" s="332" t="n"/>
      <c r="G30" s="332" t="n"/>
      <c r="H30" s="332" t="n"/>
      <c r="I30" s="332" t="n"/>
      <c r="J30" s="332" t="n"/>
      <c r="K30" s="332" t="n"/>
      <c r="L30" s="332" t="n"/>
      <c r="M30" s="332" t="n"/>
      <c r="N30" s="332" t="n"/>
      <c r="O30" s="235" t="inlineStr">
        <is>
          <t>优先B</t>
        </is>
      </c>
      <c r="P30" s="221" t="n">
        <v>0.03</v>
      </c>
      <c r="Q30" s="308" t="n">
        <v>0.3</v>
      </c>
      <c r="R30" s="220" t="inlineStr">
        <is>
          <t>AA+</t>
        </is>
      </c>
      <c r="S30" s="221" t="n">
        <v>0.0205</v>
      </c>
      <c r="T30" s="235" t="inlineStr">
        <is>
          <t>交银理财</t>
        </is>
      </c>
      <c r="U30" s="308" t="n">
        <v>0.09</v>
      </c>
    </row>
    <row r="31" ht="15.5" customHeight="1" s="8">
      <c r="A31" s="332" t="n"/>
      <c r="B31" s="332" t="n"/>
      <c r="C31" s="332" t="n"/>
      <c r="D31" s="332" t="n"/>
      <c r="E31" s="332" t="n"/>
      <c r="F31" s="332" t="n"/>
      <c r="G31" s="332" t="n"/>
      <c r="H31" s="332" t="n"/>
      <c r="I31" s="332" t="n"/>
      <c r="J31" s="332" t="n"/>
      <c r="K31" s="332" t="n"/>
      <c r="L31" s="332" t="n"/>
      <c r="M31" s="332" t="n"/>
      <c r="N31" s="332" t="n"/>
      <c r="O31" s="332" t="n"/>
      <c r="P31" s="332" t="n"/>
      <c r="Q31" s="332" t="n"/>
      <c r="R31" s="332" t="n"/>
      <c r="S31" s="332" t="n"/>
      <c r="T31" s="235" t="inlineStr">
        <is>
          <t>平安理财</t>
        </is>
      </c>
      <c r="U31" s="308" t="n">
        <v>0.07000000000000001</v>
      </c>
    </row>
    <row r="32" ht="15.5" customHeight="1" s="8">
      <c r="A32" s="332" t="n"/>
      <c r="B32" s="332" t="n"/>
      <c r="C32" s="332" t="n"/>
      <c r="D32" s="332" t="n"/>
      <c r="E32" s="332" t="n"/>
      <c r="F32" s="332" t="n"/>
      <c r="G32" s="332" t="n"/>
      <c r="H32" s="332" t="n"/>
      <c r="I32" s="332" t="n"/>
      <c r="J32" s="332" t="n"/>
      <c r="K32" s="332" t="n"/>
      <c r="L32" s="332" t="n"/>
      <c r="M32" s="332" t="n"/>
      <c r="N32" s="332" t="n"/>
      <c r="O32" s="333" t="n"/>
      <c r="P32" s="333" t="n"/>
      <c r="Q32" s="333" t="n"/>
      <c r="R32" s="333" t="n"/>
      <c r="S32" s="333" t="n"/>
      <c r="T32" s="235" t="inlineStr">
        <is>
          <t>中金财富</t>
        </is>
      </c>
      <c r="U32" s="308" t="n">
        <v>0.14</v>
      </c>
    </row>
    <row r="33" ht="15.5" customHeight="1" s="8">
      <c r="A33" s="332" t="n"/>
      <c r="B33" s="332" t="n"/>
      <c r="C33" s="332" t="n"/>
      <c r="D33" s="332" t="n"/>
      <c r="E33" s="332" t="n"/>
      <c r="F33" s="332" t="n"/>
      <c r="G33" s="332" t="n"/>
      <c r="H33" s="332" t="n"/>
      <c r="I33" s="332" t="n"/>
      <c r="J33" s="332" t="n"/>
      <c r="K33" s="332" t="n"/>
      <c r="L33" s="332" t="n"/>
      <c r="M33" s="332" t="n"/>
      <c r="N33" s="332" t="n"/>
      <c r="O33" s="235" t="inlineStr">
        <is>
          <t>中间级</t>
        </is>
      </c>
      <c r="P33" s="231" t="n">
        <v>0.02</v>
      </c>
      <c r="Q33" s="308" t="n">
        <v>0.2</v>
      </c>
      <c r="R33" s="220" t="inlineStr">
        <is>
          <t>A</t>
        </is>
      </c>
      <c r="S33" s="221" t="n">
        <v>0.031</v>
      </c>
      <c r="T33" s="235" t="inlineStr">
        <is>
          <t>平安理财</t>
        </is>
      </c>
      <c r="U33" s="308" t="n">
        <v>0.06</v>
      </c>
    </row>
    <row r="34" ht="15.5" customHeight="1" s="8">
      <c r="A34" s="332" t="n"/>
      <c r="B34" s="332" t="n"/>
      <c r="C34" s="332" t="n"/>
      <c r="D34" s="332" t="n"/>
      <c r="E34" s="332" t="n"/>
      <c r="F34" s="332" t="n"/>
      <c r="G34" s="332" t="n"/>
      <c r="H34" s="332" t="n"/>
      <c r="I34" s="332" t="n"/>
      <c r="J34" s="332" t="n"/>
      <c r="K34" s="332" t="n"/>
      <c r="L34" s="332" t="n"/>
      <c r="M34" s="332" t="n"/>
      <c r="N34" s="332" t="n"/>
      <c r="O34" s="333" t="n"/>
      <c r="P34" s="332" t="n"/>
      <c r="Q34" s="333" t="n"/>
      <c r="R34" s="333" t="n"/>
      <c r="S34" s="333" t="n"/>
      <c r="T34" s="235" t="inlineStr">
        <is>
          <t>建信信托</t>
        </is>
      </c>
      <c r="U34" s="308" t="n">
        <v>0.14</v>
      </c>
    </row>
    <row r="35" ht="15.5" customHeight="1" s="8">
      <c r="A35" s="332" t="n"/>
      <c r="B35" s="332" t="n"/>
      <c r="C35" s="332" t="n"/>
      <c r="D35" s="332" t="n"/>
      <c r="E35" s="332" t="n"/>
      <c r="F35" s="332" t="n"/>
      <c r="G35" s="332" t="n"/>
      <c r="H35" s="332" t="n"/>
      <c r="I35" s="332" t="n"/>
      <c r="J35" s="332" t="n"/>
      <c r="K35" s="332" t="n"/>
      <c r="L35" s="332" t="n"/>
      <c r="M35" s="332" t="n"/>
      <c r="N35" s="332" t="n"/>
      <c r="O35" s="235" t="inlineStr">
        <is>
          <t>次级</t>
        </is>
      </c>
      <c r="P35" s="221" t="n">
        <v>0.05</v>
      </c>
      <c r="Q35" s="308" t="n">
        <v>0.5</v>
      </c>
      <c r="R35" s="220" t="inlineStr">
        <is>
          <t>无</t>
        </is>
      </c>
      <c r="S35" s="221" t="n">
        <v>0.045</v>
      </c>
      <c r="T35" s="235" t="inlineStr">
        <is>
          <t>利曦基金</t>
        </is>
      </c>
      <c r="U35" s="308" t="n">
        <v>0.2</v>
      </c>
    </row>
    <row r="36" ht="15.5" customHeight="1" s="8">
      <c r="A36" s="332" t="n"/>
      <c r="B36" s="332" t="n"/>
      <c r="C36" s="332" t="n"/>
      <c r="D36" s="332" t="n"/>
      <c r="E36" s="332" t="n"/>
      <c r="F36" s="332" t="n"/>
      <c r="G36" s="332" t="n"/>
      <c r="H36" s="332" t="n"/>
      <c r="I36" s="332" t="n"/>
      <c r="J36" s="332" t="n"/>
      <c r="K36" s="332" t="n"/>
      <c r="L36" s="332" t="n"/>
      <c r="M36" s="332" t="n"/>
      <c r="N36" s="332" t="n"/>
      <c r="O36" s="332" t="n"/>
      <c r="P36" s="332" t="n"/>
      <c r="Q36" s="332" t="n"/>
      <c r="R36" s="332" t="n"/>
      <c r="S36" s="332" t="n"/>
      <c r="T36" s="235" t="inlineStr">
        <is>
          <t>信达证券自营</t>
        </is>
      </c>
      <c r="U36" s="308" t="n">
        <v>0.1</v>
      </c>
    </row>
    <row r="37" ht="15.5" customHeight="1" s="8">
      <c r="A37" s="333" t="n"/>
      <c r="B37" s="333" t="n"/>
      <c r="C37" s="333" t="n"/>
      <c r="D37" s="333" t="n"/>
      <c r="E37" s="333" t="n"/>
      <c r="F37" s="333" t="n"/>
      <c r="G37" s="333" t="n"/>
      <c r="H37" s="333" t="n"/>
      <c r="I37" s="333" t="n"/>
      <c r="J37" s="333" t="n"/>
      <c r="K37" s="333" t="n"/>
      <c r="L37" s="333" t="n"/>
      <c r="M37" s="333" t="n"/>
      <c r="N37" s="333" t="n"/>
      <c r="O37" s="333" t="n"/>
      <c r="P37" s="333" t="n"/>
      <c r="Q37" s="333" t="n"/>
      <c r="R37" s="333" t="n"/>
      <c r="S37" s="333" t="n"/>
      <c r="T37" s="235" t="inlineStr">
        <is>
          <t>德邦证券自营</t>
        </is>
      </c>
      <c r="U37" s="310" t="n">
        <v>0.2</v>
      </c>
    </row>
    <row r="38" ht="15.5" customHeight="1" s="8">
      <c r="A38" s="305" t="inlineStr">
        <is>
          <t>2月</t>
        </is>
      </c>
      <c r="B38" s="305" t="inlineStr">
        <is>
          <t>消金</t>
        </is>
      </c>
      <c r="C38" s="305" t="inlineStr">
        <is>
          <t>赊销白条</t>
        </is>
      </c>
      <c r="D38" s="305" t="inlineStr">
        <is>
          <t>东道19-1（可续发）</t>
        </is>
      </c>
      <c r="E38" s="305" t="inlineStr">
        <is>
          <t>深交所</t>
        </is>
      </c>
      <c r="F38" s="305" t="inlineStr">
        <is>
          <t>国泰海通</t>
        </is>
      </c>
      <c r="G38" s="305" t="inlineStr">
        <is>
          <t>东方证券</t>
        </is>
      </c>
      <c r="H38" s="305" t="inlineStr">
        <is>
          <t>平安北分</t>
        </is>
      </c>
      <c r="I38" s="245" t="n">
        <v>10</v>
      </c>
      <c r="J38" s="305" t="inlineStr">
        <is>
          <t>12+10+10+2</t>
        </is>
      </c>
      <c r="K38" s="246" t="n">
        <v>46056</v>
      </c>
      <c r="L38" s="247" t="n">
        <v>0.0159</v>
      </c>
      <c r="M38" s="259" t="n">
        <v>0.0207</v>
      </c>
      <c r="N38" s="260" t="n">
        <v>1.71</v>
      </c>
      <c r="O38" s="235" t="inlineStr">
        <is>
          <t>优先A</t>
        </is>
      </c>
      <c r="P38" s="231" t="n">
        <v>0.9</v>
      </c>
      <c r="Q38" s="308" t="n">
        <v>9</v>
      </c>
      <c r="R38" s="220" t="inlineStr">
        <is>
          <t>AAA</t>
        </is>
      </c>
      <c r="S38" s="221" t="n">
        <v>0.0185</v>
      </c>
      <c r="T38" s="30" t="inlineStr">
        <is>
          <t>工银理财</t>
        </is>
      </c>
      <c r="U38" s="29" t="n">
        <v>2.5</v>
      </c>
    </row>
    <row r="39" ht="15.5" customHeight="1" s="8">
      <c r="A39" s="332" t="n"/>
      <c r="B39" s="332" t="n"/>
      <c r="C39" s="332" t="n"/>
      <c r="D39" s="332" t="n"/>
      <c r="E39" s="332" t="n"/>
      <c r="F39" s="332" t="n"/>
      <c r="G39" s="332" t="n"/>
      <c r="H39" s="332" t="n"/>
      <c r="I39" s="332" t="n"/>
      <c r="J39" s="332" t="n"/>
      <c r="K39" s="332" t="n"/>
      <c r="L39" s="332" t="n"/>
      <c r="M39" s="332" t="n"/>
      <c r="N39" s="332" t="n"/>
      <c r="O39" s="332" t="n"/>
      <c r="P39" s="332" t="n"/>
      <c r="Q39" s="332" t="n"/>
      <c r="R39" s="332" t="n"/>
      <c r="S39" s="332" t="n"/>
      <c r="T39" s="30" t="inlineStr">
        <is>
          <t>平安理财</t>
        </is>
      </c>
      <c r="U39" s="308" t="n">
        <v>2.25</v>
      </c>
    </row>
    <row r="40" ht="15.5" customHeight="1" s="8">
      <c r="A40" s="332" t="n"/>
      <c r="B40" s="332" t="n"/>
      <c r="C40" s="332" t="n"/>
      <c r="D40" s="332" t="n"/>
      <c r="E40" s="332" t="n"/>
      <c r="F40" s="332" t="n"/>
      <c r="G40" s="332" t="n"/>
      <c r="H40" s="332" t="n"/>
      <c r="I40" s="332" t="n"/>
      <c r="J40" s="332" t="n"/>
      <c r="K40" s="332" t="n"/>
      <c r="L40" s="332" t="n"/>
      <c r="M40" s="332" t="n"/>
      <c r="N40" s="332" t="n"/>
      <c r="O40" s="332" t="n"/>
      <c r="P40" s="332" t="n"/>
      <c r="Q40" s="332" t="n"/>
      <c r="R40" s="332" t="n"/>
      <c r="S40" s="332" t="n"/>
      <c r="T40" s="30" t="inlineStr">
        <is>
          <t>交银理财</t>
        </is>
      </c>
      <c r="U40" s="308" t="n">
        <v>1</v>
      </c>
    </row>
    <row r="41" ht="15.5" customHeight="1" s="8">
      <c r="A41" s="332" t="n"/>
      <c r="B41" s="332" t="n"/>
      <c r="C41" s="332" t="n"/>
      <c r="D41" s="332" t="n"/>
      <c r="E41" s="332" t="n"/>
      <c r="F41" s="332" t="n"/>
      <c r="G41" s="332" t="n"/>
      <c r="H41" s="332" t="n"/>
      <c r="I41" s="332" t="n"/>
      <c r="J41" s="332" t="n"/>
      <c r="K41" s="332" t="n"/>
      <c r="L41" s="332" t="n"/>
      <c r="M41" s="332" t="n"/>
      <c r="N41" s="332" t="n"/>
      <c r="O41" s="332" t="n"/>
      <c r="P41" s="332" t="n"/>
      <c r="Q41" s="332" t="n"/>
      <c r="R41" s="332" t="n"/>
      <c r="S41" s="332" t="n"/>
      <c r="T41" s="235" t="inlineStr">
        <is>
          <t>中银理财</t>
        </is>
      </c>
      <c r="U41" s="308" t="n">
        <v>1</v>
      </c>
    </row>
    <row r="42" ht="15.5" customHeight="1" s="8">
      <c r="A42" s="332" t="n"/>
      <c r="B42" s="332" t="n"/>
      <c r="C42" s="332" t="n"/>
      <c r="D42" s="332" t="n"/>
      <c r="E42" s="332" t="n"/>
      <c r="F42" s="332" t="n"/>
      <c r="G42" s="332" t="n"/>
      <c r="H42" s="332" t="n"/>
      <c r="I42" s="332" t="n"/>
      <c r="J42" s="332" t="n"/>
      <c r="K42" s="332" t="n"/>
      <c r="L42" s="332" t="n"/>
      <c r="M42" s="332" t="n"/>
      <c r="N42" s="332" t="n"/>
      <c r="O42" s="332" t="n"/>
      <c r="P42" s="332" t="n"/>
      <c r="Q42" s="332" t="n"/>
      <c r="R42" s="332" t="n"/>
      <c r="S42" s="332" t="n"/>
      <c r="T42" s="235" t="inlineStr">
        <is>
          <t>南银理财</t>
        </is>
      </c>
      <c r="U42" s="308" t="n">
        <v>1</v>
      </c>
    </row>
    <row r="43" ht="15.5" customHeight="1" s="8">
      <c r="A43" s="332" t="n"/>
      <c r="B43" s="332" t="n"/>
      <c r="C43" s="332" t="n"/>
      <c r="D43" s="332" t="n"/>
      <c r="E43" s="332" t="n"/>
      <c r="F43" s="332" t="n"/>
      <c r="G43" s="332" t="n"/>
      <c r="H43" s="332" t="n"/>
      <c r="I43" s="332" t="n"/>
      <c r="J43" s="332" t="n"/>
      <c r="K43" s="332" t="n"/>
      <c r="L43" s="332" t="n"/>
      <c r="M43" s="332" t="n"/>
      <c r="N43" s="332" t="n"/>
      <c r="O43" s="332" t="n"/>
      <c r="P43" s="332" t="n"/>
      <c r="Q43" s="332" t="n"/>
      <c r="R43" s="332" t="n"/>
      <c r="S43" s="332" t="n"/>
      <c r="T43" s="235" t="inlineStr">
        <is>
          <t>国泰海通自营</t>
        </is>
      </c>
      <c r="U43" s="308" t="n">
        <v>0.5</v>
      </c>
    </row>
    <row r="44" ht="15.5" customHeight="1" s="8">
      <c r="A44" s="332" t="n"/>
      <c r="B44" s="332" t="n"/>
      <c r="C44" s="332" t="n"/>
      <c r="D44" s="332" t="n"/>
      <c r="E44" s="332" t="n"/>
      <c r="F44" s="332" t="n"/>
      <c r="G44" s="332" t="n"/>
      <c r="H44" s="332" t="n"/>
      <c r="I44" s="332" t="n"/>
      <c r="J44" s="332" t="n"/>
      <c r="K44" s="332" t="n"/>
      <c r="L44" s="332" t="n"/>
      <c r="M44" s="332" t="n"/>
      <c r="N44" s="332" t="n"/>
      <c r="O44" s="332" t="n"/>
      <c r="P44" s="332" t="n"/>
      <c r="Q44" s="332" t="n"/>
      <c r="R44" s="332" t="n"/>
      <c r="S44" s="332" t="n"/>
      <c r="T44" s="235" t="inlineStr">
        <is>
          <t>京东世贸</t>
        </is>
      </c>
      <c r="U44" s="308" t="n">
        <v>0.45</v>
      </c>
    </row>
    <row r="45" ht="15.5" customHeight="1" s="8">
      <c r="A45" s="332" t="n"/>
      <c r="B45" s="332" t="n"/>
      <c r="C45" s="332" t="n"/>
      <c r="D45" s="332" t="n"/>
      <c r="E45" s="332" t="n"/>
      <c r="F45" s="332" t="n"/>
      <c r="G45" s="332" t="n"/>
      <c r="H45" s="332" t="n"/>
      <c r="I45" s="332" t="n"/>
      <c r="J45" s="332" t="n"/>
      <c r="K45" s="332" t="n"/>
      <c r="L45" s="332" t="n"/>
      <c r="M45" s="332" t="n"/>
      <c r="N45" s="332" t="n"/>
      <c r="O45" s="333" t="n"/>
      <c r="P45" s="332" t="n"/>
      <c r="Q45" s="333" t="n"/>
      <c r="R45" s="333" t="n"/>
      <c r="S45" s="333" t="n"/>
      <c r="T45" s="235" t="inlineStr">
        <is>
          <t>东方证券投行</t>
        </is>
      </c>
      <c r="U45" s="308" t="n">
        <v>0.3</v>
      </c>
    </row>
    <row r="46" ht="15.5" customHeight="1" s="8">
      <c r="A46" s="332" t="n"/>
      <c r="B46" s="332" t="n"/>
      <c r="C46" s="332" t="n"/>
      <c r="D46" s="332" t="n"/>
      <c r="E46" s="332" t="n"/>
      <c r="F46" s="332" t="n"/>
      <c r="G46" s="332" t="n"/>
      <c r="H46" s="332" t="n"/>
      <c r="I46" s="332" t="n"/>
      <c r="J46" s="332" t="n"/>
      <c r="K46" s="332" t="n"/>
      <c r="L46" s="332" t="n"/>
      <c r="M46" s="332" t="n"/>
      <c r="N46" s="332" t="n"/>
      <c r="O46" s="235" t="inlineStr">
        <is>
          <t>优先B</t>
        </is>
      </c>
      <c r="P46" s="221" t="n">
        <v>0.03</v>
      </c>
      <c r="Q46" s="308" t="n">
        <v>0.3</v>
      </c>
      <c r="R46" s="220" t="inlineStr">
        <is>
          <t>AA+</t>
        </is>
      </c>
      <c r="S46" s="221" t="n">
        <v>0.021</v>
      </c>
      <c r="T46" s="235" t="inlineStr">
        <is>
          <t>建信信托</t>
        </is>
      </c>
      <c r="U46" s="308" t="n">
        <v>0.12</v>
      </c>
    </row>
    <row r="47" ht="15.5" customHeight="1" s="8">
      <c r="A47" s="332" t="n"/>
      <c r="B47" s="332" t="n"/>
      <c r="C47" s="332" t="n"/>
      <c r="D47" s="332" t="n"/>
      <c r="E47" s="332" t="n"/>
      <c r="F47" s="332" t="n"/>
      <c r="G47" s="332" t="n"/>
      <c r="H47" s="332" t="n"/>
      <c r="I47" s="332" t="n"/>
      <c r="J47" s="332" t="n"/>
      <c r="K47" s="332" t="n"/>
      <c r="L47" s="332" t="n"/>
      <c r="M47" s="332" t="n"/>
      <c r="N47" s="332" t="n"/>
      <c r="O47" s="332" t="n"/>
      <c r="P47" s="332" t="n"/>
      <c r="Q47" s="332" t="n"/>
      <c r="R47" s="332" t="n"/>
      <c r="S47" s="332" t="n"/>
      <c r="T47" s="235" t="inlineStr">
        <is>
          <t>交银理财</t>
        </is>
      </c>
      <c r="U47" s="308" t="n">
        <v>0.09</v>
      </c>
    </row>
    <row r="48" ht="15.5" customHeight="1" s="8">
      <c r="A48" s="332" t="n"/>
      <c r="B48" s="332" t="n"/>
      <c r="C48" s="332" t="n"/>
      <c r="D48" s="332" t="n"/>
      <c r="E48" s="332" t="n"/>
      <c r="F48" s="332" t="n"/>
      <c r="G48" s="332" t="n"/>
      <c r="H48" s="332" t="n"/>
      <c r="I48" s="332" t="n"/>
      <c r="J48" s="332" t="n"/>
      <c r="K48" s="332" t="n"/>
      <c r="L48" s="332" t="n"/>
      <c r="M48" s="332" t="n"/>
      <c r="N48" s="332" t="n"/>
      <c r="O48" s="332" t="n"/>
      <c r="P48" s="332" t="n"/>
      <c r="Q48" s="332" t="n"/>
      <c r="R48" s="332" t="n"/>
      <c r="S48" s="332" t="n"/>
      <c r="T48" s="235" t="inlineStr">
        <is>
          <t>平安理财</t>
        </is>
      </c>
      <c r="U48" s="310" t="n">
        <v>0.075</v>
      </c>
    </row>
    <row r="49" ht="15.5" customHeight="1" s="8">
      <c r="A49" s="332" t="n"/>
      <c r="B49" s="332" t="n"/>
      <c r="C49" s="332" t="n"/>
      <c r="D49" s="332" t="n"/>
      <c r="E49" s="332" t="n"/>
      <c r="F49" s="332" t="n"/>
      <c r="G49" s="332" t="n"/>
      <c r="H49" s="332" t="n"/>
      <c r="I49" s="332" t="n"/>
      <c r="J49" s="332" t="n"/>
      <c r="K49" s="332" t="n"/>
      <c r="L49" s="332" t="n"/>
      <c r="M49" s="332" t="n"/>
      <c r="N49" s="332" t="n"/>
      <c r="O49" s="333" t="n"/>
      <c r="P49" s="333" t="n"/>
      <c r="Q49" s="333" t="n"/>
      <c r="R49" s="333" t="n"/>
      <c r="S49" s="333" t="n"/>
      <c r="T49" s="235" t="inlineStr">
        <is>
          <t>京东世贸</t>
        </is>
      </c>
      <c r="U49" s="310" t="n">
        <v>0.015</v>
      </c>
    </row>
    <row r="50" ht="15.5" customHeight="1" s="8">
      <c r="A50" s="332" t="n"/>
      <c r="B50" s="332" t="n"/>
      <c r="C50" s="332" t="n"/>
      <c r="D50" s="332" t="n"/>
      <c r="E50" s="332" t="n"/>
      <c r="F50" s="332" t="n"/>
      <c r="G50" s="332" t="n"/>
      <c r="H50" s="332" t="n"/>
      <c r="I50" s="332" t="n"/>
      <c r="J50" s="332" t="n"/>
      <c r="K50" s="332" t="n"/>
      <c r="L50" s="332" t="n"/>
      <c r="M50" s="332" t="n"/>
      <c r="N50" s="332" t="n"/>
      <c r="O50" s="235" t="inlineStr">
        <is>
          <t>中间级</t>
        </is>
      </c>
      <c r="P50" s="231" t="n">
        <v>0.02</v>
      </c>
      <c r="Q50" s="308" t="n">
        <v>0.2</v>
      </c>
      <c r="R50" s="220" t="inlineStr">
        <is>
          <t>A+</t>
        </is>
      </c>
      <c r="S50" s="221" t="n">
        <v>0.031</v>
      </c>
      <c r="T50" s="235" t="inlineStr">
        <is>
          <t>杭州联合银行</t>
        </is>
      </c>
      <c r="U50" s="308" t="n">
        <v>0.14</v>
      </c>
    </row>
    <row r="51" ht="15.5" customHeight="1" s="8">
      <c r="A51" s="332" t="n"/>
      <c r="B51" s="332" t="n"/>
      <c r="C51" s="332" t="n"/>
      <c r="D51" s="332" t="n"/>
      <c r="E51" s="332" t="n"/>
      <c r="F51" s="332" t="n"/>
      <c r="G51" s="332" t="n"/>
      <c r="H51" s="332" t="n"/>
      <c r="I51" s="332" t="n"/>
      <c r="J51" s="332" t="n"/>
      <c r="K51" s="332" t="n"/>
      <c r="L51" s="332" t="n"/>
      <c r="M51" s="332" t="n"/>
      <c r="N51" s="332" t="n"/>
      <c r="O51" s="332" t="n"/>
      <c r="P51" s="332" t="n"/>
      <c r="Q51" s="332" t="n"/>
      <c r="R51" s="332" t="n"/>
      <c r="S51" s="332" t="n"/>
      <c r="T51" s="235" t="inlineStr">
        <is>
          <t>平安理财</t>
        </is>
      </c>
      <c r="U51" s="308" t="n">
        <v>0.05</v>
      </c>
    </row>
    <row r="52" ht="15.5" customHeight="1" s="8">
      <c r="A52" s="332" t="n"/>
      <c r="B52" s="332" t="n"/>
      <c r="C52" s="332" t="n"/>
      <c r="D52" s="332" t="n"/>
      <c r="E52" s="332" t="n"/>
      <c r="F52" s="332" t="n"/>
      <c r="G52" s="332" t="n"/>
      <c r="H52" s="332" t="n"/>
      <c r="I52" s="332" t="n"/>
      <c r="J52" s="332" t="n"/>
      <c r="K52" s="332" t="n"/>
      <c r="L52" s="332" t="n"/>
      <c r="M52" s="332" t="n"/>
      <c r="N52" s="332" t="n"/>
      <c r="O52" s="333" t="n"/>
      <c r="P52" s="332" t="n"/>
      <c r="Q52" s="333" t="n"/>
      <c r="R52" s="333" t="n"/>
      <c r="S52" s="333" t="n"/>
      <c r="T52" s="235" t="inlineStr">
        <is>
          <t>京东世贸</t>
        </is>
      </c>
      <c r="U52" s="308" t="n">
        <v>0.01</v>
      </c>
    </row>
    <row r="53" ht="15.5" customHeight="1" s="8">
      <c r="A53" s="332" t="n"/>
      <c r="B53" s="332" t="n"/>
      <c r="C53" s="332" t="n"/>
      <c r="D53" s="332" t="n"/>
      <c r="E53" s="332" t="n"/>
      <c r="F53" s="332" t="n"/>
      <c r="G53" s="332" t="n"/>
      <c r="H53" s="332" t="n"/>
      <c r="I53" s="332" t="n"/>
      <c r="J53" s="332" t="n"/>
      <c r="K53" s="332" t="n"/>
      <c r="L53" s="332" t="n"/>
      <c r="M53" s="332" t="n"/>
      <c r="N53" s="332" t="n"/>
      <c r="O53" s="235" t="inlineStr">
        <is>
          <t>次级</t>
        </is>
      </c>
      <c r="P53" s="221" t="n">
        <v>0.05</v>
      </c>
      <c r="Q53" s="308" t="n">
        <v>0.5</v>
      </c>
      <c r="R53" s="220" t="inlineStr">
        <is>
          <t>无</t>
        </is>
      </c>
      <c r="S53" s="221" t="n">
        <v>0.045</v>
      </c>
      <c r="T53" s="235" t="inlineStr">
        <is>
          <t>中信财富</t>
        </is>
      </c>
      <c r="U53" s="308" t="n">
        <v>0.07000000000000001</v>
      </c>
    </row>
    <row r="54" ht="15.5" customHeight="1" s="8">
      <c r="A54" s="332" t="n"/>
      <c r="B54" s="332" t="n"/>
      <c r="C54" s="332" t="n"/>
      <c r="D54" s="332" t="n"/>
      <c r="E54" s="332" t="n"/>
      <c r="F54" s="332" t="n"/>
      <c r="G54" s="332" t="n"/>
      <c r="H54" s="332" t="n"/>
      <c r="I54" s="332" t="n"/>
      <c r="J54" s="332" t="n"/>
      <c r="K54" s="332" t="n"/>
      <c r="L54" s="332" t="n"/>
      <c r="M54" s="332" t="n"/>
      <c r="N54" s="332" t="n"/>
      <c r="O54" s="332" t="n"/>
      <c r="P54" s="332" t="n"/>
      <c r="Q54" s="332" t="n"/>
      <c r="R54" s="332" t="n"/>
      <c r="S54" s="332" t="n"/>
      <c r="T54" s="235" t="inlineStr">
        <is>
          <t>申万宏源自营</t>
        </is>
      </c>
      <c r="U54" s="308" t="n">
        <v>0.07000000000000001</v>
      </c>
    </row>
    <row r="55" ht="15.5" customHeight="1" s="8">
      <c r="A55" s="332" t="n"/>
      <c r="B55" s="332" t="n"/>
      <c r="C55" s="332" t="n"/>
      <c r="D55" s="332" t="n"/>
      <c r="E55" s="332" t="n"/>
      <c r="F55" s="332" t="n"/>
      <c r="G55" s="332" t="n"/>
      <c r="H55" s="332" t="n"/>
      <c r="I55" s="332" t="n"/>
      <c r="J55" s="332" t="n"/>
      <c r="K55" s="332" t="n"/>
      <c r="L55" s="332" t="n"/>
      <c r="M55" s="332" t="n"/>
      <c r="N55" s="332" t="n"/>
      <c r="O55" s="332" t="n"/>
      <c r="P55" s="332" t="n"/>
      <c r="Q55" s="332" t="n"/>
      <c r="R55" s="332" t="n"/>
      <c r="S55" s="332" t="n"/>
      <c r="T55" s="235" t="inlineStr">
        <is>
          <t>国泰海通自营</t>
        </is>
      </c>
      <c r="U55" s="310" t="n">
        <v>0.235</v>
      </c>
    </row>
    <row r="56" ht="15.5" customHeight="1" s="8">
      <c r="A56" s="332" t="n"/>
      <c r="B56" s="332" t="n"/>
      <c r="C56" s="332" t="n"/>
      <c r="D56" s="332" t="n"/>
      <c r="E56" s="332" t="n"/>
      <c r="F56" s="332" t="n"/>
      <c r="G56" s="332" t="n"/>
      <c r="H56" s="332" t="n"/>
      <c r="I56" s="332" t="n"/>
      <c r="J56" s="332" t="n"/>
      <c r="K56" s="332" t="n"/>
      <c r="L56" s="332" t="n"/>
      <c r="M56" s="332" t="n"/>
      <c r="N56" s="332" t="n"/>
      <c r="O56" s="332" t="n"/>
      <c r="P56" s="332" t="n"/>
      <c r="Q56" s="332" t="n"/>
      <c r="R56" s="332" t="n"/>
      <c r="S56" s="332" t="n"/>
      <c r="T56" s="235" t="inlineStr">
        <is>
          <t>东家铂睿</t>
        </is>
      </c>
      <c r="U56" s="308" t="n">
        <v>0.1</v>
      </c>
    </row>
    <row r="57" ht="15.5" customHeight="1" s="8">
      <c r="A57" s="333" t="n"/>
      <c r="B57" s="333" t="n"/>
      <c r="C57" s="333" t="n"/>
      <c r="D57" s="333" t="n"/>
      <c r="E57" s="333" t="n"/>
      <c r="F57" s="333" t="n"/>
      <c r="G57" s="333" t="n"/>
      <c r="H57" s="333" t="n"/>
      <c r="I57" s="333" t="n"/>
      <c r="J57" s="333" t="n"/>
      <c r="K57" s="333" t="n"/>
      <c r="L57" s="333" t="n"/>
      <c r="M57" s="333" t="n"/>
      <c r="N57" s="333" t="n"/>
      <c r="O57" s="333" t="n"/>
      <c r="P57" s="333" t="n"/>
      <c r="Q57" s="333" t="n"/>
      <c r="R57" s="333" t="n"/>
      <c r="S57" s="333" t="n"/>
      <c r="T57" s="235" t="inlineStr">
        <is>
          <t>京东世贸</t>
        </is>
      </c>
      <c r="U57" s="310" t="n">
        <v>0.025</v>
      </c>
    </row>
    <row r="58" ht="15.5" customHeight="1" s="8">
      <c r="A58" s="305" t="inlineStr">
        <is>
          <t>3月</t>
        </is>
      </c>
      <c r="B58" s="305" t="inlineStr">
        <is>
          <t>消金</t>
        </is>
      </c>
      <c r="C58" s="305" t="inlineStr">
        <is>
          <t>赊销白条</t>
        </is>
      </c>
      <c r="D58" s="305" t="inlineStr">
        <is>
          <t>24东裕2号叔裕ABCP（续发）</t>
        </is>
      </c>
      <c r="E58" s="305" t="inlineStr">
        <is>
          <t>银行间</t>
        </is>
      </c>
      <c r="F58" s="305" t="inlineStr">
        <is>
          <t>中信建投</t>
        </is>
      </c>
      <c r="G58" s="305" t="inlineStr">
        <is>
          <t>南京银行/江苏银行/杭州银行/财通资管</t>
        </is>
      </c>
      <c r="H58" s="305" t="inlineStr">
        <is>
          <t>交行北分</t>
        </is>
      </c>
      <c r="I58" s="245" t="n">
        <v>9.449999999999999</v>
      </c>
      <c r="J58" s="305" t="inlineStr">
        <is>
          <t>10+2</t>
        </is>
      </c>
      <c r="K58" s="246" t="n">
        <v>46097</v>
      </c>
      <c r="L58" s="247" t="n">
        <v>0.0153</v>
      </c>
      <c r="M58" s="259" t="n">
        <v>0.0206</v>
      </c>
      <c r="N58" s="260" t="n">
        <v>4.74</v>
      </c>
      <c r="O58" s="235" t="inlineStr">
        <is>
          <t>优先级</t>
        </is>
      </c>
      <c r="P58" s="221" t="n">
        <v>0.9</v>
      </c>
      <c r="Q58" s="308" t="n">
        <v>9</v>
      </c>
      <c r="R58" s="220" t="inlineStr">
        <is>
          <t>AAA</t>
        </is>
      </c>
      <c r="S58" s="221" t="n">
        <v>0.017</v>
      </c>
      <c r="T58" s="30" t="inlineStr">
        <is>
          <t>杭州银行</t>
        </is>
      </c>
      <c r="U58" s="29" t="n">
        <v>0.3</v>
      </c>
    </row>
    <row r="59" ht="15.5" customHeight="1" s="8">
      <c r="A59" s="332" t="n"/>
      <c r="B59" s="332" t="n"/>
      <c r="C59" s="332" t="n"/>
      <c r="D59" s="332" t="n"/>
      <c r="E59" s="332" t="n"/>
      <c r="F59" s="332" t="n"/>
      <c r="G59" s="332" t="n"/>
      <c r="H59" s="332" t="n"/>
      <c r="I59" s="332" t="n"/>
      <c r="J59" s="332" t="n"/>
      <c r="K59" s="332" t="n"/>
      <c r="L59" s="332" t="n"/>
      <c r="M59" s="332" t="n"/>
      <c r="N59" s="332" t="n"/>
      <c r="O59" s="332" t="n"/>
      <c r="P59" s="332" t="n"/>
      <c r="Q59" s="332" t="n"/>
      <c r="R59" s="332" t="n"/>
      <c r="S59" s="332" t="n"/>
      <c r="T59" s="30" t="inlineStr">
        <is>
          <t>南京银行</t>
        </is>
      </c>
      <c r="U59" s="308" t="n">
        <v>1</v>
      </c>
    </row>
    <row r="60" ht="15.5" customHeight="1" s="8">
      <c r="A60" s="332" t="n"/>
      <c r="B60" s="332" t="n"/>
      <c r="C60" s="332" t="n"/>
      <c r="D60" s="332" t="n"/>
      <c r="E60" s="332" t="n"/>
      <c r="F60" s="332" t="n"/>
      <c r="G60" s="332" t="n"/>
      <c r="H60" s="332" t="n"/>
      <c r="I60" s="332" t="n"/>
      <c r="J60" s="332" t="n"/>
      <c r="K60" s="332" t="n"/>
      <c r="L60" s="332" t="n"/>
      <c r="M60" s="332" t="n"/>
      <c r="N60" s="332" t="n"/>
      <c r="O60" s="332" t="n"/>
      <c r="P60" s="332" t="n"/>
      <c r="Q60" s="332" t="n"/>
      <c r="R60" s="332" t="n"/>
      <c r="S60" s="332" t="n"/>
      <c r="T60" s="30" t="inlineStr">
        <is>
          <t>江苏银行</t>
        </is>
      </c>
      <c r="U60" s="308" t="n">
        <v>0.7</v>
      </c>
    </row>
    <row r="61" ht="15.5" customHeight="1" s="8">
      <c r="A61" s="332" t="n"/>
      <c r="B61" s="332" t="n"/>
      <c r="C61" s="332" t="n"/>
      <c r="D61" s="332" t="n"/>
      <c r="E61" s="332" t="n"/>
      <c r="F61" s="332" t="n"/>
      <c r="G61" s="332" t="n"/>
      <c r="H61" s="332" t="n"/>
      <c r="I61" s="332" t="n"/>
      <c r="J61" s="332" t="n"/>
      <c r="K61" s="332" t="n"/>
      <c r="L61" s="332" t="n"/>
      <c r="M61" s="332" t="n"/>
      <c r="N61" s="332" t="n"/>
      <c r="O61" s="332" t="n"/>
      <c r="P61" s="332" t="n"/>
      <c r="Q61" s="332" t="n"/>
      <c r="R61" s="332" t="n"/>
      <c r="S61" s="332" t="n"/>
      <c r="T61" s="235" t="inlineStr">
        <is>
          <t>中邮理财</t>
        </is>
      </c>
      <c r="U61" s="308" t="n">
        <v>0.9</v>
      </c>
    </row>
    <row r="62" ht="15.5" customHeight="1" s="8">
      <c r="A62" s="332" t="n"/>
      <c r="B62" s="332" t="n"/>
      <c r="C62" s="332" t="n"/>
      <c r="D62" s="332" t="n"/>
      <c r="E62" s="332" t="n"/>
      <c r="F62" s="332" t="n"/>
      <c r="G62" s="332" t="n"/>
      <c r="H62" s="332" t="n"/>
      <c r="I62" s="332" t="n"/>
      <c r="J62" s="332" t="n"/>
      <c r="K62" s="332" t="n"/>
      <c r="L62" s="332" t="n"/>
      <c r="M62" s="332" t="n"/>
      <c r="N62" s="332" t="n"/>
      <c r="O62" s="332" t="n"/>
      <c r="P62" s="332" t="n"/>
      <c r="Q62" s="332" t="n"/>
      <c r="R62" s="332" t="n"/>
      <c r="S62" s="332" t="n"/>
      <c r="T62" s="235" t="inlineStr">
        <is>
          <t>招银理财</t>
        </is>
      </c>
      <c r="U62" s="308" t="n">
        <v>2.7</v>
      </c>
    </row>
    <row r="63" ht="15.5" customHeight="1" s="8">
      <c r="A63" s="332" t="n"/>
      <c r="B63" s="332" t="n"/>
      <c r="C63" s="332" t="n"/>
      <c r="D63" s="332" t="n"/>
      <c r="E63" s="332" t="n"/>
      <c r="F63" s="332" t="n"/>
      <c r="G63" s="332" t="n"/>
      <c r="H63" s="332" t="n"/>
      <c r="I63" s="332" t="n"/>
      <c r="J63" s="332" t="n"/>
      <c r="K63" s="332" t="n"/>
      <c r="L63" s="332" t="n"/>
      <c r="M63" s="332" t="n"/>
      <c r="N63" s="332" t="n"/>
      <c r="O63" s="332" t="n"/>
      <c r="P63" s="332" t="n"/>
      <c r="Q63" s="332" t="n"/>
      <c r="R63" s="332" t="n"/>
      <c r="S63" s="332" t="n"/>
      <c r="T63" s="235" t="inlineStr">
        <is>
          <t>交银理财</t>
        </is>
      </c>
      <c r="U63" s="308" t="n">
        <v>0.65</v>
      </c>
    </row>
    <row r="64" ht="15.5" customHeight="1" s="8">
      <c r="A64" s="332" t="n"/>
      <c r="B64" s="332" t="n"/>
      <c r="C64" s="332" t="n"/>
      <c r="D64" s="332" t="n"/>
      <c r="E64" s="332" t="n"/>
      <c r="F64" s="332" t="n"/>
      <c r="G64" s="332" t="n"/>
      <c r="H64" s="332" t="n"/>
      <c r="I64" s="332" t="n"/>
      <c r="J64" s="332" t="n"/>
      <c r="K64" s="332" t="n"/>
      <c r="L64" s="332" t="n"/>
      <c r="M64" s="332" t="n"/>
      <c r="N64" s="332" t="n"/>
      <c r="O64" s="332" t="n"/>
      <c r="P64" s="332" t="n"/>
      <c r="Q64" s="332" t="n"/>
      <c r="R64" s="332" t="n"/>
      <c r="S64" s="332" t="n"/>
      <c r="T64" s="235" t="inlineStr">
        <is>
          <t>杭银理财</t>
        </is>
      </c>
      <c r="U64" s="308" t="n">
        <v>0.4</v>
      </c>
    </row>
    <row r="65" ht="15.5" customHeight="1" s="8">
      <c r="A65" s="332" t="n"/>
      <c r="B65" s="332" t="n"/>
      <c r="C65" s="332" t="n"/>
      <c r="D65" s="332" t="n"/>
      <c r="E65" s="332" t="n"/>
      <c r="F65" s="332" t="n"/>
      <c r="G65" s="332" t="n"/>
      <c r="H65" s="332" t="n"/>
      <c r="I65" s="332" t="n"/>
      <c r="J65" s="332" t="n"/>
      <c r="K65" s="332" t="n"/>
      <c r="L65" s="332" t="n"/>
      <c r="M65" s="332" t="n"/>
      <c r="N65" s="332" t="n"/>
      <c r="O65" s="332" t="n"/>
      <c r="P65" s="332" t="n"/>
      <c r="Q65" s="332" t="n"/>
      <c r="R65" s="332" t="n"/>
      <c r="S65" s="332" t="n"/>
      <c r="T65" s="235" t="inlineStr">
        <is>
          <t>平安理财</t>
        </is>
      </c>
      <c r="U65" s="308" t="n">
        <v>2.25</v>
      </c>
    </row>
    <row r="66" ht="15.5" customHeight="1" s="8">
      <c r="A66" s="332" t="n"/>
      <c r="B66" s="332" t="n"/>
      <c r="C66" s="332" t="n"/>
      <c r="D66" s="332" t="n"/>
      <c r="E66" s="332" t="n"/>
      <c r="F66" s="332" t="n"/>
      <c r="G66" s="332" t="n"/>
      <c r="H66" s="332" t="n"/>
      <c r="I66" s="332" t="n"/>
      <c r="J66" s="332" t="n"/>
      <c r="K66" s="332" t="n"/>
      <c r="L66" s="332" t="n"/>
      <c r="M66" s="332" t="n"/>
      <c r="N66" s="332" t="n"/>
      <c r="O66" s="333" t="n"/>
      <c r="P66" s="333" t="n"/>
      <c r="Q66" s="333" t="n"/>
      <c r="R66" s="333" t="n"/>
      <c r="S66" s="333" t="n"/>
      <c r="T66" s="235" t="inlineStr">
        <is>
          <t>财通投行</t>
        </is>
      </c>
      <c r="U66" s="308" t="n">
        <v>0.1</v>
      </c>
    </row>
    <row r="67" ht="15.5" customHeight="1" s="8">
      <c r="A67" s="332" t="n"/>
      <c r="B67" s="332" t="n"/>
      <c r="C67" s="332" t="n"/>
      <c r="D67" s="332" t="n"/>
      <c r="E67" s="332" t="n"/>
      <c r="F67" s="332" t="n"/>
      <c r="G67" s="332" t="n"/>
      <c r="H67" s="332" t="n"/>
      <c r="I67" s="332" t="n"/>
      <c r="J67" s="332" t="n"/>
      <c r="K67" s="332" t="n"/>
      <c r="L67" s="332" t="n"/>
      <c r="M67" s="332" t="n"/>
      <c r="N67" s="332" t="n"/>
      <c r="O67" s="235" t="inlineStr">
        <is>
          <t>中间级</t>
        </is>
      </c>
      <c r="P67" s="221" t="n">
        <v>0.045</v>
      </c>
      <c r="Q67" s="308" t="n">
        <v>0.2</v>
      </c>
      <c r="R67" s="220" t="inlineStr">
        <is>
          <t>AA+</t>
        </is>
      </c>
      <c r="S67" s="221" t="n">
        <v>0.031</v>
      </c>
      <c r="T67" s="235" t="inlineStr">
        <is>
          <t>平安理财</t>
        </is>
      </c>
      <c r="U67" s="310" t="n">
        <v>0.135</v>
      </c>
    </row>
    <row r="68" ht="15.5" customHeight="1" s="8">
      <c r="A68" s="332" t="n"/>
      <c r="B68" s="332" t="n"/>
      <c r="C68" s="332" t="n"/>
      <c r="D68" s="332" t="n"/>
      <c r="E68" s="332" t="n"/>
      <c r="F68" s="332" t="n"/>
      <c r="G68" s="332" t="n"/>
      <c r="H68" s="332" t="n"/>
      <c r="I68" s="332" t="n"/>
      <c r="J68" s="332" t="n"/>
      <c r="K68" s="332" t="n"/>
      <c r="L68" s="332" t="n"/>
      <c r="M68" s="332" t="n"/>
      <c r="N68" s="332" t="n"/>
      <c r="O68" s="332" t="n"/>
      <c r="P68" s="332" t="n"/>
      <c r="Q68" s="332" t="n"/>
      <c r="R68" s="332" t="n"/>
      <c r="S68" s="332" t="n"/>
      <c r="T68" s="235" t="inlineStr">
        <is>
          <t>上汽财务</t>
        </is>
      </c>
      <c r="U68" s="308" t="n">
        <v>0.18</v>
      </c>
    </row>
    <row r="69" ht="15.5" customHeight="1" s="8">
      <c r="A69" s="333" t="n"/>
      <c r="B69" s="333" t="n"/>
      <c r="C69" s="333" t="n"/>
      <c r="D69" s="333" t="n"/>
      <c r="E69" s="333" t="n"/>
      <c r="F69" s="333" t="n"/>
      <c r="G69" s="333" t="n"/>
      <c r="H69" s="333" t="n"/>
      <c r="I69" s="333" t="n"/>
      <c r="J69" s="333" t="n"/>
      <c r="K69" s="333" t="n"/>
      <c r="L69" s="333" t="n"/>
      <c r="M69" s="333" t="n"/>
      <c r="N69" s="333" t="n"/>
      <c r="O69" s="333" t="n"/>
      <c r="P69" s="333" t="n"/>
      <c r="Q69" s="333" t="n"/>
      <c r="R69" s="333" t="n"/>
      <c r="S69" s="333" t="n"/>
      <c r="T69" s="235" t="inlineStr">
        <is>
          <t>招银理财</t>
        </is>
      </c>
      <c r="U69" s="310" t="n">
        <v>0.135</v>
      </c>
    </row>
    <row r="70" ht="15.5" customHeight="1" s="8">
      <c r="A70" s="305" t="inlineStr">
        <is>
          <t>3月</t>
        </is>
      </c>
      <c r="B70" s="305" t="inlineStr">
        <is>
          <t>消金</t>
        </is>
      </c>
      <c r="C70" s="305" t="inlineStr">
        <is>
          <t>赊销白条</t>
        </is>
      </c>
      <c r="D70" s="305" t="inlineStr">
        <is>
          <t>24东裕2号季裕ABCP（续发）</t>
        </is>
      </c>
      <c r="E70" s="305" t="inlineStr">
        <is>
          <t>银行间</t>
        </is>
      </c>
      <c r="F70" s="305" t="inlineStr">
        <is>
          <t>招商证券</t>
        </is>
      </c>
      <c r="G70" s="305" t="inlineStr">
        <is>
          <t>杭州银行/南京银行/江苏银行/中信银行</t>
        </is>
      </c>
      <c r="H70" s="305" t="inlineStr">
        <is>
          <t>平安北分</t>
        </is>
      </c>
      <c r="I70" s="245" t="n">
        <v>9.449999999999999</v>
      </c>
      <c r="J70" s="305" t="inlineStr">
        <is>
          <t>10+2</t>
        </is>
      </c>
      <c r="K70" s="246" t="n">
        <v>46104</v>
      </c>
      <c r="L70" s="247" t="n">
        <v>0.0151</v>
      </c>
      <c r="M70" s="259" t="n">
        <v>0.0203</v>
      </c>
      <c r="N70" s="260" t="n">
        <v>3.23</v>
      </c>
      <c r="O70" s="235" t="inlineStr">
        <is>
          <t>优先级</t>
        </is>
      </c>
      <c r="P70" s="231" t="n">
        <v>0.9</v>
      </c>
      <c r="Q70" s="308" t="n">
        <v>9</v>
      </c>
      <c r="R70" s="220" t="inlineStr">
        <is>
          <t>AAA</t>
        </is>
      </c>
      <c r="S70" s="221" t="n">
        <v>0.0167</v>
      </c>
      <c r="T70" s="30" t="inlineStr">
        <is>
          <t>工银理财</t>
        </is>
      </c>
      <c r="U70" s="29" t="n">
        <v>2.5</v>
      </c>
    </row>
    <row r="71" ht="15.5" customHeight="1" s="8">
      <c r="A71" s="332" t="n"/>
      <c r="B71" s="332" t="n"/>
      <c r="C71" s="332" t="n"/>
      <c r="D71" s="332" t="n"/>
      <c r="E71" s="332" t="n"/>
      <c r="F71" s="332" t="n"/>
      <c r="G71" s="332" t="n"/>
      <c r="H71" s="332" t="n"/>
      <c r="I71" s="332" t="n"/>
      <c r="J71" s="332" t="n"/>
      <c r="K71" s="332" t="n"/>
      <c r="L71" s="332" t="n"/>
      <c r="M71" s="332" t="n"/>
      <c r="N71" s="332" t="n"/>
      <c r="O71" s="332" t="n"/>
      <c r="P71" s="332" t="n"/>
      <c r="Q71" s="332" t="n"/>
      <c r="R71" s="332" t="n"/>
      <c r="S71" s="332" t="n"/>
      <c r="T71" s="30" t="inlineStr">
        <is>
          <t>杭银理财</t>
        </is>
      </c>
      <c r="U71" s="308" t="n">
        <v>0.4</v>
      </c>
    </row>
    <row r="72" ht="15.5" customHeight="1" s="8">
      <c r="A72" s="332" t="n"/>
      <c r="B72" s="332" t="n"/>
      <c r="C72" s="332" t="n"/>
      <c r="D72" s="332" t="n"/>
      <c r="E72" s="332" t="n"/>
      <c r="F72" s="332" t="n"/>
      <c r="G72" s="332" t="n"/>
      <c r="H72" s="332" t="n"/>
      <c r="I72" s="332" t="n"/>
      <c r="J72" s="332" t="n"/>
      <c r="K72" s="332" t="n"/>
      <c r="L72" s="332" t="n"/>
      <c r="M72" s="332" t="n"/>
      <c r="N72" s="332" t="n"/>
      <c r="O72" s="332" t="n"/>
      <c r="P72" s="332" t="n"/>
      <c r="Q72" s="332" t="n"/>
      <c r="R72" s="332" t="n"/>
      <c r="S72" s="332" t="n"/>
      <c r="T72" s="30" t="inlineStr">
        <is>
          <t>江苏银行</t>
        </is>
      </c>
      <c r="U72" s="308" t="n">
        <v>1.8</v>
      </c>
    </row>
    <row r="73" ht="15.5" customHeight="1" s="8">
      <c r="A73" s="332" t="n"/>
      <c r="B73" s="332" t="n"/>
      <c r="C73" s="332" t="n"/>
      <c r="D73" s="332" t="n"/>
      <c r="E73" s="332" t="n"/>
      <c r="F73" s="332" t="n"/>
      <c r="G73" s="332" t="n"/>
      <c r="H73" s="332" t="n"/>
      <c r="I73" s="332" t="n"/>
      <c r="J73" s="332" t="n"/>
      <c r="K73" s="332" t="n"/>
      <c r="L73" s="332" t="n"/>
      <c r="M73" s="332" t="n"/>
      <c r="N73" s="332" t="n"/>
      <c r="O73" s="332" t="n"/>
      <c r="P73" s="332" t="n"/>
      <c r="Q73" s="332" t="n"/>
      <c r="R73" s="332" t="n"/>
      <c r="S73" s="332" t="n"/>
      <c r="T73" s="235" t="inlineStr">
        <is>
          <t>交银理财</t>
        </is>
      </c>
      <c r="U73" s="308" t="n">
        <v>0.3</v>
      </c>
    </row>
    <row r="74" ht="15.5" customHeight="1" s="8">
      <c r="A74" s="332" t="n"/>
      <c r="B74" s="332" t="n"/>
      <c r="C74" s="332" t="n"/>
      <c r="D74" s="332" t="n"/>
      <c r="E74" s="332" t="n"/>
      <c r="F74" s="332" t="n"/>
      <c r="G74" s="332" t="n"/>
      <c r="H74" s="332" t="n"/>
      <c r="I74" s="332" t="n"/>
      <c r="J74" s="332" t="n"/>
      <c r="K74" s="332" t="n"/>
      <c r="L74" s="332" t="n"/>
      <c r="M74" s="332" t="n"/>
      <c r="N74" s="332" t="n"/>
      <c r="O74" s="332" t="n"/>
      <c r="P74" s="332" t="n"/>
      <c r="Q74" s="332" t="n"/>
      <c r="R74" s="332" t="n"/>
      <c r="S74" s="332" t="n"/>
      <c r="T74" s="235" t="inlineStr">
        <is>
          <t>南京银行</t>
        </is>
      </c>
      <c r="U74" s="308" t="n">
        <v>1</v>
      </c>
    </row>
    <row r="75" ht="15.5" customHeight="1" s="8">
      <c r="A75" s="332" t="n"/>
      <c r="B75" s="332" t="n"/>
      <c r="C75" s="332" t="n"/>
      <c r="D75" s="332" t="n"/>
      <c r="E75" s="332" t="n"/>
      <c r="F75" s="332" t="n"/>
      <c r="G75" s="332" t="n"/>
      <c r="H75" s="332" t="n"/>
      <c r="I75" s="332" t="n"/>
      <c r="J75" s="332" t="n"/>
      <c r="K75" s="332" t="n"/>
      <c r="L75" s="332" t="n"/>
      <c r="M75" s="332" t="n"/>
      <c r="N75" s="332" t="n"/>
      <c r="O75" s="332" t="n"/>
      <c r="P75" s="332" t="n"/>
      <c r="Q75" s="332" t="n"/>
      <c r="R75" s="332" t="n"/>
      <c r="S75" s="332" t="n"/>
      <c r="T75" s="235" t="inlineStr">
        <is>
          <t>平安理财</t>
        </is>
      </c>
      <c r="U75" s="308" t="n">
        <v>2.11</v>
      </c>
    </row>
    <row r="76" ht="15.5" customHeight="1" s="8">
      <c r="A76" s="332" t="n"/>
      <c r="B76" s="332" t="n"/>
      <c r="C76" s="332" t="n"/>
      <c r="D76" s="332" t="n"/>
      <c r="E76" s="332" t="n"/>
      <c r="F76" s="332" t="n"/>
      <c r="G76" s="332" t="n"/>
      <c r="H76" s="332" t="n"/>
      <c r="I76" s="332" t="n"/>
      <c r="J76" s="332" t="n"/>
      <c r="K76" s="332" t="n"/>
      <c r="L76" s="332" t="n"/>
      <c r="M76" s="332" t="n"/>
      <c r="N76" s="332" t="n"/>
      <c r="O76" s="332" t="n"/>
      <c r="P76" s="332" t="n"/>
      <c r="Q76" s="332" t="n"/>
      <c r="R76" s="332" t="n"/>
      <c r="S76" s="332" t="n"/>
      <c r="T76" s="235" t="inlineStr">
        <is>
          <t>兴银理财</t>
        </is>
      </c>
      <c r="U76" s="308" t="n">
        <v>0.4</v>
      </c>
    </row>
    <row r="77" ht="15.5" customHeight="1" s="8">
      <c r="A77" s="332" t="n"/>
      <c r="B77" s="332" t="n"/>
      <c r="C77" s="332" t="n"/>
      <c r="D77" s="332" t="n"/>
      <c r="E77" s="332" t="n"/>
      <c r="F77" s="332" t="n"/>
      <c r="G77" s="332" t="n"/>
      <c r="H77" s="332" t="n"/>
      <c r="I77" s="332" t="n"/>
      <c r="J77" s="332" t="n"/>
      <c r="K77" s="332" t="n"/>
      <c r="L77" s="332" t="n"/>
      <c r="M77" s="332" t="n"/>
      <c r="N77" s="332" t="n"/>
      <c r="O77" s="333" t="n"/>
      <c r="P77" s="332" t="n"/>
      <c r="Q77" s="333" t="n"/>
      <c r="R77" s="333" t="n"/>
      <c r="S77" s="333" t="n"/>
      <c r="T77" s="235" t="inlineStr">
        <is>
          <t>中银理财</t>
        </is>
      </c>
      <c r="U77" s="308" t="n">
        <v>0.49</v>
      </c>
    </row>
    <row r="78" ht="15.5" customHeight="1" s="8">
      <c r="A78" s="332" t="n"/>
      <c r="B78" s="332" t="n"/>
      <c r="C78" s="332" t="n"/>
      <c r="D78" s="332" t="n"/>
      <c r="E78" s="332" t="n"/>
      <c r="F78" s="332" t="n"/>
      <c r="G78" s="332" t="n"/>
      <c r="H78" s="332" t="n"/>
      <c r="I78" s="332" t="n"/>
      <c r="J78" s="332" t="n"/>
      <c r="K78" s="332" t="n"/>
      <c r="L78" s="332" t="n"/>
      <c r="M78" s="332" t="n"/>
      <c r="N78" s="332" t="n"/>
      <c r="O78" s="235" t="inlineStr">
        <is>
          <t>中间级</t>
        </is>
      </c>
      <c r="P78" s="221" t="n">
        <v>0.045</v>
      </c>
      <c r="Q78" s="308" t="n">
        <v>0.2</v>
      </c>
      <c r="R78" s="220" t="inlineStr">
        <is>
          <t>AA+</t>
        </is>
      </c>
      <c r="S78" s="221" t="n">
        <v>0.031</v>
      </c>
      <c r="T78" s="235" t="inlineStr">
        <is>
          <t>平安理财</t>
        </is>
      </c>
      <c r="U78" s="310" t="n">
        <v>0.135</v>
      </c>
    </row>
    <row r="79" ht="15.5" customHeight="1" s="8">
      <c r="A79" s="332" t="n"/>
      <c r="B79" s="332" t="n"/>
      <c r="C79" s="332" t="n"/>
      <c r="D79" s="332" t="n"/>
      <c r="E79" s="332" t="n"/>
      <c r="F79" s="332" t="n"/>
      <c r="G79" s="332" t="n"/>
      <c r="H79" s="332" t="n"/>
      <c r="I79" s="332" t="n"/>
      <c r="J79" s="332" t="n"/>
      <c r="K79" s="332" t="n"/>
      <c r="L79" s="332" t="n"/>
      <c r="M79" s="332" t="n"/>
      <c r="N79" s="332" t="n"/>
      <c r="O79" s="332" t="n"/>
      <c r="P79" s="332" t="n"/>
      <c r="Q79" s="332" t="n"/>
      <c r="R79" s="332" t="n"/>
      <c r="S79" s="332" t="n"/>
      <c r="T79" s="235" t="inlineStr">
        <is>
          <t>招银理财</t>
        </is>
      </c>
      <c r="U79" s="308" t="n">
        <v>0.135</v>
      </c>
    </row>
    <row r="80" ht="15.5" customHeight="1" s="8">
      <c r="A80" s="333" t="n"/>
      <c r="B80" s="333" t="n"/>
      <c r="C80" s="333" t="n"/>
      <c r="D80" s="333" t="n"/>
      <c r="E80" s="333" t="n"/>
      <c r="F80" s="333" t="n"/>
      <c r="G80" s="333" t="n"/>
      <c r="H80" s="333" t="n"/>
      <c r="I80" s="333" t="n"/>
      <c r="J80" s="333" t="n"/>
      <c r="K80" s="333" t="n"/>
      <c r="L80" s="333" t="n"/>
      <c r="M80" s="333" t="n"/>
      <c r="N80" s="333" t="n"/>
      <c r="O80" s="333" t="n"/>
      <c r="P80" s="333" t="n"/>
      <c r="Q80" s="333" t="n"/>
      <c r="R80" s="333" t="n"/>
      <c r="S80" s="333" t="n"/>
      <c r="T80" s="235" t="inlineStr">
        <is>
          <t>国信证券自营</t>
        </is>
      </c>
      <c r="U80" s="308" t="n">
        <v>0.18</v>
      </c>
    </row>
    <row r="81" ht="15.5" customHeight="1" s="8">
      <c r="A81" s="305" t="inlineStr">
        <is>
          <t>3月</t>
        </is>
      </c>
      <c r="B81" s="305" t="inlineStr">
        <is>
          <t>消金</t>
        </is>
      </c>
      <c r="C81" s="305" t="inlineStr">
        <is>
          <t>赊销白条</t>
        </is>
      </c>
      <c r="D81" s="305" t="inlineStr">
        <is>
          <t>东道17-1</t>
        </is>
      </c>
      <c r="E81" s="305" t="inlineStr">
        <is>
          <t>深交所</t>
        </is>
      </c>
      <c r="F81" s="305" t="inlineStr">
        <is>
          <t>国泰海通</t>
        </is>
      </c>
      <c r="G81" s="305" t="inlineStr">
        <is>
          <t>国信证券</t>
        </is>
      </c>
      <c r="H81" s="305" t="inlineStr">
        <is>
          <t>邮储中关村</t>
        </is>
      </c>
      <c r="I81" s="245" t="n">
        <v>10</v>
      </c>
      <c r="J81" s="305" t="inlineStr">
        <is>
          <t>22+2</t>
        </is>
      </c>
      <c r="K81" s="246" t="n">
        <v>46105</v>
      </c>
      <c r="L81" s="247" t="n">
        <v>0.0152</v>
      </c>
      <c r="M81" s="247" t="n">
        <v>0.0208</v>
      </c>
      <c r="N81" s="245" t="n">
        <v>2.3</v>
      </c>
      <c r="O81" s="235" t="inlineStr">
        <is>
          <t>优先A</t>
        </is>
      </c>
      <c r="P81" s="236" t="n">
        <v>0.87</v>
      </c>
      <c r="Q81" s="307" t="n">
        <v>8.699999999999999</v>
      </c>
      <c r="R81" s="235" t="inlineStr">
        <is>
          <t>AAA</t>
        </is>
      </c>
      <c r="S81" s="236" t="n">
        <v>0.0183</v>
      </c>
      <c r="T81" s="235" t="inlineStr">
        <is>
          <t>交银理财</t>
        </is>
      </c>
      <c r="U81" s="308" t="n">
        <v>1.8</v>
      </c>
    </row>
    <row r="82" ht="15.5" customHeight="1" s="8">
      <c r="A82" s="332" t="n"/>
      <c r="B82" s="332" t="n"/>
      <c r="C82" s="332" t="n"/>
      <c r="D82" s="332" t="n"/>
      <c r="E82" s="332" t="n"/>
      <c r="F82" s="332" t="n"/>
      <c r="G82" s="332" t="n"/>
      <c r="H82" s="332" t="n"/>
      <c r="I82" s="332" t="n"/>
      <c r="J82" s="332" t="n"/>
      <c r="K82" s="332" t="n"/>
      <c r="L82" s="332" t="n"/>
      <c r="M82" s="332" t="n"/>
      <c r="N82" s="332" t="n"/>
      <c r="O82" s="332" t="n"/>
      <c r="P82" s="332" t="n"/>
      <c r="Q82" s="332" t="n"/>
      <c r="R82" s="332" t="n"/>
      <c r="S82" s="332" t="n"/>
      <c r="T82" s="235" t="inlineStr">
        <is>
          <t>国信证券投行</t>
        </is>
      </c>
      <c r="U82" s="308" t="n">
        <v>1.3</v>
      </c>
    </row>
    <row r="83" ht="15.5" customHeight="1" s="8">
      <c r="A83" s="332" t="n"/>
      <c r="B83" s="332" t="n"/>
      <c r="C83" s="332" t="n"/>
      <c r="D83" s="332" t="n"/>
      <c r="E83" s="332" t="n"/>
      <c r="F83" s="332" t="n"/>
      <c r="G83" s="332" t="n"/>
      <c r="H83" s="332" t="n"/>
      <c r="I83" s="332" t="n"/>
      <c r="J83" s="332" t="n"/>
      <c r="K83" s="332" t="n"/>
      <c r="L83" s="332" t="n"/>
      <c r="M83" s="332" t="n"/>
      <c r="N83" s="332" t="n"/>
      <c r="O83" s="332" t="n"/>
      <c r="P83" s="332" t="n"/>
      <c r="Q83" s="332" t="n"/>
      <c r="R83" s="332" t="n"/>
      <c r="S83" s="332" t="n"/>
      <c r="T83" s="235" t="inlineStr">
        <is>
          <t>国泰海通投行</t>
        </is>
      </c>
      <c r="U83" s="308" t="n">
        <v>1.1</v>
      </c>
    </row>
    <row r="84" ht="15.5" customHeight="1" s="8">
      <c r="A84" s="332" t="n"/>
      <c r="B84" s="332" t="n"/>
      <c r="C84" s="332" t="n"/>
      <c r="D84" s="332" t="n"/>
      <c r="E84" s="332" t="n"/>
      <c r="F84" s="332" t="n"/>
      <c r="G84" s="332" t="n"/>
      <c r="H84" s="332" t="n"/>
      <c r="I84" s="332" t="n"/>
      <c r="J84" s="332" t="n"/>
      <c r="K84" s="332" t="n"/>
      <c r="L84" s="332" t="n"/>
      <c r="M84" s="332" t="n"/>
      <c r="N84" s="332" t="n"/>
      <c r="O84" s="332" t="n"/>
      <c r="P84" s="332" t="n"/>
      <c r="Q84" s="332" t="n"/>
      <c r="R84" s="332" t="n"/>
      <c r="S84" s="332" t="n"/>
      <c r="T84" s="235" t="inlineStr">
        <is>
          <t>招银理财</t>
        </is>
      </c>
      <c r="U84" s="308" t="n">
        <v>1</v>
      </c>
    </row>
    <row r="85" ht="15.5" customHeight="1" s="8">
      <c r="A85" s="332" t="n"/>
      <c r="B85" s="332" t="n"/>
      <c r="C85" s="332" t="n"/>
      <c r="D85" s="332" t="n"/>
      <c r="E85" s="332" t="n"/>
      <c r="F85" s="332" t="n"/>
      <c r="G85" s="332" t="n"/>
      <c r="H85" s="332" t="n"/>
      <c r="I85" s="332" t="n"/>
      <c r="J85" s="332" t="n"/>
      <c r="K85" s="332" t="n"/>
      <c r="L85" s="332" t="n"/>
      <c r="M85" s="332" t="n"/>
      <c r="N85" s="332" t="n"/>
      <c r="O85" s="332" t="n"/>
      <c r="P85" s="332" t="n"/>
      <c r="Q85" s="332" t="n"/>
      <c r="R85" s="332" t="n"/>
      <c r="S85" s="332" t="n"/>
      <c r="T85" s="235" t="inlineStr">
        <is>
          <t>青岛银行</t>
        </is>
      </c>
      <c r="U85" s="308" t="n">
        <v>1</v>
      </c>
    </row>
    <row r="86" ht="15.5" customHeight="1" s="8">
      <c r="A86" s="332" t="n"/>
      <c r="B86" s="332" t="n"/>
      <c r="C86" s="332" t="n"/>
      <c r="D86" s="332" t="n"/>
      <c r="E86" s="332" t="n"/>
      <c r="F86" s="332" t="n"/>
      <c r="G86" s="332" t="n"/>
      <c r="H86" s="332" t="n"/>
      <c r="I86" s="332" t="n"/>
      <c r="J86" s="332" t="n"/>
      <c r="K86" s="332" t="n"/>
      <c r="L86" s="332" t="n"/>
      <c r="M86" s="332" t="n"/>
      <c r="N86" s="332" t="n"/>
      <c r="O86" s="332" t="n"/>
      <c r="P86" s="332" t="n"/>
      <c r="Q86" s="332" t="n"/>
      <c r="R86" s="332" t="n"/>
      <c r="S86" s="332" t="n"/>
      <c r="T86" s="235" t="inlineStr">
        <is>
          <t>华福证券投行</t>
        </is>
      </c>
      <c r="U86" s="310" t="n">
        <v>0.9350000000000001</v>
      </c>
    </row>
    <row r="87" ht="15.5" customHeight="1" s="8">
      <c r="A87" s="332" t="n"/>
      <c r="B87" s="332" t="n"/>
      <c r="C87" s="332" t="n"/>
      <c r="D87" s="332" t="n"/>
      <c r="E87" s="332" t="n"/>
      <c r="F87" s="332" t="n"/>
      <c r="G87" s="332" t="n"/>
      <c r="H87" s="332" t="n"/>
      <c r="I87" s="332" t="n"/>
      <c r="J87" s="332" t="n"/>
      <c r="K87" s="332" t="n"/>
      <c r="L87" s="332" t="n"/>
      <c r="M87" s="332" t="n"/>
      <c r="N87" s="332" t="n"/>
      <c r="O87" s="332" t="n"/>
      <c r="P87" s="332" t="n"/>
      <c r="Q87" s="332" t="n"/>
      <c r="R87" s="332" t="n"/>
      <c r="S87" s="332" t="n"/>
      <c r="T87" s="235" t="inlineStr">
        <is>
          <t>国联民生投行</t>
        </is>
      </c>
      <c r="U87" s="308" t="n">
        <v>0.83</v>
      </c>
    </row>
    <row r="88" ht="15.5" customHeight="1" s="8">
      <c r="A88" s="332" t="n"/>
      <c r="B88" s="332" t="n"/>
      <c r="C88" s="332" t="n"/>
      <c r="D88" s="332" t="n"/>
      <c r="E88" s="332" t="n"/>
      <c r="F88" s="332" t="n"/>
      <c r="G88" s="332" t="n"/>
      <c r="H88" s="332" t="n"/>
      <c r="I88" s="332" t="n"/>
      <c r="J88" s="332" t="n"/>
      <c r="K88" s="332" t="n"/>
      <c r="L88" s="332" t="n"/>
      <c r="M88" s="332" t="n"/>
      <c r="N88" s="332" t="n"/>
      <c r="O88" s="332" t="n"/>
      <c r="P88" s="332" t="n"/>
      <c r="Q88" s="332" t="n"/>
      <c r="R88" s="332" t="n"/>
      <c r="S88" s="332" t="n"/>
      <c r="T88" s="235" t="inlineStr">
        <is>
          <t>青岸投资</t>
        </is>
      </c>
      <c r="U88" s="308" t="n">
        <v>0.3</v>
      </c>
    </row>
    <row r="89" ht="15.5" customHeight="1" s="8">
      <c r="A89" s="332" t="n"/>
      <c r="B89" s="332" t="n"/>
      <c r="C89" s="332" t="n"/>
      <c r="D89" s="332" t="n"/>
      <c r="E89" s="332" t="n"/>
      <c r="F89" s="332" t="n"/>
      <c r="G89" s="332" t="n"/>
      <c r="H89" s="332" t="n"/>
      <c r="I89" s="332" t="n"/>
      <c r="J89" s="332" t="n"/>
      <c r="K89" s="332" t="n"/>
      <c r="L89" s="332" t="n"/>
      <c r="M89" s="332" t="n"/>
      <c r="N89" s="332" t="n"/>
      <c r="O89" s="333" t="n"/>
      <c r="P89" s="333" t="n"/>
      <c r="Q89" s="333" t="n"/>
      <c r="R89" s="333" t="n"/>
      <c r="S89" s="333" t="n"/>
      <c r="T89" s="235" t="inlineStr">
        <is>
          <t>京东世贸</t>
        </is>
      </c>
      <c r="U89" s="310" t="n">
        <v>0.435</v>
      </c>
    </row>
    <row r="90" ht="15.5" customHeight="1" s="8">
      <c r="A90" s="332" t="n"/>
      <c r="B90" s="332" t="n"/>
      <c r="C90" s="332" t="n"/>
      <c r="D90" s="332" t="n"/>
      <c r="E90" s="332" t="n"/>
      <c r="F90" s="332" t="n"/>
      <c r="G90" s="332" t="n"/>
      <c r="H90" s="332" t="n"/>
      <c r="I90" s="332" t="n"/>
      <c r="J90" s="332" t="n"/>
      <c r="K90" s="332" t="n"/>
      <c r="L90" s="332" t="n"/>
      <c r="M90" s="332" t="n"/>
      <c r="N90" s="332" t="n"/>
      <c r="O90" s="235" t="inlineStr">
        <is>
          <t>优先B</t>
        </is>
      </c>
      <c r="P90" s="236" t="n">
        <v>0.04</v>
      </c>
      <c r="Q90" s="307" t="n">
        <v>0.4</v>
      </c>
      <c r="R90" s="235" t="inlineStr">
        <is>
          <t>AA+</t>
        </is>
      </c>
      <c r="S90" s="236" t="n">
        <v>0.019</v>
      </c>
      <c r="T90" s="235" t="inlineStr">
        <is>
          <t>交银理财</t>
        </is>
      </c>
      <c r="U90" s="308" t="n">
        <v>0.12</v>
      </c>
    </row>
    <row r="91" ht="15.5" customHeight="1" s="8">
      <c r="A91" s="332" t="n"/>
      <c r="B91" s="332" t="n"/>
      <c r="C91" s="332" t="n"/>
      <c r="D91" s="332" t="n"/>
      <c r="E91" s="332" t="n"/>
      <c r="F91" s="332" t="n"/>
      <c r="G91" s="332" t="n"/>
      <c r="H91" s="332" t="n"/>
      <c r="I91" s="332" t="n"/>
      <c r="J91" s="332" t="n"/>
      <c r="K91" s="332" t="n"/>
      <c r="L91" s="332" t="n"/>
      <c r="M91" s="332" t="n"/>
      <c r="N91" s="332" t="n"/>
      <c r="O91" s="332" t="n"/>
      <c r="P91" s="332" t="n"/>
      <c r="Q91" s="332" t="n"/>
      <c r="R91" s="332" t="n"/>
      <c r="S91" s="332" t="n"/>
      <c r="T91" s="235" t="inlineStr">
        <is>
          <t>招银理财</t>
        </is>
      </c>
      <c r="U91" s="308" t="n">
        <v>0.12</v>
      </c>
    </row>
    <row r="92" ht="15.5" customHeight="1" s="8">
      <c r="A92" s="332" t="n"/>
      <c r="B92" s="332" t="n"/>
      <c r="C92" s="332" t="n"/>
      <c r="D92" s="332" t="n"/>
      <c r="E92" s="332" t="n"/>
      <c r="F92" s="332" t="n"/>
      <c r="G92" s="332" t="n"/>
      <c r="H92" s="332" t="n"/>
      <c r="I92" s="332" t="n"/>
      <c r="J92" s="332" t="n"/>
      <c r="K92" s="332" t="n"/>
      <c r="L92" s="332" t="n"/>
      <c r="M92" s="332" t="n"/>
      <c r="N92" s="332" t="n"/>
      <c r="O92" s="332" t="n"/>
      <c r="P92" s="332" t="n"/>
      <c r="Q92" s="332" t="n"/>
      <c r="R92" s="332" t="n"/>
      <c r="S92" s="332" t="n"/>
      <c r="T92" s="235" t="inlineStr">
        <is>
          <t>国泰海通投行</t>
        </is>
      </c>
      <c r="U92" s="308" t="n">
        <v>0.08</v>
      </c>
    </row>
    <row r="93" ht="15.5" customHeight="1" s="8">
      <c r="A93" s="332" t="n"/>
      <c r="B93" s="332" t="n"/>
      <c r="C93" s="332" t="n"/>
      <c r="D93" s="332" t="n"/>
      <c r="E93" s="332" t="n"/>
      <c r="F93" s="332" t="n"/>
      <c r="G93" s="332" t="n"/>
      <c r="H93" s="332" t="n"/>
      <c r="I93" s="332" t="n"/>
      <c r="J93" s="332" t="n"/>
      <c r="K93" s="332" t="n"/>
      <c r="L93" s="332" t="n"/>
      <c r="M93" s="332" t="n"/>
      <c r="N93" s="332" t="n"/>
      <c r="O93" s="332" t="n"/>
      <c r="P93" s="332" t="n"/>
      <c r="Q93" s="332" t="n"/>
      <c r="R93" s="332" t="n"/>
      <c r="S93" s="332" t="n"/>
      <c r="T93" s="235" t="inlineStr">
        <is>
          <t>国联民生投行</t>
        </is>
      </c>
      <c r="U93" s="308" t="n">
        <v>0.06</v>
      </c>
    </row>
    <row r="94" ht="15.5" customHeight="1" s="8">
      <c r="A94" s="332" t="n"/>
      <c r="B94" s="332" t="n"/>
      <c r="C94" s="332" t="n"/>
      <c r="D94" s="332" t="n"/>
      <c r="E94" s="332" t="n"/>
      <c r="F94" s="332" t="n"/>
      <c r="G94" s="332" t="n"/>
      <c r="H94" s="332" t="n"/>
      <c r="I94" s="332" t="n"/>
      <c r="J94" s="332" t="n"/>
      <c r="K94" s="332" t="n"/>
      <c r="L94" s="332" t="n"/>
      <c r="M94" s="332" t="n"/>
      <c r="N94" s="332" t="n"/>
      <c r="O94" s="333" t="n"/>
      <c r="P94" s="333" t="n"/>
      <c r="Q94" s="333" t="n"/>
      <c r="R94" s="333" t="n"/>
      <c r="S94" s="333" t="n"/>
      <c r="T94" s="235" t="inlineStr">
        <is>
          <t>京东世贸</t>
        </is>
      </c>
      <c r="U94" s="308" t="n">
        <v>0.02</v>
      </c>
    </row>
    <row r="95" ht="15.5" customHeight="1" s="8">
      <c r="A95" s="332" t="n"/>
      <c r="B95" s="332" t="n"/>
      <c r="C95" s="332" t="n"/>
      <c r="D95" s="332" t="n"/>
      <c r="E95" s="332" t="n"/>
      <c r="F95" s="332" t="n"/>
      <c r="G95" s="332" t="n"/>
      <c r="H95" s="332" t="n"/>
      <c r="I95" s="332" t="n"/>
      <c r="J95" s="332" t="n"/>
      <c r="K95" s="332" t="n"/>
      <c r="L95" s="332" t="n"/>
      <c r="M95" s="332" t="n"/>
      <c r="N95" s="332" t="n"/>
      <c r="O95" s="235" t="inlineStr">
        <is>
          <t>中间级</t>
        </is>
      </c>
      <c r="P95" s="236" t="n">
        <v>0.04</v>
      </c>
      <c r="Q95" s="307" t="n">
        <v>0.4</v>
      </c>
      <c r="R95" s="235" t="inlineStr">
        <is>
          <t>A+</t>
        </is>
      </c>
      <c r="S95" s="236" t="n">
        <v>0.032</v>
      </c>
      <c r="T95" s="235" t="inlineStr">
        <is>
          <t>上汽财务</t>
        </is>
      </c>
      <c r="U95" s="308" t="n">
        <v>0.1</v>
      </c>
    </row>
    <row r="96" ht="15.5" customHeight="1" s="8">
      <c r="A96" s="332" t="n"/>
      <c r="B96" s="332" t="n"/>
      <c r="C96" s="332" t="n"/>
      <c r="D96" s="332" t="n"/>
      <c r="E96" s="332" t="n"/>
      <c r="F96" s="332" t="n"/>
      <c r="G96" s="332" t="n"/>
      <c r="H96" s="332" t="n"/>
      <c r="I96" s="332" t="n"/>
      <c r="J96" s="332" t="n"/>
      <c r="K96" s="332" t="n"/>
      <c r="L96" s="332" t="n"/>
      <c r="M96" s="332" t="n"/>
      <c r="N96" s="332" t="n"/>
      <c r="O96" s="332" t="n"/>
      <c r="P96" s="332" t="n"/>
      <c r="Q96" s="332" t="n"/>
      <c r="R96" s="332" t="n"/>
      <c r="S96" s="332" t="n"/>
      <c r="T96" s="235" t="inlineStr">
        <is>
          <t>建投衍生品</t>
        </is>
      </c>
      <c r="U96" s="308" t="n">
        <v>0.16</v>
      </c>
    </row>
    <row r="97" ht="15.5" customHeight="1" s="8">
      <c r="A97" s="332" t="n"/>
      <c r="B97" s="332" t="n"/>
      <c r="C97" s="332" t="n"/>
      <c r="D97" s="332" t="n"/>
      <c r="E97" s="332" t="n"/>
      <c r="F97" s="332" t="n"/>
      <c r="G97" s="332" t="n"/>
      <c r="H97" s="332" t="n"/>
      <c r="I97" s="332" t="n"/>
      <c r="J97" s="332" t="n"/>
      <c r="K97" s="332" t="n"/>
      <c r="L97" s="332" t="n"/>
      <c r="M97" s="332" t="n"/>
      <c r="N97" s="332" t="n"/>
      <c r="O97" s="332" t="n"/>
      <c r="P97" s="332" t="n"/>
      <c r="Q97" s="332" t="n"/>
      <c r="R97" s="332" t="n"/>
      <c r="S97" s="332" t="n"/>
      <c r="T97" s="235" t="inlineStr">
        <is>
          <t>利曦基金</t>
        </is>
      </c>
      <c r="U97" s="308" t="n">
        <v>0.12</v>
      </c>
    </row>
    <row r="98" ht="15.5" customHeight="1" s="8">
      <c r="A98" s="332" t="n"/>
      <c r="B98" s="332" t="n"/>
      <c r="C98" s="332" t="n"/>
      <c r="D98" s="332" t="n"/>
      <c r="E98" s="332" t="n"/>
      <c r="F98" s="332" t="n"/>
      <c r="G98" s="332" t="n"/>
      <c r="H98" s="332" t="n"/>
      <c r="I98" s="332" t="n"/>
      <c r="J98" s="332" t="n"/>
      <c r="K98" s="332" t="n"/>
      <c r="L98" s="332" t="n"/>
      <c r="M98" s="332" t="n"/>
      <c r="N98" s="332" t="n"/>
      <c r="O98" s="333" t="n"/>
      <c r="P98" s="333" t="n"/>
      <c r="Q98" s="333" t="n"/>
      <c r="R98" s="333" t="n"/>
      <c r="S98" s="333" t="n"/>
      <c r="T98" s="235" t="inlineStr">
        <is>
          <t>京东世贸</t>
        </is>
      </c>
      <c r="U98" s="308" t="n">
        <v>0.02</v>
      </c>
    </row>
    <row r="99" ht="15.5" customHeight="1" s="8">
      <c r="A99" s="333" t="n"/>
      <c r="B99" s="333" t="n"/>
      <c r="C99" s="333" t="n"/>
      <c r="D99" s="333" t="n"/>
      <c r="E99" s="333" t="n"/>
      <c r="F99" s="333" t="n"/>
      <c r="G99" s="333" t="n"/>
      <c r="H99" s="333" t="n"/>
      <c r="I99" s="333" t="n"/>
      <c r="J99" s="333" t="n"/>
      <c r="K99" s="333" t="n"/>
      <c r="L99" s="333" t="n"/>
      <c r="M99" s="333" t="n"/>
      <c r="N99" s="333" t="n"/>
      <c r="O99" s="235" t="inlineStr">
        <is>
          <t>次级</t>
        </is>
      </c>
      <c r="P99" s="236" t="n">
        <v>0.05</v>
      </c>
      <c r="Q99" s="307" t="n">
        <v>0.5</v>
      </c>
      <c r="R99" s="235" t="inlineStr">
        <is>
          <t>无</t>
        </is>
      </c>
      <c r="S99" s="236" t="n">
        <v>0.045</v>
      </c>
      <c r="T99" s="235" t="inlineStr">
        <is>
          <t>员工理财</t>
        </is>
      </c>
      <c r="U99" s="308" t="n">
        <v>0.5</v>
      </c>
    </row>
    <row r="100" ht="15.5" customHeight="1" s="8">
      <c r="A100" s="305" t="inlineStr">
        <is>
          <t>3月</t>
        </is>
      </c>
      <c r="B100" s="305" t="inlineStr">
        <is>
          <t>消金</t>
        </is>
      </c>
      <c r="C100" s="305" t="inlineStr">
        <is>
          <t>赊销白条</t>
        </is>
      </c>
      <c r="D100" s="305" t="inlineStr">
        <is>
          <t>东道19-2（可续发）</t>
        </is>
      </c>
      <c r="E100" s="305" t="inlineStr">
        <is>
          <t>深交所</t>
        </is>
      </c>
      <c r="F100" s="305" t="inlineStr">
        <is>
          <t>首创证券</t>
        </is>
      </c>
      <c r="G100" s="305" t="inlineStr">
        <is>
          <t>国开证券</t>
        </is>
      </c>
      <c r="H100" s="305" t="inlineStr">
        <is>
          <t>兴业北分</t>
        </is>
      </c>
      <c r="I100" s="245" t="n">
        <v>10</v>
      </c>
      <c r="J100" s="305" t="inlineStr">
        <is>
          <t>12+6+15+3</t>
        </is>
      </c>
      <c r="K100" s="246" t="n">
        <v>46107</v>
      </c>
      <c r="L100" s="247" t="n">
        <v>0.015</v>
      </c>
      <c r="M100" s="247" t="n">
        <v>0.0191</v>
      </c>
      <c r="N100" s="245" t="n">
        <v>2.34</v>
      </c>
      <c r="O100" s="235" t="inlineStr">
        <is>
          <t>优先A</t>
        </is>
      </c>
      <c r="P100" s="236" t="n">
        <v>0.9</v>
      </c>
      <c r="Q100" s="307" t="n">
        <v>9</v>
      </c>
      <c r="R100" s="235" t="inlineStr">
        <is>
          <t>AAA</t>
        </is>
      </c>
      <c r="S100" s="236" t="n">
        <v>0.0168</v>
      </c>
      <c r="T100" s="235" t="inlineStr">
        <is>
          <t>工银理财</t>
        </is>
      </c>
      <c r="U100" s="308" t="n">
        <v>2.5</v>
      </c>
    </row>
    <row r="101" ht="15.5" customHeight="1" s="8">
      <c r="A101" s="332" t="n"/>
      <c r="B101" s="332" t="n"/>
      <c r="C101" s="332" t="n"/>
      <c r="D101" s="332" t="n"/>
      <c r="E101" s="332" t="n"/>
      <c r="F101" s="332" t="n"/>
      <c r="G101" s="332" t="n"/>
      <c r="H101" s="332" t="n"/>
      <c r="I101" s="332" t="n"/>
      <c r="J101" s="332" t="n"/>
      <c r="K101" s="332" t="n"/>
      <c r="L101" s="332" t="n"/>
      <c r="M101" s="332" t="n"/>
      <c r="N101" s="332" t="n"/>
      <c r="O101" s="332" t="n"/>
      <c r="P101" s="332" t="n"/>
      <c r="Q101" s="332" t="n"/>
      <c r="R101" s="332" t="n"/>
      <c r="S101" s="332" t="n"/>
      <c r="T101" s="235" t="inlineStr">
        <is>
          <t>兴银理财</t>
        </is>
      </c>
      <c r="U101" s="308" t="n">
        <v>2.2</v>
      </c>
    </row>
    <row r="102" ht="15.5" customHeight="1" s="8">
      <c r="A102" s="332" t="n"/>
      <c r="B102" s="332" t="n"/>
      <c r="C102" s="332" t="n"/>
      <c r="D102" s="332" t="n"/>
      <c r="E102" s="332" t="n"/>
      <c r="F102" s="332" t="n"/>
      <c r="G102" s="332" t="n"/>
      <c r="H102" s="332" t="n"/>
      <c r="I102" s="332" t="n"/>
      <c r="J102" s="332" t="n"/>
      <c r="K102" s="332" t="n"/>
      <c r="L102" s="332" t="n"/>
      <c r="M102" s="332" t="n"/>
      <c r="N102" s="332" t="n"/>
      <c r="O102" s="332" t="n"/>
      <c r="P102" s="332" t="n"/>
      <c r="Q102" s="332" t="n"/>
      <c r="R102" s="332" t="n"/>
      <c r="S102" s="332" t="n"/>
      <c r="T102" s="235" t="inlineStr">
        <is>
          <t>招银理财</t>
        </is>
      </c>
      <c r="U102" s="308" t="n">
        <v>2.3</v>
      </c>
    </row>
    <row r="103" ht="15.5" customHeight="1" s="8">
      <c r="A103" s="332" t="n"/>
      <c r="B103" s="332" t="n"/>
      <c r="C103" s="332" t="n"/>
      <c r="D103" s="332" t="n"/>
      <c r="E103" s="332" t="n"/>
      <c r="F103" s="332" t="n"/>
      <c r="G103" s="332" t="n"/>
      <c r="H103" s="332" t="n"/>
      <c r="I103" s="332" t="n"/>
      <c r="J103" s="332" t="n"/>
      <c r="K103" s="332" t="n"/>
      <c r="L103" s="332" t="n"/>
      <c r="M103" s="332" t="n"/>
      <c r="N103" s="332" t="n"/>
      <c r="O103" s="332" t="n"/>
      <c r="P103" s="332" t="n"/>
      <c r="Q103" s="332" t="n"/>
      <c r="R103" s="332" t="n"/>
      <c r="S103" s="332" t="n"/>
      <c r="T103" s="235" t="inlineStr">
        <is>
          <t>中银理财</t>
        </is>
      </c>
      <c r="U103" s="308" t="n">
        <v>0.8100000000000001</v>
      </c>
    </row>
    <row r="104" ht="15.5" customHeight="1" s="8">
      <c r="A104" s="332" t="n"/>
      <c r="B104" s="332" t="n"/>
      <c r="C104" s="332" t="n"/>
      <c r="D104" s="332" t="n"/>
      <c r="E104" s="332" t="n"/>
      <c r="F104" s="332" t="n"/>
      <c r="G104" s="332" t="n"/>
      <c r="H104" s="332" t="n"/>
      <c r="I104" s="332" t="n"/>
      <c r="J104" s="332" t="n"/>
      <c r="K104" s="332" t="n"/>
      <c r="L104" s="332" t="n"/>
      <c r="M104" s="332" t="n"/>
      <c r="N104" s="332" t="n"/>
      <c r="O104" s="332" t="n"/>
      <c r="P104" s="332" t="n"/>
      <c r="Q104" s="332" t="n"/>
      <c r="R104" s="332" t="n"/>
      <c r="S104" s="332" t="n"/>
      <c r="T104" s="235" t="inlineStr">
        <is>
          <t>建信基金</t>
        </is>
      </c>
      <c r="U104" s="308" t="n">
        <v>0.74</v>
      </c>
    </row>
    <row r="105" ht="15.5" customHeight="1" s="8">
      <c r="A105" s="332" t="n"/>
      <c r="B105" s="332" t="n"/>
      <c r="C105" s="332" t="n"/>
      <c r="D105" s="332" t="n"/>
      <c r="E105" s="332" t="n"/>
      <c r="F105" s="332" t="n"/>
      <c r="G105" s="332" t="n"/>
      <c r="H105" s="332" t="n"/>
      <c r="I105" s="332" t="n"/>
      <c r="J105" s="332" t="n"/>
      <c r="K105" s="332" t="n"/>
      <c r="L105" s="332" t="n"/>
      <c r="M105" s="332" t="n"/>
      <c r="N105" s="332" t="n"/>
      <c r="O105" s="333" t="n"/>
      <c r="P105" s="333" t="n"/>
      <c r="Q105" s="333" t="n"/>
      <c r="R105" s="333" t="n"/>
      <c r="S105" s="333" t="n"/>
      <c r="T105" s="235" t="inlineStr">
        <is>
          <t>京东世贸</t>
        </is>
      </c>
      <c r="U105" s="308" t="n">
        <v>0.45</v>
      </c>
    </row>
    <row r="106" ht="15.5" customHeight="1" s="8">
      <c r="A106" s="332" t="n"/>
      <c r="B106" s="332" t="n"/>
      <c r="C106" s="332" t="n"/>
      <c r="D106" s="332" t="n"/>
      <c r="E106" s="332" t="n"/>
      <c r="F106" s="332" t="n"/>
      <c r="G106" s="332" t="n"/>
      <c r="H106" s="332" t="n"/>
      <c r="I106" s="332" t="n"/>
      <c r="J106" s="332" t="n"/>
      <c r="K106" s="332" t="n"/>
      <c r="L106" s="332" t="n"/>
      <c r="M106" s="332" t="n"/>
      <c r="N106" s="332" t="n"/>
      <c r="O106" s="235" t="inlineStr">
        <is>
          <t>优先B</t>
        </is>
      </c>
      <c r="P106" s="236" t="n">
        <v>0.03</v>
      </c>
      <c r="Q106" s="307" t="n">
        <v>0.3</v>
      </c>
      <c r="R106" s="235" t="inlineStr">
        <is>
          <t>AA+</t>
        </is>
      </c>
      <c r="S106" s="236" t="n">
        <v>0.0185</v>
      </c>
      <c r="T106" s="235" t="inlineStr">
        <is>
          <t>招银理财</t>
        </is>
      </c>
      <c r="U106" s="308" t="n">
        <v>0.9</v>
      </c>
    </row>
    <row r="107" ht="15.5" customHeight="1" s="8">
      <c r="A107" s="332" t="n"/>
      <c r="B107" s="332" t="n"/>
      <c r="C107" s="332" t="n"/>
      <c r="D107" s="332" t="n"/>
      <c r="E107" s="332" t="n"/>
      <c r="F107" s="332" t="n"/>
      <c r="G107" s="332" t="n"/>
      <c r="H107" s="332" t="n"/>
      <c r="I107" s="332" t="n"/>
      <c r="J107" s="332" t="n"/>
      <c r="K107" s="332" t="n"/>
      <c r="L107" s="332" t="n"/>
      <c r="M107" s="332" t="n"/>
      <c r="N107" s="332" t="n"/>
      <c r="O107" s="332" t="n"/>
      <c r="P107" s="332" t="n"/>
      <c r="Q107" s="332" t="n"/>
      <c r="R107" s="332" t="n"/>
      <c r="S107" s="332" t="n"/>
      <c r="T107" s="235" t="inlineStr">
        <is>
          <t>交银理财</t>
        </is>
      </c>
      <c r="U107" s="308" t="n">
        <v>0.9</v>
      </c>
    </row>
    <row r="108" ht="15.5" customHeight="1" s="8">
      <c r="A108" s="332" t="n"/>
      <c r="B108" s="332" t="n"/>
      <c r="C108" s="332" t="n"/>
      <c r="D108" s="332" t="n"/>
      <c r="E108" s="332" t="n"/>
      <c r="F108" s="332" t="n"/>
      <c r="G108" s="332" t="n"/>
      <c r="H108" s="332" t="n"/>
      <c r="I108" s="332" t="n"/>
      <c r="J108" s="332" t="n"/>
      <c r="K108" s="332" t="n"/>
      <c r="L108" s="332" t="n"/>
      <c r="M108" s="332" t="n"/>
      <c r="N108" s="332" t="n"/>
      <c r="O108" s="332" t="n"/>
      <c r="P108" s="332" t="n"/>
      <c r="Q108" s="332" t="n"/>
      <c r="R108" s="332" t="n"/>
      <c r="S108" s="332" t="n"/>
      <c r="T108" s="235" t="inlineStr">
        <is>
          <t>首创证券自营</t>
        </is>
      </c>
      <c r="U108" s="308" t="n">
        <v>0.3</v>
      </c>
    </row>
    <row r="109" ht="15.5" customHeight="1" s="8">
      <c r="A109" s="332" t="n"/>
      <c r="B109" s="332" t="n"/>
      <c r="C109" s="332" t="n"/>
      <c r="D109" s="332" t="n"/>
      <c r="E109" s="332" t="n"/>
      <c r="F109" s="332" t="n"/>
      <c r="G109" s="332" t="n"/>
      <c r="H109" s="332" t="n"/>
      <c r="I109" s="332" t="n"/>
      <c r="J109" s="332" t="n"/>
      <c r="K109" s="332" t="n"/>
      <c r="L109" s="332" t="n"/>
      <c r="M109" s="332" t="n"/>
      <c r="N109" s="332" t="n"/>
      <c r="O109" s="332" t="n"/>
      <c r="P109" s="332" t="n"/>
      <c r="Q109" s="332" t="n"/>
      <c r="R109" s="332" t="n"/>
      <c r="S109" s="332" t="n"/>
      <c r="T109" s="235" t="inlineStr">
        <is>
          <t>国信证券自营</t>
        </is>
      </c>
      <c r="U109" s="308" t="n">
        <v>0.75</v>
      </c>
    </row>
    <row r="110" ht="15.5" customHeight="1" s="8">
      <c r="A110" s="332" t="n"/>
      <c r="B110" s="332" t="n"/>
      <c r="C110" s="332" t="n"/>
      <c r="D110" s="332" t="n"/>
      <c r="E110" s="332" t="n"/>
      <c r="F110" s="332" t="n"/>
      <c r="G110" s="332" t="n"/>
      <c r="H110" s="332" t="n"/>
      <c r="I110" s="332" t="n"/>
      <c r="J110" s="332" t="n"/>
      <c r="K110" s="332" t="n"/>
      <c r="L110" s="332" t="n"/>
      <c r="M110" s="332" t="n"/>
      <c r="N110" s="332" t="n"/>
      <c r="O110" s="333" t="n"/>
      <c r="P110" s="333" t="n"/>
      <c r="Q110" s="333" t="n"/>
      <c r="R110" s="333" t="n"/>
      <c r="S110" s="333" t="n"/>
      <c r="T110" s="235" t="inlineStr">
        <is>
          <t>京东世贸</t>
        </is>
      </c>
      <c r="U110" s="308" t="n">
        <v>0.15</v>
      </c>
    </row>
    <row r="111" ht="15.5" customHeight="1" s="8">
      <c r="A111" s="332" t="n"/>
      <c r="B111" s="332" t="n"/>
      <c r="C111" s="332" t="n"/>
      <c r="D111" s="332" t="n"/>
      <c r="E111" s="332" t="n"/>
      <c r="F111" s="332" t="n"/>
      <c r="G111" s="332" t="n"/>
      <c r="H111" s="332" t="n"/>
      <c r="I111" s="332" t="n"/>
      <c r="J111" s="332" t="n"/>
      <c r="K111" s="332" t="n"/>
      <c r="L111" s="332" t="n"/>
      <c r="M111" s="332" t="n"/>
      <c r="N111" s="332" t="n"/>
      <c r="O111" s="235" t="inlineStr">
        <is>
          <t>中间级</t>
        </is>
      </c>
      <c r="P111" s="236" t="n">
        <v>0.02</v>
      </c>
      <c r="Q111" s="307" t="n">
        <v>0.2</v>
      </c>
      <c r="R111" s="235" t="inlineStr">
        <is>
          <t>A+</t>
        </is>
      </c>
      <c r="S111" s="236" t="n">
        <v>0.031</v>
      </c>
      <c r="T111" s="235" t="inlineStr">
        <is>
          <t>招银理财</t>
        </is>
      </c>
      <c r="U111" s="308" t="n">
        <v>0.06</v>
      </c>
    </row>
    <row r="112" ht="15.5" customHeight="1" s="8">
      <c r="A112" s="332" t="n"/>
      <c r="B112" s="332" t="n"/>
      <c r="C112" s="332" t="n"/>
      <c r="D112" s="332" t="n"/>
      <c r="E112" s="332" t="n"/>
      <c r="F112" s="332" t="n"/>
      <c r="G112" s="332" t="n"/>
      <c r="H112" s="332" t="n"/>
      <c r="I112" s="332" t="n"/>
      <c r="J112" s="332" t="n"/>
      <c r="K112" s="332" t="n"/>
      <c r="L112" s="332" t="n"/>
      <c r="M112" s="332" t="n"/>
      <c r="N112" s="332" t="n"/>
      <c r="O112" s="332" t="n"/>
      <c r="P112" s="332" t="n"/>
      <c r="Q112" s="332" t="n"/>
      <c r="R112" s="332" t="n"/>
      <c r="S112" s="332" t="n"/>
      <c r="T112" s="235" t="inlineStr">
        <is>
          <t>杭州联合银行</t>
        </is>
      </c>
      <c r="U112" s="308" t="n">
        <v>0.05</v>
      </c>
    </row>
    <row r="113" ht="15.5" customHeight="1" s="8">
      <c r="A113" s="332" t="n"/>
      <c r="B113" s="332" t="n"/>
      <c r="C113" s="332" t="n"/>
      <c r="D113" s="332" t="n"/>
      <c r="E113" s="332" t="n"/>
      <c r="F113" s="332" t="n"/>
      <c r="G113" s="332" t="n"/>
      <c r="H113" s="332" t="n"/>
      <c r="I113" s="332" t="n"/>
      <c r="J113" s="332" t="n"/>
      <c r="K113" s="332" t="n"/>
      <c r="L113" s="332" t="n"/>
      <c r="M113" s="332" t="n"/>
      <c r="N113" s="332" t="n"/>
      <c r="O113" s="332" t="n"/>
      <c r="P113" s="332" t="n"/>
      <c r="Q113" s="332" t="n"/>
      <c r="R113" s="332" t="n"/>
      <c r="S113" s="332" t="n"/>
      <c r="T113" s="235" t="inlineStr">
        <is>
          <t>华宝证券资管</t>
        </is>
      </c>
      <c r="U113" s="308" t="n">
        <v>0.08</v>
      </c>
    </row>
    <row r="114" ht="15.5" customHeight="1" s="8">
      <c r="A114" s="332" t="n"/>
      <c r="B114" s="332" t="n"/>
      <c r="C114" s="332" t="n"/>
      <c r="D114" s="332" t="n"/>
      <c r="E114" s="332" t="n"/>
      <c r="F114" s="332" t="n"/>
      <c r="G114" s="332" t="n"/>
      <c r="H114" s="332" t="n"/>
      <c r="I114" s="332" t="n"/>
      <c r="J114" s="332" t="n"/>
      <c r="K114" s="332" t="n"/>
      <c r="L114" s="332" t="n"/>
      <c r="M114" s="332" t="n"/>
      <c r="N114" s="332" t="n"/>
      <c r="O114" s="333" t="n"/>
      <c r="P114" s="333" t="n"/>
      <c r="Q114" s="333" t="n"/>
      <c r="R114" s="333" t="n"/>
      <c r="S114" s="333" t="n"/>
      <c r="T114" s="235" t="inlineStr">
        <is>
          <t>京东世贸</t>
        </is>
      </c>
      <c r="U114" s="308" t="n">
        <v>0.01</v>
      </c>
    </row>
    <row r="115" ht="15.5" customHeight="1" s="8">
      <c r="A115" s="333" t="n"/>
      <c r="B115" s="333" t="n"/>
      <c r="C115" s="333" t="n"/>
      <c r="D115" s="333" t="n"/>
      <c r="E115" s="333" t="n"/>
      <c r="F115" s="333" t="n"/>
      <c r="G115" s="333" t="n"/>
      <c r="H115" s="333" t="n"/>
      <c r="I115" s="333" t="n"/>
      <c r="J115" s="333" t="n"/>
      <c r="K115" s="333" t="n"/>
      <c r="L115" s="333" t="n"/>
      <c r="M115" s="333" t="n"/>
      <c r="N115" s="333" t="n"/>
      <c r="O115" s="235" t="inlineStr">
        <is>
          <t>次级</t>
        </is>
      </c>
      <c r="P115" s="236" t="n">
        <v>0.05</v>
      </c>
      <c r="Q115" s="307" t="n">
        <v>0.5</v>
      </c>
      <c r="R115" s="235" t="inlineStr">
        <is>
          <t>无</t>
        </is>
      </c>
      <c r="S115" s="236" t="n">
        <v>0.045</v>
      </c>
      <c r="T115" s="235" t="inlineStr">
        <is>
          <t>员工理财</t>
        </is>
      </c>
      <c r="U115" s="308" t="n">
        <v>0.5</v>
      </c>
    </row>
    <row r="116" ht="15.5" customHeight="1" s="8">
      <c r="A116" s="305" t="inlineStr">
        <is>
          <t>3月</t>
        </is>
      </c>
      <c r="B116" s="305" t="inlineStr">
        <is>
          <t>消金</t>
        </is>
      </c>
      <c r="C116" s="305" t="inlineStr">
        <is>
          <t>赊销白条</t>
        </is>
      </c>
      <c r="D116" s="305" t="inlineStr">
        <is>
          <t>东道19-3（可续发）</t>
        </is>
      </c>
      <c r="E116" s="305" t="inlineStr">
        <is>
          <t>深交所</t>
        </is>
      </c>
      <c r="F116" s="305" t="inlineStr">
        <is>
          <t>首创证券</t>
        </is>
      </c>
      <c r="G116" s="305" t="inlineStr">
        <is>
          <t>申万宏源</t>
        </is>
      </c>
      <c r="H116" s="305" t="inlineStr">
        <is>
          <t>中银北分</t>
        </is>
      </c>
      <c r="I116" s="245" t="n">
        <v>10</v>
      </c>
      <c r="J116" s="305" t="inlineStr">
        <is>
          <t>12+6+15+3</t>
        </is>
      </c>
      <c r="K116" s="246" t="n">
        <v>46107</v>
      </c>
      <c r="L116" s="247" t="n">
        <v>0.015</v>
      </c>
      <c r="M116" s="247" t="n">
        <v>0.0191</v>
      </c>
      <c r="N116" s="245" t="n">
        <v>2.87</v>
      </c>
      <c r="O116" s="235" t="inlineStr">
        <is>
          <t>优先A</t>
        </is>
      </c>
      <c r="P116" s="236" t="n">
        <v>0.9</v>
      </c>
      <c r="Q116" s="307" t="n">
        <v>9</v>
      </c>
      <c r="R116" s="235" t="inlineStr">
        <is>
          <t>AAA</t>
        </is>
      </c>
      <c r="S116" s="236" t="n">
        <v>0.0168</v>
      </c>
      <c r="T116" s="235" t="inlineStr">
        <is>
          <t>工银理财</t>
        </is>
      </c>
      <c r="U116" s="308" t="n">
        <v>2.5</v>
      </c>
    </row>
    <row r="117" ht="15.5" customHeight="1" s="8">
      <c r="A117" s="332" t="n"/>
      <c r="B117" s="332" t="n"/>
      <c r="C117" s="332" t="n"/>
      <c r="D117" s="332" t="n"/>
      <c r="E117" s="332" t="n"/>
      <c r="F117" s="332" t="n"/>
      <c r="G117" s="332" t="n"/>
      <c r="H117" s="332" t="n"/>
      <c r="I117" s="332" t="n"/>
      <c r="J117" s="332" t="n"/>
      <c r="K117" s="332" t="n"/>
      <c r="L117" s="332" t="n"/>
      <c r="M117" s="332" t="n"/>
      <c r="N117" s="332" t="n"/>
      <c r="O117" s="332" t="n"/>
      <c r="P117" s="332" t="n"/>
      <c r="Q117" s="332" t="n"/>
      <c r="R117" s="332" t="n"/>
      <c r="S117" s="332" t="n"/>
      <c r="T117" s="235" t="inlineStr">
        <is>
          <t>招银理财</t>
        </is>
      </c>
      <c r="U117" s="308" t="n">
        <v>2.7</v>
      </c>
    </row>
    <row r="118" ht="15.5" customHeight="1" s="8">
      <c r="A118" s="332" t="n"/>
      <c r="B118" s="332" t="n"/>
      <c r="C118" s="332" t="n"/>
      <c r="D118" s="332" t="n"/>
      <c r="E118" s="332" t="n"/>
      <c r="F118" s="332" t="n"/>
      <c r="G118" s="332" t="n"/>
      <c r="H118" s="332" t="n"/>
      <c r="I118" s="332" t="n"/>
      <c r="J118" s="332" t="n"/>
      <c r="K118" s="332" t="n"/>
      <c r="L118" s="332" t="n"/>
      <c r="M118" s="332" t="n"/>
      <c r="N118" s="332" t="n"/>
      <c r="O118" s="332" t="n"/>
      <c r="P118" s="332" t="n"/>
      <c r="Q118" s="332" t="n"/>
      <c r="R118" s="332" t="n"/>
      <c r="S118" s="332" t="n"/>
      <c r="T118" s="235" t="inlineStr">
        <is>
          <t>兴银理财</t>
        </is>
      </c>
      <c r="U118" s="308" t="n">
        <v>2.2</v>
      </c>
    </row>
    <row r="119" ht="15.5" customHeight="1" s="8">
      <c r="A119" s="332" t="n"/>
      <c r="B119" s="332" t="n"/>
      <c r="C119" s="332" t="n"/>
      <c r="D119" s="332" t="n"/>
      <c r="E119" s="332" t="n"/>
      <c r="F119" s="332" t="n"/>
      <c r="G119" s="332" t="n"/>
      <c r="H119" s="332" t="n"/>
      <c r="I119" s="332" t="n"/>
      <c r="J119" s="332" t="n"/>
      <c r="K119" s="332" t="n"/>
      <c r="L119" s="332" t="n"/>
      <c r="M119" s="332" t="n"/>
      <c r="N119" s="332" t="n"/>
      <c r="O119" s="332" t="n"/>
      <c r="P119" s="332" t="n"/>
      <c r="Q119" s="332" t="n"/>
      <c r="R119" s="332" t="n"/>
      <c r="S119" s="332" t="n"/>
      <c r="T119" s="235" t="inlineStr">
        <is>
          <t>交银理财</t>
        </is>
      </c>
      <c r="U119" s="308" t="n">
        <v>0.24</v>
      </c>
    </row>
    <row r="120" ht="15.5" customHeight="1" s="8">
      <c r="A120" s="332" t="n"/>
      <c r="B120" s="332" t="n"/>
      <c r="C120" s="332" t="n"/>
      <c r="D120" s="332" t="n"/>
      <c r="E120" s="332" t="n"/>
      <c r="F120" s="332" t="n"/>
      <c r="G120" s="332" t="n"/>
      <c r="H120" s="332" t="n"/>
      <c r="I120" s="332" t="n"/>
      <c r="J120" s="332" t="n"/>
      <c r="K120" s="332" t="n"/>
      <c r="L120" s="332" t="n"/>
      <c r="M120" s="332" t="n"/>
      <c r="N120" s="332" t="n"/>
      <c r="O120" s="332" t="n"/>
      <c r="P120" s="332" t="n"/>
      <c r="Q120" s="332" t="n"/>
      <c r="R120" s="332" t="n"/>
      <c r="S120" s="332" t="n"/>
      <c r="T120" s="235" t="inlineStr">
        <is>
          <t>中银理财</t>
        </is>
      </c>
      <c r="U120" s="308" t="n">
        <v>0.48</v>
      </c>
    </row>
    <row r="121" ht="15.5" customHeight="1" s="8">
      <c r="A121" s="332" t="n"/>
      <c r="B121" s="332" t="n"/>
      <c r="C121" s="332" t="n"/>
      <c r="D121" s="332" t="n"/>
      <c r="E121" s="332" t="n"/>
      <c r="F121" s="332" t="n"/>
      <c r="G121" s="332" t="n"/>
      <c r="H121" s="332" t="n"/>
      <c r="I121" s="332" t="n"/>
      <c r="J121" s="332" t="n"/>
      <c r="K121" s="332" t="n"/>
      <c r="L121" s="332" t="n"/>
      <c r="M121" s="332" t="n"/>
      <c r="N121" s="332" t="n"/>
      <c r="O121" s="332" t="n"/>
      <c r="P121" s="332" t="n"/>
      <c r="Q121" s="332" t="n"/>
      <c r="R121" s="332" t="n"/>
      <c r="S121" s="332" t="n"/>
      <c r="T121" s="235" t="inlineStr">
        <is>
          <t>建信基金</t>
        </is>
      </c>
      <c r="U121" s="308" t="n">
        <v>0.43</v>
      </c>
    </row>
    <row r="122" ht="15.5" customHeight="1" s="8">
      <c r="A122" s="332" t="n"/>
      <c r="B122" s="332" t="n"/>
      <c r="C122" s="332" t="n"/>
      <c r="D122" s="332" t="n"/>
      <c r="E122" s="332" t="n"/>
      <c r="F122" s="332" t="n"/>
      <c r="G122" s="332" t="n"/>
      <c r="H122" s="332" t="n"/>
      <c r="I122" s="332" t="n"/>
      <c r="J122" s="332" t="n"/>
      <c r="K122" s="332" t="n"/>
      <c r="L122" s="332" t="n"/>
      <c r="M122" s="332" t="n"/>
      <c r="N122" s="332" t="n"/>
      <c r="O122" s="333" t="n"/>
      <c r="P122" s="333" t="n"/>
      <c r="Q122" s="333" t="n"/>
      <c r="R122" s="333" t="n"/>
      <c r="S122" s="333" t="n"/>
      <c r="T122" s="235" t="inlineStr">
        <is>
          <t>京东世贸</t>
        </is>
      </c>
      <c r="U122" s="308" t="n">
        <v>0.15</v>
      </c>
    </row>
    <row r="123" ht="15.5" customHeight="1" s="8">
      <c r="A123" s="332" t="n"/>
      <c r="B123" s="332" t="n"/>
      <c r="C123" s="332" t="n"/>
      <c r="D123" s="332" t="n"/>
      <c r="E123" s="332" t="n"/>
      <c r="F123" s="332" t="n"/>
      <c r="G123" s="332" t="n"/>
      <c r="H123" s="332" t="n"/>
      <c r="I123" s="332" t="n"/>
      <c r="J123" s="332" t="n"/>
      <c r="K123" s="332" t="n"/>
      <c r="L123" s="332" t="n"/>
      <c r="M123" s="332" t="n"/>
      <c r="N123" s="332" t="n"/>
      <c r="O123" s="235" t="inlineStr">
        <is>
          <t>优先B</t>
        </is>
      </c>
      <c r="P123" s="236" t="n">
        <v>0.03</v>
      </c>
      <c r="Q123" s="307" t="n">
        <v>0.3</v>
      </c>
      <c r="R123" s="235" t="inlineStr">
        <is>
          <t>AA+</t>
        </is>
      </c>
      <c r="S123" s="236" t="n">
        <v>0.0185</v>
      </c>
      <c r="T123" s="235" t="inlineStr">
        <is>
          <t>招银理财</t>
        </is>
      </c>
      <c r="U123" s="308" t="n">
        <v>0.09</v>
      </c>
    </row>
    <row r="124" ht="15.5" customHeight="1" s="8">
      <c r="A124" s="332" t="n"/>
      <c r="B124" s="332" t="n"/>
      <c r="C124" s="332" t="n"/>
      <c r="D124" s="332" t="n"/>
      <c r="E124" s="332" t="n"/>
      <c r="F124" s="332" t="n"/>
      <c r="G124" s="332" t="n"/>
      <c r="H124" s="332" t="n"/>
      <c r="I124" s="332" t="n"/>
      <c r="J124" s="332" t="n"/>
      <c r="K124" s="332" t="n"/>
      <c r="L124" s="332" t="n"/>
      <c r="M124" s="332" t="n"/>
      <c r="N124" s="332" t="n"/>
      <c r="O124" s="332" t="n"/>
      <c r="P124" s="332" t="n"/>
      <c r="Q124" s="332" t="n"/>
      <c r="R124" s="332" t="n"/>
      <c r="S124" s="332" t="n"/>
      <c r="T124" s="235" t="inlineStr">
        <is>
          <t>交银理财</t>
        </is>
      </c>
      <c r="U124" s="308" t="n">
        <v>0.09</v>
      </c>
    </row>
    <row r="125" ht="15.5" customHeight="1" s="8">
      <c r="A125" s="332" t="n"/>
      <c r="B125" s="332" t="n"/>
      <c r="C125" s="332" t="n"/>
      <c r="D125" s="332" t="n"/>
      <c r="E125" s="332" t="n"/>
      <c r="F125" s="332" t="n"/>
      <c r="G125" s="332" t="n"/>
      <c r="H125" s="332" t="n"/>
      <c r="I125" s="332" t="n"/>
      <c r="J125" s="332" t="n"/>
      <c r="K125" s="332" t="n"/>
      <c r="L125" s="332" t="n"/>
      <c r="M125" s="332" t="n"/>
      <c r="N125" s="332" t="n"/>
      <c r="O125" s="332" t="n"/>
      <c r="P125" s="332" t="n"/>
      <c r="Q125" s="332" t="n"/>
      <c r="R125" s="332" t="n"/>
      <c r="S125" s="332" t="n"/>
      <c r="T125" s="235" t="inlineStr">
        <is>
          <t>首创证券投行</t>
        </is>
      </c>
      <c r="U125" s="308" t="n">
        <v>0.03</v>
      </c>
    </row>
    <row r="126" ht="15.5" customHeight="1" s="8">
      <c r="A126" s="332" t="n"/>
      <c r="B126" s="332" t="n"/>
      <c r="C126" s="332" t="n"/>
      <c r="D126" s="332" t="n"/>
      <c r="E126" s="332" t="n"/>
      <c r="F126" s="332" t="n"/>
      <c r="G126" s="332" t="n"/>
      <c r="H126" s="332" t="n"/>
      <c r="I126" s="332" t="n"/>
      <c r="J126" s="332" t="n"/>
      <c r="K126" s="332" t="n"/>
      <c r="L126" s="332" t="n"/>
      <c r="M126" s="332" t="n"/>
      <c r="N126" s="332" t="n"/>
      <c r="O126" s="332" t="n"/>
      <c r="P126" s="332" t="n"/>
      <c r="Q126" s="332" t="n"/>
      <c r="R126" s="332" t="n"/>
      <c r="S126" s="332" t="n"/>
      <c r="T126" s="235" t="inlineStr">
        <is>
          <t>申万宏源投行</t>
        </is>
      </c>
      <c r="U126" s="308" t="n">
        <v>0.04</v>
      </c>
    </row>
    <row r="127" ht="15.5" customHeight="1" s="8">
      <c r="A127" s="332" t="n"/>
      <c r="B127" s="332" t="n"/>
      <c r="C127" s="332" t="n"/>
      <c r="D127" s="332" t="n"/>
      <c r="E127" s="332" t="n"/>
      <c r="F127" s="332" t="n"/>
      <c r="G127" s="332" t="n"/>
      <c r="H127" s="332" t="n"/>
      <c r="I127" s="332" t="n"/>
      <c r="J127" s="332" t="n"/>
      <c r="K127" s="332" t="n"/>
      <c r="L127" s="332" t="n"/>
      <c r="M127" s="332" t="n"/>
      <c r="N127" s="332" t="n"/>
      <c r="O127" s="333" t="n"/>
      <c r="P127" s="333" t="n"/>
      <c r="Q127" s="333" t="n"/>
      <c r="R127" s="333" t="n"/>
      <c r="S127" s="333" t="n"/>
      <c r="T127" s="252" t="inlineStr">
        <is>
          <t>华兴证券自营</t>
        </is>
      </c>
      <c r="U127" s="308" t="n">
        <v>0.35</v>
      </c>
    </row>
    <row r="128" ht="15.5" customHeight="1" s="8">
      <c r="A128" s="332" t="n"/>
      <c r="B128" s="332" t="n"/>
      <c r="C128" s="332" t="n"/>
      <c r="D128" s="332" t="n"/>
      <c r="E128" s="332" t="n"/>
      <c r="F128" s="332" t="n"/>
      <c r="G128" s="332" t="n"/>
      <c r="H128" s="332" t="n"/>
      <c r="I128" s="332" t="n"/>
      <c r="J128" s="332" t="n"/>
      <c r="K128" s="332" t="n"/>
      <c r="L128" s="332" t="n"/>
      <c r="M128" s="332" t="n"/>
      <c r="N128" s="332" t="n"/>
      <c r="O128" s="235" t="inlineStr">
        <is>
          <t>中间级</t>
        </is>
      </c>
      <c r="P128" s="236" t="n">
        <v>0.02</v>
      </c>
      <c r="Q128" s="307" t="n">
        <v>0.2</v>
      </c>
      <c r="R128" s="235" t="inlineStr">
        <is>
          <t>A+</t>
        </is>
      </c>
      <c r="S128" s="236" t="n">
        <v>0.031</v>
      </c>
      <c r="T128" s="235" t="inlineStr">
        <is>
          <t>建投机构部</t>
        </is>
      </c>
      <c r="U128" s="308" t="n">
        <v>0.06</v>
      </c>
    </row>
    <row r="129" ht="15.5" customHeight="1" s="8">
      <c r="A129" s="332" t="n"/>
      <c r="B129" s="332" t="n"/>
      <c r="C129" s="332" t="n"/>
      <c r="D129" s="332" t="n"/>
      <c r="E129" s="332" t="n"/>
      <c r="F129" s="332" t="n"/>
      <c r="G129" s="332" t="n"/>
      <c r="H129" s="332" t="n"/>
      <c r="I129" s="332" t="n"/>
      <c r="J129" s="332" t="n"/>
      <c r="K129" s="332" t="n"/>
      <c r="L129" s="332" t="n"/>
      <c r="M129" s="332" t="n"/>
      <c r="N129" s="332" t="n"/>
      <c r="O129" s="332" t="n"/>
      <c r="P129" s="332" t="n"/>
      <c r="Q129" s="332" t="n"/>
      <c r="R129" s="332" t="n"/>
      <c r="S129" s="332" t="n"/>
      <c r="T129" s="235" t="inlineStr">
        <is>
          <t>中泰证券自营</t>
        </is>
      </c>
      <c r="U129" s="308" t="n">
        <v>0.07000000000000001</v>
      </c>
    </row>
    <row r="130" ht="15.5" customHeight="1" s="8">
      <c r="A130" s="332" t="n"/>
      <c r="B130" s="332" t="n"/>
      <c r="C130" s="332" t="n"/>
      <c r="D130" s="332" t="n"/>
      <c r="E130" s="332" t="n"/>
      <c r="F130" s="332" t="n"/>
      <c r="G130" s="332" t="n"/>
      <c r="H130" s="332" t="n"/>
      <c r="I130" s="332" t="n"/>
      <c r="J130" s="332" t="n"/>
      <c r="K130" s="332" t="n"/>
      <c r="L130" s="332" t="n"/>
      <c r="M130" s="332" t="n"/>
      <c r="N130" s="332" t="n"/>
      <c r="O130" s="332" t="n"/>
      <c r="P130" s="332" t="n"/>
      <c r="Q130" s="332" t="n"/>
      <c r="R130" s="332" t="n"/>
      <c r="S130" s="332" t="n"/>
      <c r="T130" s="235" t="inlineStr">
        <is>
          <t>招银理财</t>
        </is>
      </c>
      <c r="U130" s="308" t="n">
        <v>0.06</v>
      </c>
    </row>
    <row r="131" ht="15.5" customHeight="1" s="8">
      <c r="A131" s="332" t="n"/>
      <c r="B131" s="332" t="n"/>
      <c r="C131" s="332" t="n"/>
      <c r="D131" s="332" t="n"/>
      <c r="E131" s="332" t="n"/>
      <c r="F131" s="332" t="n"/>
      <c r="G131" s="332" t="n"/>
      <c r="H131" s="332" t="n"/>
      <c r="I131" s="332" t="n"/>
      <c r="J131" s="332" t="n"/>
      <c r="K131" s="332" t="n"/>
      <c r="L131" s="332" t="n"/>
      <c r="M131" s="332" t="n"/>
      <c r="N131" s="332" t="n"/>
      <c r="O131" s="333" t="n"/>
      <c r="P131" s="333" t="n"/>
      <c r="Q131" s="333" t="n"/>
      <c r="R131" s="333" t="n"/>
      <c r="S131" s="333" t="n"/>
      <c r="T131" s="235" t="inlineStr">
        <is>
          <t>京东世贸</t>
        </is>
      </c>
      <c r="U131" s="308" t="n">
        <v>0.01</v>
      </c>
    </row>
    <row r="132" ht="15.5" customHeight="1" s="8">
      <c r="A132" s="332" t="n"/>
      <c r="B132" s="332" t="n"/>
      <c r="C132" s="332" t="n"/>
      <c r="D132" s="332" t="n"/>
      <c r="E132" s="332" t="n"/>
      <c r="F132" s="332" t="n"/>
      <c r="G132" s="332" t="n"/>
      <c r="H132" s="332" t="n"/>
      <c r="I132" s="332" t="n"/>
      <c r="J132" s="332" t="n"/>
      <c r="K132" s="332" t="n"/>
      <c r="L132" s="332" t="n"/>
      <c r="M132" s="332" t="n"/>
      <c r="N132" s="332" t="n"/>
      <c r="O132" s="235" t="inlineStr">
        <is>
          <t>次级</t>
        </is>
      </c>
      <c r="P132" s="236" t="n">
        <v>0.05</v>
      </c>
      <c r="Q132" s="307" t="n">
        <v>0.5</v>
      </c>
      <c r="R132" s="235" t="inlineStr">
        <is>
          <t>无</t>
        </is>
      </c>
      <c r="S132" s="236" t="n">
        <v>0.045</v>
      </c>
      <c r="T132" s="235" t="inlineStr">
        <is>
          <t>建投衍生品</t>
        </is>
      </c>
      <c r="U132" s="308" t="n">
        <v>0.1</v>
      </c>
    </row>
    <row r="133" ht="15.5" customHeight="1" s="8">
      <c r="A133" s="332" t="n"/>
      <c r="B133" s="332" t="n"/>
      <c r="C133" s="332" t="n"/>
      <c r="D133" s="332" t="n"/>
      <c r="E133" s="332" t="n"/>
      <c r="F133" s="332" t="n"/>
      <c r="G133" s="332" t="n"/>
      <c r="H133" s="332" t="n"/>
      <c r="I133" s="332" t="n"/>
      <c r="J133" s="332" t="n"/>
      <c r="K133" s="332" t="n"/>
      <c r="L133" s="332" t="n"/>
      <c r="M133" s="332" t="n"/>
      <c r="N133" s="332" t="n"/>
      <c r="O133" s="332" t="n"/>
      <c r="P133" s="332" t="n"/>
      <c r="Q133" s="332" t="n"/>
      <c r="R133" s="332" t="n"/>
      <c r="S133" s="332" t="n"/>
      <c r="T133" s="235" t="inlineStr">
        <is>
          <t>德邦证券自营</t>
        </is>
      </c>
      <c r="U133" s="308" t="n">
        <v>0.1</v>
      </c>
    </row>
    <row r="134" ht="15.5" customHeight="1" s="8">
      <c r="A134" s="332" t="n"/>
      <c r="B134" s="332" t="n"/>
      <c r="C134" s="332" t="n"/>
      <c r="D134" s="332" t="n"/>
      <c r="E134" s="332" t="n"/>
      <c r="F134" s="332" t="n"/>
      <c r="G134" s="332" t="n"/>
      <c r="H134" s="332" t="n"/>
      <c r="I134" s="332" t="n"/>
      <c r="J134" s="332" t="n"/>
      <c r="K134" s="332" t="n"/>
      <c r="L134" s="332" t="n"/>
      <c r="M134" s="332" t="n"/>
      <c r="N134" s="332" t="n"/>
      <c r="O134" s="332" t="n"/>
      <c r="P134" s="332" t="n"/>
      <c r="Q134" s="332" t="n"/>
      <c r="R134" s="332" t="n"/>
      <c r="S134" s="332" t="n"/>
      <c r="T134" s="235" t="inlineStr">
        <is>
          <t>利曦基金</t>
        </is>
      </c>
      <c r="U134" s="308" t="n">
        <v>0.1</v>
      </c>
    </row>
    <row r="135" ht="15.5" customHeight="1" s="8">
      <c r="A135" s="332" t="n"/>
      <c r="B135" s="332" t="n"/>
      <c r="C135" s="332" t="n"/>
      <c r="D135" s="332" t="n"/>
      <c r="E135" s="332" t="n"/>
      <c r="F135" s="332" t="n"/>
      <c r="G135" s="332" t="n"/>
      <c r="H135" s="332" t="n"/>
      <c r="I135" s="332" t="n"/>
      <c r="J135" s="332" t="n"/>
      <c r="K135" s="332" t="n"/>
      <c r="L135" s="332" t="n"/>
      <c r="M135" s="332" t="n"/>
      <c r="N135" s="332" t="n"/>
      <c r="O135" s="332" t="n"/>
      <c r="P135" s="332" t="n"/>
      <c r="Q135" s="332" t="n"/>
      <c r="R135" s="332" t="n"/>
      <c r="S135" s="332" t="n"/>
      <c r="T135" s="235" t="inlineStr">
        <is>
          <t>华宝证券资管</t>
        </is>
      </c>
      <c r="U135" s="310" t="n">
        <v>0.075</v>
      </c>
    </row>
    <row r="136" ht="15.5" customHeight="1" s="8">
      <c r="A136" s="333" t="n"/>
      <c r="B136" s="333" t="n"/>
      <c r="C136" s="333" t="n"/>
      <c r="D136" s="333" t="n"/>
      <c r="E136" s="333" t="n"/>
      <c r="F136" s="333" t="n"/>
      <c r="G136" s="333" t="n"/>
      <c r="H136" s="333" t="n"/>
      <c r="I136" s="333" t="n"/>
      <c r="J136" s="333" t="n"/>
      <c r="K136" s="333" t="n"/>
      <c r="L136" s="333" t="n"/>
      <c r="M136" s="333" t="n"/>
      <c r="N136" s="333" t="n"/>
      <c r="O136" s="333" t="n"/>
      <c r="P136" s="333" t="n"/>
      <c r="Q136" s="333" t="n"/>
      <c r="R136" s="333" t="n"/>
      <c r="S136" s="333" t="n"/>
      <c r="T136" s="235" t="inlineStr">
        <is>
          <t>东家铂睿</t>
        </is>
      </c>
      <c r="U136" s="308" t="n">
        <v>0.1</v>
      </c>
    </row>
    <row r="137" ht="15.5" customHeight="1" s="8">
      <c r="A137" s="305" t="inlineStr">
        <is>
          <t>3月</t>
        </is>
      </c>
      <c r="B137" s="305" t="inlineStr">
        <is>
          <t>消金</t>
        </is>
      </c>
      <c r="C137" s="305" t="inlineStr">
        <is>
          <t>赊销白条</t>
        </is>
      </c>
      <c r="D137" s="305" t="inlineStr">
        <is>
          <t>禾昱9-1</t>
        </is>
      </c>
      <c r="E137" s="305" t="inlineStr">
        <is>
          <t>上交所</t>
        </is>
      </c>
      <c r="F137" s="305" t="inlineStr">
        <is>
          <t>兴业证券</t>
        </is>
      </c>
      <c r="G137" s="305" t="inlineStr">
        <is>
          <t>国联证券</t>
        </is>
      </c>
      <c r="H137" s="305" t="inlineStr">
        <is>
          <t>工行天津</t>
        </is>
      </c>
      <c r="I137" s="245" t="n">
        <v>10</v>
      </c>
      <c r="J137" s="305" t="inlineStr">
        <is>
          <t>12+5+15+3</t>
        </is>
      </c>
      <c r="K137" s="246" t="n">
        <v>46108</v>
      </c>
      <c r="L137" s="247" t="n">
        <v>0.0153</v>
      </c>
      <c r="M137" s="247" t="n">
        <v>0.0192</v>
      </c>
      <c r="N137" s="245" t="n">
        <v>3.27</v>
      </c>
      <c r="O137" s="235" t="inlineStr">
        <is>
          <t>优先A</t>
        </is>
      </c>
      <c r="P137" s="236" t="n">
        <v>0.9</v>
      </c>
      <c r="Q137" s="307" t="n">
        <v>9</v>
      </c>
      <c r="R137" s="235" t="inlineStr">
        <is>
          <t>AAA</t>
        </is>
      </c>
      <c r="S137" s="236" t="n">
        <v>0.0168</v>
      </c>
      <c r="T137" s="235" t="inlineStr">
        <is>
          <t>杭州联合银行</t>
        </is>
      </c>
      <c r="U137" s="308" t="n">
        <v>0.5</v>
      </c>
    </row>
    <row r="138" ht="15.5" customHeight="1" s="8">
      <c r="A138" s="332" t="n"/>
      <c r="B138" s="332" t="n"/>
      <c r="C138" s="332" t="n"/>
      <c r="D138" s="332" t="n"/>
      <c r="E138" s="332" t="n"/>
      <c r="F138" s="332" t="n"/>
      <c r="G138" s="332" t="n"/>
      <c r="H138" s="332" t="n"/>
      <c r="I138" s="332" t="n"/>
      <c r="J138" s="332" t="n"/>
      <c r="K138" s="332" t="n"/>
      <c r="L138" s="332" t="n"/>
      <c r="M138" s="332" t="n"/>
      <c r="N138" s="332" t="n"/>
      <c r="O138" s="332" t="n"/>
      <c r="P138" s="332" t="n"/>
      <c r="Q138" s="332" t="n"/>
      <c r="R138" s="332" t="n"/>
      <c r="S138" s="332" t="n"/>
      <c r="T138" s="235" t="inlineStr">
        <is>
          <t>中邮理财</t>
        </is>
      </c>
      <c r="U138" s="308" t="n">
        <v>2.7</v>
      </c>
    </row>
    <row r="139" ht="15.5" customHeight="1" s="8">
      <c r="A139" s="332" t="n"/>
      <c r="B139" s="332" t="n"/>
      <c r="C139" s="332" t="n"/>
      <c r="D139" s="332" t="n"/>
      <c r="E139" s="332" t="n"/>
      <c r="F139" s="332" t="n"/>
      <c r="G139" s="332" t="n"/>
      <c r="H139" s="332" t="n"/>
      <c r="I139" s="332" t="n"/>
      <c r="J139" s="332" t="n"/>
      <c r="K139" s="332" t="n"/>
      <c r="L139" s="332" t="n"/>
      <c r="M139" s="332" t="n"/>
      <c r="N139" s="332" t="n"/>
      <c r="O139" s="332" t="n"/>
      <c r="P139" s="332" t="n"/>
      <c r="Q139" s="332" t="n"/>
      <c r="R139" s="332" t="n"/>
      <c r="S139" s="332" t="n"/>
      <c r="T139" s="235" t="inlineStr">
        <is>
          <t>工银理财</t>
        </is>
      </c>
      <c r="U139" s="308" t="n">
        <v>2.5</v>
      </c>
    </row>
    <row r="140" ht="15.5" customHeight="1" s="8">
      <c r="A140" s="332" t="n"/>
      <c r="B140" s="332" t="n"/>
      <c r="C140" s="332" t="n"/>
      <c r="D140" s="332" t="n"/>
      <c r="E140" s="332" t="n"/>
      <c r="F140" s="332" t="n"/>
      <c r="G140" s="332" t="n"/>
      <c r="H140" s="332" t="n"/>
      <c r="I140" s="332" t="n"/>
      <c r="J140" s="332" t="n"/>
      <c r="K140" s="332" t="n"/>
      <c r="L140" s="332" t="n"/>
      <c r="M140" s="332" t="n"/>
      <c r="N140" s="332" t="n"/>
      <c r="O140" s="332" t="n"/>
      <c r="P140" s="332" t="n"/>
      <c r="Q140" s="332" t="n"/>
      <c r="R140" s="332" t="n"/>
      <c r="S140" s="332" t="n"/>
      <c r="T140" s="235" t="inlineStr">
        <is>
          <t>兴业证券投行</t>
        </is>
      </c>
      <c r="U140" s="308" t="n">
        <v>0.6</v>
      </c>
    </row>
    <row r="141" ht="15.5" customHeight="1" s="8">
      <c r="A141" s="332" t="n"/>
      <c r="B141" s="332" t="n"/>
      <c r="C141" s="332" t="n"/>
      <c r="D141" s="332" t="n"/>
      <c r="E141" s="332" t="n"/>
      <c r="F141" s="332" t="n"/>
      <c r="G141" s="332" t="n"/>
      <c r="H141" s="332" t="n"/>
      <c r="I141" s="332" t="n"/>
      <c r="J141" s="332" t="n"/>
      <c r="K141" s="332" t="n"/>
      <c r="L141" s="332" t="n"/>
      <c r="M141" s="332" t="n"/>
      <c r="N141" s="332" t="n"/>
      <c r="O141" s="332" t="n"/>
      <c r="P141" s="332" t="n"/>
      <c r="Q141" s="332" t="n"/>
      <c r="R141" s="332" t="n"/>
      <c r="S141" s="332" t="n"/>
      <c r="T141" s="235" t="inlineStr">
        <is>
          <t>平安理财</t>
        </is>
      </c>
      <c r="U141" s="308" t="n">
        <v>2.25</v>
      </c>
    </row>
    <row r="142" ht="15.5" customHeight="1" s="8">
      <c r="A142" s="332" t="n"/>
      <c r="B142" s="332" t="n"/>
      <c r="C142" s="332" t="n"/>
      <c r="D142" s="332" t="n"/>
      <c r="E142" s="332" t="n"/>
      <c r="F142" s="332" t="n"/>
      <c r="G142" s="332" t="n"/>
      <c r="H142" s="332" t="n"/>
      <c r="I142" s="332" t="n"/>
      <c r="J142" s="332" t="n"/>
      <c r="K142" s="332" t="n"/>
      <c r="L142" s="332" t="n"/>
      <c r="M142" s="332" t="n"/>
      <c r="N142" s="332" t="n"/>
      <c r="O142" s="333" t="n"/>
      <c r="P142" s="333" t="n"/>
      <c r="Q142" s="333" t="n"/>
      <c r="R142" s="333" t="n"/>
      <c r="S142" s="333" t="n"/>
      <c r="T142" s="235" t="inlineStr">
        <is>
          <t>京东世贸</t>
        </is>
      </c>
      <c r="U142" s="308" t="n">
        <v>0.45</v>
      </c>
    </row>
    <row r="143" ht="15.5" customHeight="1" s="8">
      <c r="A143" s="332" t="n"/>
      <c r="B143" s="332" t="n"/>
      <c r="C143" s="332" t="n"/>
      <c r="D143" s="332" t="n"/>
      <c r="E143" s="332" t="n"/>
      <c r="F143" s="332" t="n"/>
      <c r="G143" s="332" t="n"/>
      <c r="H143" s="332" t="n"/>
      <c r="I143" s="332" t="n"/>
      <c r="J143" s="332" t="n"/>
      <c r="K143" s="332" t="n"/>
      <c r="L143" s="332" t="n"/>
      <c r="M143" s="332" t="n"/>
      <c r="N143" s="332" t="n"/>
      <c r="O143" s="235" t="inlineStr">
        <is>
          <t>优先B</t>
        </is>
      </c>
      <c r="P143" s="236" t="n">
        <v>0.03</v>
      </c>
      <c r="Q143" s="307" t="n">
        <v>0.3</v>
      </c>
      <c r="R143" s="235" t="inlineStr">
        <is>
          <t>AA+</t>
        </is>
      </c>
      <c r="S143" s="236" t="n">
        <v>0.0185</v>
      </c>
      <c r="T143" s="235" t="inlineStr">
        <is>
          <t>交银理财</t>
        </is>
      </c>
      <c r="U143" s="308" t="n">
        <v>0.09</v>
      </c>
    </row>
    <row r="144" ht="15.5" customHeight="1" s="8">
      <c r="A144" s="332" t="n"/>
      <c r="B144" s="332" t="n"/>
      <c r="C144" s="332" t="n"/>
      <c r="D144" s="332" t="n"/>
      <c r="E144" s="332" t="n"/>
      <c r="F144" s="332" t="n"/>
      <c r="G144" s="332" t="n"/>
      <c r="H144" s="332" t="n"/>
      <c r="I144" s="332" t="n"/>
      <c r="J144" s="332" t="n"/>
      <c r="K144" s="332" t="n"/>
      <c r="L144" s="332" t="n"/>
      <c r="M144" s="332" t="n"/>
      <c r="N144" s="332" t="n"/>
      <c r="O144" s="332" t="n"/>
      <c r="P144" s="332" t="n"/>
      <c r="Q144" s="332" t="n"/>
      <c r="R144" s="332" t="n"/>
      <c r="S144" s="332" t="n"/>
      <c r="T144" s="235" t="inlineStr">
        <is>
          <t>杭州联合银行</t>
        </is>
      </c>
      <c r="U144" s="308" t="n">
        <v>0.09</v>
      </c>
    </row>
    <row r="145" ht="15.5" customHeight="1" s="8">
      <c r="A145" s="332" t="n"/>
      <c r="B145" s="332" t="n"/>
      <c r="C145" s="332" t="n"/>
      <c r="D145" s="332" t="n"/>
      <c r="E145" s="332" t="n"/>
      <c r="F145" s="332" t="n"/>
      <c r="G145" s="332" t="n"/>
      <c r="H145" s="332" t="n"/>
      <c r="I145" s="332" t="n"/>
      <c r="J145" s="332" t="n"/>
      <c r="K145" s="332" t="n"/>
      <c r="L145" s="332" t="n"/>
      <c r="M145" s="332" t="n"/>
      <c r="N145" s="332" t="n"/>
      <c r="O145" s="332" t="n"/>
      <c r="P145" s="332" t="n"/>
      <c r="Q145" s="332" t="n"/>
      <c r="R145" s="332" t="n"/>
      <c r="S145" s="332" t="n"/>
      <c r="T145" s="235" t="inlineStr">
        <is>
          <t>平安理财</t>
        </is>
      </c>
      <c r="U145" s="310" t="n">
        <v>0.075</v>
      </c>
    </row>
    <row r="146" ht="15.5" customHeight="1" s="8">
      <c r="A146" s="332" t="n"/>
      <c r="B146" s="332" t="n"/>
      <c r="C146" s="332" t="n"/>
      <c r="D146" s="332" t="n"/>
      <c r="E146" s="332" t="n"/>
      <c r="F146" s="332" t="n"/>
      <c r="G146" s="332" t="n"/>
      <c r="H146" s="332" t="n"/>
      <c r="I146" s="332" t="n"/>
      <c r="J146" s="332" t="n"/>
      <c r="K146" s="332" t="n"/>
      <c r="L146" s="332" t="n"/>
      <c r="M146" s="332" t="n"/>
      <c r="N146" s="332" t="n"/>
      <c r="O146" s="332" t="n"/>
      <c r="P146" s="332" t="n"/>
      <c r="Q146" s="332" t="n"/>
      <c r="R146" s="332" t="n"/>
      <c r="S146" s="332" t="n"/>
      <c r="T146" s="235" t="inlineStr">
        <is>
          <t>建信信托</t>
        </is>
      </c>
      <c r="U146" s="308" t="n">
        <v>0.03</v>
      </c>
    </row>
    <row r="147" ht="15.5" customHeight="1" s="8">
      <c r="A147" s="332" t="n"/>
      <c r="B147" s="332" t="n"/>
      <c r="C147" s="332" t="n"/>
      <c r="D147" s="332" t="n"/>
      <c r="E147" s="332" t="n"/>
      <c r="F147" s="332" t="n"/>
      <c r="G147" s="332" t="n"/>
      <c r="H147" s="332" t="n"/>
      <c r="I147" s="332" t="n"/>
      <c r="J147" s="332" t="n"/>
      <c r="K147" s="332" t="n"/>
      <c r="L147" s="332" t="n"/>
      <c r="M147" s="332" t="n"/>
      <c r="N147" s="332" t="n"/>
      <c r="O147" s="333" t="n"/>
      <c r="P147" s="333" t="n"/>
      <c r="Q147" s="333" t="n"/>
      <c r="R147" s="333" t="n"/>
      <c r="S147" s="333" t="n"/>
      <c r="T147" s="252" t="inlineStr">
        <is>
          <t>京东世贸</t>
        </is>
      </c>
      <c r="U147" s="308" t="n">
        <v>0.015</v>
      </c>
    </row>
    <row r="148" ht="15.5" customHeight="1" s="8">
      <c r="A148" s="332" t="n"/>
      <c r="B148" s="332" t="n"/>
      <c r="C148" s="332" t="n"/>
      <c r="D148" s="332" t="n"/>
      <c r="E148" s="332" t="n"/>
      <c r="F148" s="332" t="n"/>
      <c r="G148" s="332" t="n"/>
      <c r="H148" s="332" t="n"/>
      <c r="I148" s="332" t="n"/>
      <c r="J148" s="332" t="n"/>
      <c r="K148" s="332" t="n"/>
      <c r="L148" s="332" t="n"/>
      <c r="M148" s="332" t="n"/>
      <c r="N148" s="332" t="n"/>
      <c r="O148" s="235" t="inlineStr">
        <is>
          <t>中间级</t>
        </is>
      </c>
      <c r="P148" s="236" t="n">
        <v>0.02</v>
      </c>
      <c r="Q148" s="307" t="n">
        <v>0.2</v>
      </c>
      <c r="R148" s="235" t="inlineStr">
        <is>
          <t>A+</t>
        </is>
      </c>
      <c r="S148" s="236" t="n">
        <v>0.031</v>
      </c>
      <c r="T148" s="235" t="inlineStr">
        <is>
          <t>平安理财</t>
        </is>
      </c>
      <c r="U148" s="308" t="n">
        <v>0.05</v>
      </c>
    </row>
    <row r="149" ht="15.5" customHeight="1" s="8">
      <c r="A149" s="332" t="n"/>
      <c r="B149" s="332" t="n"/>
      <c r="C149" s="332" t="n"/>
      <c r="D149" s="332" t="n"/>
      <c r="E149" s="332" t="n"/>
      <c r="F149" s="332" t="n"/>
      <c r="G149" s="332" t="n"/>
      <c r="H149" s="332" t="n"/>
      <c r="I149" s="332" t="n"/>
      <c r="J149" s="332" t="n"/>
      <c r="K149" s="332" t="n"/>
      <c r="L149" s="332" t="n"/>
      <c r="M149" s="332" t="n"/>
      <c r="N149" s="332" t="n"/>
      <c r="O149" s="332" t="n"/>
      <c r="P149" s="332" t="n"/>
      <c r="Q149" s="332" t="n"/>
      <c r="R149" s="332" t="n"/>
      <c r="S149" s="332" t="n"/>
      <c r="T149" s="235" t="inlineStr">
        <is>
          <t>中金投顾</t>
        </is>
      </c>
      <c r="U149" s="308" t="n">
        <v>0.09</v>
      </c>
    </row>
    <row r="150" ht="15.5" customHeight="1" s="8">
      <c r="A150" s="332" t="n"/>
      <c r="B150" s="332" t="n"/>
      <c r="C150" s="332" t="n"/>
      <c r="D150" s="332" t="n"/>
      <c r="E150" s="332" t="n"/>
      <c r="F150" s="332" t="n"/>
      <c r="G150" s="332" t="n"/>
      <c r="H150" s="332" t="n"/>
      <c r="I150" s="332" t="n"/>
      <c r="J150" s="332" t="n"/>
      <c r="K150" s="332" t="n"/>
      <c r="L150" s="332" t="n"/>
      <c r="M150" s="332" t="n"/>
      <c r="N150" s="332" t="n"/>
      <c r="O150" s="332" t="n"/>
      <c r="P150" s="332" t="n"/>
      <c r="Q150" s="332" t="n"/>
      <c r="R150" s="332" t="n"/>
      <c r="S150" s="332" t="n"/>
      <c r="T150" s="235" t="inlineStr">
        <is>
          <t>杭州联合银行</t>
        </is>
      </c>
      <c r="U150" s="308" t="n">
        <v>0.05</v>
      </c>
    </row>
    <row r="151" ht="15.5" customHeight="1" s="8">
      <c r="A151" s="332" t="n"/>
      <c r="B151" s="332" t="n"/>
      <c r="C151" s="332" t="n"/>
      <c r="D151" s="332" t="n"/>
      <c r="E151" s="332" t="n"/>
      <c r="F151" s="332" t="n"/>
      <c r="G151" s="332" t="n"/>
      <c r="H151" s="332" t="n"/>
      <c r="I151" s="332" t="n"/>
      <c r="J151" s="332" t="n"/>
      <c r="K151" s="332" t="n"/>
      <c r="L151" s="332" t="n"/>
      <c r="M151" s="332" t="n"/>
      <c r="N151" s="332" t="n"/>
      <c r="O151" s="333" t="n"/>
      <c r="P151" s="333" t="n"/>
      <c r="Q151" s="333" t="n"/>
      <c r="R151" s="333" t="n"/>
      <c r="S151" s="333" t="n"/>
      <c r="T151" s="252" t="inlineStr">
        <is>
          <t>京东世贸</t>
        </is>
      </c>
      <c r="U151" s="308" t="n">
        <v>0.01</v>
      </c>
    </row>
    <row r="152" ht="15.5" customHeight="1" s="8">
      <c r="A152" s="332" t="n"/>
      <c r="B152" s="332" t="n"/>
      <c r="C152" s="332" t="n"/>
      <c r="D152" s="332" t="n"/>
      <c r="E152" s="332" t="n"/>
      <c r="F152" s="332" t="n"/>
      <c r="G152" s="332" t="n"/>
      <c r="H152" s="332" t="n"/>
      <c r="I152" s="332" t="n"/>
      <c r="J152" s="332" t="n"/>
      <c r="K152" s="332" t="n"/>
      <c r="L152" s="332" t="n"/>
      <c r="M152" s="332" t="n"/>
      <c r="N152" s="332" t="n"/>
      <c r="O152" s="235" t="inlineStr">
        <is>
          <t>次级</t>
        </is>
      </c>
      <c r="P152" s="236" t="n">
        <v>0.05</v>
      </c>
      <c r="Q152" s="307" t="n">
        <v>0.5</v>
      </c>
      <c r="R152" s="235" t="inlineStr">
        <is>
          <t>无</t>
        </is>
      </c>
      <c r="S152" s="236" t="n">
        <v>0.045</v>
      </c>
      <c r="T152" s="235" t="inlineStr">
        <is>
          <t>利曦基金</t>
        </is>
      </c>
      <c r="U152" s="308" t="n">
        <v>0.1</v>
      </c>
    </row>
    <row r="153" ht="15.5" customHeight="1" s="8">
      <c r="A153" s="332" t="n"/>
      <c r="B153" s="332" t="n"/>
      <c r="C153" s="332" t="n"/>
      <c r="D153" s="332" t="n"/>
      <c r="E153" s="332" t="n"/>
      <c r="F153" s="332" t="n"/>
      <c r="G153" s="332" t="n"/>
      <c r="H153" s="332" t="n"/>
      <c r="I153" s="332" t="n"/>
      <c r="J153" s="332" t="n"/>
      <c r="K153" s="332" t="n"/>
      <c r="L153" s="332" t="n"/>
      <c r="M153" s="332" t="n"/>
      <c r="N153" s="332" t="n"/>
      <c r="O153" s="332" t="n"/>
      <c r="P153" s="332" t="n"/>
      <c r="Q153" s="332" t="n"/>
      <c r="R153" s="332" t="n"/>
      <c r="S153" s="332" t="n"/>
      <c r="T153" s="235" t="inlineStr">
        <is>
          <t>中信财富</t>
        </is>
      </c>
      <c r="U153" s="308" t="n">
        <v>0.1</v>
      </c>
    </row>
    <row r="154" ht="15.5" customHeight="1" s="8">
      <c r="A154" s="332" t="n"/>
      <c r="B154" s="332" t="n"/>
      <c r="C154" s="332" t="n"/>
      <c r="D154" s="332" t="n"/>
      <c r="E154" s="332" t="n"/>
      <c r="F154" s="332" t="n"/>
      <c r="G154" s="332" t="n"/>
      <c r="H154" s="332" t="n"/>
      <c r="I154" s="332" t="n"/>
      <c r="J154" s="332" t="n"/>
      <c r="K154" s="332" t="n"/>
      <c r="L154" s="332" t="n"/>
      <c r="M154" s="332" t="n"/>
      <c r="N154" s="332" t="n"/>
      <c r="O154" s="332" t="n"/>
      <c r="P154" s="332" t="n"/>
      <c r="Q154" s="332" t="n"/>
      <c r="R154" s="332" t="n"/>
      <c r="S154" s="332" t="n"/>
      <c r="T154" s="235" t="inlineStr">
        <is>
          <t>中信证券自营</t>
        </is>
      </c>
      <c r="U154" s="310" t="n">
        <v>0.075</v>
      </c>
    </row>
    <row r="155" ht="15.5" customHeight="1" s="8">
      <c r="A155" s="332" t="n"/>
      <c r="B155" s="332" t="n"/>
      <c r="C155" s="332" t="n"/>
      <c r="D155" s="332" t="n"/>
      <c r="E155" s="332" t="n"/>
      <c r="F155" s="332" t="n"/>
      <c r="G155" s="332" t="n"/>
      <c r="H155" s="332" t="n"/>
      <c r="I155" s="332" t="n"/>
      <c r="J155" s="332" t="n"/>
      <c r="K155" s="332" t="n"/>
      <c r="L155" s="332" t="n"/>
      <c r="M155" s="332" t="n"/>
      <c r="N155" s="332" t="n"/>
      <c r="O155" s="332" t="n"/>
      <c r="P155" s="332" t="n"/>
      <c r="Q155" s="332" t="n"/>
      <c r="R155" s="332" t="n"/>
      <c r="S155" s="332" t="n"/>
      <c r="T155" s="235" t="inlineStr">
        <is>
          <t>中信证券投顾</t>
        </is>
      </c>
      <c r="U155" s="308" t="n">
        <v>0.1</v>
      </c>
    </row>
    <row r="156" ht="15.5" customHeight="1" s="8">
      <c r="A156" s="332" t="n"/>
      <c r="B156" s="332" t="n"/>
      <c r="C156" s="332" t="n"/>
      <c r="D156" s="332" t="n"/>
      <c r="E156" s="332" t="n"/>
      <c r="F156" s="332" t="n"/>
      <c r="G156" s="332" t="n"/>
      <c r="H156" s="332" t="n"/>
      <c r="I156" s="332" t="n"/>
      <c r="J156" s="332" t="n"/>
      <c r="K156" s="332" t="n"/>
      <c r="L156" s="332" t="n"/>
      <c r="M156" s="332" t="n"/>
      <c r="N156" s="332" t="n"/>
      <c r="O156" s="332" t="n"/>
      <c r="P156" s="332" t="n"/>
      <c r="Q156" s="332" t="n"/>
      <c r="R156" s="332" t="n"/>
      <c r="S156" s="332" t="n"/>
      <c r="T156" s="235" t="inlineStr">
        <is>
          <t>京东世贸</t>
        </is>
      </c>
      <c r="U156" s="310" t="n">
        <v>0.025</v>
      </c>
    </row>
    <row r="157" ht="15.5" customHeight="1" s="8">
      <c r="A157" s="333" t="n"/>
      <c r="B157" s="333" t="n"/>
      <c r="C157" s="333" t="n"/>
      <c r="D157" s="333" t="n"/>
      <c r="E157" s="333" t="n"/>
      <c r="F157" s="333" t="n"/>
      <c r="G157" s="333" t="n"/>
      <c r="H157" s="333" t="n"/>
      <c r="I157" s="333" t="n"/>
      <c r="J157" s="333" t="n"/>
      <c r="K157" s="333" t="n"/>
      <c r="L157" s="333" t="n"/>
      <c r="M157" s="333" t="n"/>
      <c r="N157" s="333" t="n"/>
      <c r="O157" s="333" t="n"/>
      <c r="P157" s="333" t="n"/>
      <c r="Q157" s="333" t="n"/>
      <c r="R157" s="333" t="n"/>
      <c r="S157" s="333" t="n"/>
      <c r="T157" s="235" t="inlineStr">
        <is>
          <t>东家铂睿</t>
        </is>
      </c>
      <c r="U157" s="308" t="n">
        <v>0.1</v>
      </c>
    </row>
    <row r="158" ht="15.5" customHeight="1" s="8">
      <c r="A158" s="305" t="inlineStr">
        <is>
          <t>4月</t>
        </is>
      </c>
      <c r="B158" s="305" t="inlineStr">
        <is>
          <t>消金</t>
        </is>
      </c>
      <c r="C158" s="305" t="inlineStr">
        <is>
          <t>赊销白条</t>
        </is>
      </c>
      <c r="D158" s="305" t="inlineStr">
        <is>
          <t>东裕9号伯裕</t>
        </is>
      </c>
      <c r="E158" s="305" t="inlineStr">
        <is>
          <t>银行间</t>
        </is>
      </c>
      <c r="F158" s="305" t="inlineStr">
        <is>
          <t>招商证券</t>
        </is>
      </c>
      <c r="G158" s="305" t="inlineStr">
        <is>
          <t>杭州银行/南京银行/江苏银行/厦门国际银行</t>
        </is>
      </c>
      <c r="H158" s="305" t="inlineStr">
        <is>
          <t>广发北分</t>
        </is>
      </c>
      <c r="I158" s="245" t="n">
        <v>10</v>
      </c>
      <c r="J158" s="305" t="inlineStr">
        <is>
          <t>12+12+10+2</t>
        </is>
      </c>
      <c r="K158" s="246" t="n">
        <v>46139</v>
      </c>
      <c r="L158" s="247" t="n">
        <v>0.01445</v>
      </c>
      <c r="M158" s="247" t="n">
        <v>0.0178</v>
      </c>
      <c r="N158" s="245" t="n">
        <v>2.47</v>
      </c>
      <c r="O158" s="235" t="inlineStr">
        <is>
          <t>优先A</t>
        </is>
      </c>
      <c r="P158" s="236" t="n">
        <v>0.9</v>
      </c>
      <c r="Q158" s="307" t="n">
        <v>9</v>
      </c>
      <c r="R158" s="235" t="inlineStr">
        <is>
          <t>AAA</t>
        </is>
      </c>
      <c r="S158" s="236" t="n">
        <v>0.0156</v>
      </c>
      <c r="T158" s="235" t="inlineStr">
        <is>
          <t>杭银理财</t>
        </is>
      </c>
      <c r="U158" s="308" t="n">
        <v>0.41</v>
      </c>
    </row>
    <row r="159" ht="15.5" customHeight="1" s="8">
      <c r="A159" s="332" t="n"/>
      <c r="B159" s="332" t="n"/>
      <c r="C159" s="332" t="n"/>
      <c r="D159" s="332" t="n"/>
      <c r="E159" s="332" t="n"/>
      <c r="F159" s="332" t="n"/>
      <c r="G159" s="332" t="n"/>
      <c r="H159" s="332" t="n"/>
      <c r="I159" s="332" t="n"/>
      <c r="J159" s="332" t="n"/>
      <c r="K159" s="332" t="n"/>
      <c r="L159" s="332" t="n"/>
      <c r="M159" s="332" t="n"/>
      <c r="N159" s="332" t="n"/>
      <c r="O159" s="332" t="n"/>
      <c r="P159" s="332" t="n"/>
      <c r="Q159" s="332" t="n"/>
      <c r="R159" s="332" t="n"/>
      <c r="S159" s="332" t="n"/>
      <c r="T159" s="235" t="inlineStr">
        <is>
          <t>杭州联合银行</t>
        </is>
      </c>
      <c r="U159" s="308" t="n">
        <v>0.5</v>
      </c>
    </row>
    <row r="160" ht="15.5" customHeight="1" s="8">
      <c r="A160" s="332" t="n"/>
      <c r="B160" s="332" t="n"/>
      <c r="C160" s="332" t="n"/>
      <c r="D160" s="332" t="n"/>
      <c r="E160" s="332" t="n"/>
      <c r="F160" s="332" t="n"/>
      <c r="G160" s="332" t="n"/>
      <c r="H160" s="332" t="n"/>
      <c r="I160" s="332" t="n"/>
      <c r="J160" s="332" t="n"/>
      <c r="K160" s="332" t="n"/>
      <c r="L160" s="332" t="n"/>
      <c r="M160" s="332" t="n"/>
      <c r="N160" s="332" t="n"/>
      <c r="O160" s="332" t="n"/>
      <c r="P160" s="332" t="n"/>
      <c r="Q160" s="332" t="n"/>
      <c r="R160" s="332" t="n"/>
      <c r="S160" s="332" t="n"/>
      <c r="T160" s="235" t="inlineStr">
        <is>
          <t>杭州银行</t>
        </is>
      </c>
      <c r="U160" s="308" t="n">
        <v>1.2</v>
      </c>
    </row>
    <row r="161" ht="15.5" customHeight="1" s="8">
      <c r="A161" s="332" t="n"/>
      <c r="B161" s="332" t="n"/>
      <c r="C161" s="332" t="n"/>
      <c r="D161" s="332" t="n"/>
      <c r="E161" s="332" t="n"/>
      <c r="F161" s="332" t="n"/>
      <c r="G161" s="332" t="n"/>
      <c r="H161" s="332" t="n"/>
      <c r="I161" s="332" t="n"/>
      <c r="J161" s="332" t="n"/>
      <c r="K161" s="332" t="n"/>
      <c r="L161" s="332" t="n"/>
      <c r="M161" s="332" t="n"/>
      <c r="N161" s="332" t="n"/>
      <c r="O161" s="332" t="n"/>
      <c r="P161" s="332" t="n"/>
      <c r="Q161" s="332" t="n"/>
      <c r="R161" s="332" t="n"/>
      <c r="S161" s="332" t="n"/>
      <c r="T161" s="235" t="inlineStr">
        <is>
          <t>江苏银行</t>
        </is>
      </c>
      <c r="U161" s="308" t="n">
        <v>1.8</v>
      </c>
    </row>
    <row r="162" ht="15.5" customHeight="1" s="8">
      <c r="A162" s="332" t="n"/>
      <c r="B162" s="332" t="n"/>
      <c r="C162" s="332" t="n"/>
      <c r="D162" s="332" t="n"/>
      <c r="E162" s="332" t="n"/>
      <c r="F162" s="332" t="n"/>
      <c r="G162" s="332" t="n"/>
      <c r="H162" s="332" t="n"/>
      <c r="I162" s="332" t="n"/>
      <c r="J162" s="332" t="n"/>
      <c r="K162" s="332" t="n"/>
      <c r="L162" s="332" t="n"/>
      <c r="M162" s="332" t="n"/>
      <c r="N162" s="332" t="n"/>
      <c r="O162" s="332" t="n"/>
      <c r="P162" s="332" t="n"/>
      <c r="Q162" s="332" t="n"/>
      <c r="R162" s="332" t="n"/>
      <c r="S162" s="332" t="n"/>
      <c r="T162" s="235" t="inlineStr">
        <is>
          <t>南京银行</t>
        </is>
      </c>
      <c r="U162" s="308" t="n">
        <v>0.8</v>
      </c>
    </row>
    <row r="163" ht="15.5" customHeight="1" s="8">
      <c r="A163" s="332" t="n"/>
      <c r="B163" s="332" t="n"/>
      <c r="C163" s="332" t="n"/>
      <c r="D163" s="332" t="n"/>
      <c r="E163" s="332" t="n"/>
      <c r="F163" s="332" t="n"/>
      <c r="G163" s="332" t="n"/>
      <c r="H163" s="332" t="n"/>
      <c r="I163" s="332" t="n"/>
      <c r="J163" s="332" t="n"/>
      <c r="K163" s="332" t="n"/>
      <c r="L163" s="332" t="n"/>
      <c r="M163" s="332" t="n"/>
      <c r="N163" s="332" t="n"/>
      <c r="O163" s="332" t="n"/>
      <c r="P163" s="332" t="n"/>
      <c r="Q163" s="332" t="n"/>
      <c r="R163" s="332" t="n"/>
      <c r="S163" s="332" t="n"/>
      <c r="T163" s="235" t="inlineStr">
        <is>
          <t>平安理财</t>
        </is>
      </c>
      <c r="U163" s="308" t="n">
        <v>2.7</v>
      </c>
    </row>
    <row r="164" ht="15.5" customHeight="1" s="8">
      <c r="A164" s="332" t="n"/>
      <c r="B164" s="332" t="n"/>
      <c r="C164" s="332" t="n"/>
      <c r="D164" s="332" t="n"/>
      <c r="E164" s="332" t="n"/>
      <c r="F164" s="332" t="n"/>
      <c r="G164" s="332" t="n"/>
      <c r="H164" s="332" t="n"/>
      <c r="I164" s="332" t="n"/>
      <c r="J164" s="332" t="n"/>
      <c r="K164" s="332" t="n"/>
      <c r="L164" s="332" t="n"/>
      <c r="M164" s="332" t="n"/>
      <c r="N164" s="332" t="n"/>
      <c r="O164" s="333" t="n"/>
      <c r="P164" s="333" t="n"/>
      <c r="Q164" s="333" t="n"/>
      <c r="R164" s="333" t="n"/>
      <c r="S164" s="333" t="n"/>
      <c r="T164" s="235" t="inlineStr">
        <is>
          <t>招银理财</t>
        </is>
      </c>
      <c r="U164" s="308" t="n">
        <v>1.59</v>
      </c>
    </row>
    <row r="165" ht="15.5" customHeight="1" s="8">
      <c r="A165" s="332" t="n"/>
      <c r="B165" s="332" t="n"/>
      <c r="C165" s="332" t="n"/>
      <c r="D165" s="332" t="n"/>
      <c r="E165" s="332" t="n"/>
      <c r="F165" s="332" t="n"/>
      <c r="G165" s="332" t="n"/>
      <c r="H165" s="332" t="n"/>
      <c r="I165" s="332" t="n"/>
      <c r="J165" s="332" t="n"/>
      <c r="K165" s="332" t="n"/>
      <c r="L165" s="332" t="n"/>
      <c r="M165" s="332" t="n"/>
      <c r="N165" s="332" t="n"/>
      <c r="O165" s="235" t="inlineStr">
        <is>
          <t>优先B</t>
        </is>
      </c>
      <c r="P165" s="236" t="n">
        <v>0.03</v>
      </c>
      <c r="Q165" s="307" t="n">
        <v>0.3</v>
      </c>
      <c r="R165" s="235" t="inlineStr">
        <is>
          <t>AA+</t>
        </is>
      </c>
      <c r="S165" s="236" t="n">
        <v>0.0175</v>
      </c>
      <c r="T165" s="235" t="inlineStr">
        <is>
          <t>杭州联合银行</t>
        </is>
      </c>
      <c r="U165" s="322" t="n">
        <v>0.03</v>
      </c>
    </row>
    <row r="166" ht="15.5" customHeight="1" s="8">
      <c r="A166" s="332" t="n"/>
      <c r="B166" s="332" t="n"/>
      <c r="C166" s="332" t="n"/>
      <c r="D166" s="332" t="n"/>
      <c r="E166" s="332" t="n"/>
      <c r="F166" s="332" t="n"/>
      <c r="G166" s="332" t="n"/>
      <c r="H166" s="332" t="n"/>
      <c r="I166" s="332" t="n"/>
      <c r="J166" s="332" t="n"/>
      <c r="K166" s="332" t="n"/>
      <c r="L166" s="332" t="n"/>
      <c r="M166" s="332" t="n"/>
      <c r="N166" s="332" t="n"/>
      <c r="O166" s="332" t="n"/>
      <c r="P166" s="332" t="n"/>
      <c r="Q166" s="332" t="n"/>
      <c r="R166" s="332" t="n"/>
      <c r="S166" s="332" t="n"/>
      <c r="T166" s="235" t="inlineStr">
        <is>
          <t>交银理财</t>
        </is>
      </c>
      <c r="U166" s="308" t="n">
        <v>0.09</v>
      </c>
    </row>
    <row r="167" ht="15.5" customHeight="1" s="8">
      <c r="A167" s="332" t="n"/>
      <c r="B167" s="332" t="n"/>
      <c r="C167" s="332" t="n"/>
      <c r="D167" s="332" t="n"/>
      <c r="E167" s="332" t="n"/>
      <c r="F167" s="332" t="n"/>
      <c r="G167" s="332" t="n"/>
      <c r="H167" s="332" t="n"/>
      <c r="I167" s="332" t="n"/>
      <c r="J167" s="332" t="n"/>
      <c r="K167" s="332" t="n"/>
      <c r="L167" s="332" t="n"/>
      <c r="M167" s="332" t="n"/>
      <c r="N167" s="332" t="n"/>
      <c r="O167" s="332" t="n"/>
      <c r="P167" s="332" t="n"/>
      <c r="Q167" s="332" t="n"/>
      <c r="R167" s="332" t="n"/>
      <c r="S167" s="332" t="n"/>
      <c r="T167" s="235" t="inlineStr">
        <is>
          <t>平安理财</t>
        </is>
      </c>
      <c r="U167" s="308" t="n">
        <v>0.09</v>
      </c>
    </row>
    <row r="168" ht="15.5" customHeight="1" s="8">
      <c r="A168" s="332" t="n"/>
      <c r="B168" s="332" t="n"/>
      <c r="C168" s="332" t="n"/>
      <c r="D168" s="332" t="n"/>
      <c r="E168" s="332" t="n"/>
      <c r="F168" s="332" t="n"/>
      <c r="G168" s="332" t="n"/>
      <c r="H168" s="332" t="n"/>
      <c r="I168" s="332" t="n"/>
      <c r="J168" s="332" t="n"/>
      <c r="K168" s="332" t="n"/>
      <c r="L168" s="332" t="n"/>
      <c r="M168" s="332" t="n"/>
      <c r="N168" s="332" t="n"/>
      <c r="O168" s="333" t="n"/>
      <c r="P168" s="333" t="n"/>
      <c r="Q168" s="333" t="n"/>
      <c r="R168" s="333" t="n"/>
      <c r="S168" s="333" t="n"/>
      <c r="T168" s="235" t="inlineStr">
        <is>
          <t>招银理财</t>
        </is>
      </c>
      <c r="U168" s="308" t="n">
        <v>0.09</v>
      </c>
    </row>
    <row r="169" ht="15.5" customHeight="1" s="8">
      <c r="A169" s="332" t="n"/>
      <c r="B169" s="332" t="n"/>
      <c r="C169" s="332" t="n"/>
      <c r="D169" s="332" t="n"/>
      <c r="E169" s="332" t="n"/>
      <c r="F169" s="332" t="n"/>
      <c r="G169" s="332" t="n"/>
      <c r="H169" s="332" t="n"/>
      <c r="I169" s="332" t="n"/>
      <c r="J169" s="332" t="n"/>
      <c r="K169" s="332" t="n"/>
      <c r="L169" s="332" t="n"/>
      <c r="M169" s="332" t="n"/>
      <c r="N169" s="332" t="n"/>
      <c r="O169" s="235" t="inlineStr">
        <is>
          <t>中间级</t>
        </is>
      </c>
      <c r="P169" s="236" t="n">
        <v>0.02</v>
      </c>
      <c r="Q169" s="307" t="n">
        <v>0.2</v>
      </c>
      <c r="R169" s="235" t="inlineStr">
        <is>
          <t>A+</t>
        </is>
      </c>
      <c r="S169" s="236" t="n">
        <v>0.031</v>
      </c>
      <c r="T169" s="235" t="inlineStr">
        <is>
          <t>平安理财</t>
        </is>
      </c>
      <c r="U169" s="308" t="n">
        <v>0.06</v>
      </c>
    </row>
    <row r="170" ht="15.5" customHeight="1" s="8">
      <c r="A170" s="332" t="n"/>
      <c r="B170" s="332" t="n"/>
      <c r="C170" s="332" t="n"/>
      <c r="D170" s="332" t="n"/>
      <c r="E170" s="332" t="n"/>
      <c r="F170" s="332" t="n"/>
      <c r="G170" s="332" t="n"/>
      <c r="H170" s="332" t="n"/>
      <c r="I170" s="332" t="n"/>
      <c r="J170" s="332" t="n"/>
      <c r="K170" s="332" t="n"/>
      <c r="L170" s="332" t="n"/>
      <c r="M170" s="332" t="n"/>
      <c r="N170" s="332" t="n"/>
      <c r="O170" s="332" t="n"/>
      <c r="P170" s="332" t="n"/>
      <c r="Q170" s="332" t="n"/>
      <c r="R170" s="332" t="n"/>
      <c r="S170" s="332" t="n"/>
      <c r="T170" s="235" t="inlineStr">
        <is>
          <t>招银理财</t>
        </is>
      </c>
      <c r="U170" s="308" t="n">
        <v>0.06</v>
      </c>
    </row>
    <row r="171" ht="15.5" customHeight="1" s="8">
      <c r="A171" s="332" t="n"/>
      <c r="B171" s="332" t="n"/>
      <c r="C171" s="332" t="n"/>
      <c r="D171" s="332" t="n"/>
      <c r="E171" s="332" t="n"/>
      <c r="F171" s="332" t="n"/>
      <c r="G171" s="332" t="n"/>
      <c r="H171" s="332" t="n"/>
      <c r="I171" s="332" t="n"/>
      <c r="J171" s="332" t="n"/>
      <c r="K171" s="332" t="n"/>
      <c r="L171" s="332" t="n"/>
      <c r="M171" s="332" t="n"/>
      <c r="N171" s="332" t="n"/>
      <c r="O171" s="333" t="n"/>
      <c r="P171" s="333" t="n"/>
      <c r="Q171" s="333" t="n"/>
      <c r="R171" s="333" t="n"/>
      <c r="S171" s="333" t="n"/>
      <c r="T171" s="235" t="inlineStr">
        <is>
          <t>银河固收</t>
        </is>
      </c>
      <c r="U171" s="308" t="n">
        <v>0.08</v>
      </c>
    </row>
    <row r="172" ht="15.5" customHeight="1" s="8">
      <c r="A172" s="332" t="n"/>
      <c r="B172" s="332" t="n"/>
      <c r="C172" s="332" t="n"/>
      <c r="D172" s="332" t="n"/>
      <c r="E172" s="332" t="n"/>
      <c r="F172" s="332" t="n"/>
      <c r="G172" s="332" t="n"/>
      <c r="H172" s="332" t="n"/>
      <c r="I172" s="332" t="n"/>
      <c r="J172" s="332" t="n"/>
      <c r="K172" s="332" t="n"/>
      <c r="L172" s="332" t="n"/>
      <c r="M172" s="332" t="n"/>
      <c r="N172" s="332" t="n"/>
      <c r="O172" s="235" t="inlineStr">
        <is>
          <t>次级</t>
        </is>
      </c>
      <c r="P172" s="236" t="n">
        <v>0.05</v>
      </c>
      <c r="Q172" s="307" t="n">
        <v>0.5</v>
      </c>
      <c r="R172" s="235" t="inlineStr">
        <is>
          <t>无</t>
        </is>
      </c>
      <c r="S172" s="236" t="n">
        <v>0.045</v>
      </c>
      <c r="T172" s="235" t="inlineStr">
        <is>
          <t>东家铂睿</t>
        </is>
      </c>
      <c r="U172" s="308" t="n">
        <v>0.1</v>
      </c>
    </row>
    <row r="173" ht="15.5" customHeight="1" s="8">
      <c r="A173" s="332" t="n"/>
      <c r="B173" s="332" t="n"/>
      <c r="C173" s="332" t="n"/>
      <c r="D173" s="332" t="n"/>
      <c r="E173" s="332" t="n"/>
      <c r="F173" s="332" t="n"/>
      <c r="G173" s="332" t="n"/>
      <c r="H173" s="332" t="n"/>
      <c r="I173" s="332" t="n"/>
      <c r="J173" s="332" t="n"/>
      <c r="K173" s="332" t="n"/>
      <c r="L173" s="332" t="n"/>
      <c r="M173" s="332" t="n"/>
      <c r="N173" s="332" t="n"/>
      <c r="O173" s="332" t="n"/>
      <c r="P173" s="332" t="n"/>
      <c r="Q173" s="332" t="n"/>
      <c r="R173" s="332" t="n"/>
      <c r="S173" s="332" t="n"/>
      <c r="T173" s="235" t="inlineStr">
        <is>
          <t>中信证券自营</t>
        </is>
      </c>
      <c r="U173" s="308" t="n">
        <v>0.12</v>
      </c>
    </row>
    <row r="174" ht="15.5" customHeight="1" s="8">
      <c r="A174" s="332" t="n"/>
      <c r="B174" s="332" t="n"/>
      <c r="C174" s="332" t="n"/>
      <c r="D174" s="332" t="n"/>
      <c r="E174" s="332" t="n"/>
      <c r="F174" s="332" t="n"/>
      <c r="G174" s="332" t="n"/>
      <c r="H174" s="332" t="n"/>
      <c r="I174" s="332" t="n"/>
      <c r="J174" s="332" t="n"/>
      <c r="K174" s="332" t="n"/>
      <c r="L174" s="332" t="n"/>
      <c r="M174" s="332" t="n"/>
      <c r="N174" s="332" t="n"/>
      <c r="O174" s="332" t="n"/>
      <c r="P174" s="332" t="n"/>
      <c r="Q174" s="332" t="n"/>
      <c r="R174" s="332" t="n"/>
      <c r="S174" s="332" t="n"/>
      <c r="T174" s="235" t="inlineStr">
        <is>
          <t>广发证券自营</t>
        </is>
      </c>
      <c r="U174" s="310" t="n">
        <v>0.08</v>
      </c>
    </row>
    <row r="175" ht="15.5" customHeight="1" s="8">
      <c r="A175" s="333" t="n"/>
      <c r="B175" s="333" t="n"/>
      <c r="C175" s="333" t="n"/>
      <c r="D175" s="333" t="n"/>
      <c r="E175" s="333" t="n"/>
      <c r="F175" s="333" t="n"/>
      <c r="G175" s="333" t="n"/>
      <c r="H175" s="333" t="n"/>
      <c r="I175" s="333" t="n"/>
      <c r="J175" s="333" t="n"/>
      <c r="K175" s="333" t="n"/>
      <c r="L175" s="333" t="n"/>
      <c r="M175" s="333" t="n"/>
      <c r="N175" s="333" t="n"/>
      <c r="O175" s="333" t="n"/>
      <c r="P175" s="333" t="n"/>
      <c r="Q175" s="333" t="n"/>
      <c r="R175" s="333" t="n"/>
      <c r="S175" s="333" t="n"/>
      <c r="T175" s="235" t="inlineStr">
        <is>
          <t>远东宏信</t>
        </is>
      </c>
      <c r="U175" s="308" t="n">
        <v>0.2</v>
      </c>
    </row>
    <row r="176" ht="15.5" customHeight="1" s="8">
      <c r="A176" s="305" t="inlineStr">
        <is>
          <t>4月</t>
        </is>
      </c>
      <c r="B176" s="305" t="inlineStr">
        <is>
          <t>消金</t>
        </is>
      </c>
      <c r="C176" s="305" t="inlineStr">
        <is>
          <t>赊销白条</t>
        </is>
      </c>
      <c r="D176" s="305" t="inlineStr">
        <is>
          <t>禾昱9-2</t>
        </is>
      </c>
      <c r="E176" s="305" t="inlineStr">
        <is>
          <t>上交所</t>
        </is>
      </c>
      <c r="F176" s="305" t="inlineStr">
        <is>
          <t>华泰资管</t>
        </is>
      </c>
      <c r="G176" s="305" t="inlineStr">
        <is>
          <t>东方证券</t>
        </is>
      </c>
      <c r="H176" s="305" t="inlineStr">
        <is>
          <t>建行北分</t>
        </is>
      </c>
      <c r="I176" s="245" t="n">
        <v>10</v>
      </c>
      <c r="J176" s="305" t="inlineStr">
        <is>
          <t>12+5+15+3</t>
        </is>
      </c>
      <c r="K176" s="246" t="n">
        <v>46139</v>
      </c>
      <c r="L176" s="247" t="n">
        <v>0.01445</v>
      </c>
      <c r="M176" s="247" t="n">
        <v>0.0184</v>
      </c>
      <c r="N176" s="245" t="n">
        <v>1.5</v>
      </c>
      <c r="O176" s="235" t="inlineStr">
        <is>
          <t>优先A</t>
        </is>
      </c>
      <c r="P176" s="236" t="n">
        <v>0.9</v>
      </c>
      <c r="Q176" s="307" t="n">
        <v>9</v>
      </c>
      <c r="R176" s="235" t="inlineStr">
        <is>
          <t>AAA</t>
        </is>
      </c>
      <c r="S176" s="236" t="n">
        <v>0.016</v>
      </c>
      <c r="T176" s="235" t="inlineStr">
        <is>
          <t>宿迁钧腾</t>
        </is>
      </c>
      <c r="U176" s="308" t="n">
        <v>0.45</v>
      </c>
    </row>
    <row r="177" ht="15.5" customHeight="1" s="8">
      <c r="A177" s="332" t="n"/>
      <c r="B177" s="332" t="n"/>
      <c r="C177" s="332" t="n"/>
      <c r="D177" s="332" t="n"/>
      <c r="E177" s="332" t="n"/>
      <c r="F177" s="332" t="n"/>
      <c r="G177" s="332" t="n"/>
      <c r="H177" s="332" t="n"/>
      <c r="I177" s="332" t="n"/>
      <c r="J177" s="332" t="n"/>
      <c r="K177" s="332" t="n"/>
      <c r="L177" s="332" t="n"/>
      <c r="M177" s="332" t="n"/>
      <c r="N177" s="332" t="n"/>
      <c r="O177" s="332" t="n"/>
      <c r="P177" s="332" t="n"/>
      <c r="Q177" s="332" t="n"/>
      <c r="R177" s="332" t="n"/>
      <c r="S177" s="332" t="n"/>
      <c r="T177" s="235" t="inlineStr">
        <is>
          <t>杭州联合银行</t>
        </is>
      </c>
      <c r="U177" s="308" t="n">
        <v>0.5</v>
      </c>
    </row>
    <row r="178" ht="15.5" customHeight="1" s="8">
      <c r="A178" s="332" t="n"/>
      <c r="B178" s="332" t="n"/>
      <c r="C178" s="332" t="n"/>
      <c r="D178" s="332" t="n"/>
      <c r="E178" s="332" t="n"/>
      <c r="F178" s="332" t="n"/>
      <c r="G178" s="332" t="n"/>
      <c r="H178" s="332" t="n"/>
      <c r="I178" s="332" t="n"/>
      <c r="J178" s="332" t="n"/>
      <c r="K178" s="332" t="n"/>
      <c r="L178" s="332" t="n"/>
      <c r="M178" s="332" t="n"/>
      <c r="N178" s="332" t="n"/>
      <c r="O178" s="332" t="n"/>
      <c r="P178" s="332" t="n"/>
      <c r="Q178" s="332" t="n"/>
      <c r="R178" s="332" t="n"/>
      <c r="S178" s="332" t="n"/>
      <c r="T178" s="235" t="inlineStr">
        <is>
          <t>交银理财</t>
        </is>
      </c>
      <c r="U178" s="308" t="n">
        <v>1.27</v>
      </c>
    </row>
    <row r="179" ht="15.5" customHeight="1" s="8">
      <c r="A179" s="332" t="n"/>
      <c r="B179" s="332" t="n"/>
      <c r="C179" s="332" t="n"/>
      <c r="D179" s="332" t="n"/>
      <c r="E179" s="332" t="n"/>
      <c r="F179" s="332" t="n"/>
      <c r="G179" s="332" t="n"/>
      <c r="H179" s="332" t="n"/>
      <c r="I179" s="332" t="n"/>
      <c r="J179" s="332" t="n"/>
      <c r="K179" s="332" t="n"/>
      <c r="L179" s="332" t="n"/>
      <c r="M179" s="332" t="n"/>
      <c r="N179" s="332" t="n"/>
      <c r="O179" s="332" t="n"/>
      <c r="P179" s="332" t="n"/>
      <c r="Q179" s="332" t="n"/>
      <c r="R179" s="332" t="n"/>
      <c r="S179" s="332" t="n"/>
      <c r="T179" s="235" t="inlineStr">
        <is>
          <t>平安理财</t>
        </is>
      </c>
      <c r="U179" s="308" t="n">
        <v>1.13</v>
      </c>
    </row>
    <row r="180" ht="15.5" customHeight="1" s="8">
      <c r="A180" s="332" t="n"/>
      <c r="B180" s="332" t="n"/>
      <c r="C180" s="332" t="n"/>
      <c r="D180" s="332" t="n"/>
      <c r="E180" s="332" t="n"/>
      <c r="F180" s="332" t="n"/>
      <c r="G180" s="332" t="n"/>
      <c r="H180" s="332" t="n"/>
      <c r="I180" s="332" t="n"/>
      <c r="J180" s="332" t="n"/>
      <c r="K180" s="332" t="n"/>
      <c r="L180" s="332" t="n"/>
      <c r="M180" s="332" t="n"/>
      <c r="N180" s="332" t="n"/>
      <c r="O180" s="332" t="n"/>
      <c r="P180" s="332" t="n"/>
      <c r="Q180" s="332" t="n"/>
      <c r="R180" s="332" t="n"/>
      <c r="S180" s="332" t="n"/>
      <c r="T180" s="235" t="inlineStr">
        <is>
          <t>平安养老</t>
        </is>
      </c>
      <c r="U180" s="308" t="n">
        <v>1.08</v>
      </c>
    </row>
    <row r="181" ht="15.5" customHeight="1" s="8">
      <c r="A181" s="332" t="n"/>
      <c r="B181" s="332" t="n"/>
      <c r="C181" s="332" t="n"/>
      <c r="D181" s="332" t="n"/>
      <c r="E181" s="332" t="n"/>
      <c r="F181" s="332" t="n"/>
      <c r="G181" s="332" t="n"/>
      <c r="H181" s="332" t="n"/>
      <c r="I181" s="332" t="n"/>
      <c r="J181" s="332" t="n"/>
      <c r="K181" s="332" t="n"/>
      <c r="L181" s="332" t="n"/>
      <c r="M181" s="332" t="n"/>
      <c r="N181" s="332" t="n"/>
      <c r="O181" s="332" t="n"/>
      <c r="P181" s="332" t="n"/>
      <c r="Q181" s="332" t="n"/>
      <c r="R181" s="332" t="n"/>
      <c r="S181" s="332" t="n"/>
      <c r="T181" s="235" t="inlineStr">
        <is>
          <t>招银理财</t>
        </is>
      </c>
      <c r="U181" s="308" t="n">
        <v>2.7</v>
      </c>
    </row>
    <row r="182" ht="15.5" customHeight="1" s="8">
      <c r="A182" s="332" t="n"/>
      <c r="B182" s="332" t="n"/>
      <c r="C182" s="332" t="n"/>
      <c r="D182" s="332" t="n"/>
      <c r="E182" s="332" t="n"/>
      <c r="F182" s="332" t="n"/>
      <c r="G182" s="332" t="n"/>
      <c r="H182" s="332" t="n"/>
      <c r="I182" s="332" t="n"/>
      <c r="J182" s="332" t="n"/>
      <c r="K182" s="332" t="n"/>
      <c r="L182" s="332" t="n"/>
      <c r="M182" s="332" t="n"/>
      <c r="N182" s="332" t="n"/>
      <c r="O182" s="333" t="n"/>
      <c r="P182" s="333" t="n"/>
      <c r="Q182" s="333" t="n"/>
      <c r="R182" s="333" t="n"/>
      <c r="S182" s="333" t="n"/>
      <c r="T182" s="235" t="inlineStr">
        <is>
          <t>中邮理财</t>
        </is>
      </c>
      <c r="U182" s="308" t="n">
        <v>1.87</v>
      </c>
    </row>
    <row r="183" ht="15.5" customHeight="1" s="8">
      <c r="A183" s="332" t="n"/>
      <c r="B183" s="332" t="n"/>
      <c r="C183" s="332" t="n"/>
      <c r="D183" s="332" t="n"/>
      <c r="E183" s="332" t="n"/>
      <c r="F183" s="332" t="n"/>
      <c r="G183" s="332" t="n"/>
      <c r="H183" s="332" t="n"/>
      <c r="I183" s="332" t="n"/>
      <c r="J183" s="332" t="n"/>
      <c r="K183" s="332" t="n"/>
      <c r="L183" s="332" t="n"/>
      <c r="M183" s="332" t="n"/>
      <c r="N183" s="332" t="n"/>
      <c r="O183" s="235" t="inlineStr">
        <is>
          <t>优先B</t>
        </is>
      </c>
      <c r="P183" s="236" t="n">
        <v>0.03</v>
      </c>
      <c r="Q183" s="307" t="n">
        <v>0.3</v>
      </c>
      <c r="R183" s="235" t="inlineStr">
        <is>
          <t>AA+</t>
        </is>
      </c>
      <c r="S183" s="236" t="n">
        <v>0.0175</v>
      </c>
      <c r="T183" s="235" t="inlineStr">
        <is>
          <t>宿迁钧腾</t>
        </is>
      </c>
      <c r="U183" s="308" t="n">
        <v>0.015</v>
      </c>
    </row>
    <row r="184" ht="15.5" customHeight="1" s="8">
      <c r="A184" s="332" t="n"/>
      <c r="B184" s="332" t="n"/>
      <c r="C184" s="332" t="n"/>
      <c r="D184" s="332" t="n"/>
      <c r="E184" s="332" t="n"/>
      <c r="F184" s="332" t="n"/>
      <c r="G184" s="332" t="n"/>
      <c r="H184" s="332" t="n"/>
      <c r="I184" s="332" t="n"/>
      <c r="J184" s="332" t="n"/>
      <c r="K184" s="332" t="n"/>
      <c r="L184" s="332" t="n"/>
      <c r="M184" s="332" t="n"/>
      <c r="N184" s="332" t="n"/>
      <c r="O184" s="332" t="n"/>
      <c r="P184" s="332" t="n"/>
      <c r="Q184" s="332" t="n"/>
      <c r="R184" s="332" t="n"/>
      <c r="S184" s="332" t="n"/>
      <c r="T184" s="235" t="inlineStr">
        <is>
          <t>交银理财</t>
        </is>
      </c>
      <c r="U184" s="308" t="n">
        <v>0.09</v>
      </c>
    </row>
    <row r="185" ht="15.5" customHeight="1" s="8">
      <c r="A185" s="332" t="n"/>
      <c r="B185" s="332" t="n"/>
      <c r="C185" s="332" t="n"/>
      <c r="D185" s="332" t="n"/>
      <c r="E185" s="332" t="n"/>
      <c r="F185" s="332" t="n"/>
      <c r="G185" s="332" t="n"/>
      <c r="H185" s="332" t="n"/>
      <c r="I185" s="332" t="n"/>
      <c r="J185" s="332" t="n"/>
      <c r="K185" s="332" t="n"/>
      <c r="L185" s="332" t="n"/>
      <c r="M185" s="332" t="n"/>
      <c r="N185" s="332" t="n"/>
      <c r="O185" s="332" t="n"/>
      <c r="P185" s="332" t="n"/>
      <c r="Q185" s="332" t="n"/>
      <c r="R185" s="332" t="n"/>
      <c r="S185" s="332" t="n"/>
      <c r="T185" s="235" t="inlineStr">
        <is>
          <t>招银理财</t>
        </is>
      </c>
      <c r="U185" s="310" t="n">
        <v>0.09</v>
      </c>
    </row>
    <row r="186" ht="15.5" customHeight="1" s="8">
      <c r="A186" s="332" t="n"/>
      <c r="B186" s="332" t="n"/>
      <c r="C186" s="332" t="n"/>
      <c r="D186" s="332" t="n"/>
      <c r="E186" s="332" t="n"/>
      <c r="F186" s="332" t="n"/>
      <c r="G186" s="332" t="n"/>
      <c r="H186" s="332" t="n"/>
      <c r="I186" s="332" t="n"/>
      <c r="J186" s="332" t="n"/>
      <c r="K186" s="332" t="n"/>
      <c r="L186" s="332" t="n"/>
      <c r="M186" s="332" t="n"/>
      <c r="N186" s="332" t="n"/>
      <c r="O186" s="332" t="n"/>
      <c r="P186" s="332" t="n"/>
      <c r="Q186" s="332" t="n"/>
      <c r="R186" s="332" t="n"/>
      <c r="S186" s="332" t="n"/>
      <c r="T186" s="235" t="inlineStr">
        <is>
          <t>平安理财</t>
        </is>
      </c>
      <c r="U186" s="310" t="n">
        <v>0.07000000000000001</v>
      </c>
    </row>
    <row r="187" ht="15.5" customHeight="1" s="8">
      <c r="A187" s="332" t="n"/>
      <c r="B187" s="332" t="n"/>
      <c r="C187" s="332" t="n"/>
      <c r="D187" s="332" t="n"/>
      <c r="E187" s="332" t="n"/>
      <c r="F187" s="332" t="n"/>
      <c r="G187" s="332" t="n"/>
      <c r="H187" s="332" t="n"/>
      <c r="I187" s="332" t="n"/>
      <c r="J187" s="332" t="n"/>
      <c r="K187" s="332" t="n"/>
      <c r="L187" s="332" t="n"/>
      <c r="M187" s="332" t="n"/>
      <c r="N187" s="332" t="n"/>
      <c r="O187" s="333" t="n"/>
      <c r="P187" s="333" t="n"/>
      <c r="Q187" s="333" t="n"/>
      <c r="R187" s="333" t="n"/>
      <c r="S187" s="333" t="n"/>
      <c r="T187" s="235" t="inlineStr">
        <is>
          <t>杭州联合银行</t>
        </is>
      </c>
      <c r="U187" s="308" t="n">
        <v>0.035</v>
      </c>
    </row>
    <row r="188" ht="15.5" customHeight="1" s="8">
      <c r="A188" s="332" t="n"/>
      <c r="B188" s="332" t="n"/>
      <c r="C188" s="332" t="n"/>
      <c r="D188" s="332" t="n"/>
      <c r="E188" s="332" t="n"/>
      <c r="F188" s="332" t="n"/>
      <c r="G188" s="332" t="n"/>
      <c r="H188" s="332" t="n"/>
      <c r="I188" s="332" t="n"/>
      <c r="J188" s="332" t="n"/>
      <c r="K188" s="332" t="n"/>
      <c r="L188" s="332" t="n"/>
      <c r="M188" s="332" t="n"/>
      <c r="N188" s="332" t="n"/>
      <c r="O188" s="235" t="inlineStr">
        <is>
          <t>中间级</t>
        </is>
      </c>
      <c r="P188" s="236" t="n">
        <v>0.02</v>
      </c>
      <c r="Q188" s="307" t="n">
        <v>0.2</v>
      </c>
      <c r="R188" s="235" t="inlineStr">
        <is>
          <t>A+</t>
        </is>
      </c>
      <c r="S188" s="236" t="n">
        <v>0.031</v>
      </c>
      <c r="T188" s="235" t="inlineStr">
        <is>
          <t>宿迁钧腾</t>
        </is>
      </c>
      <c r="U188" s="308" t="n">
        <v>0.01</v>
      </c>
    </row>
    <row r="189" ht="15.5" customHeight="1" s="8">
      <c r="A189" s="332" t="n"/>
      <c r="B189" s="332" t="n"/>
      <c r="C189" s="332" t="n"/>
      <c r="D189" s="332" t="n"/>
      <c r="E189" s="332" t="n"/>
      <c r="F189" s="332" t="n"/>
      <c r="G189" s="332" t="n"/>
      <c r="H189" s="332" t="n"/>
      <c r="I189" s="332" t="n"/>
      <c r="J189" s="332" t="n"/>
      <c r="K189" s="332" t="n"/>
      <c r="L189" s="332" t="n"/>
      <c r="M189" s="332" t="n"/>
      <c r="N189" s="332" t="n"/>
      <c r="O189" s="332" t="n"/>
      <c r="P189" s="332" t="n"/>
      <c r="Q189" s="332" t="n"/>
      <c r="R189" s="332" t="n"/>
      <c r="S189" s="332" t="n"/>
      <c r="T189" s="235" t="inlineStr">
        <is>
          <t>中信证券</t>
        </is>
      </c>
      <c r="U189" s="308" t="n">
        <v>0.04</v>
      </c>
    </row>
    <row r="190" ht="15.5" customHeight="1" s="8">
      <c r="A190" s="332" t="n"/>
      <c r="B190" s="332" t="n"/>
      <c r="C190" s="332" t="n"/>
      <c r="D190" s="332" t="n"/>
      <c r="E190" s="332" t="n"/>
      <c r="F190" s="332" t="n"/>
      <c r="G190" s="332" t="n"/>
      <c r="H190" s="332" t="n"/>
      <c r="I190" s="332" t="n"/>
      <c r="J190" s="332" t="n"/>
      <c r="K190" s="332" t="n"/>
      <c r="L190" s="332" t="n"/>
      <c r="M190" s="332" t="n"/>
      <c r="N190" s="332" t="n"/>
      <c r="O190" s="332" t="n"/>
      <c r="P190" s="332" t="n"/>
      <c r="Q190" s="332" t="n"/>
      <c r="R190" s="332" t="n"/>
      <c r="S190" s="332" t="n"/>
      <c r="T190" s="235" t="inlineStr">
        <is>
          <t>平安理财</t>
        </is>
      </c>
      <c r="U190" s="308" t="n">
        <v>0.05</v>
      </c>
    </row>
    <row r="191" ht="15.5" customHeight="1" s="8">
      <c r="A191" s="332" t="n"/>
      <c r="B191" s="332" t="n"/>
      <c r="C191" s="332" t="n"/>
      <c r="D191" s="332" t="n"/>
      <c r="E191" s="332" t="n"/>
      <c r="F191" s="332" t="n"/>
      <c r="G191" s="332" t="n"/>
      <c r="H191" s="332" t="n"/>
      <c r="I191" s="332" t="n"/>
      <c r="J191" s="332" t="n"/>
      <c r="K191" s="332" t="n"/>
      <c r="L191" s="332" t="n"/>
      <c r="M191" s="332" t="n"/>
      <c r="N191" s="332" t="n"/>
      <c r="O191" s="332" t="n"/>
      <c r="P191" s="332" t="n"/>
      <c r="Q191" s="332" t="n"/>
      <c r="R191" s="332" t="n"/>
      <c r="S191" s="332" t="n"/>
      <c r="T191" s="252" t="inlineStr">
        <is>
          <t>招银理财</t>
        </is>
      </c>
      <c r="U191" s="308" t="n">
        <v>0.05</v>
      </c>
    </row>
    <row r="192" ht="15.5" customHeight="1" s="8">
      <c r="A192" s="332" t="n"/>
      <c r="B192" s="332" t="n"/>
      <c r="C192" s="332" t="n"/>
      <c r="D192" s="332" t="n"/>
      <c r="E192" s="332" t="n"/>
      <c r="F192" s="332" t="n"/>
      <c r="G192" s="332" t="n"/>
      <c r="H192" s="332" t="n"/>
      <c r="I192" s="332" t="n"/>
      <c r="J192" s="332" t="n"/>
      <c r="K192" s="332" t="n"/>
      <c r="L192" s="332" t="n"/>
      <c r="M192" s="332" t="n"/>
      <c r="N192" s="332" t="n"/>
      <c r="O192" s="333" t="n"/>
      <c r="P192" s="333" t="n"/>
      <c r="Q192" s="333" t="n"/>
      <c r="R192" s="333" t="n"/>
      <c r="S192" s="333" t="n"/>
      <c r="T192" s="235" t="inlineStr">
        <is>
          <t>杭州联合银行</t>
        </is>
      </c>
      <c r="U192" s="308" t="n">
        <v>0.05</v>
      </c>
    </row>
    <row r="193" ht="15.5" customHeight="1" s="8">
      <c r="A193" s="332" t="n"/>
      <c r="B193" s="332" t="n"/>
      <c r="C193" s="332" t="n"/>
      <c r="D193" s="332" t="n"/>
      <c r="E193" s="332" t="n"/>
      <c r="F193" s="332" t="n"/>
      <c r="G193" s="332" t="n"/>
      <c r="H193" s="332" t="n"/>
      <c r="I193" s="332" t="n"/>
      <c r="J193" s="332" t="n"/>
      <c r="K193" s="332" t="n"/>
      <c r="L193" s="332" t="n"/>
      <c r="M193" s="332" t="n"/>
      <c r="N193" s="332" t="n"/>
      <c r="O193" s="235" t="inlineStr">
        <is>
          <t>次级</t>
        </is>
      </c>
      <c r="P193" s="236" t="n">
        <v>0.05</v>
      </c>
      <c r="Q193" s="307" t="n">
        <v>0.5</v>
      </c>
      <c r="R193" s="235" t="inlineStr">
        <is>
          <t>无</t>
        </is>
      </c>
      <c r="S193" s="236" t="n">
        <v>0.045</v>
      </c>
      <c r="T193" s="235" t="inlineStr">
        <is>
          <t>信达自营</t>
        </is>
      </c>
      <c r="U193" s="310" t="n">
        <v>0.075</v>
      </c>
    </row>
    <row r="194" ht="15.5" customHeight="1" s="8">
      <c r="A194" s="332" t="n"/>
      <c r="B194" s="332" t="n"/>
      <c r="C194" s="332" t="n"/>
      <c r="D194" s="332" t="n"/>
      <c r="E194" s="332" t="n"/>
      <c r="F194" s="332" t="n"/>
      <c r="G194" s="332" t="n"/>
      <c r="H194" s="332" t="n"/>
      <c r="I194" s="332" t="n"/>
      <c r="J194" s="332" t="n"/>
      <c r="K194" s="332" t="n"/>
      <c r="L194" s="332" t="n"/>
      <c r="M194" s="332" t="n"/>
      <c r="N194" s="332" t="n"/>
      <c r="O194" s="332" t="n"/>
      <c r="P194" s="332" t="n"/>
      <c r="Q194" s="332" t="n"/>
      <c r="R194" s="332" t="n"/>
      <c r="S194" s="332" t="n"/>
      <c r="T194" s="235" t="inlineStr">
        <is>
          <t>利曦基金</t>
        </is>
      </c>
      <c r="U194" s="308" t="n">
        <v>0.1</v>
      </c>
    </row>
    <row r="195" ht="15.5" customHeight="1" s="8">
      <c r="A195" s="332" t="n"/>
      <c r="B195" s="332" t="n"/>
      <c r="C195" s="332" t="n"/>
      <c r="D195" s="332" t="n"/>
      <c r="E195" s="332" t="n"/>
      <c r="F195" s="332" t="n"/>
      <c r="G195" s="332" t="n"/>
      <c r="H195" s="332" t="n"/>
      <c r="I195" s="332" t="n"/>
      <c r="J195" s="332" t="n"/>
      <c r="K195" s="332" t="n"/>
      <c r="L195" s="332" t="n"/>
      <c r="M195" s="332" t="n"/>
      <c r="N195" s="332" t="n"/>
      <c r="O195" s="332" t="n"/>
      <c r="P195" s="332" t="n"/>
      <c r="Q195" s="332" t="n"/>
      <c r="R195" s="332" t="n"/>
      <c r="S195" s="332" t="n"/>
      <c r="T195" s="235" t="inlineStr">
        <is>
          <t>中信证券</t>
        </is>
      </c>
      <c r="U195" s="308" t="n">
        <v>0.12</v>
      </c>
    </row>
    <row r="196" ht="15.5" customHeight="1" s="8">
      <c r="A196" s="332" t="n"/>
      <c r="B196" s="332" t="n"/>
      <c r="C196" s="332" t="n"/>
      <c r="D196" s="332" t="n"/>
      <c r="E196" s="332" t="n"/>
      <c r="F196" s="332" t="n"/>
      <c r="G196" s="332" t="n"/>
      <c r="H196" s="332" t="n"/>
      <c r="I196" s="332" t="n"/>
      <c r="J196" s="332" t="n"/>
      <c r="K196" s="332" t="n"/>
      <c r="L196" s="332" t="n"/>
      <c r="M196" s="332" t="n"/>
      <c r="N196" s="332" t="n"/>
      <c r="O196" s="332" t="n"/>
      <c r="P196" s="332" t="n"/>
      <c r="Q196" s="332" t="n"/>
      <c r="R196" s="332" t="n"/>
      <c r="S196" s="332" t="n"/>
      <c r="T196" s="235" t="inlineStr">
        <is>
          <t>广发证券</t>
        </is>
      </c>
      <c r="U196" s="308" t="n">
        <v>0.08</v>
      </c>
    </row>
    <row r="197" ht="15.5" customHeight="1" s="8">
      <c r="A197" s="332" t="n"/>
      <c r="B197" s="332" t="n"/>
      <c r="C197" s="332" t="n"/>
      <c r="D197" s="332" t="n"/>
      <c r="E197" s="332" t="n"/>
      <c r="F197" s="332" t="n"/>
      <c r="G197" s="332" t="n"/>
      <c r="H197" s="332" t="n"/>
      <c r="I197" s="332" t="n"/>
      <c r="J197" s="332" t="n"/>
      <c r="K197" s="332" t="n"/>
      <c r="L197" s="332" t="n"/>
      <c r="M197" s="332" t="n"/>
      <c r="N197" s="332" t="n"/>
      <c r="O197" s="332" t="n"/>
      <c r="P197" s="332" t="n"/>
      <c r="Q197" s="332" t="n"/>
      <c r="R197" s="332" t="n"/>
      <c r="S197" s="332" t="n"/>
      <c r="T197" s="235" t="inlineStr">
        <is>
          <t>东家铂睿</t>
        </is>
      </c>
      <c r="U197" s="308" t="n">
        <v>0.1</v>
      </c>
    </row>
    <row r="198" ht="15.5" customHeight="1" s="8">
      <c r="A198" s="333" t="n"/>
      <c r="B198" s="333" t="n"/>
      <c r="C198" s="333" t="n"/>
      <c r="D198" s="333" t="n"/>
      <c r="E198" s="333" t="n"/>
      <c r="F198" s="333" t="n"/>
      <c r="G198" s="333" t="n"/>
      <c r="H198" s="333" t="n"/>
      <c r="I198" s="333" t="n"/>
      <c r="J198" s="333" t="n"/>
      <c r="K198" s="333" t="n"/>
      <c r="L198" s="333" t="n"/>
      <c r="M198" s="333" t="n"/>
      <c r="N198" s="333" t="n"/>
      <c r="O198" s="333" t="n"/>
      <c r="P198" s="333" t="n"/>
      <c r="Q198" s="333" t="n"/>
      <c r="R198" s="333" t="n"/>
      <c r="S198" s="333" t="n"/>
      <c r="T198" s="235" t="inlineStr">
        <is>
          <t>宿迁钧腾</t>
        </is>
      </c>
      <c r="U198" s="310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A38:A57"/>
    <mergeCell ref="K38:K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R35:R37"/>
    <mergeCell ref="S9:S11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N176:N198"/>
    <mergeCell ref="P2:P8"/>
    <mergeCell ref="F58:F69"/>
    <mergeCell ref="J81:J99"/>
    <mergeCell ref="S158:S164"/>
    <mergeCell ref="P183:P187"/>
    <mergeCell ref="N21:N3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O183:O187"/>
    <mergeCell ref="S30:S32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K176:K198"/>
    <mergeCell ref="R50:R52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8" min="2" max="2"/>
    <col width="15.83203125" customWidth="1" style="8" min="3" max="3"/>
    <col width="12.1640625" customWidth="1" style="8" min="4" max="4"/>
    <col width="15.83203125" customWidth="1" style="8" min="5" max="6"/>
    <col width="12.1640625" customWidth="1" style="8" min="7" max="10"/>
    <col width="15.83203125" customWidth="1" style="8" min="11" max="11"/>
    <col width="12.1640625" customWidth="1" style="8" min="12" max="12"/>
  </cols>
  <sheetData>
    <row r="1" ht="28" customFormat="1" customHeight="1" s="68">
      <c r="A1" s="17" t="n"/>
      <c r="B1" s="17" t="inlineStr">
        <is>
          <t>东道17-3</t>
        </is>
      </c>
      <c r="C1" s="69" t="inlineStr">
        <is>
          <t>东裕11号伯裕1期（可续发）</t>
        </is>
      </c>
      <c r="D1" s="69" t="inlineStr">
        <is>
          <t>东道19-1（可续发）</t>
        </is>
      </c>
      <c r="E1" s="69" t="inlineStr">
        <is>
          <t>24东裕2号叔裕ABCP（续发）</t>
        </is>
      </c>
      <c r="F1" s="69" t="inlineStr">
        <is>
          <t>24东裕2号季裕ABCP（续发）</t>
        </is>
      </c>
      <c r="G1" s="69" t="inlineStr">
        <is>
          <t>东道17-1</t>
        </is>
      </c>
      <c r="H1" s="69" t="inlineStr">
        <is>
          <t>东道19-2</t>
        </is>
      </c>
      <c r="I1" s="69" t="inlineStr">
        <is>
          <t>东道19-3</t>
        </is>
      </c>
      <c r="J1" s="69" t="inlineStr">
        <is>
          <t>禾昱9-1</t>
        </is>
      </c>
      <c r="K1" s="69" t="inlineStr">
        <is>
          <t>东裕9号伯裕</t>
        </is>
      </c>
      <c r="L1" s="69" t="inlineStr">
        <is>
          <t>禾昱9-2</t>
        </is>
      </c>
    </row>
    <row r="2">
      <c r="A2" s="20" t="inlineStr">
        <is>
          <t>日期</t>
        </is>
      </c>
      <c r="B2" s="21" t="n">
        <v>46030</v>
      </c>
      <c r="C2" s="21" t="n">
        <v>46049</v>
      </c>
      <c r="D2" s="21" t="n">
        <v>46056</v>
      </c>
      <c r="E2" s="21" t="n">
        <v>46097</v>
      </c>
      <c r="F2" s="21" t="n">
        <v>46104</v>
      </c>
      <c r="G2" s="21" t="n">
        <v>46105</v>
      </c>
      <c r="H2" s="21" t="n">
        <v>46107</v>
      </c>
      <c r="I2" s="21" t="n">
        <v>46107</v>
      </c>
      <c r="J2" s="21" t="n">
        <v>46108</v>
      </c>
      <c r="K2" s="21" t="n">
        <v>46142</v>
      </c>
      <c r="L2" s="21" t="n">
        <v>46142</v>
      </c>
    </row>
    <row r="3">
      <c r="A3" s="20" t="inlineStr">
        <is>
          <t>优先A</t>
        </is>
      </c>
      <c r="B3" s="22" t="n">
        <v>0.0195</v>
      </c>
      <c r="C3" s="22" t="n">
        <v>0.018</v>
      </c>
      <c r="D3" s="22" t="n">
        <v>0.0185</v>
      </c>
      <c r="E3" s="22" t="n">
        <v>0.017</v>
      </c>
      <c r="F3" s="22" t="n">
        <v>0.0167</v>
      </c>
      <c r="G3" s="22" t="n">
        <v>0.018</v>
      </c>
      <c r="H3" s="22" t="n">
        <v>0.0168</v>
      </c>
      <c r="I3" s="22" t="n">
        <v>0.0168</v>
      </c>
      <c r="J3" s="22" t="n">
        <v>0.0168</v>
      </c>
      <c r="K3" s="22" t="n">
        <v>0.0156</v>
      </c>
      <c r="L3" s="22" t="n">
        <v>0.016</v>
      </c>
    </row>
    <row r="4">
      <c r="A4" s="20" t="inlineStr">
        <is>
          <t>优先B</t>
        </is>
      </c>
      <c r="B4" s="22" t="n">
        <v>0.022</v>
      </c>
      <c r="C4" s="22" t="n">
        <v>0.0205</v>
      </c>
      <c r="D4" s="22" t="n">
        <v>0.021</v>
      </c>
      <c r="E4" s="22" t="inlineStr">
        <is>
          <t>-</t>
        </is>
      </c>
      <c r="F4" s="22" t="inlineStr">
        <is>
          <t>-</t>
        </is>
      </c>
      <c r="G4" s="22" t="n">
        <v>0.019</v>
      </c>
      <c r="H4" s="22" t="n">
        <v>0.0185</v>
      </c>
      <c r="I4" s="22" t="n">
        <v>0.0185</v>
      </c>
      <c r="J4" s="22" t="n">
        <v>0.0185</v>
      </c>
      <c r="K4" s="22" t="n">
        <v>0.0175</v>
      </c>
      <c r="L4" s="22" t="n">
        <v>0.0175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0.0159</v>
      </c>
      <c r="E5" s="22" t="n">
        <v>0.0153</v>
      </c>
      <c r="F5" s="22" t="n">
        <v>0.0151</v>
      </c>
      <c r="G5" s="22" t="n">
        <v>0.0152</v>
      </c>
      <c r="H5" s="22" t="n">
        <v>0.015</v>
      </c>
      <c r="I5" s="22" t="n">
        <v>0.015</v>
      </c>
      <c r="J5" s="22" t="n">
        <v>0.0153</v>
      </c>
      <c r="K5" s="22" t="n">
        <v>0.01445</v>
      </c>
      <c r="L5" s="22" t="n">
        <v>0.01445</v>
      </c>
    </row>
    <row r="6">
      <c r="A6" s="20" t="inlineStr">
        <is>
          <t>ALL-IN成本</t>
        </is>
      </c>
      <c r="B6" s="22" t="n">
        <v>0.022</v>
      </c>
      <c r="C6" s="22" t="n">
        <v>0.02</v>
      </c>
      <c r="D6" s="22" t="n">
        <v>0.0207</v>
      </c>
      <c r="E6" s="22" t="n">
        <v>0.0206</v>
      </c>
      <c r="F6" s="22" t="n">
        <v>0.0203</v>
      </c>
      <c r="G6" s="22" t="n">
        <v>0.0208</v>
      </c>
      <c r="H6" s="22" t="n">
        <v>0.0191</v>
      </c>
      <c r="I6" s="22" t="n">
        <v>0.0191</v>
      </c>
      <c r="J6" s="22" t="n">
        <v>0.0192</v>
      </c>
      <c r="K6" s="22" t="n">
        <v>0.0178</v>
      </c>
      <c r="L6" s="22" t="n">
        <v>0.0184</v>
      </c>
    </row>
    <row r="7">
      <c r="A7" s="20" t="inlineStr">
        <is>
          <t>认购倍数</t>
        </is>
      </c>
      <c r="B7" s="23" t="n">
        <v>1.81</v>
      </c>
      <c r="C7" s="70" t="n">
        <v>2.4</v>
      </c>
      <c r="D7" s="70" t="n">
        <v>1.71</v>
      </c>
      <c r="E7" s="70" t="n">
        <v>4.74</v>
      </c>
      <c r="F7" s="70" t="n">
        <v>3.23</v>
      </c>
      <c r="G7" s="70" t="n">
        <v>2.3</v>
      </c>
      <c r="H7" s="70" t="n">
        <v>2.34</v>
      </c>
      <c r="I7" s="70" t="n">
        <v>2.87</v>
      </c>
      <c r="J7" s="70" t="n">
        <v>3.27</v>
      </c>
      <c r="K7" s="70" t="n">
        <v>2.47</v>
      </c>
      <c r="L7" s="70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4140625" customWidth="1" style="8" min="13" max="13"/>
    <col width="9.08203125" customWidth="1" style="8" min="19" max="19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1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1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0" t="inlineStr">
        <is>
          <t>3月</t>
        </is>
      </c>
      <c r="B2" s="220" t="inlineStr">
        <is>
          <t>消金</t>
        </is>
      </c>
      <c r="C2" s="220" t="inlineStr">
        <is>
          <t>信托白条</t>
        </is>
      </c>
      <c r="D2" s="223" t="inlineStr">
        <is>
          <t>栗泽20号</t>
        </is>
      </c>
      <c r="E2" s="220" t="inlineStr">
        <is>
          <t>平层非标</t>
        </is>
      </c>
      <c r="F2" s="220" t="inlineStr">
        <is>
          <t>中粮信托</t>
        </is>
      </c>
      <c r="G2" s="220" t="inlineStr">
        <is>
          <t>-</t>
        </is>
      </c>
      <c r="H2" s="220" t="inlineStr">
        <is>
          <t>邮储北分</t>
        </is>
      </c>
      <c r="I2" s="220" t="n">
        <v>10</v>
      </c>
      <c r="J2" s="220" t="inlineStr">
        <is>
          <t>20+4</t>
        </is>
      </c>
      <c r="K2" s="224" t="n">
        <v>46111</v>
      </c>
      <c r="L2" s="225" t="n">
        <v>0.0153</v>
      </c>
      <c r="M2" s="311" t="n">
        <v>0.02575</v>
      </c>
      <c r="N2" s="226" t="inlineStr">
        <is>
          <t>-</t>
        </is>
      </c>
      <c r="O2" s="220" t="inlineStr">
        <is>
          <t>平层</t>
        </is>
      </c>
      <c r="P2" s="221" t="n">
        <v>1</v>
      </c>
      <c r="Q2" s="308" t="n">
        <v>10</v>
      </c>
      <c r="R2" s="220" t="inlineStr">
        <is>
          <t>无</t>
        </is>
      </c>
      <c r="S2" s="221" t="n">
        <v>0.0242</v>
      </c>
      <c r="T2" s="24" t="inlineStr">
        <is>
          <t>中邮理财</t>
        </is>
      </c>
      <c r="U2" s="29" t="n">
        <v>10</v>
      </c>
    </row>
    <row r="3" ht="15.5" customHeight="1" s="8">
      <c r="A3" s="220" t="inlineStr">
        <is>
          <t>3月</t>
        </is>
      </c>
      <c r="B3" s="220" t="inlineStr">
        <is>
          <t>消金</t>
        </is>
      </c>
      <c r="C3" s="220" t="inlineStr">
        <is>
          <t>信托白条</t>
        </is>
      </c>
      <c r="D3" s="223" t="inlineStr">
        <is>
          <t>钰泽1号</t>
        </is>
      </c>
      <c r="E3" s="220" t="inlineStr">
        <is>
          <t>平层非标</t>
        </is>
      </c>
      <c r="F3" s="220" t="inlineStr">
        <is>
          <t>西藏信托</t>
        </is>
      </c>
      <c r="G3" s="220" t="inlineStr">
        <is>
          <t>-</t>
        </is>
      </c>
      <c r="H3" s="220" t="inlineStr">
        <is>
          <t>邮储北分</t>
        </is>
      </c>
      <c r="I3" s="220" t="n">
        <v>5</v>
      </c>
      <c r="J3" s="220" t="inlineStr">
        <is>
          <t>11+1</t>
        </is>
      </c>
      <c r="K3" s="224" t="n">
        <v>46111</v>
      </c>
      <c r="L3" s="225" t="n">
        <v>0.0153</v>
      </c>
      <c r="M3" s="311" t="n">
        <v>0.02455</v>
      </c>
      <c r="N3" s="226" t="inlineStr">
        <is>
          <t>-</t>
        </is>
      </c>
      <c r="O3" s="220" t="inlineStr">
        <is>
          <t>平层</t>
        </is>
      </c>
      <c r="P3" s="221" t="n">
        <v>1</v>
      </c>
      <c r="Q3" s="308" t="n">
        <v>5</v>
      </c>
      <c r="R3" s="220" t="inlineStr">
        <is>
          <t>无</t>
        </is>
      </c>
      <c r="S3" s="221" t="n">
        <v>0.023</v>
      </c>
      <c r="T3" s="24" t="inlineStr">
        <is>
          <t>中银理财</t>
        </is>
      </c>
      <c r="U3" s="2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8" min="30" max="30"/>
    <col width="11" customWidth="1" style="8" min="31" max="31"/>
    <col width="12.4140625" customWidth="1" style="8" min="32" max="32"/>
  </cols>
  <sheetData>
    <row r="1" ht="15.5" customHeight="1" s="8">
      <c r="AD1" s="17" t="n"/>
      <c r="AE1" s="1" t="inlineStr">
        <is>
          <t>栗泽20号</t>
        </is>
      </c>
      <c r="AF1" s="1" t="inlineStr">
        <is>
          <t>钰泽1号</t>
        </is>
      </c>
    </row>
    <row r="2">
      <c r="AD2" s="20" t="inlineStr">
        <is>
          <t>日期</t>
        </is>
      </c>
      <c r="AE2" s="21" t="n">
        <v>46111</v>
      </c>
      <c r="AF2" s="21" t="n">
        <v>46111</v>
      </c>
    </row>
    <row r="3">
      <c r="AD3" s="20" t="inlineStr">
        <is>
          <t>价格</t>
        </is>
      </c>
      <c r="AE3" s="22" t="n">
        <v>0.0242</v>
      </c>
      <c r="AF3" s="22" t="n">
        <v>0.023</v>
      </c>
    </row>
    <row r="4">
      <c r="AD4" s="20" t="inlineStr">
        <is>
          <t>国股CD</t>
        </is>
      </c>
      <c r="AE4" s="22" t="n">
        <v>0.0153</v>
      </c>
      <c r="AF4" s="22" t="n">
        <v>0.0153</v>
      </c>
    </row>
    <row r="5">
      <c r="AD5" s="20" t="inlineStr">
        <is>
          <t>ALL-IN成本</t>
        </is>
      </c>
      <c r="AE5" s="334" t="n">
        <v>0.02575</v>
      </c>
      <c r="AF5" s="334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1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1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305" t="inlineStr">
        <is>
          <t>3月</t>
        </is>
      </c>
      <c r="B2" s="305" t="inlineStr">
        <is>
          <t>消金</t>
        </is>
      </c>
      <c r="C2" s="305" t="inlineStr">
        <is>
          <t>白条取现</t>
        </is>
      </c>
      <c r="D2" s="305" t="inlineStr">
        <is>
          <t>耘睿23-8</t>
        </is>
      </c>
      <c r="E2" s="305" t="inlineStr">
        <is>
          <t>上交所</t>
        </is>
      </c>
      <c r="F2" s="305" t="inlineStr">
        <is>
          <t>中信建投</t>
        </is>
      </c>
      <c r="G2" s="305" t="inlineStr">
        <is>
          <t>兴业证券</t>
        </is>
      </c>
      <c r="H2" s="305" t="inlineStr">
        <is>
          <t>青岛银行总行</t>
        </is>
      </c>
      <c r="I2" s="245" t="n">
        <v>10</v>
      </c>
      <c r="J2" s="305" t="inlineStr">
        <is>
          <t>11+13</t>
        </is>
      </c>
      <c r="K2" s="246" t="n">
        <v>46107</v>
      </c>
      <c r="L2" s="247" t="n">
        <v>0.015</v>
      </c>
      <c r="M2" s="306" t="n">
        <v>0.01992</v>
      </c>
      <c r="N2" s="245" t="n">
        <v>2.97</v>
      </c>
      <c r="O2" s="235" t="inlineStr">
        <is>
          <t>优先A</t>
        </is>
      </c>
      <c r="P2" s="236" t="n">
        <v>0.9</v>
      </c>
      <c r="Q2" s="307" t="n">
        <v>9</v>
      </c>
      <c r="R2" s="235" t="inlineStr">
        <is>
          <t>AAA</t>
        </is>
      </c>
      <c r="S2" s="236" t="n">
        <v>0.017</v>
      </c>
      <c r="T2" s="235" t="inlineStr">
        <is>
          <t>交银理财</t>
        </is>
      </c>
      <c r="U2" s="308" t="n">
        <v>1.5</v>
      </c>
    </row>
    <row r="3" ht="15.5" customHeight="1" s="8">
      <c r="A3" s="332" t="n"/>
      <c r="B3" s="332" t="n"/>
      <c r="C3" s="332" t="n"/>
      <c r="D3" s="332" t="n"/>
      <c r="E3" s="332" t="n"/>
      <c r="F3" s="332" t="n"/>
      <c r="G3" s="332" t="n"/>
      <c r="H3" s="332" t="n"/>
      <c r="I3" s="332" t="n"/>
      <c r="J3" s="332" t="n"/>
      <c r="K3" s="332" t="n"/>
      <c r="L3" s="332" t="n"/>
      <c r="M3" s="332" t="n"/>
      <c r="N3" s="332" t="n"/>
      <c r="O3" s="332" t="n"/>
      <c r="P3" s="332" t="n"/>
      <c r="Q3" s="332" t="n"/>
      <c r="R3" s="332" t="n"/>
      <c r="S3" s="332" t="n"/>
      <c r="T3" s="235" t="inlineStr">
        <is>
          <t>招银理财</t>
        </is>
      </c>
      <c r="U3" s="308" t="n">
        <v>1.8</v>
      </c>
    </row>
    <row r="4" ht="15.5" customHeight="1" s="8">
      <c r="A4" s="332" t="n"/>
      <c r="B4" s="332" t="n"/>
      <c r="C4" s="332" t="n"/>
      <c r="D4" s="332" t="n"/>
      <c r="E4" s="332" t="n"/>
      <c r="F4" s="332" t="n"/>
      <c r="G4" s="332" t="n"/>
      <c r="H4" s="332" t="n"/>
      <c r="I4" s="332" t="n"/>
      <c r="J4" s="332" t="n"/>
      <c r="K4" s="332" t="n"/>
      <c r="L4" s="332" t="n"/>
      <c r="M4" s="332" t="n"/>
      <c r="N4" s="332" t="n"/>
      <c r="O4" s="332" t="n"/>
      <c r="P4" s="332" t="n"/>
      <c r="Q4" s="332" t="n"/>
      <c r="R4" s="332" t="n"/>
      <c r="S4" s="332" t="n"/>
      <c r="T4" s="235" t="inlineStr">
        <is>
          <t>广银理财</t>
        </is>
      </c>
      <c r="U4" s="308" t="n">
        <v>1</v>
      </c>
    </row>
    <row r="5" ht="15.5" customHeight="1" s="8">
      <c r="A5" s="332" t="n"/>
      <c r="B5" s="332" t="n"/>
      <c r="C5" s="332" t="n"/>
      <c r="D5" s="332" t="n"/>
      <c r="E5" s="332" t="n"/>
      <c r="F5" s="332" t="n"/>
      <c r="G5" s="332" t="n"/>
      <c r="H5" s="332" t="n"/>
      <c r="I5" s="332" t="n"/>
      <c r="J5" s="332" t="n"/>
      <c r="K5" s="332" t="n"/>
      <c r="L5" s="332" t="n"/>
      <c r="M5" s="332" t="n"/>
      <c r="N5" s="332" t="n"/>
      <c r="O5" s="332" t="n"/>
      <c r="P5" s="332" t="n"/>
      <c r="Q5" s="332" t="n"/>
      <c r="R5" s="332" t="n"/>
      <c r="S5" s="332" t="n"/>
      <c r="T5" s="235" t="inlineStr">
        <is>
          <t>兴银理财</t>
        </is>
      </c>
      <c r="U5" s="308" t="n">
        <v>2.7</v>
      </c>
    </row>
    <row r="6" ht="15.5" customHeight="1" s="8">
      <c r="A6" s="332" t="n"/>
      <c r="B6" s="332" t="n"/>
      <c r="C6" s="332" t="n"/>
      <c r="D6" s="332" t="n"/>
      <c r="E6" s="332" t="n"/>
      <c r="F6" s="332" t="n"/>
      <c r="G6" s="332" t="n"/>
      <c r="H6" s="332" t="n"/>
      <c r="I6" s="332" t="n"/>
      <c r="J6" s="332" t="n"/>
      <c r="K6" s="332" t="n"/>
      <c r="L6" s="332" t="n"/>
      <c r="M6" s="332" t="n"/>
      <c r="N6" s="332" t="n"/>
      <c r="O6" s="333" t="n"/>
      <c r="P6" s="333" t="n"/>
      <c r="Q6" s="333" t="n"/>
      <c r="R6" s="333" t="n"/>
      <c r="S6" s="333" t="n"/>
      <c r="T6" s="235" t="inlineStr">
        <is>
          <t>重庆农商行金市</t>
        </is>
      </c>
      <c r="U6" s="308" t="n">
        <v>2</v>
      </c>
    </row>
    <row r="7" ht="15.5" customHeight="1" s="8">
      <c r="A7" s="332" t="n"/>
      <c r="B7" s="332" t="n"/>
      <c r="C7" s="332" t="n"/>
      <c r="D7" s="332" t="n"/>
      <c r="E7" s="332" t="n"/>
      <c r="F7" s="332" t="n"/>
      <c r="G7" s="332" t="n"/>
      <c r="H7" s="332" t="n"/>
      <c r="I7" s="332" t="n"/>
      <c r="J7" s="332" t="n"/>
      <c r="K7" s="332" t="n"/>
      <c r="L7" s="332" t="n"/>
      <c r="M7" s="332" t="n"/>
      <c r="N7" s="332" t="n"/>
      <c r="O7" s="235" t="inlineStr">
        <is>
          <t>优先B</t>
        </is>
      </c>
      <c r="P7" s="236" t="n">
        <v>0.03</v>
      </c>
      <c r="Q7" s="307" t="n">
        <v>0.3</v>
      </c>
      <c r="R7" s="235" t="inlineStr">
        <is>
          <t>AA+</t>
        </is>
      </c>
      <c r="S7" s="236" t="n">
        <v>0.0185</v>
      </c>
      <c r="T7" s="235" t="inlineStr">
        <is>
          <t>华兴证券自营</t>
        </is>
      </c>
      <c r="U7" s="308" t="n">
        <v>0.03</v>
      </c>
    </row>
    <row r="8" ht="15.5" customHeight="1" s="8">
      <c r="A8" s="332" t="n"/>
      <c r="B8" s="332" t="n"/>
      <c r="C8" s="332" t="n"/>
      <c r="D8" s="332" t="n"/>
      <c r="E8" s="332" t="n"/>
      <c r="F8" s="332" t="n"/>
      <c r="G8" s="332" t="n"/>
      <c r="H8" s="332" t="n"/>
      <c r="I8" s="332" t="n"/>
      <c r="J8" s="332" t="n"/>
      <c r="K8" s="332" t="n"/>
      <c r="L8" s="332" t="n"/>
      <c r="M8" s="332" t="n"/>
      <c r="N8" s="332" t="n"/>
      <c r="O8" s="332" t="n"/>
      <c r="P8" s="332" t="n"/>
      <c r="Q8" s="332" t="n"/>
      <c r="R8" s="332" t="n"/>
      <c r="S8" s="332" t="n"/>
      <c r="T8" s="235" t="inlineStr">
        <is>
          <t>交银理财</t>
        </is>
      </c>
      <c r="U8" s="308" t="n">
        <v>0.09</v>
      </c>
    </row>
    <row r="9" ht="15.5" customHeight="1" s="8">
      <c r="A9" s="332" t="n"/>
      <c r="B9" s="332" t="n"/>
      <c r="C9" s="332" t="n"/>
      <c r="D9" s="332" t="n"/>
      <c r="E9" s="332" t="n"/>
      <c r="F9" s="332" t="n"/>
      <c r="G9" s="332" t="n"/>
      <c r="H9" s="332" t="n"/>
      <c r="I9" s="332" t="n"/>
      <c r="J9" s="332" t="n"/>
      <c r="K9" s="332" t="n"/>
      <c r="L9" s="332" t="n"/>
      <c r="M9" s="332" t="n"/>
      <c r="N9" s="332" t="n"/>
      <c r="O9" s="332" t="n"/>
      <c r="P9" s="332" t="n"/>
      <c r="Q9" s="332" t="n"/>
      <c r="R9" s="332" t="n"/>
      <c r="S9" s="332" t="n"/>
      <c r="T9" s="235" t="inlineStr">
        <is>
          <t>重庆农商行金市</t>
        </is>
      </c>
      <c r="U9" s="308" t="n">
        <v>0.09</v>
      </c>
    </row>
    <row r="10" ht="15.5" customHeight="1" s="8">
      <c r="A10" s="332" t="n"/>
      <c r="B10" s="332" t="n"/>
      <c r="C10" s="332" t="n"/>
      <c r="D10" s="332" t="n"/>
      <c r="E10" s="332" t="n"/>
      <c r="F10" s="332" t="n"/>
      <c r="G10" s="332" t="n"/>
      <c r="H10" s="332" t="n"/>
      <c r="I10" s="332" t="n"/>
      <c r="J10" s="332" t="n"/>
      <c r="K10" s="332" t="n"/>
      <c r="L10" s="332" t="n"/>
      <c r="M10" s="332" t="n"/>
      <c r="N10" s="332" t="n"/>
      <c r="O10" s="333" t="n"/>
      <c r="P10" s="333" t="n"/>
      <c r="Q10" s="333" t="n"/>
      <c r="R10" s="333" t="n"/>
      <c r="S10" s="333" t="n"/>
      <c r="T10" s="235" t="inlineStr">
        <is>
          <t>招银理财</t>
        </is>
      </c>
      <c r="U10" s="308" t="n">
        <v>0.09</v>
      </c>
    </row>
    <row r="11" ht="15.5" customHeight="1" s="8">
      <c r="A11" s="332" t="n"/>
      <c r="B11" s="332" t="n"/>
      <c r="C11" s="332" t="n"/>
      <c r="D11" s="332" t="n"/>
      <c r="E11" s="332" t="n"/>
      <c r="F11" s="332" t="n"/>
      <c r="G11" s="332" t="n"/>
      <c r="H11" s="332" t="n"/>
      <c r="I11" s="332" t="n"/>
      <c r="J11" s="332" t="n"/>
      <c r="K11" s="332" t="n"/>
      <c r="L11" s="332" t="n"/>
      <c r="M11" s="332" t="n"/>
      <c r="N11" s="332" t="n"/>
      <c r="O11" s="235" t="inlineStr">
        <is>
          <t>中间级</t>
        </is>
      </c>
      <c r="P11" s="236" t="n">
        <v>0.02</v>
      </c>
      <c r="Q11" s="307" t="n">
        <v>0.2</v>
      </c>
      <c r="R11" s="235" t="inlineStr">
        <is>
          <t>A+</t>
        </is>
      </c>
      <c r="S11" s="236" t="n">
        <v>0.031</v>
      </c>
      <c r="T11" s="235" t="inlineStr">
        <is>
          <t>建信信托</t>
        </is>
      </c>
      <c r="U11" s="308" t="n">
        <v>0.1</v>
      </c>
    </row>
    <row r="12" ht="15.5" customHeight="1" s="8">
      <c r="A12" s="332" t="n"/>
      <c r="B12" s="332" t="n"/>
      <c r="C12" s="332" t="n"/>
      <c r="D12" s="332" t="n"/>
      <c r="E12" s="332" t="n"/>
      <c r="F12" s="332" t="n"/>
      <c r="G12" s="332" t="n"/>
      <c r="H12" s="332" t="n"/>
      <c r="I12" s="332" t="n"/>
      <c r="J12" s="332" t="n"/>
      <c r="K12" s="332" t="n"/>
      <c r="L12" s="332" t="n"/>
      <c r="M12" s="332" t="n"/>
      <c r="N12" s="332" t="n"/>
      <c r="O12" s="333" t="n"/>
      <c r="P12" s="333" t="n"/>
      <c r="Q12" s="333" t="n"/>
      <c r="R12" s="333" t="n"/>
      <c r="S12" s="333" t="n"/>
      <c r="T12" s="235" t="inlineStr">
        <is>
          <t>申万宏源自营</t>
        </is>
      </c>
      <c r="U12" s="308" t="n">
        <v>0.1</v>
      </c>
    </row>
    <row r="13" ht="15.5" customHeight="1" s="8">
      <c r="A13" s="332" t="n"/>
      <c r="B13" s="332" t="n"/>
      <c r="C13" s="332" t="n"/>
      <c r="D13" s="332" t="n"/>
      <c r="E13" s="332" t="n"/>
      <c r="F13" s="332" t="n"/>
      <c r="G13" s="332" t="n"/>
      <c r="H13" s="332" t="n"/>
      <c r="I13" s="332" t="n"/>
      <c r="J13" s="332" t="n"/>
      <c r="K13" s="332" t="n"/>
      <c r="L13" s="332" t="n"/>
      <c r="M13" s="332" t="n"/>
      <c r="N13" s="332" t="n"/>
      <c r="O13" s="235" t="inlineStr">
        <is>
          <t>次级</t>
        </is>
      </c>
      <c r="P13" s="236" t="n">
        <v>0.05</v>
      </c>
      <c r="Q13" s="307" t="n">
        <v>0.5</v>
      </c>
      <c r="R13" s="235" t="inlineStr">
        <is>
          <t>无</t>
        </is>
      </c>
      <c r="S13" s="236" t="n">
        <v>0.0505</v>
      </c>
      <c r="T13" s="235" t="inlineStr">
        <is>
          <t>中信证券自营</t>
        </is>
      </c>
      <c r="U13" s="310" t="n">
        <v>0.075</v>
      </c>
    </row>
    <row r="14" ht="15.5" customHeight="1" s="8">
      <c r="A14" s="332" t="n"/>
      <c r="B14" s="332" t="n"/>
      <c r="C14" s="332" t="n"/>
      <c r="D14" s="332" t="n"/>
      <c r="E14" s="332" t="n"/>
      <c r="F14" s="332" t="n"/>
      <c r="G14" s="332" t="n"/>
      <c r="H14" s="332" t="n"/>
      <c r="I14" s="332" t="n"/>
      <c r="J14" s="332" t="n"/>
      <c r="K14" s="332" t="n"/>
      <c r="L14" s="332" t="n"/>
      <c r="M14" s="332" t="n"/>
      <c r="N14" s="332" t="n"/>
      <c r="O14" s="332" t="n"/>
      <c r="P14" s="332" t="n"/>
      <c r="Q14" s="332" t="n"/>
      <c r="R14" s="332" t="n"/>
      <c r="S14" s="332" t="n"/>
      <c r="T14" s="235" t="inlineStr">
        <is>
          <t>中金投顾</t>
        </is>
      </c>
      <c r="U14" s="310" t="n">
        <v>0.125</v>
      </c>
    </row>
    <row r="15" ht="15.5" customHeight="1" s="8">
      <c r="A15" s="333" t="n"/>
      <c r="B15" s="333" t="n"/>
      <c r="C15" s="333" t="n"/>
      <c r="D15" s="333" t="n"/>
      <c r="E15" s="333" t="n"/>
      <c r="F15" s="333" t="n"/>
      <c r="G15" s="333" t="n"/>
      <c r="H15" s="333" t="n"/>
      <c r="I15" s="333" t="n"/>
      <c r="J15" s="333" t="n"/>
      <c r="K15" s="333" t="n"/>
      <c r="L15" s="333" t="n"/>
      <c r="M15" s="333" t="n"/>
      <c r="N15" s="333" t="n"/>
      <c r="O15" s="333" t="n"/>
      <c r="P15" s="333" t="n"/>
      <c r="Q15" s="333" t="n"/>
      <c r="R15" s="333" t="n"/>
      <c r="S15" s="333" t="n"/>
      <c r="T15" s="235" t="inlineStr">
        <is>
          <t>建投机构部</t>
        </is>
      </c>
      <c r="U15" s="308" t="n">
        <v>0.3</v>
      </c>
    </row>
    <row r="16" ht="15.5" customHeight="1" s="8">
      <c r="A16" s="305" t="inlineStr">
        <is>
          <t>5月</t>
        </is>
      </c>
      <c r="B16" s="305" t="inlineStr">
        <is>
          <t>消金</t>
        </is>
      </c>
      <c r="C16" s="305" t="inlineStr">
        <is>
          <t>信托白取</t>
        </is>
      </c>
      <c r="D16" s="305" t="inlineStr">
        <is>
          <t>耘睿24-8</t>
        </is>
      </c>
      <c r="E16" s="305" t="inlineStr">
        <is>
          <t>上交所</t>
        </is>
      </c>
      <c r="F16" s="305" t="inlineStr">
        <is>
          <t>国投证券</t>
        </is>
      </c>
      <c r="G16" s="305" t="inlineStr">
        <is>
          <t>光大证券</t>
        </is>
      </c>
      <c r="H16" s="305" t="inlineStr">
        <is>
          <t>民生北分</t>
        </is>
      </c>
      <c r="I16" s="245" t="n">
        <v>10</v>
      </c>
      <c r="J16" s="305" t="inlineStr">
        <is>
          <t>11+13</t>
        </is>
      </c>
      <c r="K16" s="246" t="n">
        <v>46149</v>
      </c>
      <c r="L16" s="247" t="n">
        <v>0.0146</v>
      </c>
      <c r="M16" s="306" t="n">
        <v>0.01972</v>
      </c>
      <c r="N16" s="245" t="n">
        <v>1.45</v>
      </c>
      <c r="O16" s="235" t="inlineStr">
        <is>
          <t>优先A</t>
        </is>
      </c>
      <c r="P16" s="236" t="n">
        <v>0.9</v>
      </c>
      <c r="Q16" s="307" t="n">
        <v>9</v>
      </c>
      <c r="R16" s="235" t="inlineStr">
        <is>
          <t>AAA</t>
        </is>
      </c>
      <c r="S16" s="236" t="n">
        <v>0.0165</v>
      </c>
      <c r="T16" s="235" t="inlineStr">
        <is>
          <t>渝农商理财</t>
        </is>
      </c>
      <c r="U16" s="308" t="n">
        <v>1.1</v>
      </c>
    </row>
    <row r="17" ht="15.5" customHeight="1" s="8">
      <c r="A17" s="332" t="n"/>
      <c r="B17" s="332" t="n"/>
      <c r="C17" s="332" t="n"/>
      <c r="D17" s="332" t="n"/>
      <c r="E17" s="332" t="n"/>
      <c r="F17" s="332" t="n"/>
      <c r="G17" s="332" t="n"/>
      <c r="H17" s="332" t="n"/>
      <c r="I17" s="332" t="n"/>
      <c r="J17" s="332" t="n"/>
      <c r="K17" s="332" t="n"/>
      <c r="L17" s="332" t="n"/>
      <c r="M17" s="332" t="n"/>
      <c r="N17" s="332" t="n"/>
      <c r="O17" s="332" t="n"/>
      <c r="P17" s="332" t="n"/>
      <c r="Q17" s="332" t="n"/>
      <c r="R17" s="332" t="n"/>
      <c r="S17" s="332" t="n"/>
      <c r="T17" s="235" t="inlineStr">
        <is>
          <t>民生理财</t>
        </is>
      </c>
      <c r="U17" s="308" t="n">
        <v>2.7</v>
      </c>
    </row>
    <row r="18" ht="15.5" customHeight="1" s="8">
      <c r="A18" s="332" t="n"/>
      <c r="B18" s="332" t="n"/>
      <c r="C18" s="332" t="n"/>
      <c r="D18" s="332" t="n"/>
      <c r="E18" s="332" t="n"/>
      <c r="F18" s="332" t="n"/>
      <c r="G18" s="332" t="n"/>
      <c r="H18" s="332" t="n"/>
      <c r="I18" s="332" t="n"/>
      <c r="J18" s="332" t="n"/>
      <c r="K18" s="332" t="n"/>
      <c r="L18" s="332" t="n"/>
      <c r="M18" s="332" t="n"/>
      <c r="N18" s="332" t="n"/>
      <c r="O18" s="332" t="n"/>
      <c r="P18" s="332" t="n"/>
      <c r="Q18" s="332" t="n"/>
      <c r="R18" s="332" t="n"/>
      <c r="S18" s="332" t="n"/>
      <c r="T18" s="235" t="inlineStr">
        <is>
          <t>交银理财</t>
        </is>
      </c>
      <c r="U18" s="308" t="n">
        <v>2.3</v>
      </c>
    </row>
    <row r="19" ht="15.5" customHeight="1" s="8">
      <c r="A19" s="332" t="n"/>
      <c r="B19" s="332" t="n"/>
      <c r="C19" s="332" t="n"/>
      <c r="D19" s="332" t="n"/>
      <c r="E19" s="332" t="n"/>
      <c r="F19" s="332" t="n"/>
      <c r="G19" s="332" t="n"/>
      <c r="H19" s="332" t="n"/>
      <c r="I19" s="332" t="n"/>
      <c r="J19" s="332" t="n"/>
      <c r="K19" s="332" t="n"/>
      <c r="L19" s="332" t="n"/>
      <c r="M19" s="332" t="n"/>
      <c r="N19" s="332" t="n"/>
      <c r="O19" s="332" t="n"/>
      <c r="P19" s="332" t="n"/>
      <c r="Q19" s="332" t="n"/>
      <c r="R19" s="332" t="n"/>
      <c r="S19" s="332" t="n"/>
      <c r="T19" s="235" t="inlineStr">
        <is>
          <t>中邮理财</t>
        </is>
      </c>
      <c r="U19" s="308" t="n">
        <v>2.7</v>
      </c>
    </row>
    <row r="20" ht="15.5" customHeight="1" s="8">
      <c r="A20" s="332" t="n"/>
      <c r="B20" s="332" t="n"/>
      <c r="C20" s="332" t="n"/>
      <c r="D20" s="332" t="n"/>
      <c r="E20" s="332" t="n"/>
      <c r="F20" s="332" t="n"/>
      <c r="G20" s="332" t="n"/>
      <c r="H20" s="332" t="n"/>
      <c r="I20" s="332" t="n"/>
      <c r="J20" s="332" t="n"/>
      <c r="K20" s="332" t="n"/>
      <c r="L20" s="332" t="n"/>
      <c r="M20" s="332" t="n"/>
      <c r="N20" s="332" t="n"/>
      <c r="O20" s="333" t="n"/>
      <c r="P20" s="333" t="n"/>
      <c r="Q20" s="333" t="n"/>
      <c r="R20" s="333" t="n"/>
      <c r="S20" s="333" t="n"/>
      <c r="T20" s="235" t="inlineStr">
        <is>
          <t>建信信托</t>
        </is>
      </c>
      <c r="U20" s="308" t="n">
        <v>0.2</v>
      </c>
    </row>
    <row r="21" ht="15.5" customHeight="1" s="8">
      <c r="A21" s="332" t="n"/>
      <c r="B21" s="332" t="n"/>
      <c r="C21" s="332" t="n"/>
      <c r="D21" s="332" t="n"/>
      <c r="E21" s="332" t="n"/>
      <c r="F21" s="332" t="n"/>
      <c r="G21" s="332" t="n"/>
      <c r="H21" s="332" t="n"/>
      <c r="I21" s="332" t="n"/>
      <c r="J21" s="332" t="n"/>
      <c r="K21" s="332" t="n"/>
      <c r="L21" s="332" t="n"/>
      <c r="M21" s="332" t="n"/>
      <c r="N21" s="332" t="n"/>
      <c r="O21" s="235" t="inlineStr">
        <is>
          <t>优先B</t>
        </is>
      </c>
      <c r="P21" s="236" t="n">
        <v>0.03</v>
      </c>
      <c r="Q21" s="307" t="n">
        <v>0.3</v>
      </c>
      <c r="R21" s="235" t="inlineStr">
        <is>
          <t>AA+</t>
        </is>
      </c>
      <c r="S21" s="236" t="n">
        <v>0.0185</v>
      </c>
      <c r="T21" s="235" t="inlineStr">
        <is>
          <t>渝农商理财</t>
        </is>
      </c>
      <c r="U21" s="308" t="n">
        <v>0.08</v>
      </c>
    </row>
    <row r="22" ht="15.5" customHeight="1" s="8">
      <c r="A22" s="332" t="n"/>
      <c r="B22" s="332" t="n"/>
      <c r="C22" s="332" t="n"/>
      <c r="D22" s="332" t="n"/>
      <c r="E22" s="332" t="n"/>
      <c r="F22" s="332" t="n"/>
      <c r="G22" s="332" t="n"/>
      <c r="H22" s="332" t="n"/>
      <c r="I22" s="332" t="n"/>
      <c r="J22" s="332" t="n"/>
      <c r="K22" s="332" t="n"/>
      <c r="L22" s="332" t="n"/>
      <c r="M22" s="332" t="n"/>
      <c r="N22" s="332" t="n"/>
      <c r="O22" s="332" t="n"/>
      <c r="P22" s="332" t="n"/>
      <c r="Q22" s="332" t="n"/>
      <c r="R22" s="332" t="n"/>
      <c r="S22" s="332" t="n"/>
      <c r="T22" s="235" t="inlineStr">
        <is>
          <t>民生理财</t>
        </is>
      </c>
      <c r="U22" s="308" t="n">
        <v>0.09</v>
      </c>
    </row>
    <row r="23" ht="15.5" customHeight="1" s="8">
      <c r="A23" s="332" t="n"/>
      <c r="B23" s="332" t="n"/>
      <c r="C23" s="332" t="n"/>
      <c r="D23" s="332" t="n"/>
      <c r="E23" s="332" t="n"/>
      <c r="F23" s="332" t="n"/>
      <c r="G23" s="332" t="n"/>
      <c r="H23" s="332" t="n"/>
      <c r="I23" s="332" t="n"/>
      <c r="J23" s="332" t="n"/>
      <c r="K23" s="332" t="n"/>
      <c r="L23" s="332" t="n"/>
      <c r="M23" s="332" t="n"/>
      <c r="N23" s="332" t="n"/>
      <c r="O23" s="332" t="n"/>
      <c r="P23" s="332" t="n"/>
      <c r="Q23" s="332" t="n"/>
      <c r="R23" s="332" t="n"/>
      <c r="S23" s="332" t="n"/>
      <c r="T23" s="235" t="inlineStr">
        <is>
          <t>交银理财</t>
        </is>
      </c>
      <c r="U23" s="308" t="n">
        <v>0.09</v>
      </c>
    </row>
    <row r="24" ht="15.5" customHeight="1" s="8">
      <c r="A24" s="332" t="n"/>
      <c r="B24" s="332" t="n"/>
      <c r="C24" s="332" t="n"/>
      <c r="D24" s="332" t="n"/>
      <c r="E24" s="332" t="n"/>
      <c r="F24" s="332" t="n"/>
      <c r="G24" s="332" t="n"/>
      <c r="H24" s="332" t="n"/>
      <c r="I24" s="332" t="n"/>
      <c r="J24" s="332" t="n"/>
      <c r="K24" s="332" t="n"/>
      <c r="L24" s="332" t="n"/>
      <c r="M24" s="332" t="n"/>
      <c r="N24" s="332" t="n"/>
      <c r="O24" s="333" t="n"/>
      <c r="P24" s="333" t="n"/>
      <c r="Q24" s="333" t="n"/>
      <c r="R24" s="333" t="n"/>
      <c r="S24" s="333" t="n"/>
      <c r="T24" s="235" t="inlineStr">
        <is>
          <t>建信信托</t>
        </is>
      </c>
      <c r="U24" s="308" t="n">
        <v>0.04</v>
      </c>
    </row>
    <row r="25" ht="15.5" customHeight="1" s="8">
      <c r="A25" s="332" t="n"/>
      <c r="B25" s="332" t="n"/>
      <c r="C25" s="332" t="n"/>
      <c r="D25" s="332" t="n"/>
      <c r="E25" s="332" t="n"/>
      <c r="F25" s="332" t="n"/>
      <c r="G25" s="332" t="n"/>
      <c r="H25" s="332" t="n"/>
      <c r="I25" s="332" t="n"/>
      <c r="J25" s="332" t="n"/>
      <c r="K25" s="332" t="n"/>
      <c r="L25" s="332" t="n"/>
      <c r="M25" s="332" t="n"/>
      <c r="N25" s="332" t="n"/>
      <c r="O25" s="235" t="inlineStr">
        <is>
          <t>中间级</t>
        </is>
      </c>
      <c r="P25" s="236" t="n">
        <v>0.02</v>
      </c>
      <c r="Q25" s="307" t="n">
        <v>0.2</v>
      </c>
      <c r="R25" s="235" t="inlineStr">
        <is>
          <t>A+</t>
        </is>
      </c>
      <c r="S25" s="323" t="n">
        <v>0.031</v>
      </c>
      <c r="T25" s="235" t="inlineStr">
        <is>
          <t>建信信托</t>
        </is>
      </c>
      <c r="U25" s="308" t="n">
        <v>0.1</v>
      </c>
    </row>
    <row r="26" ht="15.5" customHeight="1" s="8">
      <c r="A26" s="332" t="n"/>
      <c r="B26" s="332" t="n"/>
      <c r="C26" s="332" t="n"/>
      <c r="D26" s="332" t="n"/>
      <c r="E26" s="332" t="n"/>
      <c r="F26" s="332" t="n"/>
      <c r="G26" s="332" t="n"/>
      <c r="H26" s="332" t="n"/>
      <c r="I26" s="332" t="n"/>
      <c r="J26" s="332" t="n"/>
      <c r="K26" s="332" t="n"/>
      <c r="L26" s="332" t="n"/>
      <c r="M26" s="332" t="n"/>
      <c r="N26" s="332" t="n"/>
      <c r="O26" s="333" t="n"/>
      <c r="P26" s="333" t="n"/>
      <c r="Q26" s="333" t="n"/>
      <c r="R26" s="333" t="n"/>
      <c r="S26" s="335" t="n"/>
      <c r="T26" s="235" t="inlineStr">
        <is>
          <t>中信证券自营</t>
        </is>
      </c>
      <c r="U26" s="308" t="n">
        <v>0.1</v>
      </c>
    </row>
    <row r="27" ht="15.5" customHeight="1" s="8">
      <c r="A27" s="332" t="n"/>
      <c r="B27" s="332" t="n"/>
      <c r="C27" s="332" t="n"/>
      <c r="D27" s="332" t="n"/>
      <c r="E27" s="332" t="n"/>
      <c r="F27" s="332" t="n"/>
      <c r="G27" s="332" t="n"/>
      <c r="H27" s="332" t="n"/>
      <c r="I27" s="332" t="n"/>
      <c r="J27" s="332" t="n"/>
      <c r="K27" s="332" t="n"/>
      <c r="L27" s="332" t="n"/>
      <c r="M27" s="332" t="n"/>
      <c r="N27" s="332" t="n"/>
      <c r="O27" s="235" t="inlineStr">
        <is>
          <t>次级</t>
        </is>
      </c>
      <c r="P27" s="236" t="n">
        <v>0.05</v>
      </c>
      <c r="Q27" s="307" t="n">
        <v>0.5</v>
      </c>
      <c r="R27" s="235" t="inlineStr">
        <is>
          <t>无</t>
        </is>
      </c>
      <c r="S27" s="324" t="n">
        <v>0.0495</v>
      </c>
      <c r="T27" s="235" t="inlineStr">
        <is>
          <t>中信证券自营</t>
        </is>
      </c>
      <c r="U27" s="310" t="n">
        <v>0.075</v>
      </c>
    </row>
    <row r="28" ht="15.5" customHeight="1" s="8">
      <c r="A28" s="332" t="n"/>
      <c r="B28" s="332" t="n"/>
      <c r="C28" s="332" t="n"/>
      <c r="D28" s="332" t="n"/>
      <c r="E28" s="332" t="n"/>
      <c r="F28" s="332" t="n"/>
      <c r="G28" s="332" t="n"/>
      <c r="H28" s="332" t="n"/>
      <c r="I28" s="332" t="n"/>
      <c r="J28" s="332" t="n"/>
      <c r="K28" s="332" t="n"/>
      <c r="L28" s="332" t="n"/>
      <c r="M28" s="332" t="n"/>
      <c r="N28" s="332" t="n"/>
      <c r="O28" s="332" t="n"/>
      <c r="P28" s="332" t="n"/>
      <c r="Q28" s="332" t="n"/>
      <c r="R28" s="332" t="n"/>
      <c r="S28" s="336" t="n"/>
      <c r="T28" s="235" t="inlineStr">
        <is>
          <t>华泰证券自营</t>
        </is>
      </c>
      <c r="U28" s="310" t="n">
        <v>0.075</v>
      </c>
    </row>
    <row r="29" ht="15.5" customHeight="1" s="8">
      <c r="A29" s="332" t="n"/>
      <c r="B29" s="332" t="n"/>
      <c r="C29" s="332" t="n"/>
      <c r="D29" s="332" t="n"/>
      <c r="E29" s="332" t="n"/>
      <c r="F29" s="332" t="n"/>
      <c r="G29" s="332" t="n"/>
      <c r="H29" s="332" t="n"/>
      <c r="I29" s="332" t="n"/>
      <c r="J29" s="332" t="n"/>
      <c r="K29" s="332" t="n"/>
      <c r="L29" s="332" t="n"/>
      <c r="M29" s="332" t="n"/>
      <c r="N29" s="332" t="n"/>
      <c r="O29" s="332" t="n"/>
      <c r="P29" s="332" t="n"/>
      <c r="Q29" s="332" t="n"/>
      <c r="R29" s="332" t="n"/>
      <c r="S29" s="336" t="n"/>
      <c r="T29" s="235" t="inlineStr">
        <is>
          <t>中信建投衍生品</t>
        </is>
      </c>
      <c r="U29" s="310" t="n">
        <v>0.15</v>
      </c>
    </row>
    <row r="30" ht="15.5" customHeight="1" s="8">
      <c r="A30" s="333" t="n"/>
      <c r="B30" s="333" t="n"/>
      <c r="C30" s="333" t="n"/>
      <c r="D30" s="333" t="n"/>
      <c r="E30" s="333" t="n"/>
      <c r="F30" s="333" t="n"/>
      <c r="G30" s="333" t="n"/>
      <c r="H30" s="333" t="n"/>
      <c r="I30" s="333" t="n"/>
      <c r="J30" s="333" t="n"/>
      <c r="K30" s="333" t="n"/>
      <c r="L30" s="333" t="n"/>
      <c r="M30" s="333" t="n"/>
      <c r="N30" s="333" t="n"/>
      <c r="O30" s="333" t="n"/>
      <c r="P30" s="333" t="n"/>
      <c r="Q30" s="333" t="n"/>
      <c r="R30" s="333" t="n"/>
      <c r="S30" s="337" t="n"/>
      <c r="T30" s="235" t="inlineStr">
        <is>
          <t>国泰海通自营</t>
        </is>
      </c>
      <c r="U30" s="310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2:P6"/>
    <mergeCell ref="P11:P12"/>
    <mergeCell ref="Q2:Q6"/>
    <mergeCell ref="J2:J15"/>
    <mergeCell ref="R2:R6"/>
    <mergeCell ref="R25:R26"/>
    <mergeCell ref="P27:P30"/>
    <mergeCell ref="R27:R30"/>
    <mergeCell ref="O2:O6"/>
    <mergeCell ref="A16:A30"/>
    <mergeCell ref="Q13:Q15"/>
    <mergeCell ref="C16:C30"/>
    <mergeCell ref="I16:I30"/>
    <mergeCell ref="O25:O26"/>
    <mergeCell ref="S7:S10"/>
    <mergeCell ref="D16:D30"/>
    <mergeCell ref="P21:P24"/>
    <mergeCell ref="M16:M30"/>
    <mergeCell ref="R21:R24"/>
    <mergeCell ref="O13:O15"/>
    <mergeCell ref="G2:G15"/>
    <mergeCell ref="I2:I15"/>
    <mergeCell ref="E2:E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B2:B15"/>
    <mergeCell ref="O27:O30"/>
    <mergeCell ref="N2:N15"/>
    <mergeCell ref="D2:D15"/>
    <mergeCell ref="Q27:Q30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R11:R12"/>
    <mergeCell ref="K16:K30"/>
    <mergeCell ref="A2:A15"/>
    <mergeCell ref="P13:P15"/>
    <mergeCell ref="C2:C15"/>
    <mergeCell ref="S13:S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8" min="2" max="3"/>
  </cols>
  <sheetData>
    <row r="1">
      <c r="A1" s="17" t="n"/>
      <c r="B1" s="69" t="inlineStr">
        <is>
          <t>耘睿23-8</t>
        </is>
      </c>
      <c r="C1" s="69" t="inlineStr">
        <is>
          <t>耘睿24-8</t>
        </is>
      </c>
    </row>
    <row r="2">
      <c r="A2" s="20" t="inlineStr">
        <is>
          <t>日期</t>
        </is>
      </c>
      <c r="B2" s="21" t="n">
        <v>46107</v>
      </c>
      <c r="C2" s="21" t="n">
        <v>46149</v>
      </c>
    </row>
    <row r="3">
      <c r="A3" s="20" t="inlineStr">
        <is>
          <t>优先A</t>
        </is>
      </c>
      <c r="B3" s="22" t="n">
        <v>0.017</v>
      </c>
      <c r="C3" s="22" t="n">
        <v>0.0165</v>
      </c>
    </row>
    <row r="4">
      <c r="A4" s="20" t="inlineStr">
        <is>
          <t>优先B</t>
        </is>
      </c>
      <c r="B4" s="22" t="n">
        <v>0.0185</v>
      </c>
      <c r="C4" s="22" t="n">
        <v>0.0185</v>
      </c>
    </row>
    <row r="5">
      <c r="A5" s="20" t="inlineStr">
        <is>
          <t>国股CD</t>
        </is>
      </c>
      <c r="B5" s="22" t="n">
        <v>0.015</v>
      </c>
      <c r="C5" s="22" t="n">
        <v>0.0146</v>
      </c>
    </row>
    <row r="6">
      <c r="A6" s="20" t="inlineStr">
        <is>
          <t>ALL-IN成本</t>
        </is>
      </c>
      <c r="B6" s="334" t="n">
        <v>0.01992</v>
      </c>
      <c r="C6" s="334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1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1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65" t="inlineStr">
        <is>
          <t>3月</t>
        </is>
      </c>
      <c r="B2" s="265" t="inlineStr">
        <is>
          <t>消金</t>
        </is>
      </c>
      <c r="C2" s="265" t="inlineStr">
        <is>
          <t xml:space="preserve"> 白条取现</t>
        </is>
      </c>
      <c r="D2" s="265" t="inlineStr">
        <is>
          <t>京惠4号2期</t>
        </is>
      </c>
      <c r="E2" s="265" t="inlineStr">
        <is>
          <t>中保登</t>
        </is>
      </c>
      <c r="F2" s="265" t="inlineStr">
        <is>
          <t>民生通惠</t>
        </is>
      </c>
      <c r="G2" s="265" t="inlineStr">
        <is>
          <t>-</t>
        </is>
      </c>
      <c r="H2" s="265" t="inlineStr">
        <is>
          <t>邮储北分</t>
        </is>
      </c>
      <c r="I2" s="265" t="n">
        <v>10</v>
      </c>
      <c r="J2" s="265" t="inlineStr">
        <is>
          <t>23+12</t>
        </is>
      </c>
      <c r="K2" s="266" t="n">
        <v>46086</v>
      </c>
      <c r="L2" s="225" t="n">
        <v>0.0155</v>
      </c>
      <c r="M2" s="311" t="n">
        <v>0.02709</v>
      </c>
      <c r="N2" s="265" t="inlineStr">
        <is>
          <t>-</t>
        </is>
      </c>
      <c r="O2" s="220" t="inlineStr">
        <is>
          <t>优先A1</t>
        </is>
      </c>
      <c r="P2" s="221" t="n">
        <v>0.83</v>
      </c>
      <c r="Q2" s="226" t="n">
        <v>8.300000000000001</v>
      </c>
      <c r="R2" s="220" t="inlineStr">
        <is>
          <t>AAA</t>
        </is>
      </c>
      <c r="S2" s="221" t="n">
        <v>0.024</v>
      </c>
      <c r="T2" s="24" t="inlineStr">
        <is>
          <t>花旗银行</t>
        </is>
      </c>
      <c r="U2" s="29" t="n">
        <v>8.300000000000001</v>
      </c>
    </row>
    <row r="3" ht="15.5" customHeight="1" s="8">
      <c r="A3" s="332" t="n"/>
      <c r="B3" s="332" t="n"/>
      <c r="C3" s="332" t="n"/>
      <c r="D3" s="332" t="n"/>
      <c r="E3" s="332" t="n"/>
      <c r="F3" s="332" t="n"/>
      <c r="G3" s="332" t="n"/>
      <c r="H3" s="332" t="n"/>
      <c r="I3" s="332" t="n"/>
      <c r="J3" s="332" t="n"/>
      <c r="K3" s="332" t="n"/>
      <c r="L3" s="332" t="n"/>
      <c r="M3" s="332" t="n"/>
      <c r="N3" s="332" t="n"/>
      <c r="O3" s="220" t="inlineStr">
        <is>
          <t>优先A2</t>
        </is>
      </c>
      <c r="P3" s="221" t="n">
        <v>0.04</v>
      </c>
      <c r="Q3" s="226" t="n">
        <v>0.4</v>
      </c>
      <c r="R3" s="220" t="inlineStr">
        <is>
          <t>AAA</t>
        </is>
      </c>
      <c r="S3" s="221" t="n">
        <v>0.0245</v>
      </c>
      <c r="T3" s="217" t="inlineStr">
        <is>
          <t>中金自营</t>
        </is>
      </c>
      <c r="U3" s="226" t="n">
        <v>0.4</v>
      </c>
    </row>
    <row r="4" ht="15.5" customHeight="1" s="8">
      <c r="A4" s="332" t="n"/>
      <c r="B4" s="332" t="n"/>
      <c r="C4" s="332" t="n"/>
      <c r="D4" s="332" t="n"/>
      <c r="E4" s="332" t="n"/>
      <c r="F4" s="332" t="n"/>
      <c r="G4" s="332" t="n"/>
      <c r="H4" s="332" t="n"/>
      <c r="I4" s="332" t="n"/>
      <c r="J4" s="332" t="n"/>
      <c r="K4" s="332" t="n"/>
      <c r="L4" s="332" t="n"/>
      <c r="M4" s="332" t="n"/>
      <c r="N4" s="332" t="n"/>
      <c r="O4" s="255" t="inlineStr">
        <is>
          <t>优先B</t>
        </is>
      </c>
      <c r="P4" s="261" t="n">
        <v>0.04</v>
      </c>
      <c r="Q4" s="263" t="n">
        <v>0.4</v>
      </c>
      <c r="R4" s="227" t="inlineStr">
        <is>
          <t>AA+</t>
        </is>
      </c>
      <c r="S4" s="269" t="n">
        <v>0.0255</v>
      </c>
      <c r="T4" s="217" t="inlineStr">
        <is>
          <t>中金自营</t>
        </is>
      </c>
      <c r="U4" s="226" t="n">
        <v>0.4</v>
      </c>
    </row>
    <row r="5" ht="15.5" customHeight="1" s="8">
      <c r="A5" s="332" t="n"/>
      <c r="B5" s="332" t="n"/>
      <c r="C5" s="332" t="n"/>
      <c r="D5" s="332" t="n"/>
      <c r="E5" s="332" t="n"/>
      <c r="F5" s="332" t="n"/>
      <c r="G5" s="332" t="n"/>
      <c r="H5" s="332" t="n"/>
      <c r="I5" s="332" t="n"/>
      <c r="J5" s="332" t="n"/>
      <c r="K5" s="332" t="n"/>
      <c r="L5" s="332" t="n"/>
      <c r="M5" s="332" t="n"/>
      <c r="N5" s="332" t="n"/>
      <c r="O5" s="223" t="inlineStr">
        <is>
          <t>中间级</t>
        </is>
      </c>
      <c r="P5" s="267" t="n">
        <v>0.04</v>
      </c>
      <c r="Q5" s="268" t="n">
        <v>0.4</v>
      </c>
      <c r="R5" s="220" t="inlineStr">
        <is>
          <t>AA-</t>
        </is>
      </c>
      <c r="S5" s="267" t="n">
        <v>0.032</v>
      </c>
      <c r="T5" s="217" t="inlineStr">
        <is>
          <t>中金自营</t>
        </is>
      </c>
      <c r="U5" s="226" t="n">
        <v>0.4</v>
      </c>
    </row>
    <row r="6" ht="15.5" customHeight="1" s="8">
      <c r="A6" s="332" t="n"/>
      <c r="B6" s="332" t="n"/>
      <c r="C6" s="332" t="n"/>
      <c r="D6" s="332" t="n"/>
      <c r="E6" s="332" t="n"/>
      <c r="F6" s="332" t="n"/>
      <c r="G6" s="332" t="n"/>
      <c r="H6" s="332" t="n"/>
      <c r="I6" s="332" t="n"/>
      <c r="J6" s="332" t="n"/>
      <c r="K6" s="332" t="n"/>
      <c r="L6" s="332" t="n"/>
      <c r="M6" s="332" t="n"/>
      <c r="N6" s="332" t="n"/>
      <c r="O6" s="223" t="inlineStr">
        <is>
          <t>受益权</t>
        </is>
      </c>
      <c r="P6" s="267" t="n">
        <v>0.05</v>
      </c>
      <c r="Q6" s="268" t="n">
        <v>0.5</v>
      </c>
      <c r="R6" s="223" t="inlineStr">
        <is>
          <t>无</t>
        </is>
      </c>
      <c r="S6" s="267" t="n">
        <v>0.0485</v>
      </c>
      <c r="T6" s="217" t="inlineStr">
        <is>
          <t>中金自营</t>
        </is>
      </c>
      <c r="U6" s="268" t="n">
        <v>0.25</v>
      </c>
    </row>
    <row r="7" ht="15.5" customHeight="1" s="8">
      <c r="A7" s="333" t="n"/>
      <c r="B7" s="333" t="n"/>
      <c r="C7" s="333" t="n"/>
      <c r="D7" s="333" t="n"/>
      <c r="E7" s="333" t="n"/>
      <c r="F7" s="333" t="n"/>
      <c r="G7" s="333" t="n"/>
      <c r="H7" s="333" t="n"/>
      <c r="I7" s="333" t="n"/>
      <c r="J7" s="333" t="n"/>
      <c r="K7" s="333" t="n"/>
      <c r="L7" s="333" t="n"/>
      <c r="M7" s="333" t="n"/>
      <c r="N7" s="333" t="n"/>
      <c r="O7" s="333" t="n"/>
      <c r="P7" s="333" t="n"/>
      <c r="Q7" s="333" t="n"/>
      <c r="R7" s="333" t="n"/>
      <c r="S7" s="333" t="n"/>
      <c r="T7" s="217" t="inlineStr">
        <is>
          <t>中金财富</t>
        </is>
      </c>
      <c r="U7" s="268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1640625" customWidth="1" style="8" min="2" max="3"/>
  </cols>
  <sheetData>
    <row r="1">
      <c r="A1" s="17" t="n"/>
      <c r="B1" s="69" t="inlineStr">
        <is>
          <t>京惠4号2期</t>
        </is>
      </c>
    </row>
    <row r="2">
      <c r="A2" s="20" t="inlineStr">
        <is>
          <t>日期</t>
        </is>
      </c>
      <c r="B2" s="21" t="n">
        <v>46086</v>
      </c>
    </row>
    <row r="3">
      <c r="A3" s="20" t="inlineStr">
        <is>
          <t>价格</t>
        </is>
      </c>
      <c r="B3" s="22" t="n">
        <v>0.024</v>
      </c>
    </row>
    <row r="4">
      <c r="A4" s="20" t="inlineStr">
        <is>
          <t>国股CD</t>
        </is>
      </c>
      <c r="B4" s="22" t="n">
        <v>0.0155</v>
      </c>
    </row>
    <row r="5">
      <c r="A5" s="20" t="inlineStr">
        <is>
          <t>ALL-IN成本</t>
        </is>
      </c>
      <c r="B5" s="334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8" min="3" max="3"/>
    <col width="15" customWidth="1" style="8" min="20" max="20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304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304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0" t="inlineStr">
        <is>
          <t>3月</t>
        </is>
      </c>
      <c r="B2" s="220" t="inlineStr">
        <is>
          <t>消金</t>
        </is>
      </c>
      <c r="C2" s="220" t="inlineStr">
        <is>
          <t>金条&amp;白取&amp;信托白条混发</t>
        </is>
      </c>
      <c r="D2" s="223" t="inlineStr">
        <is>
          <t>栗泽19号</t>
        </is>
      </c>
      <c r="E2" s="220" t="inlineStr">
        <is>
          <t>平层非标</t>
        </is>
      </c>
      <c r="F2" s="220" t="inlineStr">
        <is>
          <t>中粮信托</t>
        </is>
      </c>
      <c r="G2" s="220" t="inlineStr">
        <is>
          <t>-</t>
        </is>
      </c>
      <c r="H2" s="220" t="inlineStr">
        <is>
          <t>南银北分</t>
        </is>
      </c>
      <c r="I2" s="220" t="n">
        <v>20</v>
      </c>
      <c r="J2" s="220" t="inlineStr">
        <is>
          <t>11+1</t>
        </is>
      </c>
      <c r="K2" s="224" t="n">
        <v>46111</v>
      </c>
      <c r="L2" s="225" t="n"/>
      <c r="M2" s="311" t="n">
        <v>0.02455</v>
      </c>
      <c r="N2" s="226" t="inlineStr">
        <is>
          <t>-</t>
        </is>
      </c>
      <c r="O2" s="220" t="inlineStr">
        <is>
          <t>平层</t>
        </is>
      </c>
      <c r="P2" s="221" t="n">
        <v>1</v>
      </c>
      <c r="Q2" s="308" t="n">
        <v>20</v>
      </c>
      <c r="R2" s="220" t="inlineStr">
        <is>
          <t>无</t>
        </is>
      </c>
      <c r="S2" s="221" t="n">
        <v>0.023</v>
      </c>
      <c r="T2" s="24" t="inlineStr">
        <is>
          <t>南银理财</t>
        </is>
      </c>
      <c r="U2" s="29" t="n">
        <v>20</v>
      </c>
    </row>
    <row r="3" ht="15.5" customHeight="1" s="8">
      <c r="A3" s="220" t="inlineStr">
        <is>
          <t>4月</t>
        </is>
      </c>
      <c r="B3" s="220" t="inlineStr">
        <is>
          <t>消金</t>
        </is>
      </c>
      <c r="C3" s="220" t="inlineStr">
        <is>
          <t>金条&amp;白取&amp;信托白条混发</t>
        </is>
      </c>
      <c r="D3" s="223" t="inlineStr">
        <is>
          <t>云泓76号</t>
        </is>
      </c>
      <c r="E3" s="220" t="inlineStr">
        <is>
          <t>平层非标</t>
        </is>
      </c>
      <c r="F3" s="44" t="inlineStr">
        <is>
          <t>云南信托</t>
        </is>
      </c>
      <c r="G3" s="220" t="inlineStr">
        <is>
          <t>-</t>
        </is>
      </c>
      <c r="H3" s="223" t="inlineStr">
        <is>
          <t>南银北分</t>
        </is>
      </c>
      <c r="I3" s="44" t="n">
        <v>20</v>
      </c>
      <c r="J3" s="44" t="inlineStr">
        <is>
          <t>11+1</t>
        </is>
      </c>
      <c r="K3" s="224" t="n">
        <v>46142</v>
      </c>
      <c r="L3" s="225" t="n">
        <v>0.01445</v>
      </c>
      <c r="M3" s="311" t="n">
        <v>0.02455</v>
      </c>
      <c r="N3" s="226" t="inlineStr">
        <is>
          <t>-</t>
        </is>
      </c>
      <c r="O3" s="220" t="inlineStr">
        <is>
          <t>平层</t>
        </is>
      </c>
      <c r="P3" s="221" t="n">
        <v>1</v>
      </c>
      <c r="Q3" s="201" t="n">
        <v>20</v>
      </c>
      <c r="R3" s="220" t="inlineStr">
        <is>
          <t>无</t>
        </is>
      </c>
      <c r="S3" s="311" t="n">
        <v>0.023</v>
      </c>
      <c r="T3" s="24" t="inlineStr">
        <is>
          <t>南银理财</t>
        </is>
      </c>
      <c r="U3" s="44" t="n">
        <v>20</v>
      </c>
    </row>
    <row r="4" ht="15.5" customHeight="1" s="8">
      <c r="A4" s="220" t="inlineStr">
        <is>
          <t>4月</t>
        </is>
      </c>
      <c r="B4" s="220" t="inlineStr">
        <is>
          <t>消金</t>
        </is>
      </c>
      <c r="C4" s="220" t="inlineStr">
        <is>
          <t>金条&amp;白取混发</t>
        </is>
      </c>
      <c r="D4" s="44" t="inlineStr">
        <is>
          <t>云虹24号</t>
        </is>
      </c>
      <c r="E4" s="220" t="inlineStr">
        <is>
          <t>平层非标</t>
        </is>
      </c>
      <c r="F4" s="44" t="inlineStr">
        <is>
          <t>外贸信托</t>
        </is>
      </c>
      <c r="G4" s="220" t="inlineStr">
        <is>
          <t>-</t>
        </is>
      </c>
      <c r="H4" s="223" t="inlineStr">
        <is>
          <t>建行北分</t>
        </is>
      </c>
      <c r="I4" s="44" t="n">
        <v>15</v>
      </c>
      <c r="J4" s="44" t="inlineStr">
        <is>
          <t>11+13</t>
        </is>
      </c>
      <c r="K4" s="224" t="n">
        <v>46142</v>
      </c>
      <c r="L4" s="225" t="n">
        <v>0.01445</v>
      </c>
      <c r="M4" s="311" t="n">
        <v>0.02948</v>
      </c>
      <c r="N4" s="226" t="inlineStr">
        <is>
          <t>-</t>
        </is>
      </c>
      <c r="O4" s="220" t="inlineStr">
        <is>
          <t>结构化平层</t>
        </is>
      </c>
      <c r="P4" s="221" t="n">
        <v>0.75</v>
      </c>
      <c r="Q4" s="220" t="n">
        <v>11.5</v>
      </c>
      <c r="R4" s="220" t="inlineStr">
        <is>
          <t>无</t>
        </is>
      </c>
      <c r="S4" s="225" t="n">
        <v>0.0249</v>
      </c>
      <c r="T4" s="24" t="inlineStr">
        <is>
          <t>摩根大通</t>
        </is>
      </c>
      <c r="U4" s="44" t="n">
        <v>11.25</v>
      </c>
    </row>
    <row r="5" ht="15.5" customHeight="1" s="8">
      <c r="A5" s="332" t="n"/>
      <c r="B5" s="332" t="n"/>
      <c r="C5" s="332" t="n"/>
      <c r="D5" s="332" t="n"/>
      <c r="E5" s="332" t="n"/>
      <c r="F5" s="332" t="n"/>
      <c r="G5" s="332" t="n"/>
      <c r="H5" s="332" t="n"/>
      <c r="I5" s="332" t="n"/>
      <c r="J5" s="332" t="n"/>
      <c r="K5" s="332" t="n"/>
      <c r="L5" s="332" t="n"/>
      <c r="M5" s="332" t="n"/>
      <c r="N5" s="332" t="n"/>
      <c r="O5" s="332" t="n"/>
      <c r="P5" s="221" t="n">
        <v>0.25</v>
      </c>
      <c r="Q5" s="220" t="n">
        <v>3.75</v>
      </c>
      <c r="R5" s="332" t="n"/>
      <c r="S5" s="225" t="n">
        <v>0.037</v>
      </c>
      <c r="T5" s="24" t="inlineStr">
        <is>
          <t>中信证券自营</t>
        </is>
      </c>
      <c r="U5" s="213" t="n">
        <v>1.9</v>
      </c>
    </row>
    <row r="6" ht="15.5" customHeight="1" s="8">
      <c r="A6" s="333" t="n"/>
      <c r="B6" s="333" t="n"/>
      <c r="C6" s="333" t="n"/>
      <c r="D6" s="333" t="n"/>
      <c r="E6" s="333" t="n"/>
      <c r="F6" s="333" t="n"/>
      <c r="G6" s="333" t="n"/>
      <c r="H6" s="333" t="n"/>
      <c r="I6" s="333" t="n"/>
      <c r="J6" s="333" t="n"/>
      <c r="K6" s="333" t="n"/>
      <c r="L6" s="333" t="n"/>
      <c r="M6" s="333" t="n"/>
      <c r="N6" s="333" t="n"/>
      <c r="O6" s="333" t="n"/>
      <c r="P6" s="333" t="n"/>
      <c r="Q6" s="333" t="n"/>
      <c r="R6" s="333" t="n"/>
      <c r="S6" s="333" t="n"/>
      <c r="T6" s="24" t="inlineStr">
        <is>
          <t>中信建投衍生品</t>
        </is>
      </c>
      <c r="U6" s="4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8" min="2" max="2"/>
  </cols>
  <sheetData>
    <row r="1" ht="15.5" customHeight="1" s="8">
      <c r="A1" s="17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20" t="inlineStr">
        <is>
          <t>日期</t>
        </is>
      </c>
      <c r="B2" s="21" t="n">
        <v>46111</v>
      </c>
      <c r="C2" s="21" t="n">
        <v>46142</v>
      </c>
      <c r="D2" s="21" t="n">
        <v>46142</v>
      </c>
    </row>
    <row r="3">
      <c r="A3" s="20" t="inlineStr">
        <is>
          <t>价格</t>
        </is>
      </c>
      <c r="B3" s="22" t="n">
        <v>0.023</v>
      </c>
      <c r="C3" s="22" t="n">
        <v>0.023</v>
      </c>
      <c r="D3" s="22" t="n">
        <v>0.0249</v>
      </c>
    </row>
    <row r="4">
      <c r="A4" s="20" t="inlineStr">
        <is>
          <t>国股CD</t>
        </is>
      </c>
      <c r="B4" s="22" t="n">
        <v>0.0153</v>
      </c>
      <c r="C4" s="22" t="n">
        <v>0.01445</v>
      </c>
      <c r="D4" s="22" t="n">
        <v>0.01445</v>
      </c>
    </row>
    <row r="5">
      <c r="A5" s="20" t="inlineStr">
        <is>
          <t>ALL-IN成本</t>
        </is>
      </c>
      <c r="B5" s="334" t="n">
        <v>0.02433</v>
      </c>
      <c r="C5" s="334" t="n">
        <v>0.02455</v>
      </c>
      <c r="D5" s="334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11" zoomScale="70" zoomScaleNormal="70" workbookViewId="0">
      <selection activeCell="F112" sqref="F112:F132"/>
    </sheetView>
  </sheetViews>
  <sheetFormatPr baseColWidth="8" defaultRowHeight="14"/>
  <cols>
    <col width="14.08203125" customWidth="1" style="8" min="3" max="3"/>
    <col width="13.4140625" customWidth="1" style="8" min="4" max="4"/>
    <col width="8.75" bestFit="1" customWidth="1" style="8" min="9" max="9"/>
    <col width="15.33203125" customWidth="1" style="8" min="11" max="11"/>
    <col width="8.75" bestFit="1" customWidth="1" style="8" min="12" max="14"/>
    <col width="8.75" bestFit="1" customWidth="1" style="8" min="16" max="17"/>
    <col width="8.75" bestFit="1" customWidth="1" style="8" min="19" max="19"/>
    <col width="16" customWidth="1" style="8" min="20" max="20"/>
    <col width="8.75" bestFit="1" customWidth="1" style="8" min="21" max="2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304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304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0" t="inlineStr">
        <is>
          <t>1月</t>
        </is>
      </c>
      <c r="B2" s="220" t="inlineStr">
        <is>
          <t>企金</t>
        </is>
      </c>
      <c r="C2" s="220" t="inlineStr">
        <is>
          <t>信托企业主贷</t>
        </is>
      </c>
      <c r="D2" s="220" t="inlineStr">
        <is>
          <t>尚赢2-2</t>
        </is>
      </c>
      <c r="E2" s="220" t="inlineStr">
        <is>
          <t>上交所</t>
        </is>
      </c>
      <c r="F2" s="220" t="inlineStr">
        <is>
          <t>中信证券</t>
        </is>
      </c>
      <c r="G2" s="220" t="inlineStr">
        <is>
          <t>国信证券</t>
        </is>
      </c>
      <c r="H2" s="220" t="inlineStr">
        <is>
          <t>兴业北分</t>
        </is>
      </c>
      <c r="I2" s="220" t="n">
        <v>10</v>
      </c>
      <c r="J2" s="220" t="inlineStr">
        <is>
          <t>12+12</t>
        </is>
      </c>
      <c r="K2" s="224" t="n">
        <v>46045</v>
      </c>
      <c r="L2" s="225" t="n">
        <v>0.016</v>
      </c>
      <c r="M2" s="225" t="n">
        <v>0.0239</v>
      </c>
      <c r="N2" s="226" t="n">
        <v>2.59</v>
      </c>
      <c r="O2" s="220" t="inlineStr">
        <is>
          <t>优先A</t>
        </is>
      </c>
      <c r="P2" s="231" t="n">
        <v>0.83</v>
      </c>
      <c r="Q2" s="308" t="n">
        <v>8.300000000000001</v>
      </c>
      <c r="R2" s="220" t="inlineStr">
        <is>
          <t>AAA</t>
        </is>
      </c>
      <c r="S2" s="221" t="n">
        <v>0.021</v>
      </c>
      <c r="T2" s="265" t="inlineStr">
        <is>
          <t>交银理财</t>
        </is>
      </c>
      <c r="U2" s="25" t="n">
        <v>1.9</v>
      </c>
    </row>
    <row r="3" ht="15.5" customHeight="1" s="8">
      <c r="A3" s="332" t="n"/>
      <c r="B3" s="332" t="n"/>
      <c r="C3" s="332" t="n"/>
      <c r="D3" s="332" t="n"/>
      <c r="E3" s="332" t="n"/>
      <c r="F3" s="332" t="n"/>
      <c r="G3" s="332" t="n"/>
      <c r="H3" s="332" t="n"/>
      <c r="I3" s="332" t="n"/>
      <c r="J3" s="332" t="n"/>
      <c r="K3" s="332" t="n"/>
      <c r="L3" s="332" t="n"/>
      <c r="M3" s="332" t="n"/>
      <c r="N3" s="332" t="n"/>
      <c r="O3" s="332" t="n"/>
      <c r="P3" s="332" t="n"/>
      <c r="Q3" s="332" t="n"/>
      <c r="R3" s="332" t="n"/>
      <c r="S3" s="332" t="n"/>
      <c r="T3" s="24" t="inlineStr">
        <is>
          <t>中金自营</t>
        </is>
      </c>
      <c r="U3" s="25" t="n">
        <v>0.3</v>
      </c>
    </row>
    <row r="4" ht="15.5" customHeight="1" s="8">
      <c r="A4" s="332" t="n"/>
      <c r="B4" s="332" t="n"/>
      <c r="C4" s="332" t="n"/>
      <c r="D4" s="332" t="n"/>
      <c r="E4" s="332" t="n"/>
      <c r="F4" s="332" t="n"/>
      <c r="G4" s="332" t="n"/>
      <c r="H4" s="332" t="n"/>
      <c r="I4" s="332" t="n"/>
      <c r="J4" s="332" t="n"/>
      <c r="K4" s="332" t="n"/>
      <c r="L4" s="332" t="n"/>
      <c r="M4" s="332" t="n"/>
      <c r="N4" s="332" t="n"/>
      <c r="O4" s="332" t="n"/>
      <c r="P4" s="332" t="n"/>
      <c r="Q4" s="332" t="n"/>
      <c r="R4" s="332" t="n"/>
      <c r="S4" s="332" t="n"/>
      <c r="T4" s="24" t="inlineStr">
        <is>
          <t>顺德农商行</t>
        </is>
      </c>
      <c r="U4" s="25" t="n">
        <v>0.5</v>
      </c>
    </row>
    <row r="5" ht="15.5" customHeight="1" s="8">
      <c r="A5" s="332" t="n"/>
      <c r="B5" s="332" t="n"/>
      <c r="C5" s="332" t="n"/>
      <c r="D5" s="332" t="n"/>
      <c r="E5" s="332" t="n"/>
      <c r="F5" s="332" t="n"/>
      <c r="G5" s="332" t="n"/>
      <c r="H5" s="332" t="n"/>
      <c r="I5" s="332" t="n"/>
      <c r="J5" s="332" t="n"/>
      <c r="K5" s="332" t="n"/>
      <c r="L5" s="332" t="n"/>
      <c r="M5" s="332" t="n"/>
      <c r="N5" s="332" t="n"/>
      <c r="O5" s="332" t="n"/>
      <c r="P5" s="332" t="n"/>
      <c r="Q5" s="332" t="n"/>
      <c r="R5" s="332" t="n"/>
      <c r="S5" s="332" t="n"/>
      <c r="T5" s="24" t="inlineStr">
        <is>
          <t>建信信托</t>
        </is>
      </c>
      <c r="U5" s="25" t="n">
        <v>1.2</v>
      </c>
    </row>
    <row r="6" ht="15.5" customHeight="1" s="8">
      <c r="A6" s="332" t="n"/>
      <c r="B6" s="332" t="n"/>
      <c r="C6" s="332" t="n"/>
      <c r="D6" s="332" t="n"/>
      <c r="E6" s="332" t="n"/>
      <c r="F6" s="332" t="n"/>
      <c r="G6" s="332" t="n"/>
      <c r="H6" s="332" t="n"/>
      <c r="I6" s="332" t="n"/>
      <c r="J6" s="332" t="n"/>
      <c r="K6" s="332" t="n"/>
      <c r="L6" s="332" t="n"/>
      <c r="M6" s="332" t="n"/>
      <c r="N6" s="332" t="n"/>
      <c r="O6" s="332" t="n"/>
      <c r="P6" s="332" t="n"/>
      <c r="Q6" s="332" t="n"/>
      <c r="R6" s="332" t="n"/>
      <c r="S6" s="332" t="n"/>
      <c r="T6" s="24" t="inlineStr">
        <is>
          <t>招银理财</t>
        </is>
      </c>
      <c r="U6" s="25" t="n">
        <v>1.1</v>
      </c>
    </row>
    <row r="7" ht="15.5" customHeight="1" s="8">
      <c r="A7" s="332" t="n"/>
      <c r="B7" s="332" t="n"/>
      <c r="C7" s="332" t="n"/>
      <c r="D7" s="332" t="n"/>
      <c r="E7" s="332" t="n"/>
      <c r="F7" s="332" t="n"/>
      <c r="G7" s="332" t="n"/>
      <c r="H7" s="332" t="n"/>
      <c r="I7" s="332" t="n"/>
      <c r="J7" s="332" t="n"/>
      <c r="K7" s="332" t="n"/>
      <c r="L7" s="332" t="n"/>
      <c r="M7" s="332" t="n"/>
      <c r="N7" s="332" t="n"/>
      <c r="O7" s="332" t="n"/>
      <c r="P7" s="332" t="n"/>
      <c r="Q7" s="332" t="n"/>
      <c r="R7" s="332" t="n"/>
      <c r="S7" s="332" t="n"/>
      <c r="T7" s="24" t="inlineStr">
        <is>
          <t>中金资管</t>
        </is>
      </c>
      <c r="U7" s="25" t="n">
        <v>0.5</v>
      </c>
    </row>
    <row r="8" ht="15.5" customHeight="1" s="8">
      <c r="A8" s="332" t="n"/>
      <c r="B8" s="332" t="n"/>
      <c r="C8" s="332" t="n"/>
      <c r="D8" s="332" t="n"/>
      <c r="E8" s="332" t="n"/>
      <c r="F8" s="332" t="n"/>
      <c r="G8" s="332" t="n"/>
      <c r="H8" s="332" t="n"/>
      <c r="I8" s="332" t="n"/>
      <c r="J8" s="332" t="n"/>
      <c r="K8" s="332" t="n"/>
      <c r="L8" s="332" t="n"/>
      <c r="M8" s="332" t="n"/>
      <c r="N8" s="332" t="n"/>
      <c r="O8" s="332" t="n"/>
      <c r="P8" s="332" t="n"/>
      <c r="Q8" s="332" t="n"/>
      <c r="R8" s="332" t="n"/>
      <c r="S8" s="332" t="n"/>
      <c r="T8" s="24" t="inlineStr">
        <is>
          <t>宁夏银行</t>
        </is>
      </c>
      <c r="U8" s="25" t="n">
        <v>0.3</v>
      </c>
    </row>
    <row r="9" ht="15.5" customHeight="1" s="8">
      <c r="A9" s="332" t="n"/>
      <c r="B9" s="332" t="n"/>
      <c r="C9" s="332" t="n"/>
      <c r="D9" s="332" t="n"/>
      <c r="E9" s="332" t="n"/>
      <c r="F9" s="332" t="n"/>
      <c r="G9" s="332" t="n"/>
      <c r="H9" s="332" t="n"/>
      <c r="I9" s="332" t="n"/>
      <c r="J9" s="332" t="n"/>
      <c r="K9" s="332" t="n"/>
      <c r="L9" s="332" t="n"/>
      <c r="M9" s="332" t="n"/>
      <c r="N9" s="332" t="n"/>
      <c r="O9" s="332" t="n"/>
      <c r="P9" s="332" t="n"/>
      <c r="Q9" s="332" t="n"/>
      <c r="R9" s="332" t="n"/>
      <c r="S9" s="332" t="n"/>
      <c r="T9" s="24" t="inlineStr">
        <is>
          <t>易方达基金</t>
        </is>
      </c>
      <c r="U9" s="25" t="n">
        <v>2.4</v>
      </c>
    </row>
    <row r="10" ht="15.5" customHeight="1" s="8">
      <c r="A10" s="332" t="n"/>
      <c r="B10" s="332" t="n"/>
      <c r="C10" s="332" t="n"/>
      <c r="D10" s="332" t="n"/>
      <c r="E10" s="332" t="n"/>
      <c r="F10" s="332" t="n"/>
      <c r="G10" s="332" t="n"/>
      <c r="H10" s="332" t="n"/>
      <c r="I10" s="332" t="n"/>
      <c r="J10" s="332" t="n"/>
      <c r="K10" s="332" t="n"/>
      <c r="L10" s="332" t="n"/>
      <c r="M10" s="332" t="n"/>
      <c r="N10" s="332" t="n"/>
      <c r="O10" s="333" t="n"/>
      <c r="P10" s="332" t="n"/>
      <c r="Q10" s="333" t="n"/>
      <c r="R10" s="333" t="n"/>
      <c r="S10" s="333" t="n"/>
      <c r="T10" s="24" t="inlineStr">
        <is>
          <t>申万宏源投顾</t>
        </is>
      </c>
      <c r="U10" s="25" t="n">
        <v>0.1</v>
      </c>
    </row>
    <row r="11" ht="15.5" customHeight="1" s="8">
      <c r="A11" s="332" t="n"/>
      <c r="B11" s="332" t="n"/>
      <c r="C11" s="332" t="n"/>
      <c r="D11" s="332" t="n"/>
      <c r="E11" s="332" t="n"/>
      <c r="F11" s="332" t="n"/>
      <c r="G11" s="332" t="n"/>
      <c r="H11" s="332" t="n"/>
      <c r="I11" s="332" t="n"/>
      <c r="J11" s="332" t="n"/>
      <c r="K11" s="332" t="n"/>
      <c r="L11" s="332" t="n"/>
      <c r="M11" s="332" t="n"/>
      <c r="N11" s="332" t="n"/>
      <c r="O11" s="220" t="inlineStr">
        <is>
          <t>优先B</t>
        </is>
      </c>
      <c r="P11" s="221" t="n">
        <v>0.05</v>
      </c>
      <c r="Q11" s="308" t="n">
        <v>0.4</v>
      </c>
      <c r="R11" s="221" t="inlineStr">
        <is>
          <t>AA+</t>
        </is>
      </c>
      <c r="S11" s="221" t="n">
        <v>0.022</v>
      </c>
      <c r="T11" s="30" t="inlineStr">
        <is>
          <t>交银理财</t>
        </is>
      </c>
      <c r="U11" s="29" t="n">
        <v>0.15</v>
      </c>
    </row>
    <row r="12" ht="15.5" customHeight="1" s="8">
      <c r="A12" s="332" t="n"/>
      <c r="B12" s="332" t="n"/>
      <c r="C12" s="332" t="n"/>
      <c r="D12" s="332" t="n"/>
      <c r="E12" s="332" t="n"/>
      <c r="F12" s="332" t="n"/>
      <c r="G12" s="332" t="n"/>
      <c r="H12" s="332" t="n"/>
      <c r="I12" s="332" t="n"/>
      <c r="J12" s="332" t="n"/>
      <c r="K12" s="332" t="n"/>
      <c r="L12" s="332" t="n"/>
      <c r="M12" s="332" t="n"/>
      <c r="N12" s="332" t="n"/>
      <c r="O12" s="332" t="n"/>
      <c r="P12" s="332" t="n"/>
      <c r="Q12" s="332" t="n"/>
      <c r="R12" s="332" t="n"/>
      <c r="S12" s="332" t="n"/>
      <c r="T12" s="30" t="inlineStr">
        <is>
          <t>招银理财</t>
        </is>
      </c>
      <c r="U12" s="29" t="n">
        <v>0.15</v>
      </c>
    </row>
    <row r="13" ht="15.5" customHeight="1" s="8">
      <c r="A13" s="332" t="n"/>
      <c r="B13" s="332" t="n"/>
      <c r="C13" s="332" t="n"/>
      <c r="D13" s="332" t="n"/>
      <c r="E13" s="332" t="n"/>
      <c r="F13" s="332" t="n"/>
      <c r="G13" s="332" t="n"/>
      <c r="H13" s="332" t="n"/>
      <c r="I13" s="332" t="n"/>
      <c r="J13" s="332" t="n"/>
      <c r="K13" s="332" t="n"/>
      <c r="L13" s="332" t="n"/>
      <c r="M13" s="332" t="n"/>
      <c r="N13" s="332" t="n"/>
      <c r="O13" s="332" t="n"/>
      <c r="P13" s="332" t="n"/>
      <c r="Q13" s="332" t="n"/>
      <c r="R13" s="332" t="n"/>
      <c r="S13" s="332" t="n"/>
      <c r="T13" s="30" t="inlineStr">
        <is>
          <t>建信信托</t>
        </is>
      </c>
      <c r="U13" s="29" t="n">
        <v>0.04</v>
      </c>
    </row>
    <row r="14" ht="15.5" customHeight="1" s="8">
      <c r="A14" s="332" t="n"/>
      <c r="B14" s="332" t="n"/>
      <c r="C14" s="332" t="n"/>
      <c r="D14" s="332" t="n"/>
      <c r="E14" s="332" t="n"/>
      <c r="F14" s="332" t="n"/>
      <c r="G14" s="332" t="n"/>
      <c r="H14" s="332" t="n"/>
      <c r="I14" s="332" t="n"/>
      <c r="J14" s="332" t="n"/>
      <c r="K14" s="332" t="n"/>
      <c r="L14" s="332" t="n"/>
      <c r="M14" s="332" t="n"/>
      <c r="N14" s="332" t="n"/>
      <c r="O14" s="332" t="n"/>
      <c r="P14" s="332" t="n"/>
      <c r="Q14" s="332" t="n"/>
      <c r="R14" s="332" t="n"/>
      <c r="S14" s="332" t="n"/>
      <c r="T14" s="30" t="inlineStr">
        <is>
          <t>中金资管</t>
        </is>
      </c>
      <c r="U14" s="29" t="n">
        <v>0.05</v>
      </c>
    </row>
    <row r="15" ht="15.5" customHeight="1" s="8">
      <c r="A15" s="332" t="n"/>
      <c r="B15" s="332" t="n"/>
      <c r="C15" s="332" t="n"/>
      <c r="D15" s="332" t="n"/>
      <c r="E15" s="332" t="n"/>
      <c r="F15" s="332" t="n"/>
      <c r="G15" s="332" t="n"/>
      <c r="H15" s="332" t="n"/>
      <c r="I15" s="332" t="n"/>
      <c r="J15" s="332" t="n"/>
      <c r="K15" s="332" t="n"/>
      <c r="L15" s="332" t="n"/>
      <c r="M15" s="332" t="n"/>
      <c r="N15" s="332" t="n"/>
      <c r="O15" s="333" t="n"/>
      <c r="P15" s="333" t="n"/>
      <c r="Q15" s="333" t="n"/>
      <c r="R15" s="333" t="n"/>
      <c r="S15" s="333" t="n"/>
      <c r="T15" s="30" t="inlineStr">
        <is>
          <t>宁夏银行</t>
        </is>
      </c>
      <c r="U15" s="29" t="n">
        <v>0.11</v>
      </c>
    </row>
    <row r="16" ht="15.5" customHeight="1" s="8">
      <c r="A16" s="332" t="n"/>
      <c r="B16" s="332" t="n"/>
      <c r="C16" s="332" t="n"/>
      <c r="D16" s="332" t="n"/>
      <c r="E16" s="332" t="n"/>
      <c r="F16" s="332" t="n"/>
      <c r="G16" s="332" t="n"/>
      <c r="H16" s="332" t="n"/>
      <c r="I16" s="332" t="n"/>
      <c r="J16" s="332" t="n"/>
      <c r="K16" s="332" t="n"/>
      <c r="L16" s="332" t="n"/>
      <c r="M16" s="332" t="n"/>
      <c r="N16" s="332" t="n"/>
      <c r="O16" s="220" t="inlineStr">
        <is>
          <t>中间级</t>
        </is>
      </c>
      <c r="P16" s="221" t="n">
        <v>0.07000000000000001</v>
      </c>
      <c r="Q16" s="308" t="n">
        <v>0.7</v>
      </c>
      <c r="R16" s="221" t="inlineStr">
        <is>
          <t>AA-</t>
        </is>
      </c>
      <c r="S16" s="221" t="n">
        <v>0.032</v>
      </c>
      <c r="T16" s="24" t="inlineStr">
        <is>
          <t>国信证券自营</t>
        </is>
      </c>
      <c r="U16" s="29" t="n">
        <v>0.2</v>
      </c>
    </row>
    <row r="17" ht="15.5" customHeight="1" s="8">
      <c r="A17" s="332" t="n"/>
      <c r="B17" s="332" t="n"/>
      <c r="C17" s="332" t="n"/>
      <c r="D17" s="332" t="n"/>
      <c r="E17" s="332" t="n"/>
      <c r="F17" s="332" t="n"/>
      <c r="G17" s="332" t="n"/>
      <c r="H17" s="332" t="n"/>
      <c r="I17" s="332" t="n"/>
      <c r="J17" s="332" t="n"/>
      <c r="K17" s="332" t="n"/>
      <c r="L17" s="332" t="n"/>
      <c r="M17" s="332" t="n"/>
      <c r="N17" s="332" t="n"/>
      <c r="O17" s="332" t="n"/>
      <c r="P17" s="332" t="n"/>
      <c r="Q17" s="332" t="n"/>
      <c r="R17" s="332" t="n"/>
      <c r="S17" s="332" t="n"/>
      <c r="T17" s="24" t="inlineStr">
        <is>
          <t>申万宏源自营</t>
        </is>
      </c>
      <c r="U17" s="29" t="n">
        <v>0.15</v>
      </c>
    </row>
    <row r="18" ht="15.5" customHeight="1" s="8">
      <c r="A18" s="332" t="n"/>
      <c r="B18" s="332" t="n"/>
      <c r="C18" s="332" t="n"/>
      <c r="D18" s="332" t="n"/>
      <c r="E18" s="332" t="n"/>
      <c r="F18" s="332" t="n"/>
      <c r="G18" s="332" t="n"/>
      <c r="H18" s="332" t="n"/>
      <c r="I18" s="332" t="n"/>
      <c r="J18" s="332" t="n"/>
      <c r="K18" s="332" t="n"/>
      <c r="L18" s="332" t="n"/>
      <c r="M18" s="332" t="n"/>
      <c r="N18" s="332" t="n"/>
      <c r="O18" s="332" t="n"/>
      <c r="P18" s="332" t="n"/>
      <c r="Q18" s="332" t="n"/>
      <c r="R18" s="332" t="n"/>
      <c r="S18" s="332" t="n"/>
      <c r="T18" s="24" t="inlineStr">
        <is>
          <t>德邦证券自营</t>
        </is>
      </c>
      <c r="U18" s="29" t="n">
        <v>0.15</v>
      </c>
    </row>
    <row r="19" ht="15.5" customHeight="1" s="8">
      <c r="A19" s="332" t="n"/>
      <c r="B19" s="332" t="n"/>
      <c r="C19" s="332" t="n"/>
      <c r="D19" s="332" t="n"/>
      <c r="E19" s="332" t="n"/>
      <c r="F19" s="332" t="n"/>
      <c r="G19" s="332" t="n"/>
      <c r="H19" s="332" t="n"/>
      <c r="I19" s="332" t="n"/>
      <c r="J19" s="332" t="n"/>
      <c r="K19" s="332" t="n"/>
      <c r="L19" s="332" t="n"/>
      <c r="M19" s="332" t="n"/>
      <c r="N19" s="332" t="n"/>
      <c r="O19" s="333" t="n"/>
      <c r="P19" s="333" t="n"/>
      <c r="Q19" s="333" t="n"/>
      <c r="R19" s="333" t="n"/>
      <c r="S19" s="333" t="n"/>
      <c r="T19" s="24" t="inlineStr">
        <is>
          <t>西部证券自营</t>
        </is>
      </c>
      <c r="U19" s="29" t="n">
        <v>0.2</v>
      </c>
    </row>
    <row r="20" ht="15.5" customHeight="1" s="8">
      <c r="A20" s="332" t="n"/>
      <c r="B20" s="332" t="n"/>
      <c r="C20" s="332" t="n"/>
      <c r="D20" s="332" t="n"/>
      <c r="E20" s="332" t="n"/>
      <c r="F20" s="332" t="n"/>
      <c r="G20" s="332" t="n"/>
      <c r="H20" s="332" t="n"/>
      <c r="I20" s="332" t="n"/>
      <c r="J20" s="332" t="n"/>
      <c r="K20" s="332" t="n"/>
      <c r="L20" s="332" t="n"/>
      <c r="M20" s="332" t="n"/>
      <c r="N20" s="332" t="n"/>
      <c r="O20" s="220" t="inlineStr">
        <is>
          <t>受益权</t>
        </is>
      </c>
      <c r="P20" s="221" t="n">
        <v>0.05</v>
      </c>
      <c r="Q20" s="308" t="n">
        <v>0.5</v>
      </c>
      <c r="R20" s="221" t="inlineStr">
        <is>
          <t>无</t>
        </is>
      </c>
      <c r="S20" s="221" t="n">
        <v>0.0525</v>
      </c>
      <c r="T20" s="24" t="inlineStr">
        <is>
          <t>华兴证券自营</t>
        </is>
      </c>
      <c r="U20" s="24" t="n">
        <v>0.075</v>
      </c>
    </row>
    <row r="21" ht="15.5" customHeight="1" s="8">
      <c r="A21" s="332" t="n"/>
      <c r="B21" s="332" t="n"/>
      <c r="C21" s="332" t="n"/>
      <c r="D21" s="332" t="n"/>
      <c r="E21" s="332" t="n"/>
      <c r="F21" s="332" t="n"/>
      <c r="G21" s="332" t="n"/>
      <c r="H21" s="332" t="n"/>
      <c r="I21" s="332" t="n"/>
      <c r="J21" s="332" t="n"/>
      <c r="K21" s="332" t="n"/>
      <c r="L21" s="332" t="n"/>
      <c r="M21" s="332" t="n"/>
      <c r="N21" s="332" t="n"/>
      <c r="O21" s="332" t="n"/>
      <c r="P21" s="332" t="n"/>
      <c r="Q21" s="332" t="n"/>
      <c r="R21" s="332" t="n"/>
      <c r="S21" s="332" t="n"/>
      <c r="T21" s="24" t="inlineStr">
        <is>
          <t>华泰证券自营</t>
        </is>
      </c>
      <c r="U21" s="24" t="n">
        <v>0.08</v>
      </c>
    </row>
    <row r="22" ht="15.5" customHeight="1" s="8">
      <c r="A22" s="332" t="n"/>
      <c r="B22" s="332" t="n"/>
      <c r="C22" s="332" t="n"/>
      <c r="D22" s="332" t="n"/>
      <c r="E22" s="332" t="n"/>
      <c r="F22" s="332" t="n"/>
      <c r="G22" s="332" t="n"/>
      <c r="H22" s="332" t="n"/>
      <c r="I22" s="332" t="n"/>
      <c r="J22" s="332" t="n"/>
      <c r="K22" s="332" t="n"/>
      <c r="L22" s="332" t="n"/>
      <c r="M22" s="332" t="n"/>
      <c r="N22" s="332" t="n"/>
      <c r="O22" s="332" t="n"/>
      <c r="P22" s="332" t="n"/>
      <c r="Q22" s="332" t="n"/>
      <c r="R22" s="332" t="n"/>
      <c r="S22" s="332" t="n"/>
      <c r="T22" s="24" t="inlineStr">
        <is>
          <t>国信证券自营</t>
        </is>
      </c>
      <c r="U22" s="24" t="n">
        <v>0.21</v>
      </c>
    </row>
    <row r="23" ht="15.5" customHeight="1" s="8">
      <c r="A23" s="333" t="n"/>
      <c r="B23" s="333" t="n"/>
      <c r="C23" s="333" t="n"/>
      <c r="D23" s="333" t="n"/>
      <c r="E23" s="333" t="n"/>
      <c r="F23" s="333" t="n"/>
      <c r="G23" s="333" t="n"/>
      <c r="H23" s="333" t="n"/>
      <c r="I23" s="333" t="n"/>
      <c r="J23" s="333" t="n"/>
      <c r="K23" s="333" t="n"/>
      <c r="L23" s="333" t="n"/>
      <c r="M23" s="333" t="n"/>
      <c r="N23" s="333" t="n"/>
      <c r="O23" s="333" t="n"/>
      <c r="P23" s="333" t="n"/>
      <c r="Q23" s="333" t="n"/>
      <c r="R23" s="333" t="n"/>
      <c r="S23" s="333" t="n"/>
      <c r="T23" s="24" t="inlineStr">
        <is>
          <t>西部证券自营</t>
        </is>
      </c>
      <c r="U23" s="24" t="n">
        <v>0.135</v>
      </c>
    </row>
    <row r="24" ht="15.5" customHeight="1" s="8">
      <c r="A24" s="220" t="inlineStr">
        <is>
          <t>1月</t>
        </is>
      </c>
      <c r="B24" s="220" t="inlineStr">
        <is>
          <t>企金</t>
        </is>
      </c>
      <c r="C24" s="220" t="inlineStr">
        <is>
          <t>小贷企业主贷</t>
        </is>
      </c>
      <c r="D24" s="220" t="inlineStr">
        <is>
          <t>盛赢3-4</t>
        </is>
      </c>
      <c r="E24" s="220" t="inlineStr">
        <is>
          <t>上交所</t>
        </is>
      </c>
      <c r="F24" s="220" t="inlineStr">
        <is>
          <t>中信证券</t>
        </is>
      </c>
      <c r="G24" s="220" t="inlineStr">
        <is>
          <t>华福证券</t>
        </is>
      </c>
      <c r="H24" s="220" t="inlineStr">
        <is>
          <t>浦发北分</t>
        </is>
      </c>
      <c r="I24" s="220" t="n">
        <v>10</v>
      </c>
      <c r="J24" s="220" t="inlineStr">
        <is>
          <t>12+12</t>
        </is>
      </c>
      <c r="K24" s="224" t="n">
        <v>46049</v>
      </c>
      <c r="L24" s="225" t="n">
        <v>0.0159</v>
      </c>
      <c r="M24" s="225" t="n">
        <v>0.0217</v>
      </c>
      <c r="N24" s="226" t="n">
        <v>2.08</v>
      </c>
      <c r="O24" s="220" t="inlineStr">
        <is>
          <t>优先A</t>
        </is>
      </c>
      <c r="P24" s="231" t="n">
        <v>0.83</v>
      </c>
      <c r="Q24" s="308" t="n">
        <v>8.300000000000001</v>
      </c>
      <c r="R24" s="220" t="inlineStr">
        <is>
          <t>AAA</t>
        </is>
      </c>
      <c r="S24" s="221" t="n">
        <v>0.0204</v>
      </c>
      <c r="T24" s="265" t="inlineStr">
        <is>
          <t>交银理财</t>
        </is>
      </c>
      <c r="U24" s="25" t="n">
        <v>1.3</v>
      </c>
    </row>
    <row r="25" ht="15.5" customHeight="1" s="8">
      <c r="A25" s="332" t="n"/>
      <c r="B25" s="332" t="n"/>
      <c r="C25" s="332" t="n"/>
      <c r="D25" s="332" t="n"/>
      <c r="E25" s="332" t="n"/>
      <c r="F25" s="332" t="n"/>
      <c r="G25" s="332" t="n"/>
      <c r="H25" s="332" t="n"/>
      <c r="I25" s="332" t="n"/>
      <c r="J25" s="332" t="n"/>
      <c r="K25" s="332" t="n"/>
      <c r="L25" s="332" t="n"/>
      <c r="M25" s="332" t="n"/>
      <c r="N25" s="332" t="n"/>
      <c r="O25" s="332" t="n"/>
      <c r="P25" s="332" t="n"/>
      <c r="Q25" s="332" t="n"/>
      <c r="R25" s="332" t="n"/>
      <c r="S25" s="332" t="n"/>
      <c r="T25" s="24" t="inlineStr">
        <is>
          <t>天津银行</t>
        </is>
      </c>
      <c r="U25" s="25" t="n">
        <v>1</v>
      </c>
    </row>
    <row r="26" ht="15.5" customHeight="1" s="8">
      <c r="A26" s="332" t="n"/>
      <c r="B26" s="332" t="n"/>
      <c r="C26" s="332" t="n"/>
      <c r="D26" s="332" t="n"/>
      <c r="E26" s="332" t="n"/>
      <c r="F26" s="332" t="n"/>
      <c r="G26" s="332" t="n"/>
      <c r="H26" s="332" t="n"/>
      <c r="I26" s="332" t="n"/>
      <c r="J26" s="332" t="n"/>
      <c r="K26" s="332" t="n"/>
      <c r="L26" s="332" t="n"/>
      <c r="M26" s="332" t="n"/>
      <c r="N26" s="332" t="n"/>
      <c r="O26" s="332" t="n"/>
      <c r="P26" s="332" t="n"/>
      <c r="Q26" s="332" t="n"/>
      <c r="R26" s="332" t="n"/>
      <c r="S26" s="332" t="n"/>
      <c r="T26" s="24" t="inlineStr">
        <is>
          <t>中金财富</t>
        </is>
      </c>
      <c r="U26" s="313" t="n">
        <v>0.485</v>
      </c>
    </row>
    <row r="27" ht="15.5" customHeight="1" s="8">
      <c r="A27" s="332" t="n"/>
      <c r="B27" s="332" t="n"/>
      <c r="C27" s="332" t="n"/>
      <c r="D27" s="332" t="n"/>
      <c r="E27" s="332" t="n"/>
      <c r="F27" s="332" t="n"/>
      <c r="G27" s="332" t="n"/>
      <c r="H27" s="332" t="n"/>
      <c r="I27" s="332" t="n"/>
      <c r="J27" s="332" t="n"/>
      <c r="K27" s="332" t="n"/>
      <c r="L27" s="332" t="n"/>
      <c r="M27" s="332" t="n"/>
      <c r="N27" s="332" t="n"/>
      <c r="O27" s="332" t="n"/>
      <c r="P27" s="332" t="n"/>
      <c r="Q27" s="332" t="n"/>
      <c r="R27" s="332" t="n"/>
      <c r="S27" s="332" t="n"/>
      <c r="T27" s="24" t="inlineStr">
        <is>
          <t>工银理财</t>
        </is>
      </c>
      <c r="U27" s="25" t="n">
        <v>1.6</v>
      </c>
    </row>
    <row r="28" ht="15.5" customHeight="1" s="8">
      <c r="A28" s="332" t="n"/>
      <c r="B28" s="332" t="n"/>
      <c r="C28" s="332" t="n"/>
      <c r="D28" s="332" t="n"/>
      <c r="E28" s="332" t="n"/>
      <c r="F28" s="332" t="n"/>
      <c r="G28" s="332" t="n"/>
      <c r="H28" s="332" t="n"/>
      <c r="I28" s="332" t="n"/>
      <c r="J28" s="332" t="n"/>
      <c r="K28" s="332" t="n"/>
      <c r="L28" s="332" t="n"/>
      <c r="M28" s="332" t="n"/>
      <c r="N28" s="332" t="n"/>
      <c r="O28" s="332" t="n"/>
      <c r="P28" s="332" t="n"/>
      <c r="Q28" s="332" t="n"/>
      <c r="R28" s="332" t="n"/>
      <c r="S28" s="332" t="n"/>
      <c r="T28" s="24" t="inlineStr">
        <is>
          <t>招银理财</t>
        </is>
      </c>
      <c r="U28" s="25" t="n">
        <v>1.2</v>
      </c>
    </row>
    <row r="29" ht="15.5" customHeight="1" s="8">
      <c r="A29" s="332" t="n"/>
      <c r="B29" s="332" t="n"/>
      <c r="C29" s="332" t="n"/>
      <c r="D29" s="332" t="n"/>
      <c r="E29" s="332" t="n"/>
      <c r="F29" s="332" t="n"/>
      <c r="G29" s="332" t="n"/>
      <c r="H29" s="332" t="n"/>
      <c r="I29" s="332" t="n"/>
      <c r="J29" s="332" t="n"/>
      <c r="K29" s="332" t="n"/>
      <c r="L29" s="332" t="n"/>
      <c r="M29" s="332" t="n"/>
      <c r="N29" s="332" t="n"/>
      <c r="O29" s="332" t="n"/>
      <c r="P29" s="332" t="n"/>
      <c r="Q29" s="332" t="n"/>
      <c r="R29" s="332" t="n"/>
      <c r="S29" s="332" t="n"/>
      <c r="T29" s="24" t="inlineStr">
        <is>
          <t>易方达基金</t>
        </is>
      </c>
      <c r="U29" s="25" t="n">
        <v>2</v>
      </c>
    </row>
    <row r="30" ht="15.5" customHeight="1" s="8">
      <c r="A30" s="332" t="n"/>
      <c r="B30" s="332" t="n"/>
      <c r="C30" s="332" t="n"/>
      <c r="D30" s="332" t="n"/>
      <c r="E30" s="332" t="n"/>
      <c r="F30" s="332" t="n"/>
      <c r="G30" s="332" t="n"/>
      <c r="H30" s="332" t="n"/>
      <c r="I30" s="332" t="n"/>
      <c r="J30" s="332" t="n"/>
      <c r="K30" s="332" t="n"/>
      <c r="L30" s="332" t="n"/>
      <c r="M30" s="332" t="n"/>
      <c r="N30" s="332" t="n"/>
      <c r="O30" s="332" t="n"/>
      <c r="P30" s="332" t="n"/>
      <c r="Q30" s="332" t="n"/>
      <c r="R30" s="332" t="n"/>
      <c r="S30" s="332" t="n"/>
      <c r="T30" s="24" t="inlineStr">
        <is>
          <t>申万宏源投顾</t>
        </is>
      </c>
      <c r="U30" s="25" t="n">
        <v>0.3</v>
      </c>
    </row>
    <row r="31" ht="15.5" customHeight="1" s="8">
      <c r="A31" s="332" t="n"/>
      <c r="B31" s="332" t="n"/>
      <c r="C31" s="332" t="n"/>
      <c r="D31" s="332" t="n"/>
      <c r="E31" s="332" t="n"/>
      <c r="F31" s="332" t="n"/>
      <c r="G31" s="332" t="n"/>
      <c r="H31" s="332" t="n"/>
      <c r="I31" s="332" t="n"/>
      <c r="J31" s="332" t="n"/>
      <c r="K31" s="332" t="n"/>
      <c r="L31" s="332" t="n"/>
      <c r="M31" s="332" t="n"/>
      <c r="N31" s="332" t="n"/>
      <c r="O31" s="333" t="n"/>
      <c r="P31" s="332" t="n"/>
      <c r="Q31" s="333" t="n"/>
      <c r="R31" s="333" t="n"/>
      <c r="S31" s="333" t="n"/>
      <c r="T31" s="24" t="inlineStr">
        <is>
          <t>盛际小贷</t>
        </is>
      </c>
      <c r="U31" s="313" t="n">
        <v>0.415</v>
      </c>
    </row>
    <row r="32" ht="15.5" customHeight="1" s="8">
      <c r="A32" s="332" t="n"/>
      <c r="B32" s="332" t="n"/>
      <c r="C32" s="332" t="n"/>
      <c r="D32" s="332" t="n"/>
      <c r="E32" s="332" t="n"/>
      <c r="F32" s="332" t="n"/>
      <c r="G32" s="332" t="n"/>
      <c r="H32" s="332" t="n"/>
      <c r="I32" s="332" t="n"/>
      <c r="J32" s="332" t="n"/>
      <c r="K32" s="332" t="n"/>
      <c r="L32" s="332" t="n"/>
      <c r="M32" s="332" t="n"/>
      <c r="N32" s="332" t="n"/>
      <c r="O32" s="220" t="inlineStr">
        <is>
          <t>优先B</t>
        </is>
      </c>
      <c r="P32" s="221" t="n">
        <v>0.05</v>
      </c>
      <c r="Q32" s="308" t="n">
        <v>0.5</v>
      </c>
      <c r="R32" s="221" t="inlineStr">
        <is>
          <t>AA+</t>
        </is>
      </c>
      <c r="S32" s="221" t="n">
        <v>0.0217</v>
      </c>
      <c r="T32" s="30" t="inlineStr">
        <is>
          <t>交银理财</t>
        </is>
      </c>
      <c r="U32" s="29" t="n">
        <v>0.15</v>
      </c>
    </row>
    <row r="33" ht="15.5" customHeight="1" s="8">
      <c r="A33" s="332" t="n"/>
      <c r="B33" s="332" t="n"/>
      <c r="C33" s="332" t="n"/>
      <c r="D33" s="332" t="n"/>
      <c r="E33" s="332" t="n"/>
      <c r="F33" s="332" t="n"/>
      <c r="G33" s="332" t="n"/>
      <c r="H33" s="332" t="n"/>
      <c r="I33" s="332" t="n"/>
      <c r="J33" s="332" t="n"/>
      <c r="K33" s="332" t="n"/>
      <c r="L33" s="332" t="n"/>
      <c r="M33" s="332" t="n"/>
      <c r="N33" s="332" t="n"/>
      <c r="O33" s="332" t="n"/>
      <c r="P33" s="332" t="n"/>
      <c r="Q33" s="332" t="n"/>
      <c r="R33" s="332" t="n"/>
      <c r="S33" s="332" t="n"/>
      <c r="T33" s="30" t="inlineStr">
        <is>
          <t>中金财富</t>
        </is>
      </c>
      <c r="U33" s="314" t="n">
        <v>0.175</v>
      </c>
    </row>
    <row r="34" ht="15.5" customHeight="1" s="8">
      <c r="A34" s="332" t="n"/>
      <c r="B34" s="332" t="n"/>
      <c r="C34" s="332" t="n"/>
      <c r="D34" s="332" t="n"/>
      <c r="E34" s="332" t="n"/>
      <c r="F34" s="332" t="n"/>
      <c r="G34" s="332" t="n"/>
      <c r="H34" s="332" t="n"/>
      <c r="I34" s="332" t="n"/>
      <c r="J34" s="332" t="n"/>
      <c r="K34" s="332" t="n"/>
      <c r="L34" s="332" t="n"/>
      <c r="M34" s="332" t="n"/>
      <c r="N34" s="332" t="n"/>
      <c r="O34" s="332" t="n"/>
      <c r="P34" s="332" t="n"/>
      <c r="Q34" s="332" t="n"/>
      <c r="R34" s="332" t="n"/>
      <c r="S34" s="332" t="n"/>
      <c r="T34" s="30" t="inlineStr">
        <is>
          <t>招银理财</t>
        </is>
      </c>
      <c r="U34" s="29" t="n">
        <v>0.15</v>
      </c>
    </row>
    <row r="35" ht="15.5" customHeight="1" s="8">
      <c r="A35" s="332" t="n"/>
      <c r="B35" s="332" t="n"/>
      <c r="C35" s="332" t="n"/>
      <c r="D35" s="332" t="n"/>
      <c r="E35" s="332" t="n"/>
      <c r="F35" s="332" t="n"/>
      <c r="G35" s="332" t="n"/>
      <c r="H35" s="332" t="n"/>
      <c r="I35" s="332" t="n"/>
      <c r="J35" s="332" t="n"/>
      <c r="K35" s="332" t="n"/>
      <c r="L35" s="332" t="n"/>
      <c r="M35" s="332" t="n"/>
      <c r="N35" s="332" t="n"/>
      <c r="O35" s="333" t="n"/>
      <c r="P35" s="333" t="n"/>
      <c r="Q35" s="333" t="n"/>
      <c r="R35" s="333" t="n"/>
      <c r="S35" s="333" t="n"/>
      <c r="T35" s="30" t="inlineStr">
        <is>
          <t>盛际小贷</t>
        </is>
      </c>
      <c r="U35" s="314" t="n">
        <v>0.025</v>
      </c>
    </row>
    <row r="36" ht="15.5" customHeight="1" s="8">
      <c r="A36" s="332" t="n"/>
      <c r="B36" s="332" t="n"/>
      <c r="C36" s="332" t="n"/>
      <c r="D36" s="332" t="n"/>
      <c r="E36" s="332" t="n"/>
      <c r="F36" s="332" t="n"/>
      <c r="G36" s="332" t="n"/>
      <c r="H36" s="332" t="n"/>
      <c r="I36" s="332" t="n"/>
      <c r="J36" s="332" t="n"/>
      <c r="K36" s="332" t="n"/>
      <c r="L36" s="332" t="n"/>
      <c r="M36" s="332" t="n"/>
      <c r="N36" s="332" t="n"/>
      <c r="O36" s="220" t="inlineStr">
        <is>
          <t>中间级</t>
        </is>
      </c>
      <c r="P36" s="221" t="n">
        <v>0.07000000000000001</v>
      </c>
      <c r="Q36" s="308" t="n">
        <v>0.7</v>
      </c>
      <c r="R36" s="221" t="inlineStr">
        <is>
          <t>AA-</t>
        </is>
      </c>
      <c r="S36" s="221" t="n">
        <v>0.032</v>
      </c>
      <c r="T36" s="30" t="inlineStr">
        <is>
          <t>信达证券自营</t>
        </is>
      </c>
      <c r="U36" s="29" t="n">
        <v>0.2</v>
      </c>
    </row>
    <row r="37" ht="15.5" customHeight="1" s="8">
      <c r="A37" s="332" t="n"/>
      <c r="B37" s="332" t="n"/>
      <c r="C37" s="332" t="n"/>
      <c r="D37" s="332" t="n"/>
      <c r="E37" s="332" t="n"/>
      <c r="F37" s="332" t="n"/>
      <c r="G37" s="332" t="n"/>
      <c r="H37" s="332" t="n"/>
      <c r="I37" s="332" t="n"/>
      <c r="J37" s="332" t="n"/>
      <c r="K37" s="332" t="n"/>
      <c r="L37" s="332" t="n"/>
      <c r="M37" s="332" t="n"/>
      <c r="N37" s="332" t="n"/>
      <c r="O37" s="332" t="n"/>
      <c r="P37" s="332" t="n"/>
      <c r="Q37" s="332" t="n"/>
      <c r="R37" s="332" t="n"/>
      <c r="S37" s="332" t="n"/>
      <c r="T37" s="30" t="inlineStr">
        <is>
          <t>建信信托</t>
        </is>
      </c>
      <c r="U37" s="29" t="n">
        <v>0.1</v>
      </c>
    </row>
    <row r="38" ht="15.5" customHeight="1" s="8">
      <c r="A38" s="332" t="n"/>
      <c r="B38" s="332" t="n"/>
      <c r="C38" s="332" t="n"/>
      <c r="D38" s="332" t="n"/>
      <c r="E38" s="332" t="n"/>
      <c r="F38" s="332" t="n"/>
      <c r="G38" s="332" t="n"/>
      <c r="H38" s="332" t="n"/>
      <c r="I38" s="332" t="n"/>
      <c r="J38" s="332" t="n"/>
      <c r="K38" s="332" t="n"/>
      <c r="L38" s="332" t="n"/>
      <c r="M38" s="332" t="n"/>
      <c r="N38" s="332" t="n"/>
      <c r="O38" s="332" t="n"/>
      <c r="P38" s="332" t="n"/>
      <c r="Q38" s="332" t="n"/>
      <c r="R38" s="332" t="n"/>
      <c r="S38" s="332" t="n"/>
      <c r="T38" s="30" t="inlineStr">
        <is>
          <t>国信证券自营</t>
        </is>
      </c>
      <c r="U38" s="29" t="n">
        <v>0.2</v>
      </c>
    </row>
    <row r="39" ht="15.5" customHeight="1" s="8">
      <c r="A39" s="332" t="n"/>
      <c r="B39" s="332" t="n"/>
      <c r="C39" s="332" t="n"/>
      <c r="D39" s="332" t="n"/>
      <c r="E39" s="332" t="n"/>
      <c r="F39" s="332" t="n"/>
      <c r="G39" s="332" t="n"/>
      <c r="H39" s="332" t="n"/>
      <c r="I39" s="332" t="n"/>
      <c r="J39" s="332" t="n"/>
      <c r="K39" s="332" t="n"/>
      <c r="L39" s="332" t="n"/>
      <c r="M39" s="332" t="n"/>
      <c r="N39" s="332" t="n"/>
      <c r="O39" s="332" t="n"/>
      <c r="P39" s="332" t="n"/>
      <c r="Q39" s="332" t="n"/>
      <c r="R39" s="332" t="n"/>
      <c r="S39" s="332" t="n"/>
      <c r="T39" s="30" t="inlineStr">
        <is>
          <t>国泰海通自营</t>
        </is>
      </c>
      <c r="U39" s="24" t="n">
        <v>0.165</v>
      </c>
    </row>
    <row r="40" ht="15.5" customHeight="1" s="8">
      <c r="A40" s="332" t="n"/>
      <c r="B40" s="332" t="n"/>
      <c r="C40" s="332" t="n"/>
      <c r="D40" s="332" t="n"/>
      <c r="E40" s="332" t="n"/>
      <c r="F40" s="332" t="n"/>
      <c r="G40" s="332" t="n"/>
      <c r="H40" s="332" t="n"/>
      <c r="I40" s="332" t="n"/>
      <c r="J40" s="332" t="n"/>
      <c r="K40" s="332" t="n"/>
      <c r="L40" s="332" t="n"/>
      <c r="M40" s="332" t="n"/>
      <c r="N40" s="332" t="n"/>
      <c r="O40" s="333" t="n"/>
      <c r="P40" s="333" t="n"/>
      <c r="Q40" s="333" t="n"/>
      <c r="R40" s="333" t="n"/>
      <c r="S40" s="333" t="n"/>
      <c r="T40" s="30" t="inlineStr">
        <is>
          <t>盛际小贷</t>
        </is>
      </c>
      <c r="U40" s="24" t="n">
        <v>0.035</v>
      </c>
    </row>
    <row r="41" ht="15.5" customHeight="1" s="8">
      <c r="A41" s="332" t="n"/>
      <c r="B41" s="332" t="n"/>
      <c r="C41" s="332" t="n"/>
      <c r="D41" s="332" t="n"/>
      <c r="E41" s="332" t="n"/>
      <c r="F41" s="332" t="n"/>
      <c r="G41" s="332" t="n"/>
      <c r="H41" s="332" t="n"/>
      <c r="I41" s="332" t="n"/>
      <c r="J41" s="332" t="n"/>
      <c r="K41" s="332" t="n"/>
      <c r="L41" s="332" t="n"/>
      <c r="M41" s="332" t="n"/>
      <c r="N41" s="332" t="n"/>
      <c r="O41" s="220" t="inlineStr">
        <is>
          <t>次级</t>
        </is>
      </c>
      <c r="P41" s="221" t="n">
        <v>0.05</v>
      </c>
      <c r="Q41" s="308" t="n">
        <v>0.5</v>
      </c>
      <c r="R41" s="221" t="inlineStr">
        <is>
          <t>无</t>
        </is>
      </c>
      <c r="S41" s="221" t="n">
        <v>0.0455</v>
      </c>
      <c r="T41" s="30" t="inlineStr">
        <is>
          <t>利曦基金</t>
        </is>
      </c>
      <c r="U41" s="29" t="n">
        <v>0.2</v>
      </c>
    </row>
    <row r="42" ht="15.5" customHeight="1" s="8">
      <c r="A42" s="332" t="n"/>
      <c r="B42" s="332" t="n"/>
      <c r="C42" s="332" t="n"/>
      <c r="D42" s="332" t="n"/>
      <c r="E42" s="332" t="n"/>
      <c r="F42" s="332" t="n"/>
      <c r="G42" s="332" t="n"/>
      <c r="H42" s="332" t="n"/>
      <c r="I42" s="332" t="n"/>
      <c r="J42" s="332" t="n"/>
      <c r="K42" s="332" t="n"/>
      <c r="L42" s="332" t="n"/>
      <c r="M42" s="332" t="n"/>
      <c r="N42" s="332" t="n"/>
      <c r="O42" s="332" t="n"/>
      <c r="P42" s="332" t="n"/>
      <c r="Q42" s="332" t="n"/>
      <c r="R42" s="332" t="n"/>
      <c r="S42" s="332" t="n"/>
      <c r="T42" s="30" t="inlineStr">
        <is>
          <t>国信证券自营</t>
        </is>
      </c>
      <c r="U42" s="29" t="n">
        <v>0.1</v>
      </c>
    </row>
    <row r="43" ht="15.5" customHeight="1" s="8">
      <c r="A43" s="332" t="n"/>
      <c r="B43" s="332" t="n"/>
      <c r="C43" s="332" t="n"/>
      <c r="D43" s="332" t="n"/>
      <c r="E43" s="332" t="n"/>
      <c r="F43" s="332" t="n"/>
      <c r="G43" s="332" t="n"/>
      <c r="H43" s="332" t="n"/>
      <c r="I43" s="332" t="n"/>
      <c r="J43" s="332" t="n"/>
      <c r="K43" s="332" t="n"/>
      <c r="L43" s="332" t="n"/>
      <c r="M43" s="332" t="n"/>
      <c r="N43" s="332" t="n"/>
      <c r="O43" s="332" t="n"/>
      <c r="P43" s="332" t="n"/>
      <c r="Q43" s="332" t="n"/>
      <c r="R43" s="332" t="n"/>
      <c r="S43" s="332" t="n"/>
      <c r="T43" s="30" t="inlineStr">
        <is>
          <t>华兴证券自营</t>
        </is>
      </c>
      <c r="U43" s="314" t="n">
        <v>0.075</v>
      </c>
    </row>
    <row r="44" ht="15.5" customHeight="1" s="8">
      <c r="A44" s="332" t="n"/>
      <c r="B44" s="332" t="n"/>
      <c r="C44" s="332" t="n"/>
      <c r="D44" s="332" t="n"/>
      <c r="E44" s="332" t="n"/>
      <c r="F44" s="332" t="n"/>
      <c r="G44" s="332" t="n"/>
      <c r="H44" s="332" t="n"/>
      <c r="I44" s="332" t="n"/>
      <c r="J44" s="332" t="n"/>
      <c r="K44" s="332" t="n"/>
      <c r="L44" s="332" t="n"/>
      <c r="M44" s="332" t="n"/>
      <c r="N44" s="332" t="n"/>
      <c r="O44" s="332" t="n"/>
      <c r="P44" s="332" t="n"/>
      <c r="Q44" s="332" t="n"/>
      <c r="R44" s="332" t="n"/>
      <c r="S44" s="332" t="n"/>
      <c r="T44" s="30" t="inlineStr">
        <is>
          <t>东家铂睿</t>
        </is>
      </c>
      <c r="U44" s="29" t="n">
        <v>0.1</v>
      </c>
    </row>
    <row r="45" ht="15.5" customHeight="1" s="8">
      <c r="A45" s="333" t="n"/>
      <c r="B45" s="333" t="n"/>
      <c r="C45" s="333" t="n"/>
      <c r="D45" s="333" t="n"/>
      <c r="E45" s="333" t="n"/>
      <c r="F45" s="333" t="n"/>
      <c r="G45" s="333" t="n"/>
      <c r="H45" s="333" t="n"/>
      <c r="I45" s="333" t="n"/>
      <c r="J45" s="333" t="n"/>
      <c r="K45" s="333" t="n"/>
      <c r="L45" s="333" t="n"/>
      <c r="M45" s="333" t="n"/>
      <c r="N45" s="333" t="n"/>
      <c r="O45" s="333" t="n"/>
      <c r="P45" s="333" t="n"/>
      <c r="Q45" s="333" t="n"/>
      <c r="R45" s="333" t="n"/>
      <c r="S45" s="333" t="n"/>
      <c r="T45" s="30" t="inlineStr">
        <is>
          <t>盛际小贷</t>
        </is>
      </c>
      <c r="U45" s="314" t="n">
        <v>0.025</v>
      </c>
    </row>
    <row r="46" ht="15.5" customHeight="1" s="8">
      <c r="A46" s="220" t="inlineStr">
        <is>
          <t>1月</t>
        </is>
      </c>
      <c r="B46" s="220" t="inlineStr">
        <is>
          <t>企金</t>
        </is>
      </c>
      <c r="C46" s="220" t="inlineStr">
        <is>
          <t>信托企业主贷</t>
        </is>
      </c>
      <c r="D46" s="220" t="inlineStr">
        <is>
          <t>尚赢2-3</t>
        </is>
      </c>
      <c r="E46" s="220" t="inlineStr">
        <is>
          <t>上交所</t>
        </is>
      </c>
      <c r="F46" s="220" t="inlineStr">
        <is>
          <t>申万资管</t>
        </is>
      </c>
      <c r="G46" s="220" t="inlineStr">
        <is>
          <t>信达证券</t>
        </is>
      </c>
      <c r="H46" s="220" t="inlineStr">
        <is>
          <t>江苏北分</t>
        </is>
      </c>
      <c r="I46" s="220" t="n">
        <v>10</v>
      </c>
      <c r="J46" s="220" t="inlineStr">
        <is>
          <t>9+12</t>
        </is>
      </c>
      <c r="K46" s="224" t="n">
        <v>46051</v>
      </c>
      <c r="L46" s="225" t="n">
        <v>0.0158</v>
      </c>
      <c r="M46" s="225" t="n">
        <v>0.0227</v>
      </c>
      <c r="N46" s="226" t="n">
        <v>2.93</v>
      </c>
      <c r="O46" s="220" t="inlineStr">
        <is>
          <t>优先A</t>
        </is>
      </c>
      <c r="P46" s="231" t="n">
        <v>0.83</v>
      </c>
      <c r="Q46" s="308" t="n">
        <v>8.300000000000001</v>
      </c>
      <c r="R46" s="220" t="inlineStr">
        <is>
          <t>AAA</t>
        </is>
      </c>
      <c r="S46" s="221" t="n">
        <v>0.0197</v>
      </c>
      <c r="T46" s="265" t="inlineStr">
        <is>
          <t>南银理财</t>
        </is>
      </c>
      <c r="U46" s="25" t="n">
        <v>2.1</v>
      </c>
    </row>
    <row r="47" ht="15.5" customHeight="1" s="8">
      <c r="A47" s="332" t="n"/>
      <c r="B47" s="332" t="n"/>
      <c r="C47" s="332" t="n"/>
      <c r="D47" s="332" t="n"/>
      <c r="E47" s="332" t="n"/>
      <c r="F47" s="332" t="n"/>
      <c r="G47" s="332" t="n"/>
      <c r="H47" s="332" t="n"/>
      <c r="I47" s="332" t="n"/>
      <c r="J47" s="332" t="n"/>
      <c r="K47" s="332" t="n"/>
      <c r="L47" s="332" t="n"/>
      <c r="M47" s="332" t="n"/>
      <c r="N47" s="332" t="n"/>
      <c r="O47" s="332" t="n"/>
      <c r="P47" s="332" t="n"/>
      <c r="Q47" s="332" t="n"/>
      <c r="R47" s="332" t="n"/>
      <c r="S47" s="332" t="n"/>
      <c r="T47" s="24" t="inlineStr">
        <is>
          <t>工银理财</t>
        </is>
      </c>
      <c r="U47" s="25" t="n">
        <v>1.66</v>
      </c>
    </row>
    <row r="48" ht="15.5" customHeight="1" s="8">
      <c r="A48" s="332" t="n"/>
      <c r="B48" s="332" t="n"/>
      <c r="C48" s="332" t="n"/>
      <c r="D48" s="332" t="n"/>
      <c r="E48" s="332" t="n"/>
      <c r="F48" s="332" t="n"/>
      <c r="G48" s="332" t="n"/>
      <c r="H48" s="332" t="n"/>
      <c r="I48" s="332" t="n"/>
      <c r="J48" s="332" t="n"/>
      <c r="K48" s="332" t="n"/>
      <c r="L48" s="332" t="n"/>
      <c r="M48" s="332" t="n"/>
      <c r="N48" s="332" t="n"/>
      <c r="O48" s="332" t="n"/>
      <c r="P48" s="332" t="n"/>
      <c r="Q48" s="332" t="n"/>
      <c r="R48" s="332" t="n"/>
      <c r="S48" s="332" t="n"/>
      <c r="T48" s="24" t="inlineStr">
        <is>
          <t>招银理财</t>
        </is>
      </c>
      <c r="U48" s="25" t="n">
        <v>1.3</v>
      </c>
    </row>
    <row r="49" ht="15.5" customHeight="1" s="8">
      <c r="A49" s="332" t="n"/>
      <c r="B49" s="332" t="n"/>
      <c r="C49" s="332" t="n"/>
      <c r="D49" s="332" t="n"/>
      <c r="E49" s="332" t="n"/>
      <c r="F49" s="332" t="n"/>
      <c r="G49" s="332" t="n"/>
      <c r="H49" s="332" t="n"/>
      <c r="I49" s="332" t="n"/>
      <c r="J49" s="332" t="n"/>
      <c r="K49" s="332" t="n"/>
      <c r="L49" s="332" t="n"/>
      <c r="M49" s="332" t="n"/>
      <c r="N49" s="332" t="n"/>
      <c r="O49" s="332" t="n"/>
      <c r="P49" s="332" t="n"/>
      <c r="Q49" s="332" t="n"/>
      <c r="R49" s="332" t="n"/>
      <c r="S49" s="332" t="n"/>
      <c r="T49" s="24" t="inlineStr">
        <is>
          <t>苏银理财</t>
        </is>
      </c>
      <c r="U49" s="25" t="n">
        <v>1</v>
      </c>
    </row>
    <row r="50" ht="15.5" customHeight="1" s="8">
      <c r="A50" s="332" t="n"/>
      <c r="B50" s="332" t="n"/>
      <c r="C50" s="332" t="n"/>
      <c r="D50" s="332" t="n"/>
      <c r="E50" s="332" t="n"/>
      <c r="F50" s="332" t="n"/>
      <c r="G50" s="332" t="n"/>
      <c r="H50" s="332" t="n"/>
      <c r="I50" s="332" t="n"/>
      <c r="J50" s="332" t="n"/>
      <c r="K50" s="332" t="n"/>
      <c r="L50" s="332" t="n"/>
      <c r="M50" s="332" t="n"/>
      <c r="N50" s="332" t="n"/>
      <c r="O50" s="332" t="n"/>
      <c r="P50" s="332" t="n"/>
      <c r="Q50" s="332" t="n"/>
      <c r="R50" s="332" t="n"/>
      <c r="S50" s="332" t="n"/>
      <c r="T50" s="24" t="inlineStr">
        <is>
          <t>申万宏源投顾</t>
        </is>
      </c>
      <c r="U50" s="25" t="n">
        <v>0.8</v>
      </c>
    </row>
    <row r="51" ht="15.5" customHeight="1" s="8">
      <c r="A51" s="332" t="n"/>
      <c r="B51" s="332" t="n"/>
      <c r="C51" s="332" t="n"/>
      <c r="D51" s="332" t="n"/>
      <c r="E51" s="332" t="n"/>
      <c r="F51" s="332" t="n"/>
      <c r="G51" s="332" t="n"/>
      <c r="H51" s="332" t="n"/>
      <c r="I51" s="332" t="n"/>
      <c r="J51" s="332" t="n"/>
      <c r="K51" s="332" t="n"/>
      <c r="L51" s="332" t="n"/>
      <c r="M51" s="332" t="n"/>
      <c r="N51" s="332" t="n"/>
      <c r="O51" s="332" t="n"/>
      <c r="P51" s="332" t="n"/>
      <c r="Q51" s="332" t="n"/>
      <c r="R51" s="332" t="n"/>
      <c r="S51" s="332" t="n"/>
      <c r="T51" s="24" t="inlineStr">
        <is>
          <t>交银理财</t>
        </is>
      </c>
      <c r="U51" s="25" t="n">
        <v>0.8</v>
      </c>
    </row>
    <row r="52" ht="15.5" customHeight="1" s="8">
      <c r="A52" s="332" t="n"/>
      <c r="B52" s="332" t="n"/>
      <c r="C52" s="332" t="n"/>
      <c r="D52" s="332" t="n"/>
      <c r="E52" s="332" t="n"/>
      <c r="F52" s="332" t="n"/>
      <c r="G52" s="332" t="n"/>
      <c r="H52" s="332" t="n"/>
      <c r="I52" s="332" t="n"/>
      <c r="J52" s="332" t="n"/>
      <c r="K52" s="332" t="n"/>
      <c r="L52" s="332" t="n"/>
      <c r="M52" s="332" t="n"/>
      <c r="N52" s="332" t="n"/>
      <c r="O52" s="332" t="n"/>
      <c r="P52" s="332" t="n"/>
      <c r="Q52" s="332" t="n"/>
      <c r="R52" s="332" t="n"/>
      <c r="S52" s="332" t="n"/>
      <c r="T52" s="24" t="inlineStr">
        <is>
          <t>国金证券资管</t>
        </is>
      </c>
      <c r="U52" s="25" t="n">
        <v>0.5</v>
      </c>
    </row>
    <row r="53" ht="15.5" customHeight="1" s="8">
      <c r="A53" s="332" t="n"/>
      <c r="B53" s="332" t="n"/>
      <c r="C53" s="332" t="n"/>
      <c r="D53" s="332" t="n"/>
      <c r="E53" s="332" t="n"/>
      <c r="F53" s="332" t="n"/>
      <c r="G53" s="332" t="n"/>
      <c r="H53" s="332" t="n"/>
      <c r="I53" s="332" t="n"/>
      <c r="J53" s="332" t="n"/>
      <c r="K53" s="332" t="n"/>
      <c r="L53" s="332" t="n"/>
      <c r="M53" s="332" t="n"/>
      <c r="N53" s="332" t="n"/>
      <c r="O53" s="333" t="n"/>
      <c r="P53" s="332" t="n"/>
      <c r="Q53" s="333" t="n"/>
      <c r="R53" s="333" t="n"/>
      <c r="S53" s="333" t="n"/>
      <c r="T53" s="24" t="inlineStr">
        <is>
          <t>申万宏源资管</t>
        </is>
      </c>
      <c r="U53" s="25" t="n">
        <v>0.14</v>
      </c>
    </row>
    <row r="54" ht="15.5" customHeight="1" s="8">
      <c r="A54" s="332" t="n"/>
      <c r="B54" s="332" t="n"/>
      <c r="C54" s="332" t="n"/>
      <c r="D54" s="332" t="n"/>
      <c r="E54" s="332" t="n"/>
      <c r="F54" s="332" t="n"/>
      <c r="G54" s="332" t="n"/>
      <c r="H54" s="332" t="n"/>
      <c r="I54" s="332" t="n"/>
      <c r="J54" s="332" t="n"/>
      <c r="K54" s="332" t="n"/>
      <c r="L54" s="332" t="n"/>
      <c r="M54" s="332" t="n"/>
      <c r="N54" s="332" t="n"/>
      <c r="O54" s="220" t="inlineStr">
        <is>
          <t>优先B</t>
        </is>
      </c>
      <c r="P54" s="221" t="n">
        <v>0.05</v>
      </c>
      <c r="Q54" s="308" t="n">
        <v>0.5</v>
      </c>
      <c r="R54" s="221" t="inlineStr">
        <is>
          <t>AA+</t>
        </is>
      </c>
      <c r="S54" s="221" t="n">
        <v>0.0215</v>
      </c>
      <c r="T54" s="30" t="inlineStr">
        <is>
          <t>交银理财</t>
        </is>
      </c>
      <c r="U54" s="29" t="n">
        <v>0.15</v>
      </c>
    </row>
    <row r="55" ht="15.5" customHeight="1" s="8">
      <c r="A55" s="332" t="n"/>
      <c r="B55" s="332" t="n"/>
      <c r="C55" s="332" t="n"/>
      <c r="D55" s="332" t="n"/>
      <c r="E55" s="332" t="n"/>
      <c r="F55" s="332" t="n"/>
      <c r="G55" s="332" t="n"/>
      <c r="H55" s="332" t="n"/>
      <c r="I55" s="332" t="n"/>
      <c r="J55" s="332" t="n"/>
      <c r="K55" s="332" t="n"/>
      <c r="L55" s="332" t="n"/>
      <c r="M55" s="332" t="n"/>
      <c r="N55" s="332" t="n"/>
      <c r="O55" s="332" t="n"/>
      <c r="P55" s="332" t="n"/>
      <c r="Q55" s="332" t="n"/>
      <c r="R55" s="332" t="n"/>
      <c r="S55" s="332" t="n"/>
      <c r="T55" s="30" t="inlineStr">
        <is>
          <t>招银理财</t>
        </is>
      </c>
      <c r="U55" s="29" t="n">
        <v>0.1</v>
      </c>
    </row>
    <row r="56" ht="15.5" customHeight="1" s="8">
      <c r="A56" s="332" t="n"/>
      <c r="B56" s="332" t="n"/>
      <c r="C56" s="332" t="n"/>
      <c r="D56" s="332" t="n"/>
      <c r="E56" s="332" t="n"/>
      <c r="F56" s="332" t="n"/>
      <c r="G56" s="332" t="n"/>
      <c r="H56" s="332" t="n"/>
      <c r="I56" s="332" t="n"/>
      <c r="J56" s="332" t="n"/>
      <c r="K56" s="332" t="n"/>
      <c r="L56" s="332" t="n"/>
      <c r="M56" s="332" t="n"/>
      <c r="N56" s="332" t="n"/>
      <c r="O56" s="332" t="n"/>
      <c r="P56" s="332" t="n"/>
      <c r="Q56" s="332" t="n"/>
      <c r="R56" s="332" t="n"/>
      <c r="S56" s="332" t="n"/>
      <c r="T56" s="30" t="inlineStr">
        <is>
          <t>中金投顾</t>
        </is>
      </c>
      <c r="U56" s="29" t="n">
        <v>0.15</v>
      </c>
    </row>
    <row r="57" ht="15.5" customHeight="1" s="8">
      <c r="A57" s="332" t="n"/>
      <c r="B57" s="332" t="n"/>
      <c r="C57" s="332" t="n"/>
      <c r="D57" s="332" t="n"/>
      <c r="E57" s="332" t="n"/>
      <c r="F57" s="332" t="n"/>
      <c r="G57" s="332" t="n"/>
      <c r="H57" s="332" t="n"/>
      <c r="I57" s="332" t="n"/>
      <c r="J57" s="332" t="n"/>
      <c r="K57" s="332" t="n"/>
      <c r="L57" s="332" t="n"/>
      <c r="M57" s="332" t="n"/>
      <c r="N57" s="332" t="n"/>
      <c r="O57" s="333" t="n"/>
      <c r="P57" s="333" t="n"/>
      <c r="Q57" s="333" t="n"/>
      <c r="R57" s="333" t="n"/>
      <c r="S57" s="333" t="n"/>
      <c r="T57" s="30" t="inlineStr">
        <is>
          <t>建信信托</t>
        </is>
      </c>
      <c r="U57" s="29" t="n">
        <v>0.1</v>
      </c>
    </row>
    <row r="58" ht="15.5" customHeight="1" s="8">
      <c r="A58" s="332" t="n"/>
      <c r="B58" s="332" t="n"/>
      <c r="C58" s="332" t="n"/>
      <c r="D58" s="332" t="n"/>
      <c r="E58" s="332" t="n"/>
      <c r="F58" s="332" t="n"/>
      <c r="G58" s="332" t="n"/>
      <c r="H58" s="332" t="n"/>
      <c r="I58" s="332" t="n"/>
      <c r="J58" s="332" t="n"/>
      <c r="K58" s="332" t="n"/>
      <c r="L58" s="332" t="n"/>
      <c r="M58" s="332" t="n"/>
      <c r="N58" s="332" t="n"/>
      <c r="O58" s="220" t="inlineStr">
        <is>
          <t>中间级</t>
        </is>
      </c>
      <c r="P58" s="221" t="n">
        <v>0.07000000000000001</v>
      </c>
      <c r="Q58" s="308" t="n">
        <v>0.7</v>
      </c>
      <c r="R58" s="221" t="inlineStr">
        <is>
          <t>AA-</t>
        </is>
      </c>
      <c r="S58" s="221" t="n">
        <v>0.031</v>
      </c>
      <c r="T58" s="30" t="inlineStr">
        <is>
          <t>申万宏源自营</t>
        </is>
      </c>
      <c r="U58" s="29" t="n">
        <v>0.18</v>
      </c>
    </row>
    <row r="59" ht="15.5" customHeight="1" s="8">
      <c r="A59" s="332" t="n"/>
      <c r="B59" s="332" t="n"/>
      <c r="C59" s="332" t="n"/>
      <c r="D59" s="332" t="n"/>
      <c r="E59" s="332" t="n"/>
      <c r="F59" s="332" t="n"/>
      <c r="G59" s="332" t="n"/>
      <c r="H59" s="332" t="n"/>
      <c r="I59" s="332" t="n"/>
      <c r="J59" s="332" t="n"/>
      <c r="K59" s="332" t="n"/>
      <c r="L59" s="332" t="n"/>
      <c r="M59" s="332" t="n"/>
      <c r="N59" s="332" t="n"/>
      <c r="O59" s="332" t="n"/>
      <c r="P59" s="332" t="n"/>
      <c r="Q59" s="332" t="n"/>
      <c r="R59" s="332" t="n"/>
      <c r="S59" s="332" t="n"/>
      <c r="T59" s="30" t="inlineStr">
        <is>
          <t>建信信托</t>
        </is>
      </c>
      <c r="U59" s="29" t="n">
        <v>0.22</v>
      </c>
    </row>
    <row r="60" ht="15.5" customHeight="1" s="8">
      <c r="A60" s="332" t="n"/>
      <c r="B60" s="332" t="n"/>
      <c r="C60" s="332" t="n"/>
      <c r="D60" s="332" t="n"/>
      <c r="E60" s="332" t="n"/>
      <c r="F60" s="332" t="n"/>
      <c r="G60" s="332" t="n"/>
      <c r="H60" s="332" t="n"/>
      <c r="I60" s="332" t="n"/>
      <c r="J60" s="332" t="n"/>
      <c r="K60" s="332" t="n"/>
      <c r="L60" s="332" t="n"/>
      <c r="M60" s="332" t="n"/>
      <c r="N60" s="332" t="n"/>
      <c r="O60" s="333" t="n"/>
      <c r="P60" s="333" t="n"/>
      <c r="Q60" s="333" t="n"/>
      <c r="R60" s="333" t="n"/>
      <c r="S60" s="333" t="n"/>
      <c r="T60" s="30" t="inlineStr">
        <is>
          <t>信达证券自营</t>
        </is>
      </c>
      <c r="U60" s="29" t="n">
        <v>0.3</v>
      </c>
    </row>
    <row r="61" ht="15.5" customHeight="1" s="8">
      <c r="A61" s="332" t="n"/>
      <c r="B61" s="332" t="n"/>
      <c r="C61" s="332" t="n"/>
      <c r="D61" s="332" t="n"/>
      <c r="E61" s="332" t="n"/>
      <c r="F61" s="332" t="n"/>
      <c r="G61" s="332" t="n"/>
      <c r="H61" s="332" t="n"/>
      <c r="I61" s="332" t="n"/>
      <c r="J61" s="332" t="n"/>
      <c r="K61" s="332" t="n"/>
      <c r="L61" s="332" t="n"/>
      <c r="M61" s="332" t="n"/>
      <c r="N61" s="332" t="n"/>
      <c r="O61" s="220" t="inlineStr">
        <is>
          <t>受益权</t>
        </is>
      </c>
      <c r="P61" s="221" t="n">
        <v>0.05</v>
      </c>
      <c r="Q61" s="308" t="n">
        <v>0.5</v>
      </c>
      <c r="R61" s="221" t="inlineStr">
        <is>
          <t>无</t>
        </is>
      </c>
      <c r="S61" s="221" t="n">
        <v>0.0525</v>
      </c>
      <c r="T61" s="30" t="inlineStr">
        <is>
          <t>国泰海通自营</t>
        </is>
      </c>
      <c r="U61" s="24" t="n">
        <v>0.075</v>
      </c>
    </row>
    <row r="62" ht="15.5" customHeight="1" s="8">
      <c r="A62" s="332" t="n"/>
      <c r="B62" s="332" t="n"/>
      <c r="C62" s="332" t="n"/>
      <c r="D62" s="332" t="n"/>
      <c r="E62" s="332" t="n"/>
      <c r="F62" s="332" t="n"/>
      <c r="G62" s="332" t="n"/>
      <c r="H62" s="332" t="n"/>
      <c r="I62" s="332" t="n"/>
      <c r="J62" s="332" t="n"/>
      <c r="K62" s="332" t="n"/>
      <c r="L62" s="332" t="n"/>
      <c r="M62" s="332" t="n"/>
      <c r="N62" s="332" t="n"/>
      <c r="O62" s="332" t="n"/>
      <c r="P62" s="332" t="n"/>
      <c r="Q62" s="332" t="n"/>
      <c r="R62" s="332" t="n"/>
      <c r="S62" s="332" t="n"/>
      <c r="T62" s="30" t="inlineStr">
        <is>
          <t>国信证券自营</t>
        </is>
      </c>
      <c r="U62" s="24" t="n">
        <v>0.225</v>
      </c>
    </row>
    <row r="63" ht="15.5" customHeight="1" s="8">
      <c r="A63" s="333" t="n"/>
      <c r="B63" s="333" t="n"/>
      <c r="C63" s="333" t="n"/>
      <c r="D63" s="333" t="n"/>
      <c r="E63" s="333" t="n"/>
      <c r="F63" s="333" t="n"/>
      <c r="G63" s="333" t="n"/>
      <c r="H63" s="333" t="n"/>
      <c r="I63" s="333" t="n"/>
      <c r="J63" s="333" t="n"/>
      <c r="K63" s="333" t="n"/>
      <c r="L63" s="333" t="n"/>
      <c r="M63" s="333" t="n"/>
      <c r="N63" s="333" t="n"/>
      <c r="O63" s="333" t="n"/>
      <c r="P63" s="333" t="n"/>
      <c r="Q63" s="333" t="n"/>
      <c r="R63" s="333" t="n"/>
      <c r="S63" s="333" t="n"/>
      <c r="T63" s="30" t="inlineStr">
        <is>
          <t>粤财信托</t>
        </is>
      </c>
      <c r="U63" s="29" t="n">
        <v>0.2</v>
      </c>
    </row>
    <row r="64" ht="15.5" customHeight="1" s="8">
      <c r="A64" s="220" t="inlineStr">
        <is>
          <t>3月</t>
        </is>
      </c>
      <c r="B64" s="220" t="inlineStr">
        <is>
          <t>企金</t>
        </is>
      </c>
      <c r="C64" s="220" t="inlineStr">
        <is>
          <t>信托企业主贷</t>
        </is>
      </c>
      <c r="D64" s="220" t="inlineStr">
        <is>
          <t>尚赢2-5</t>
        </is>
      </c>
      <c r="E64" s="220" t="inlineStr">
        <is>
          <t>上交所</t>
        </is>
      </c>
      <c r="F64" s="220" t="inlineStr">
        <is>
          <t>国证资管</t>
        </is>
      </c>
      <c r="G64" s="220" t="inlineStr">
        <is>
          <t>中信证券</t>
        </is>
      </c>
      <c r="H64" s="220" t="inlineStr">
        <is>
          <t>交行北分</t>
        </is>
      </c>
      <c r="I64" s="220" t="n">
        <v>5</v>
      </c>
      <c r="J64" s="220" t="inlineStr">
        <is>
          <t>9+12</t>
        </is>
      </c>
      <c r="K64" s="224" t="n">
        <v>46093</v>
      </c>
      <c r="L64" s="225" t="n">
        <v>0.0156</v>
      </c>
      <c r="M64" s="225" t="n">
        <v>0.0198</v>
      </c>
      <c r="N64" s="226" t="n">
        <v>4.51</v>
      </c>
      <c r="O64" s="220" t="inlineStr">
        <is>
          <t>优先A</t>
        </is>
      </c>
      <c r="P64" s="231" t="n">
        <v>0.83</v>
      </c>
      <c r="Q64" s="308" t="n">
        <v>4.15</v>
      </c>
      <c r="R64" s="220" t="inlineStr">
        <is>
          <t>AAA</t>
        </is>
      </c>
      <c r="S64" s="221" t="n">
        <v>0.018</v>
      </c>
      <c r="T64" s="24" t="inlineStr">
        <is>
          <t>交银理财</t>
        </is>
      </c>
      <c r="U64" s="25" t="n">
        <v>0.85</v>
      </c>
    </row>
    <row r="65" ht="15.5" customHeight="1" s="8">
      <c r="A65" s="332" t="n"/>
      <c r="B65" s="332" t="n"/>
      <c r="C65" s="332" t="n"/>
      <c r="D65" s="332" t="n"/>
      <c r="E65" s="332" t="n"/>
      <c r="F65" s="332" t="n"/>
      <c r="G65" s="332" t="n"/>
      <c r="H65" s="332" t="n"/>
      <c r="I65" s="332" t="n"/>
      <c r="J65" s="332" t="n"/>
      <c r="K65" s="332" t="n"/>
      <c r="L65" s="332" t="n"/>
      <c r="M65" s="332" t="n"/>
      <c r="N65" s="332" t="n"/>
      <c r="O65" s="332" t="n"/>
      <c r="P65" s="332" t="n"/>
      <c r="Q65" s="332" t="n"/>
      <c r="R65" s="332" t="n"/>
      <c r="S65" s="332" t="n"/>
      <c r="T65" s="24" t="inlineStr">
        <is>
          <t>南银理财</t>
        </is>
      </c>
      <c r="U65" s="25" t="n">
        <v>0.7</v>
      </c>
    </row>
    <row r="66" ht="15.5" customHeight="1" s="8">
      <c r="A66" s="332" t="n"/>
      <c r="B66" s="332" t="n"/>
      <c r="C66" s="332" t="n"/>
      <c r="D66" s="332" t="n"/>
      <c r="E66" s="332" t="n"/>
      <c r="F66" s="332" t="n"/>
      <c r="G66" s="332" t="n"/>
      <c r="H66" s="332" t="n"/>
      <c r="I66" s="332" t="n"/>
      <c r="J66" s="332" t="n"/>
      <c r="K66" s="332" t="n"/>
      <c r="L66" s="332" t="n"/>
      <c r="M66" s="332" t="n"/>
      <c r="N66" s="332" t="n"/>
      <c r="O66" s="332" t="n"/>
      <c r="P66" s="332" t="n"/>
      <c r="Q66" s="332" t="n"/>
      <c r="R66" s="332" t="n"/>
      <c r="S66" s="332" t="n"/>
      <c r="T66" s="24" t="inlineStr">
        <is>
          <t>易方达基金</t>
        </is>
      </c>
      <c r="U66" s="25" t="n">
        <v>0.8</v>
      </c>
    </row>
    <row r="67" ht="15.5" customHeight="1" s="8">
      <c r="A67" s="332" t="n"/>
      <c r="B67" s="332" t="n"/>
      <c r="C67" s="332" t="n"/>
      <c r="D67" s="332" t="n"/>
      <c r="E67" s="332" t="n"/>
      <c r="F67" s="332" t="n"/>
      <c r="G67" s="332" t="n"/>
      <c r="H67" s="332" t="n"/>
      <c r="I67" s="332" t="n"/>
      <c r="J67" s="332" t="n"/>
      <c r="K67" s="332" t="n"/>
      <c r="L67" s="332" t="n"/>
      <c r="M67" s="332" t="n"/>
      <c r="N67" s="332" t="n"/>
      <c r="O67" s="332" t="n"/>
      <c r="P67" s="332" t="n"/>
      <c r="Q67" s="332" t="n"/>
      <c r="R67" s="332" t="n"/>
      <c r="S67" s="332" t="n"/>
      <c r="T67" s="24" t="inlineStr">
        <is>
          <t>苏银理财</t>
        </is>
      </c>
      <c r="U67" s="25" t="n">
        <v>0.9</v>
      </c>
    </row>
    <row r="68" ht="15.5" customHeight="1" s="8">
      <c r="A68" s="332" t="n"/>
      <c r="B68" s="332" t="n"/>
      <c r="C68" s="332" t="n"/>
      <c r="D68" s="332" t="n"/>
      <c r="E68" s="332" t="n"/>
      <c r="F68" s="332" t="n"/>
      <c r="G68" s="332" t="n"/>
      <c r="H68" s="332" t="n"/>
      <c r="I68" s="332" t="n"/>
      <c r="J68" s="332" t="n"/>
      <c r="K68" s="332" t="n"/>
      <c r="L68" s="332" t="n"/>
      <c r="M68" s="332" t="n"/>
      <c r="N68" s="332" t="n"/>
      <c r="O68" s="333" t="n"/>
      <c r="P68" s="332" t="n"/>
      <c r="Q68" s="333" t="n"/>
      <c r="R68" s="333" t="n"/>
      <c r="S68" s="333" t="n"/>
      <c r="T68" s="24" t="inlineStr">
        <is>
          <t>中邮理财</t>
        </is>
      </c>
      <c r="U68" s="25" t="n">
        <v>0.9</v>
      </c>
    </row>
    <row r="69" ht="15.5" customHeight="1" s="8">
      <c r="A69" s="332" t="n"/>
      <c r="B69" s="332" t="n"/>
      <c r="C69" s="332" t="n"/>
      <c r="D69" s="332" t="n"/>
      <c r="E69" s="332" t="n"/>
      <c r="F69" s="332" t="n"/>
      <c r="G69" s="332" t="n"/>
      <c r="H69" s="332" t="n"/>
      <c r="I69" s="332" t="n"/>
      <c r="J69" s="332" t="n"/>
      <c r="K69" s="332" t="n"/>
      <c r="L69" s="332" t="n"/>
      <c r="M69" s="332" t="n"/>
      <c r="N69" s="332" t="n"/>
      <c r="O69" s="220" t="inlineStr">
        <is>
          <t>优先B</t>
        </is>
      </c>
      <c r="P69" s="221" t="n">
        <v>0.05</v>
      </c>
      <c r="Q69" s="308" t="n">
        <v>0.25</v>
      </c>
      <c r="R69" s="221" t="inlineStr">
        <is>
          <t>AA+</t>
        </is>
      </c>
      <c r="S69" s="221" t="n">
        <v>0.0195</v>
      </c>
      <c r="T69" s="30" t="inlineStr">
        <is>
          <t>国投资管投行</t>
        </is>
      </c>
      <c r="U69" s="29" t="n">
        <v>0.03</v>
      </c>
    </row>
    <row r="70" ht="15.5" customHeight="1" s="8">
      <c r="A70" s="332" t="n"/>
      <c r="B70" s="332" t="n"/>
      <c r="C70" s="332" t="n"/>
      <c r="D70" s="332" t="n"/>
      <c r="E70" s="332" t="n"/>
      <c r="F70" s="332" t="n"/>
      <c r="G70" s="332" t="n"/>
      <c r="H70" s="332" t="n"/>
      <c r="I70" s="332" t="n"/>
      <c r="J70" s="332" t="n"/>
      <c r="K70" s="332" t="n"/>
      <c r="L70" s="332" t="n"/>
      <c r="M70" s="332" t="n"/>
      <c r="N70" s="332" t="n"/>
      <c r="O70" s="332" t="n"/>
      <c r="P70" s="332" t="n"/>
      <c r="Q70" s="332" t="n"/>
      <c r="R70" s="332" t="n"/>
      <c r="S70" s="332" t="n"/>
      <c r="T70" s="30" t="inlineStr">
        <is>
          <t>交银理财</t>
        </is>
      </c>
      <c r="U70" s="29" t="n">
        <v>0.07000000000000001</v>
      </c>
    </row>
    <row r="71" ht="15.5" customHeight="1" s="8">
      <c r="A71" s="332" t="n"/>
      <c r="B71" s="332" t="n"/>
      <c r="C71" s="332" t="n"/>
      <c r="D71" s="332" t="n"/>
      <c r="E71" s="332" t="n"/>
      <c r="F71" s="332" t="n"/>
      <c r="G71" s="332" t="n"/>
      <c r="H71" s="332" t="n"/>
      <c r="I71" s="332" t="n"/>
      <c r="J71" s="332" t="n"/>
      <c r="K71" s="332" t="n"/>
      <c r="L71" s="332" t="n"/>
      <c r="M71" s="332" t="n"/>
      <c r="N71" s="332" t="n"/>
      <c r="O71" s="332" t="n"/>
      <c r="P71" s="332" t="n"/>
      <c r="Q71" s="332" t="n"/>
      <c r="R71" s="332" t="n"/>
      <c r="S71" s="332" t="n"/>
      <c r="T71" s="30" t="inlineStr">
        <is>
          <t>国联证券投行</t>
        </is>
      </c>
      <c r="U71" s="29" t="n">
        <v>0.04</v>
      </c>
    </row>
    <row r="72" ht="15.5" customHeight="1" s="8">
      <c r="A72" s="332" t="n"/>
      <c r="B72" s="332" t="n"/>
      <c r="C72" s="332" t="n"/>
      <c r="D72" s="332" t="n"/>
      <c r="E72" s="332" t="n"/>
      <c r="F72" s="332" t="n"/>
      <c r="G72" s="332" t="n"/>
      <c r="H72" s="332" t="n"/>
      <c r="I72" s="332" t="n"/>
      <c r="J72" s="332" t="n"/>
      <c r="K72" s="332" t="n"/>
      <c r="L72" s="332" t="n"/>
      <c r="M72" s="332" t="n"/>
      <c r="N72" s="332" t="n"/>
      <c r="O72" s="332" t="n"/>
      <c r="P72" s="332" t="n"/>
      <c r="Q72" s="332" t="n"/>
      <c r="R72" s="332" t="n"/>
      <c r="S72" s="332" t="n"/>
      <c r="T72" s="30" t="inlineStr">
        <is>
          <t>中信证券投行</t>
        </is>
      </c>
      <c r="U72" s="29" t="n">
        <v>0.04</v>
      </c>
    </row>
    <row r="73" ht="15.5" customHeight="1" s="8">
      <c r="A73" s="332" t="n"/>
      <c r="B73" s="332" t="n"/>
      <c r="C73" s="332" t="n"/>
      <c r="D73" s="332" t="n"/>
      <c r="E73" s="332" t="n"/>
      <c r="F73" s="332" t="n"/>
      <c r="G73" s="332" t="n"/>
      <c r="H73" s="332" t="n"/>
      <c r="I73" s="332" t="n"/>
      <c r="J73" s="332" t="n"/>
      <c r="K73" s="332" t="n"/>
      <c r="L73" s="332" t="n"/>
      <c r="M73" s="332" t="n"/>
      <c r="N73" s="332" t="n"/>
      <c r="O73" s="333" t="n"/>
      <c r="P73" s="333" t="n"/>
      <c r="Q73" s="333" t="n"/>
      <c r="R73" s="333" t="n"/>
      <c r="S73" s="333" t="n"/>
      <c r="T73" s="30" t="inlineStr">
        <is>
          <t>苏银理财</t>
        </is>
      </c>
      <c r="U73" s="29" t="n">
        <v>0.07000000000000001</v>
      </c>
    </row>
    <row r="74" ht="15.5" customHeight="1" s="8">
      <c r="A74" s="332" t="n"/>
      <c r="B74" s="332" t="n"/>
      <c r="C74" s="332" t="n"/>
      <c r="D74" s="332" t="n"/>
      <c r="E74" s="332" t="n"/>
      <c r="F74" s="332" t="n"/>
      <c r="G74" s="332" t="n"/>
      <c r="H74" s="332" t="n"/>
      <c r="I74" s="332" t="n"/>
      <c r="J74" s="332" t="n"/>
      <c r="K74" s="332" t="n"/>
      <c r="L74" s="332" t="n"/>
      <c r="M74" s="332" t="n"/>
      <c r="N74" s="332" t="n"/>
      <c r="O74" s="220" t="inlineStr">
        <is>
          <t>中间级</t>
        </is>
      </c>
      <c r="P74" s="221" t="n">
        <v>0.07000000000000001</v>
      </c>
      <c r="Q74" s="308" t="n">
        <v>0.35</v>
      </c>
      <c r="R74" s="221" t="inlineStr">
        <is>
          <t>AA-</t>
        </is>
      </c>
      <c r="S74" s="221" t="n">
        <v>0.031</v>
      </c>
      <c r="T74" s="30" t="inlineStr">
        <is>
          <t>建信信托</t>
        </is>
      </c>
      <c r="U74" s="29" t="n">
        <v>0.35</v>
      </c>
    </row>
    <row r="75" ht="15.5" customHeight="1" s="8">
      <c r="A75" s="333" t="n"/>
      <c r="B75" s="333" t="n"/>
      <c r="C75" s="333" t="n"/>
      <c r="D75" s="333" t="n"/>
      <c r="E75" s="333" t="n"/>
      <c r="F75" s="333" t="n"/>
      <c r="G75" s="333" t="n"/>
      <c r="H75" s="333" t="n"/>
      <c r="I75" s="333" t="n"/>
      <c r="J75" s="333" t="n"/>
      <c r="K75" s="333" t="n"/>
      <c r="L75" s="333" t="n"/>
      <c r="M75" s="333" t="n"/>
      <c r="N75" s="333" t="n"/>
      <c r="O75" s="220" t="inlineStr">
        <is>
          <t>受益权</t>
        </is>
      </c>
      <c r="P75" s="221" t="n">
        <v>0.05</v>
      </c>
      <c r="Q75" s="308" t="n">
        <v>0.25</v>
      </c>
      <c r="R75" s="221" t="inlineStr">
        <is>
          <t>无</t>
        </is>
      </c>
      <c r="S75" s="221" t="inlineStr">
        <is>
          <t>不出表</t>
        </is>
      </c>
      <c r="T75" s="30" t="inlineStr">
        <is>
          <t>京东自持</t>
        </is>
      </c>
      <c r="U75" s="24" t="inlineStr">
        <is>
          <t>-</t>
        </is>
      </c>
    </row>
    <row r="76" ht="15.5" customHeight="1" s="8">
      <c r="A76" s="220" t="inlineStr">
        <is>
          <t>3月</t>
        </is>
      </c>
      <c r="B76" s="220" t="inlineStr">
        <is>
          <t>企金</t>
        </is>
      </c>
      <c r="C76" s="220" t="inlineStr">
        <is>
          <t>小贷企业主贷</t>
        </is>
      </c>
      <c r="D76" s="220" t="inlineStr">
        <is>
          <t>盛赢3-5</t>
        </is>
      </c>
      <c r="E76" s="220" t="inlineStr">
        <is>
          <t>上交所</t>
        </is>
      </c>
      <c r="F76" s="220" t="inlineStr">
        <is>
          <t>招商证券</t>
        </is>
      </c>
      <c r="G76" s="220" t="inlineStr">
        <is>
          <t>华福证券</t>
        </is>
      </c>
      <c r="H76" s="220" t="inlineStr">
        <is>
          <t>建行北分</t>
        </is>
      </c>
      <c r="I76" s="220" t="n">
        <v>10</v>
      </c>
      <c r="J76" s="220" t="inlineStr">
        <is>
          <t>9+12</t>
        </is>
      </c>
      <c r="K76" s="224" t="n">
        <v>46098</v>
      </c>
      <c r="L76" s="225" t="n">
        <v>0.0154</v>
      </c>
      <c r="M76" s="225" t="n">
        <v>0.0206</v>
      </c>
      <c r="N76" s="226" t="n">
        <v>1.99</v>
      </c>
      <c r="O76" s="220" t="inlineStr">
        <is>
          <t>优先A</t>
        </is>
      </c>
      <c r="P76" s="231" t="n">
        <v>0.83</v>
      </c>
      <c r="Q76" s="308" t="n">
        <v>8.300000000000001</v>
      </c>
      <c r="R76" s="220" t="inlineStr">
        <is>
          <t>AAA</t>
        </is>
      </c>
      <c r="S76" s="221" t="n">
        <v>0.0178</v>
      </c>
      <c r="T76" s="265" t="inlineStr">
        <is>
          <t>南银理财</t>
        </is>
      </c>
      <c r="U76" s="25" t="n">
        <v>2</v>
      </c>
    </row>
    <row r="77" ht="15.5" customHeight="1" s="8">
      <c r="A77" s="332" t="n"/>
      <c r="B77" s="332" t="n"/>
      <c r="C77" s="332" t="n"/>
      <c r="D77" s="332" t="n"/>
      <c r="E77" s="332" t="n"/>
      <c r="F77" s="332" t="n"/>
      <c r="G77" s="332" t="n"/>
      <c r="H77" s="332" t="n"/>
      <c r="I77" s="332" t="n"/>
      <c r="J77" s="332" t="n"/>
      <c r="K77" s="332" t="n"/>
      <c r="L77" s="332" t="n"/>
      <c r="M77" s="332" t="n"/>
      <c r="N77" s="332" t="n"/>
      <c r="O77" s="332" t="n"/>
      <c r="P77" s="332" t="n"/>
      <c r="Q77" s="332" t="n"/>
      <c r="R77" s="332" t="n"/>
      <c r="S77" s="332" t="n"/>
      <c r="T77" s="24" t="inlineStr">
        <is>
          <t>招银理财</t>
        </is>
      </c>
      <c r="U77" s="25" t="n">
        <v>2.2</v>
      </c>
    </row>
    <row r="78" ht="15.5" customHeight="1" s="8">
      <c r="A78" s="332" t="n"/>
      <c r="B78" s="332" t="n"/>
      <c r="C78" s="332" t="n"/>
      <c r="D78" s="332" t="n"/>
      <c r="E78" s="332" t="n"/>
      <c r="F78" s="332" t="n"/>
      <c r="G78" s="332" t="n"/>
      <c r="H78" s="332" t="n"/>
      <c r="I78" s="332" t="n"/>
      <c r="J78" s="332" t="n"/>
      <c r="K78" s="332" t="n"/>
      <c r="L78" s="332" t="n"/>
      <c r="M78" s="332" t="n"/>
      <c r="N78" s="332" t="n"/>
      <c r="O78" s="332" t="n"/>
      <c r="P78" s="332" t="n"/>
      <c r="Q78" s="332" t="n"/>
      <c r="R78" s="332" t="n"/>
      <c r="S78" s="332" t="n"/>
      <c r="T78" s="24" t="inlineStr">
        <is>
          <t>易方达基金</t>
        </is>
      </c>
      <c r="U78" s="25" t="n">
        <v>0.1</v>
      </c>
    </row>
    <row r="79" ht="15.5" customHeight="1" s="8">
      <c r="A79" s="332" t="n"/>
      <c r="B79" s="332" t="n"/>
      <c r="C79" s="332" t="n"/>
      <c r="D79" s="332" t="n"/>
      <c r="E79" s="332" t="n"/>
      <c r="F79" s="332" t="n"/>
      <c r="G79" s="332" t="n"/>
      <c r="H79" s="332" t="n"/>
      <c r="I79" s="332" t="n"/>
      <c r="J79" s="332" t="n"/>
      <c r="K79" s="332" t="n"/>
      <c r="L79" s="332" t="n"/>
      <c r="M79" s="332" t="n"/>
      <c r="N79" s="332" t="n"/>
      <c r="O79" s="332" t="n"/>
      <c r="P79" s="332" t="n"/>
      <c r="Q79" s="332" t="n"/>
      <c r="R79" s="332" t="n"/>
      <c r="S79" s="332" t="n"/>
      <c r="T79" s="24" t="inlineStr">
        <is>
          <t>交银理财</t>
        </is>
      </c>
      <c r="U79" s="146" t="n">
        <v>2.49</v>
      </c>
    </row>
    <row r="80" ht="15.5" customHeight="1" s="8">
      <c r="A80" s="332" t="n"/>
      <c r="B80" s="332" t="n"/>
      <c r="C80" s="332" t="n"/>
      <c r="D80" s="332" t="n"/>
      <c r="E80" s="332" t="n"/>
      <c r="F80" s="332" t="n"/>
      <c r="G80" s="332" t="n"/>
      <c r="H80" s="332" t="n"/>
      <c r="I80" s="332" t="n"/>
      <c r="J80" s="332" t="n"/>
      <c r="K80" s="332" t="n"/>
      <c r="L80" s="332" t="n"/>
      <c r="M80" s="332" t="n"/>
      <c r="N80" s="332" t="n"/>
      <c r="O80" s="332" t="n"/>
      <c r="P80" s="332" t="n"/>
      <c r="Q80" s="332" t="n"/>
      <c r="R80" s="332" t="n"/>
      <c r="S80" s="332" t="n"/>
      <c r="T80" s="24" t="inlineStr">
        <is>
          <t>苏银理财</t>
        </is>
      </c>
      <c r="U80" s="313" t="n">
        <v>1.095</v>
      </c>
    </row>
    <row r="81" ht="15.5" customHeight="1" s="8">
      <c r="A81" s="332" t="n"/>
      <c r="B81" s="332" t="n"/>
      <c r="C81" s="332" t="n"/>
      <c r="D81" s="332" t="n"/>
      <c r="E81" s="332" t="n"/>
      <c r="F81" s="332" t="n"/>
      <c r="G81" s="332" t="n"/>
      <c r="H81" s="332" t="n"/>
      <c r="I81" s="332" t="n"/>
      <c r="J81" s="332" t="n"/>
      <c r="K81" s="332" t="n"/>
      <c r="L81" s="332" t="n"/>
      <c r="M81" s="332" t="n"/>
      <c r="N81" s="332" t="n"/>
      <c r="O81" s="333" t="n"/>
      <c r="P81" s="332" t="n"/>
      <c r="Q81" s="333" t="n"/>
      <c r="R81" s="333" t="n"/>
      <c r="S81" s="333" t="n"/>
      <c r="T81" s="30" t="inlineStr">
        <is>
          <t>盛际小贷</t>
        </is>
      </c>
      <c r="U81" s="313" t="n">
        <v>0.415</v>
      </c>
    </row>
    <row r="82" ht="15.5" customHeight="1" s="8">
      <c r="A82" s="332" t="n"/>
      <c r="B82" s="332" t="n"/>
      <c r="C82" s="332" t="n"/>
      <c r="D82" s="332" t="n"/>
      <c r="E82" s="332" t="n"/>
      <c r="F82" s="332" t="n"/>
      <c r="G82" s="332" t="n"/>
      <c r="H82" s="332" t="n"/>
      <c r="I82" s="332" t="n"/>
      <c r="J82" s="332" t="n"/>
      <c r="K82" s="332" t="n"/>
      <c r="L82" s="332" t="n"/>
      <c r="M82" s="332" t="n"/>
      <c r="N82" s="332" t="n"/>
      <c r="O82" s="220" t="inlineStr">
        <is>
          <t>优先B</t>
        </is>
      </c>
      <c r="P82" s="221" t="n">
        <v>0.05</v>
      </c>
      <c r="Q82" s="308" t="n">
        <v>0.5</v>
      </c>
      <c r="R82" s="221" t="inlineStr">
        <is>
          <t>AA+</t>
        </is>
      </c>
      <c r="S82" s="221" t="n">
        <v>0.0195</v>
      </c>
      <c r="T82" s="30" t="inlineStr">
        <is>
          <t>交银理财</t>
        </is>
      </c>
      <c r="U82" s="29" t="n">
        <v>0.15</v>
      </c>
    </row>
    <row r="83" ht="15.5" customHeight="1" s="8">
      <c r="A83" s="332" t="n"/>
      <c r="B83" s="332" t="n"/>
      <c r="C83" s="332" t="n"/>
      <c r="D83" s="332" t="n"/>
      <c r="E83" s="332" t="n"/>
      <c r="F83" s="332" t="n"/>
      <c r="G83" s="332" t="n"/>
      <c r="H83" s="332" t="n"/>
      <c r="I83" s="332" t="n"/>
      <c r="J83" s="332" t="n"/>
      <c r="K83" s="332" t="n"/>
      <c r="L83" s="332" t="n"/>
      <c r="M83" s="332" t="n"/>
      <c r="N83" s="332" t="n"/>
      <c r="O83" s="332" t="n"/>
      <c r="P83" s="332" t="n"/>
      <c r="Q83" s="332" t="n"/>
      <c r="R83" s="332" t="n"/>
      <c r="S83" s="332" t="n"/>
      <c r="T83" s="30" t="inlineStr">
        <is>
          <t>中金投顾</t>
        </is>
      </c>
      <c r="U83" s="314" t="n">
        <v>0.275</v>
      </c>
    </row>
    <row r="84" ht="15.5" customHeight="1" s="8">
      <c r="A84" s="332" t="n"/>
      <c r="B84" s="332" t="n"/>
      <c r="C84" s="332" t="n"/>
      <c r="D84" s="332" t="n"/>
      <c r="E84" s="332" t="n"/>
      <c r="F84" s="332" t="n"/>
      <c r="G84" s="332" t="n"/>
      <c r="H84" s="332" t="n"/>
      <c r="I84" s="332" t="n"/>
      <c r="J84" s="332" t="n"/>
      <c r="K84" s="332" t="n"/>
      <c r="L84" s="332" t="n"/>
      <c r="M84" s="332" t="n"/>
      <c r="N84" s="332" t="n"/>
      <c r="O84" s="332" t="n"/>
      <c r="P84" s="332" t="n"/>
      <c r="Q84" s="332" t="n"/>
      <c r="R84" s="332" t="n"/>
      <c r="S84" s="332" t="n"/>
      <c r="T84" s="30" t="inlineStr">
        <is>
          <t>申万资管</t>
        </is>
      </c>
      <c r="U84" s="29" t="n">
        <v>0.05</v>
      </c>
    </row>
    <row r="85" ht="15.5" customHeight="1" s="8">
      <c r="A85" s="332" t="n"/>
      <c r="B85" s="332" t="n"/>
      <c r="C85" s="332" t="n"/>
      <c r="D85" s="332" t="n"/>
      <c r="E85" s="332" t="n"/>
      <c r="F85" s="332" t="n"/>
      <c r="G85" s="332" t="n"/>
      <c r="H85" s="332" t="n"/>
      <c r="I85" s="332" t="n"/>
      <c r="J85" s="332" t="n"/>
      <c r="K85" s="332" t="n"/>
      <c r="L85" s="332" t="n"/>
      <c r="M85" s="332" t="n"/>
      <c r="N85" s="332" t="n"/>
      <c r="O85" s="333" t="n"/>
      <c r="P85" s="333" t="n"/>
      <c r="Q85" s="333" t="n"/>
      <c r="R85" s="333" t="n"/>
      <c r="S85" s="333" t="n"/>
      <c r="T85" s="30" t="inlineStr">
        <is>
          <t>盛际小贷</t>
        </is>
      </c>
      <c r="U85" s="314" t="n">
        <v>0.025</v>
      </c>
    </row>
    <row r="86" ht="15.5" customHeight="1" s="8">
      <c r="A86" s="332" t="n"/>
      <c r="B86" s="332" t="n"/>
      <c r="C86" s="332" t="n"/>
      <c r="D86" s="332" t="n"/>
      <c r="E86" s="332" t="n"/>
      <c r="F86" s="332" t="n"/>
      <c r="G86" s="332" t="n"/>
      <c r="H86" s="332" t="n"/>
      <c r="I86" s="332" t="n"/>
      <c r="J86" s="332" t="n"/>
      <c r="K86" s="332" t="n"/>
      <c r="L86" s="332" t="n"/>
      <c r="M86" s="332" t="n"/>
      <c r="N86" s="332" t="n"/>
      <c r="O86" s="220" t="inlineStr">
        <is>
          <t>中间级</t>
        </is>
      </c>
      <c r="P86" s="221" t="n">
        <v>0.07000000000000001</v>
      </c>
      <c r="Q86" s="308" t="n">
        <v>0.7</v>
      </c>
      <c r="R86" s="221" t="inlineStr">
        <is>
          <t>AA-</t>
        </is>
      </c>
      <c r="S86" s="221" t="n">
        <v>0.031</v>
      </c>
      <c r="T86" s="217" t="inlineStr">
        <is>
          <t>建信信托</t>
        </is>
      </c>
      <c r="U86" s="314" t="n">
        <v>0.175</v>
      </c>
    </row>
    <row r="87" ht="15.5" customHeight="1" s="8">
      <c r="A87" s="332" t="n"/>
      <c r="B87" s="332" t="n"/>
      <c r="C87" s="332" t="n"/>
      <c r="D87" s="332" t="n"/>
      <c r="E87" s="332" t="n"/>
      <c r="F87" s="332" t="n"/>
      <c r="G87" s="332" t="n"/>
      <c r="H87" s="332" t="n"/>
      <c r="I87" s="332" t="n"/>
      <c r="J87" s="332" t="n"/>
      <c r="K87" s="332" t="n"/>
      <c r="L87" s="332" t="n"/>
      <c r="M87" s="332" t="n"/>
      <c r="N87" s="332" t="n"/>
      <c r="O87" s="332" t="n"/>
      <c r="P87" s="332" t="n"/>
      <c r="Q87" s="332" t="n"/>
      <c r="R87" s="332" t="n"/>
      <c r="S87" s="332" t="n"/>
      <c r="T87" s="217" t="inlineStr">
        <is>
          <t>利曦基金</t>
        </is>
      </c>
      <c r="U87" s="29" t="n">
        <v>0.1</v>
      </c>
    </row>
    <row r="88" ht="15.5" customHeight="1" s="8">
      <c r="A88" s="332" t="n"/>
      <c r="B88" s="332" t="n"/>
      <c r="C88" s="332" t="n"/>
      <c r="D88" s="332" t="n"/>
      <c r="E88" s="332" t="n"/>
      <c r="F88" s="332" t="n"/>
      <c r="G88" s="332" t="n"/>
      <c r="H88" s="332" t="n"/>
      <c r="I88" s="332" t="n"/>
      <c r="J88" s="332" t="n"/>
      <c r="K88" s="332" t="n"/>
      <c r="L88" s="332" t="n"/>
      <c r="M88" s="332" t="n"/>
      <c r="N88" s="332" t="n"/>
      <c r="O88" s="332" t="n"/>
      <c r="P88" s="332" t="n"/>
      <c r="Q88" s="332" t="n"/>
      <c r="R88" s="332" t="n"/>
      <c r="S88" s="332" t="n"/>
      <c r="T88" s="217" t="inlineStr">
        <is>
          <t>德邦证券自营</t>
        </is>
      </c>
      <c r="U88" s="29" t="n">
        <v>0.2</v>
      </c>
    </row>
    <row r="89" ht="15.5" customHeight="1" s="8">
      <c r="A89" s="332" t="n"/>
      <c r="B89" s="332" t="n"/>
      <c r="C89" s="332" t="n"/>
      <c r="D89" s="332" t="n"/>
      <c r="E89" s="332" t="n"/>
      <c r="F89" s="332" t="n"/>
      <c r="G89" s="332" t="n"/>
      <c r="H89" s="332" t="n"/>
      <c r="I89" s="332" t="n"/>
      <c r="J89" s="332" t="n"/>
      <c r="K89" s="332" t="n"/>
      <c r="L89" s="332" t="n"/>
      <c r="M89" s="332" t="n"/>
      <c r="N89" s="332" t="n"/>
      <c r="O89" s="332" t="n"/>
      <c r="P89" s="332" t="n"/>
      <c r="Q89" s="332" t="n"/>
      <c r="R89" s="332" t="n"/>
      <c r="S89" s="332" t="n"/>
      <c r="T89" s="217" t="inlineStr">
        <is>
          <t>国泰海通自营</t>
        </is>
      </c>
      <c r="U89" s="24" t="n">
        <v>0.19</v>
      </c>
    </row>
    <row r="90" ht="15.5" customHeight="1" s="8">
      <c r="A90" s="332" t="n"/>
      <c r="B90" s="332" t="n"/>
      <c r="C90" s="332" t="n"/>
      <c r="D90" s="332" t="n"/>
      <c r="E90" s="332" t="n"/>
      <c r="F90" s="332" t="n"/>
      <c r="G90" s="332" t="n"/>
      <c r="H90" s="332" t="n"/>
      <c r="I90" s="332" t="n"/>
      <c r="J90" s="332" t="n"/>
      <c r="K90" s="332" t="n"/>
      <c r="L90" s="332" t="n"/>
      <c r="M90" s="332" t="n"/>
      <c r="N90" s="332" t="n"/>
      <c r="O90" s="333" t="n"/>
      <c r="P90" s="333" t="n"/>
      <c r="Q90" s="333" t="n"/>
      <c r="R90" s="333" t="n"/>
      <c r="S90" s="333" t="n"/>
      <c r="T90" s="30" t="inlineStr">
        <is>
          <t>盛际小贷</t>
        </is>
      </c>
      <c r="U90" s="24" t="n">
        <v>0.035</v>
      </c>
    </row>
    <row r="91" ht="15.5" customHeight="1" s="8">
      <c r="A91" s="332" t="n"/>
      <c r="B91" s="332" t="n"/>
      <c r="C91" s="332" t="n"/>
      <c r="D91" s="332" t="n"/>
      <c r="E91" s="332" t="n"/>
      <c r="F91" s="332" t="n"/>
      <c r="G91" s="332" t="n"/>
      <c r="H91" s="332" t="n"/>
      <c r="I91" s="332" t="n"/>
      <c r="J91" s="332" t="n"/>
      <c r="K91" s="332" t="n"/>
      <c r="L91" s="332" t="n"/>
      <c r="M91" s="332" t="n"/>
      <c r="N91" s="332" t="n"/>
      <c r="O91" s="220" t="inlineStr">
        <is>
          <t>次级</t>
        </is>
      </c>
      <c r="P91" s="221" t="n">
        <v>0.05</v>
      </c>
      <c r="Q91" s="308" t="n">
        <v>0.5</v>
      </c>
      <c r="R91" s="221" t="inlineStr">
        <is>
          <t>无</t>
        </is>
      </c>
      <c r="S91" s="221" t="n">
        <v>0.0455</v>
      </c>
      <c r="T91" s="217" t="inlineStr">
        <is>
          <t>东家铂睿</t>
        </is>
      </c>
      <c r="U91" s="29" t="n">
        <v>0.1</v>
      </c>
    </row>
    <row r="92" ht="15.5" customHeight="1" s="8">
      <c r="A92" s="332" t="n"/>
      <c r="B92" s="332" t="n"/>
      <c r="C92" s="332" t="n"/>
      <c r="D92" s="332" t="n"/>
      <c r="E92" s="332" t="n"/>
      <c r="F92" s="332" t="n"/>
      <c r="G92" s="332" t="n"/>
      <c r="H92" s="332" t="n"/>
      <c r="I92" s="332" t="n"/>
      <c r="J92" s="332" t="n"/>
      <c r="K92" s="332" t="n"/>
      <c r="L92" s="332" t="n"/>
      <c r="M92" s="332" t="n"/>
      <c r="N92" s="332" t="n"/>
      <c r="O92" s="332" t="n"/>
      <c r="P92" s="332" t="n"/>
      <c r="Q92" s="332" t="n"/>
      <c r="R92" s="332" t="n"/>
      <c r="S92" s="332" t="n"/>
      <c r="T92" s="217" t="inlineStr">
        <is>
          <t>德邦证券自营</t>
        </is>
      </c>
      <c r="U92" s="29" t="n">
        <v>0.1</v>
      </c>
    </row>
    <row r="93" ht="15.5" customHeight="1" s="8">
      <c r="A93" s="332" t="n"/>
      <c r="B93" s="332" t="n"/>
      <c r="C93" s="332" t="n"/>
      <c r="D93" s="332" t="n"/>
      <c r="E93" s="332" t="n"/>
      <c r="F93" s="332" t="n"/>
      <c r="G93" s="332" t="n"/>
      <c r="H93" s="332" t="n"/>
      <c r="I93" s="332" t="n"/>
      <c r="J93" s="332" t="n"/>
      <c r="K93" s="332" t="n"/>
      <c r="L93" s="332" t="n"/>
      <c r="M93" s="332" t="n"/>
      <c r="N93" s="332" t="n"/>
      <c r="O93" s="332" t="n"/>
      <c r="P93" s="332" t="n"/>
      <c r="Q93" s="332" t="n"/>
      <c r="R93" s="332" t="n"/>
      <c r="S93" s="332" t="n"/>
      <c r="T93" s="217" t="inlineStr">
        <is>
          <t>利曦基金</t>
        </is>
      </c>
      <c r="U93" s="314" t="n">
        <v>0.275</v>
      </c>
    </row>
    <row r="94" ht="15.5" customHeight="1" s="8">
      <c r="A94" s="333" t="n"/>
      <c r="B94" s="333" t="n"/>
      <c r="C94" s="333" t="n"/>
      <c r="D94" s="333" t="n"/>
      <c r="E94" s="333" t="n"/>
      <c r="F94" s="333" t="n"/>
      <c r="G94" s="333" t="n"/>
      <c r="H94" s="333" t="n"/>
      <c r="I94" s="333" t="n"/>
      <c r="J94" s="333" t="n"/>
      <c r="K94" s="333" t="n"/>
      <c r="L94" s="333" t="n"/>
      <c r="M94" s="333" t="n"/>
      <c r="N94" s="333" t="n"/>
      <c r="O94" s="333" t="n"/>
      <c r="P94" s="333" t="n"/>
      <c r="Q94" s="333" t="n"/>
      <c r="R94" s="333" t="n"/>
      <c r="S94" s="333" t="n"/>
      <c r="T94" s="30" t="inlineStr">
        <is>
          <t>盛际小贷</t>
        </is>
      </c>
      <c r="U94" s="314" t="n">
        <v>0.025</v>
      </c>
    </row>
    <row r="95" ht="15.5" customHeight="1" s="8">
      <c r="A95" s="220" t="inlineStr">
        <is>
          <t>4月</t>
        </is>
      </c>
      <c r="B95" s="220" t="inlineStr">
        <is>
          <t>企金</t>
        </is>
      </c>
      <c r="C95" s="220" t="inlineStr">
        <is>
          <t>信托企业主贷</t>
        </is>
      </c>
      <c r="D95" s="220" t="inlineStr">
        <is>
          <t>尚赢2-4</t>
        </is>
      </c>
      <c r="E95" s="220" t="inlineStr">
        <is>
          <t>上交所</t>
        </is>
      </c>
      <c r="F95" s="220" t="inlineStr">
        <is>
          <t>中信建投</t>
        </is>
      </c>
      <c r="G95" s="220" t="inlineStr">
        <is>
          <t>光大证券</t>
        </is>
      </c>
      <c r="H95" s="220" t="inlineStr">
        <is>
          <t>光大重分</t>
        </is>
      </c>
      <c r="I95" s="220" t="n">
        <v>10</v>
      </c>
      <c r="J95" s="220" t="inlineStr">
        <is>
          <t>9+12</t>
        </is>
      </c>
      <c r="K95" s="224" t="n">
        <v>46132</v>
      </c>
      <c r="L95" s="225" t="n">
        <v>0.0148</v>
      </c>
      <c r="M95" s="225" t="n">
        <v>0.02</v>
      </c>
      <c r="N95" s="226" t="n">
        <v>3.46</v>
      </c>
      <c r="O95" s="220" t="inlineStr">
        <is>
          <t>优先A</t>
        </is>
      </c>
      <c r="P95" s="231" t="n">
        <v>0.83</v>
      </c>
      <c r="Q95" s="308" t="n">
        <v>8.300000000000001</v>
      </c>
      <c r="R95" s="220" t="inlineStr">
        <is>
          <t>AAA</t>
        </is>
      </c>
      <c r="S95" s="221" t="n">
        <v>0.0167</v>
      </c>
      <c r="T95" s="24" t="inlineStr">
        <is>
          <t>南银理财</t>
        </is>
      </c>
      <c r="U95" s="25" t="n">
        <v>1</v>
      </c>
    </row>
    <row r="96" ht="15.5" customHeight="1" s="8">
      <c r="A96" s="332" t="n"/>
      <c r="B96" s="332" t="n"/>
      <c r="C96" s="332" t="n"/>
      <c r="D96" s="332" t="n"/>
      <c r="E96" s="332" t="n"/>
      <c r="F96" s="332" t="n"/>
      <c r="G96" s="332" t="n"/>
      <c r="H96" s="332" t="n"/>
      <c r="I96" s="332" t="n"/>
      <c r="J96" s="332" t="n"/>
      <c r="K96" s="332" t="n"/>
      <c r="L96" s="332" t="n"/>
      <c r="M96" s="332" t="n"/>
      <c r="N96" s="332" t="n"/>
      <c r="O96" s="332" t="n"/>
      <c r="P96" s="332" t="n"/>
      <c r="Q96" s="332" t="n"/>
      <c r="R96" s="332" t="n"/>
      <c r="S96" s="332" t="n"/>
      <c r="T96" s="24" t="inlineStr">
        <is>
          <t>交银理财</t>
        </is>
      </c>
      <c r="U96" s="25" t="n">
        <v>0.2</v>
      </c>
    </row>
    <row r="97" ht="15.5" customHeight="1" s="8">
      <c r="A97" s="332" t="n"/>
      <c r="B97" s="332" t="n"/>
      <c r="C97" s="332" t="n"/>
      <c r="D97" s="332" t="n"/>
      <c r="E97" s="332" t="n"/>
      <c r="F97" s="332" t="n"/>
      <c r="G97" s="332" t="n"/>
      <c r="H97" s="332" t="n"/>
      <c r="I97" s="332" t="n"/>
      <c r="J97" s="332" t="n"/>
      <c r="K97" s="332" t="n"/>
      <c r="L97" s="332" t="n"/>
      <c r="M97" s="332" t="n"/>
      <c r="N97" s="332" t="n"/>
      <c r="O97" s="332" t="n"/>
      <c r="P97" s="332" t="n"/>
      <c r="Q97" s="332" t="n"/>
      <c r="R97" s="332" t="n"/>
      <c r="S97" s="332" t="n"/>
      <c r="T97" s="24" t="inlineStr">
        <is>
          <t>民生理财</t>
        </is>
      </c>
      <c r="U97" s="25" t="n">
        <v>2.4</v>
      </c>
    </row>
    <row r="98" ht="15.5" customHeight="1" s="8">
      <c r="A98" s="332" t="n"/>
      <c r="B98" s="332" t="n"/>
      <c r="C98" s="332" t="n"/>
      <c r="D98" s="332" t="n"/>
      <c r="E98" s="332" t="n"/>
      <c r="F98" s="332" t="n"/>
      <c r="G98" s="332" t="n"/>
      <c r="H98" s="332" t="n"/>
      <c r="I98" s="332" t="n"/>
      <c r="J98" s="332" t="n"/>
      <c r="K98" s="332" t="n"/>
      <c r="L98" s="332" t="n"/>
      <c r="M98" s="332" t="n"/>
      <c r="N98" s="332" t="n"/>
      <c r="O98" s="332" t="n"/>
      <c r="P98" s="332" t="n"/>
      <c r="Q98" s="332" t="n"/>
      <c r="R98" s="332" t="n"/>
      <c r="S98" s="332" t="n"/>
      <c r="T98" s="24" t="inlineStr">
        <is>
          <t>广银理财</t>
        </is>
      </c>
      <c r="U98" s="25" t="n">
        <v>1.5</v>
      </c>
    </row>
    <row r="99" ht="15.5" customHeight="1" s="8">
      <c r="A99" s="332" t="n"/>
      <c r="B99" s="332" t="n"/>
      <c r="C99" s="332" t="n"/>
      <c r="D99" s="332" t="n"/>
      <c r="E99" s="332" t="n"/>
      <c r="F99" s="332" t="n"/>
      <c r="G99" s="332" t="n"/>
      <c r="H99" s="332" t="n"/>
      <c r="I99" s="332" t="n"/>
      <c r="J99" s="332" t="n"/>
      <c r="K99" s="332" t="n"/>
      <c r="L99" s="332" t="n"/>
      <c r="M99" s="332" t="n"/>
      <c r="N99" s="332" t="n"/>
      <c r="O99" s="332" t="n"/>
      <c r="P99" s="332" t="n"/>
      <c r="Q99" s="332" t="n"/>
      <c r="R99" s="332" t="n"/>
      <c r="S99" s="332" t="n"/>
      <c r="T99" s="24" t="inlineStr">
        <is>
          <t>招银理财</t>
        </is>
      </c>
      <c r="U99" s="25" t="n">
        <v>0.9</v>
      </c>
    </row>
    <row r="100" ht="15.5" customHeight="1" s="8">
      <c r="A100" s="332" t="n"/>
      <c r="B100" s="332" t="n"/>
      <c r="C100" s="332" t="n"/>
      <c r="D100" s="332" t="n"/>
      <c r="E100" s="332" t="n"/>
      <c r="F100" s="332" t="n"/>
      <c r="G100" s="332" t="n"/>
      <c r="H100" s="332" t="n"/>
      <c r="I100" s="332" t="n"/>
      <c r="J100" s="332" t="n"/>
      <c r="K100" s="332" t="n"/>
      <c r="L100" s="332" t="n"/>
      <c r="M100" s="332" t="n"/>
      <c r="N100" s="332" t="n"/>
      <c r="O100" s="333" t="n"/>
      <c r="P100" s="332" t="n"/>
      <c r="Q100" s="333" t="n"/>
      <c r="R100" s="333" t="n"/>
      <c r="S100" s="333" t="n"/>
      <c r="T100" s="24" t="inlineStr">
        <is>
          <t>中邮理财</t>
        </is>
      </c>
      <c r="U100" s="25" t="n">
        <v>2.3</v>
      </c>
    </row>
    <row r="101" ht="15.5" customHeight="1" s="8">
      <c r="A101" s="332" t="n"/>
      <c r="B101" s="332" t="n"/>
      <c r="C101" s="332" t="n"/>
      <c r="D101" s="332" t="n"/>
      <c r="E101" s="332" t="n"/>
      <c r="F101" s="332" t="n"/>
      <c r="G101" s="332" t="n"/>
      <c r="H101" s="332" t="n"/>
      <c r="I101" s="332" t="n"/>
      <c r="J101" s="332" t="n"/>
      <c r="K101" s="332" t="n"/>
      <c r="L101" s="332" t="n"/>
      <c r="M101" s="332" t="n"/>
      <c r="N101" s="332" t="n"/>
      <c r="O101" s="220" t="inlineStr">
        <is>
          <t>优先B</t>
        </is>
      </c>
      <c r="P101" s="221" t="n">
        <v>0.05</v>
      </c>
      <c r="Q101" s="308" t="n">
        <v>0.5</v>
      </c>
      <c r="R101" s="221" t="inlineStr">
        <is>
          <t>AA+</t>
        </is>
      </c>
      <c r="S101" s="221" t="n">
        <v>0.0183</v>
      </c>
      <c r="T101" s="30" t="inlineStr">
        <is>
          <t>建信信托</t>
        </is>
      </c>
      <c r="U101" s="29" t="n">
        <v>0.05</v>
      </c>
    </row>
    <row r="102" ht="15.5" customHeight="1" s="8">
      <c r="A102" s="332" t="n"/>
      <c r="B102" s="332" t="n"/>
      <c r="C102" s="332" t="n"/>
      <c r="D102" s="332" t="n"/>
      <c r="E102" s="332" t="n"/>
      <c r="F102" s="332" t="n"/>
      <c r="G102" s="332" t="n"/>
      <c r="H102" s="332" t="n"/>
      <c r="I102" s="332" t="n"/>
      <c r="J102" s="332" t="n"/>
      <c r="K102" s="332" t="n"/>
      <c r="L102" s="332" t="n"/>
      <c r="M102" s="332" t="n"/>
      <c r="N102" s="332" t="n"/>
      <c r="O102" s="332" t="n"/>
      <c r="P102" s="332" t="n"/>
      <c r="Q102" s="332" t="n"/>
      <c r="R102" s="332" t="n"/>
      <c r="S102" s="332" t="n"/>
      <c r="T102" s="30" t="inlineStr">
        <is>
          <t>交银理财</t>
        </is>
      </c>
      <c r="U102" s="29" t="n">
        <v>0.15</v>
      </c>
    </row>
    <row r="103" ht="15.5" customHeight="1" s="8">
      <c r="A103" s="332" t="n"/>
      <c r="B103" s="332" t="n"/>
      <c r="C103" s="332" t="n"/>
      <c r="D103" s="332" t="n"/>
      <c r="E103" s="332" t="n"/>
      <c r="F103" s="332" t="n"/>
      <c r="G103" s="332" t="n"/>
      <c r="H103" s="332" t="n"/>
      <c r="I103" s="332" t="n"/>
      <c r="J103" s="332" t="n"/>
      <c r="K103" s="332" t="n"/>
      <c r="L103" s="332" t="n"/>
      <c r="M103" s="332" t="n"/>
      <c r="N103" s="332" t="n"/>
      <c r="O103" s="332" t="n"/>
      <c r="P103" s="332" t="n"/>
      <c r="Q103" s="332" t="n"/>
      <c r="R103" s="332" t="n"/>
      <c r="S103" s="332" t="n"/>
      <c r="T103" s="30" t="inlineStr">
        <is>
          <t>民生理财</t>
        </is>
      </c>
      <c r="U103" s="29" t="n">
        <v>0.15</v>
      </c>
    </row>
    <row r="104" ht="15.5" customHeight="1" s="8">
      <c r="A104" s="332" t="n"/>
      <c r="B104" s="332" t="n"/>
      <c r="C104" s="332" t="n"/>
      <c r="D104" s="332" t="n"/>
      <c r="E104" s="332" t="n"/>
      <c r="F104" s="332" t="n"/>
      <c r="G104" s="332" t="n"/>
      <c r="H104" s="332" t="n"/>
      <c r="I104" s="332" t="n"/>
      <c r="J104" s="332" t="n"/>
      <c r="K104" s="332" t="n"/>
      <c r="L104" s="332" t="n"/>
      <c r="M104" s="332" t="n"/>
      <c r="N104" s="332" t="n"/>
      <c r="O104" s="333" t="n"/>
      <c r="P104" s="333" t="n"/>
      <c r="Q104" s="333" t="n"/>
      <c r="R104" s="333" t="n"/>
      <c r="S104" s="333" t="n"/>
      <c r="T104" s="30" t="inlineStr">
        <is>
          <t>招银理财</t>
        </is>
      </c>
      <c r="U104" s="29" t="n">
        <v>0.15</v>
      </c>
    </row>
    <row r="105" ht="15.5" customHeight="1" s="8">
      <c r="A105" s="332" t="n"/>
      <c r="B105" s="332" t="n"/>
      <c r="C105" s="332" t="n"/>
      <c r="D105" s="332" t="n"/>
      <c r="E105" s="332" t="n"/>
      <c r="F105" s="332" t="n"/>
      <c r="G105" s="332" t="n"/>
      <c r="H105" s="332" t="n"/>
      <c r="I105" s="332" t="n"/>
      <c r="J105" s="332" t="n"/>
      <c r="K105" s="332" t="n"/>
      <c r="L105" s="332" t="n"/>
      <c r="M105" s="332" t="n"/>
      <c r="N105" s="332" t="n"/>
      <c r="O105" s="220" t="inlineStr">
        <is>
          <t>中间级</t>
        </is>
      </c>
      <c r="P105" s="221" t="n">
        <v>0.07000000000000001</v>
      </c>
      <c r="Q105" s="308" t="n">
        <v>0.7</v>
      </c>
      <c r="R105" s="221" t="inlineStr">
        <is>
          <t>AA-</t>
        </is>
      </c>
      <c r="S105" s="221" t="n">
        <v>0.031</v>
      </c>
      <c r="T105" s="30" t="inlineStr">
        <is>
          <t>申万宏源自营</t>
        </is>
      </c>
      <c r="U105" s="29" t="n">
        <v>0.18</v>
      </c>
    </row>
    <row r="106" ht="15.5" customHeight="1" s="8">
      <c r="A106" s="332" t="n"/>
      <c r="B106" s="332" t="n"/>
      <c r="C106" s="332" t="n"/>
      <c r="D106" s="332" t="n"/>
      <c r="E106" s="332" t="n"/>
      <c r="F106" s="332" t="n"/>
      <c r="G106" s="332" t="n"/>
      <c r="H106" s="332" t="n"/>
      <c r="I106" s="332" t="n"/>
      <c r="J106" s="332" t="n"/>
      <c r="K106" s="332" t="n"/>
      <c r="L106" s="332" t="n"/>
      <c r="M106" s="332" t="n"/>
      <c r="N106" s="332" t="n"/>
      <c r="O106" s="332" t="n"/>
      <c r="P106" s="332" t="n"/>
      <c r="Q106" s="332" t="n"/>
      <c r="R106" s="332" t="n"/>
      <c r="S106" s="332" t="n"/>
      <c r="T106" s="30" t="inlineStr">
        <is>
          <t>建信信托</t>
        </is>
      </c>
      <c r="U106" s="29" t="n">
        <v>0.3</v>
      </c>
    </row>
    <row r="107" ht="15.5" customHeight="1" s="8">
      <c r="A107" s="332" t="n"/>
      <c r="B107" s="332" t="n"/>
      <c r="C107" s="332" t="n"/>
      <c r="D107" s="332" t="n"/>
      <c r="E107" s="332" t="n"/>
      <c r="F107" s="332" t="n"/>
      <c r="G107" s="332" t="n"/>
      <c r="H107" s="332" t="n"/>
      <c r="I107" s="332" t="n"/>
      <c r="J107" s="332" t="n"/>
      <c r="K107" s="332" t="n"/>
      <c r="L107" s="332" t="n"/>
      <c r="M107" s="332" t="n"/>
      <c r="N107" s="332" t="n"/>
      <c r="O107" s="333" t="n"/>
      <c r="P107" s="333" t="n"/>
      <c r="Q107" s="333" t="n"/>
      <c r="R107" s="333" t="n"/>
      <c r="S107" s="333" t="n"/>
      <c r="T107" s="30" t="inlineStr">
        <is>
          <t>信达证券自营</t>
        </is>
      </c>
      <c r="U107" s="29" t="n">
        <v>0.22</v>
      </c>
    </row>
    <row r="108" ht="15.5" customHeight="1" s="8">
      <c r="A108" s="332" t="n"/>
      <c r="B108" s="332" t="n"/>
      <c r="C108" s="332" t="n"/>
      <c r="D108" s="332" t="n"/>
      <c r="E108" s="332" t="n"/>
      <c r="F108" s="332" t="n"/>
      <c r="G108" s="332" t="n"/>
      <c r="H108" s="332" t="n"/>
      <c r="I108" s="332" t="n"/>
      <c r="J108" s="332" t="n"/>
      <c r="K108" s="332" t="n"/>
      <c r="L108" s="332" t="n"/>
      <c r="M108" s="332" t="n"/>
      <c r="N108" s="332" t="n"/>
      <c r="O108" s="220" t="inlineStr">
        <is>
          <t>受益权</t>
        </is>
      </c>
      <c r="P108" s="221" t="n">
        <v>0.05</v>
      </c>
      <c r="Q108" s="308" t="n">
        <v>0.5</v>
      </c>
      <c r="R108" s="221" t="inlineStr">
        <is>
          <t>无</t>
        </is>
      </c>
      <c r="S108" s="221" t="n">
        <v>0.0515</v>
      </c>
      <c r="T108" s="30" t="inlineStr">
        <is>
          <t>西部证券自营</t>
        </is>
      </c>
      <c r="U108" s="29" t="n">
        <v>0.1</v>
      </c>
    </row>
    <row r="109" ht="15.5" customHeight="1" s="8">
      <c r="A109" s="332" t="n"/>
      <c r="B109" s="332" t="n"/>
      <c r="C109" s="332" t="n"/>
      <c r="D109" s="332" t="n"/>
      <c r="E109" s="332" t="n"/>
      <c r="F109" s="332" t="n"/>
      <c r="G109" s="332" t="n"/>
      <c r="H109" s="332" t="n"/>
      <c r="I109" s="332" t="n"/>
      <c r="J109" s="332" t="n"/>
      <c r="K109" s="332" t="n"/>
      <c r="L109" s="332" t="n"/>
      <c r="M109" s="332" t="n"/>
      <c r="N109" s="332" t="n"/>
      <c r="O109" s="332" t="n"/>
      <c r="P109" s="332" t="n"/>
      <c r="Q109" s="332" t="n"/>
      <c r="R109" s="332" t="n"/>
      <c r="S109" s="332" t="n"/>
      <c r="T109" s="30" t="inlineStr">
        <is>
          <t>国信证券自营</t>
        </is>
      </c>
      <c r="U109" s="29" t="n">
        <v>0.25</v>
      </c>
    </row>
    <row r="110" ht="15.5" customHeight="1" s="8">
      <c r="A110" s="332" t="n"/>
      <c r="B110" s="332" t="n"/>
      <c r="C110" s="332" t="n"/>
      <c r="D110" s="332" t="n"/>
      <c r="E110" s="332" t="n"/>
      <c r="F110" s="332" t="n"/>
      <c r="G110" s="332" t="n"/>
      <c r="H110" s="332" t="n"/>
      <c r="I110" s="332" t="n"/>
      <c r="J110" s="332" t="n"/>
      <c r="K110" s="332" t="n"/>
      <c r="L110" s="332" t="n"/>
      <c r="M110" s="332" t="n"/>
      <c r="N110" s="332" t="n"/>
      <c r="O110" s="332" t="n"/>
      <c r="P110" s="332" t="n"/>
      <c r="Q110" s="332" t="n"/>
      <c r="R110" s="332" t="n"/>
      <c r="S110" s="332" t="n"/>
      <c r="T110" s="30" t="inlineStr">
        <is>
          <t>华兴证券自营</t>
        </is>
      </c>
      <c r="U110" s="314" t="n">
        <v>0.075</v>
      </c>
    </row>
    <row r="111" ht="15.5" customHeight="1" s="8">
      <c r="A111" s="333" t="n"/>
      <c r="B111" s="333" t="n"/>
      <c r="C111" s="333" t="n"/>
      <c r="D111" s="333" t="n"/>
      <c r="E111" s="333" t="n"/>
      <c r="F111" s="333" t="n"/>
      <c r="G111" s="333" t="n"/>
      <c r="H111" s="333" t="n"/>
      <c r="I111" s="333" t="n"/>
      <c r="J111" s="333" t="n"/>
      <c r="K111" s="333" t="n"/>
      <c r="L111" s="333" t="n"/>
      <c r="M111" s="333" t="n"/>
      <c r="N111" s="333" t="n"/>
      <c r="O111" s="333" t="n"/>
      <c r="P111" s="333" t="n"/>
      <c r="Q111" s="333" t="n"/>
      <c r="R111" s="333" t="n"/>
      <c r="S111" s="333" t="n"/>
      <c r="T111" s="30" t="inlineStr">
        <is>
          <t>信达证券自营</t>
        </is>
      </c>
      <c r="U111" s="314" t="n">
        <v>0.075</v>
      </c>
    </row>
    <row r="112" ht="15.5" customHeight="1" s="8">
      <c r="A112" s="220" t="inlineStr">
        <is>
          <t>4月</t>
        </is>
      </c>
      <c r="B112" s="220" t="inlineStr">
        <is>
          <t>企金</t>
        </is>
      </c>
      <c r="C112" s="220" t="inlineStr">
        <is>
          <t>小贷企业主贷</t>
        </is>
      </c>
      <c r="D112" s="220" t="inlineStr">
        <is>
          <t>盛赢3-6</t>
        </is>
      </c>
      <c r="E112" s="220" t="inlineStr">
        <is>
          <t>上交所</t>
        </is>
      </c>
      <c r="F112" s="220" t="inlineStr">
        <is>
          <t>中信证券</t>
        </is>
      </c>
      <c r="G112" s="220" t="inlineStr">
        <is>
          <t>华福证券</t>
        </is>
      </c>
      <c r="H112" s="220" t="inlineStr">
        <is>
          <t>兴业北分</t>
        </is>
      </c>
      <c r="I112" s="220" t="n">
        <v>10</v>
      </c>
      <c r="J112" s="220" t="inlineStr">
        <is>
          <t>9+12</t>
        </is>
      </c>
      <c r="K112" s="224" t="n">
        <v>46139</v>
      </c>
      <c r="L112" s="225" t="n">
        <v>0.01445</v>
      </c>
      <c r="M112" s="311" t="n">
        <v>0.0199</v>
      </c>
      <c r="N112" s="226" t="n">
        <v>1.458</v>
      </c>
      <c r="O112" s="220" t="inlineStr">
        <is>
          <t>优先A</t>
        </is>
      </c>
      <c r="P112" s="231" t="n">
        <v>0.83</v>
      </c>
      <c r="Q112" s="308" t="n">
        <v>8.300000000000001</v>
      </c>
      <c r="R112" s="220" t="inlineStr">
        <is>
          <t>AAA</t>
        </is>
      </c>
      <c r="S112" s="221" t="n">
        <v>0.017</v>
      </c>
      <c r="T112" s="265" t="inlineStr">
        <is>
          <t>中金自营</t>
        </is>
      </c>
      <c r="U112" s="25" t="n">
        <v>0.3</v>
      </c>
    </row>
    <row r="113" ht="15.5" customHeight="1" s="8">
      <c r="A113" s="332" t="n"/>
      <c r="B113" s="332" t="n"/>
      <c r="C113" s="332" t="n"/>
      <c r="D113" s="332" t="n"/>
      <c r="E113" s="332" t="n"/>
      <c r="F113" s="332" t="n"/>
      <c r="G113" s="332" t="n"/>
      <c r="H113" s="332" t="n"/>
      <c r="I113" s="332" t="n"/>
      <c r="J113" s="332" t="n"/>
      <c r="K113" s="332" t="n"/>
      <c r="L113" s="332" t="n"/>
      <c r="M113" s="332" t="n"/>
      <c r="N113" s="332" t="n"/>
      <c r="O113" s="332" t="n"/>
      <c r="P113" s="332" t="n"/>
      <c r="Q113" s="332" t="n"/>
      <c r="R113" s="332" t="n"/>
      <c r="S113" s="332" t="n"/>
      <c r="T113" s="24" t="inlineStr">
        <is>
          <t>广银理财</t>
        </is>
      </c>
      <c r="U113" s="25" t="n">
        <v>2</v>
      </c>
    </row>
    <row r="114" ht="15.5" customHeight="1" s="8">
      <c r="A114" s="332" t="n"/>
      <c r="B114" s="332" t="n"/>
      <c r="C114" s="332" t="n"/>
      <c r="D114" s="332" t="n"/>
      <c r="E114" s="332" t="n"/>
      <c r="F114" s="332" t="n"/>
      <c r="G114" s="332" t="n"/>
      <c r="H114" s="332" t="n"/>
      <c r="I114" s="332" t="n"/>
      <c r="J114" s="332" t="n"/>
      <c r="K114" s="332" t="n"/>
      <c r="L114" s="332" t="n"/>
      <c r="M114" s="332" t="n"/>
      <c r="N114" s="332" t="n"/>
      <c r="O114" s="332" t="n"/>
      <c r="P114" s="332" t="n"/>
      <c r="Q114" s="332" t="n"/>
      <c r="R114" s="332" t="n"/>
      <c r="S114" s="332" t="n"/>
      <c r="T114" s="24" t="inlineStr">
        <is>
          <t>中邮理财</t>
        </is>
      </c>
      <c r="U114" s="25" t="n">
        <v>2.49</v>
      </c>
    </row>
    <row r="115" ht="15.5" customHeight="1" s="8">
      <c r="A115" s="332" t="n"/>
      <c r="B115" s="332" t="n"/>
      <c r="C115" s="332" t="n"/>
      <c r="D115" s="332" t="n"/>
      <c r="E115" s="332" t="n"/>
      <c r="F115" s="332" t="n"/>
      <c r="G115" s="332" t="n"/>
      <c r="H115" s="332" t="n"/>
      <c r="I115" s="332" t="n"/>
      <c r="J115" s="332" t="n"/>
      <c r="K115" s="332" t="n"/>
      <c r="L115" s="332" t="n"/>
      <c r="M115" s="332" t="n"/>
      <c r="N115" s="332" t="n"/>
      <c r="O115" s="332" t="n"/>
      <c r="P115" s="332" t="n"/>
      <c r="Q115" s="332" t="n"/>
      <c r="R115" s="332" t="n"/>
      <c r="S115" s="332" t="n"/>
      <c r="T115" s="24" t="inlineStr">
        <is>
          <t>交银理财</t>
        </is>
      </c>
      <c r="U115" s="25" t="n">
        <v>2.49</v>
      </c>
    </row>
    <row r="116" ht="15.5" customHeight="1" s="8">
      <c r="A116" s="332" t="n"/>
      <c r="B116" s="332" t="n"/>
      <c r="C116" s="332" t="n"/>
      <c r="D116" s="332" t="n"/>
      <c r="E116" s="332" t="n"/>
      <c r="F116" s="332" t="n"/>
      <c r="G116" s="332" t="n"/>
      <c r="H116" s="332" t="n"/>
      <c r="I116" s="332" t="n"/>
      <c r="J116" s="332" t="n"/>
      <c r="K116" s="332" t="n"/>
      <c r="L116" s="332" t="n"/>
      <c r="M116" s="332" t="n"/>
      <c r="N116" s="332" t="n"/>
      <c r="O116" s="332" t="n"/>
      <c r="P116" s="332" t="n"/>
      <c r="Q116" s="332" t="n"/>
      <c r="R116" s="332" t="n"/>
      <c r="S116" s="332" t="n"/>
      <c r="T116" s="24" t="inlineStr">
        <is>
          <t>中信证券投行</t>
        </is>
      </c>
      <c r="U116" s="313" t="n">
        <v>0.255</v>
      </c>
    </row>
    <row r="117" ht="15.5" customHeight="1" s="8">
      <c r="A117" s="332" t="n"/>
      <c r="B117" s="332" t="n"/>
      <c r="C117" s="332" t="n"/>
      <c r="D117" s="332" t="n"/>
      <c r="E117" s="332" t="n"/>
      <c r="F117" s="332" t="n"/>
      <c r="G117" s="332" t="n"/>
      <c r="H117" s="332" t="n"/>
      <c r="I117" s="332" t="n"/>
      <c r="J117" s="332" t="n"/>
      <c r="K117" s="332" t="n"/>
      <c r="L117" s="332" t="n"/>
      <c r="M117" s="332" t="n"/>
      <c r="N117" s="332" t="n"/>
      <c r="O117" s="332" t="n"/>
      <c r="P117" s="332" t="n"/>
      <c r="Q117" s="332" t="n"/>
      <c r="R117" s="332" t="n"/>
      <c r="S117" s="332" t="n"/>
      <c r="T117" s="30" t="inlineStr">
        <is>
          <t>华福证券投行</t>
        </is>
      </c>
      <c r="U117" s="313" t="n">
        <v>0.35</v>
      </c>
    </row>
    <row r="118" ht="15.5" customHeight="1" s="8">
      <c r="A118" s="332" t="n"/>
      <c r="B118" s="332" t="n"/>
      <c r="C118" s="332" t="n"/>
      <c r="D118" s="332" t="n"/>
      <c r="E118" s="332" t="n"/>
      <c r="F118" s="332" t="n"/>
      <c r="G118" s="332" t="n"/>
      <c r="H118" s="332" t="n"/>
      <c r="I118" s="332" t="n"/>
      <c r="J118" s="332" t="n"/>
      <c r="K118" s="332" t="n"/>
      <c r="L118" s="332" t="n"/>
      <c r="M118" s="332" t="n"/>
      <c r="N118" s="332" t="n"/>
      <c r="O118" s="333" t="n"/>
      <c r="P118" s="332" t="n"/>
      <c r="Q118" s="333" t="n"/>
      <c r="R118" s="333" t="n"/>
      <c r="S118" s="333" t="n"/>
      <c r="T118" s="200" t="inlineStr">
        <is>
          <t>盛际小贷</t>
        </is>
      </c>
      <c r="U118" s="313" t="n">
        <v>0.415</v>
      </c>
    </row>
    <row r="119" ht="15.5" customHeight="1" s="8">
      <c r="A119" s="332" t="n"/>
      <c r="B119" s="332" t="n"/>
      <c r="C119" s="332" t="n"/>
      <c r="D119" s="332" t="n"/>
      <c r="E119" s="332" t="n"/>
      <c r="F119" s="332" t="n"/>
      <c r="G119" s="332" t="n"/>
      <c r="H119" s="332" t="n"/>
      <c r="I119" s="332" t="n"/>
      <c r="J119" s="332" t="n"/>
      <c r="K119" s="332" t="n"/>
      <c r="L119" s="332" t="n"/>
      <c r="M119" s="332" t="n"/>
      <c r="N119" s="332" t="n"/>
      <c r="O119" s="220" t="inlineStr">
        <is>
          <t>优先B</t>
        </is>
      </c>
      <c r="P119" s="221" t="n">
        <v>0.05</v>
      </c>
      <c r="Q119" s="308" t="n">
        <v>0.5</v>
      </c>
      <c r="R119" s="221" t="inlineStr">
        <is>
          <t>AA+</t>
        </is>
      </c>
      <c r="S119" s="221" t="n">
        <v>0.0185</v>
      </c>
      <c r="T119" s="30" t="inlineStr">
        <is>
          <t>交银理财</t>
        </is>
      </c>
      <c r="U119" s="29" t="n">
        <v>0.15</v>
      </c>
    </row>
    <row r="120" ht="15.5" customHeight="1" s="8">
      <c r="A120" s="332" t="n"/>
      <c r="B120" s="332" t="n"/>
      <c r="C120" s="332" t="n"/>
      <c r="D120" s="332" t="n"/>
      <c r="E120" s="332" t="n"/>
      <c r="F120" s="332" t="n"/>
      <c r="G120" s="332" t="n"/>
      <c r="H120" s="332" t="n"/>
      <c r="I120" s="332" t="n"/>
      <c r="J120" s="332" t="n"/>
      <c r="K120" s="332" t="n"/>
      <c r="L120" s="332" t="n"/>
      <c r="M120" s="332" t="n"/>
      <c r="N120" s="332" t="n"/>
      <c r="O120" s="332" t="n"/>
      <c r="P120" s="332" t="n"/>
      <c r="Q120" s="332" t="n"/>
      <c r="R120" s="332" t="n"/>
      <c r="S120" s="332" t="n"/>
      <c r="T120" s="30" t="inlineStr">
        <is>
          <t>建信信托</t>
        </is>
      </c>
      <c r="U120" s="314" t="n">
        <v>0.325</v>
      </c>
    </row>
    <row r="121" ht="15.5" customHeight="1" s="8">
      <c r="A121" s="332" t="n"/>
      <c r="B121" s="332" t="n"/>
      <c r="C121" s="332" t="n"/>
      <c r="D121" s="332" t="n"/>
      <c r="E121" s="332" t="n"/>
      <c r="F121" s="332" t="n"/>
      <c r="G121" s="332" t="n"/>
      <c r="H121" s="332" t="n"/>
      <c r="I121" s="332" t="n"/>
      <c r="J121" s="332" t="n"/>
      <c r="K121" s="332" t="n"/>
      <c r="L121" s="332" t="n"/>
      <c r="M121" s="332" t="n"/>
      <c r="N121" s="332" t="n"/>
      <c r="O121" s="333" t="n"/>
      <c r="P121" s="333" t="n"/>
      <c r="Q121" s="333" t="n"/>
      <c r="R121" s="333" t="n"/>
      <c r="S121" s="333" t="n"/>
      <c r="T121" s="24" t="inlineStr">
        <is>
          <t>盛际小贷</t>
        </is>
      </c>
      <c r="U121" s="314" t="n">
        <v>0.025</v>
      </c>
    </row>
    <row r="122" ht="15.5" customHeight="1" s="8">
      <c r="A122" s="332" t="n"/>
      <c r="B122" s="332" t="n"/>
      <c r="C122" s="332" t="n"/>
      <c r="D122" s="332" t="n"/>
      <c r="E122" s="332" t="n"/>
      <c r="F122" s="332" t="n"/>
      <c r="G122" s="332" t="n"/>
      <c r="H122" s="332" t="n"/>
      <c r="I122" s="332" t="n"/>
      <c r="J122" s="332" t="n"/>
      <c r="K122" s="332" t="n"/>
      <c r="L122" s="332" t="n"/>
      <c r="M122" s="332" t="n"/>
      <c r="N122" s="332" t="n"/>
      <c r="O122" s="220" t="inlineStr">
        <is>
          <t>中间级</t>
        </is>
      </c>
      <c r="P122" s="221" t="n">
        <v>0.07000000000000001</v>
      </c>
      <c r="Q122" s="308" t="n">
        <v>0.7</v>
      </c>
      <c r="R122" s="221" t="inlineStr">
        <is>
          <t>AA-</t>
        </is>
      </c>
      <c r="S122" s="221" t="n">
        <v>0.031</v>
      </c>
      <c r="T122" s="30" t="inlineStr">
        <is>
          <t>盛际小贷</t>
        </is>
      </c>
      <c r="U122" s="29" t="n">
        <v>0.035</v>
      </c>
    </row>
    <row r="123" ht="15.5" customHeight="1" s="8">
      <c r="A123" s="332" t="n"/>
      <c r="B123" s="332" t="n"/>
      <c r="C123" s="332" t="n"/>
      <c r="D123" s="332" t="n"/>
      <c r="E123" s="332" t="n"/>
      <c r="F123" s="332" t="n"/>
      <c r="G123" s="332" t="n"/>
      <c r="H123" s="332" t="n"/>
      <c r="I123" s="332" t="n"/>
      <c r="J123" s="332" t="n"/>
      <c r="K123" s="332" t="n"/>
      <c r="L123" s="332" t="n"/>
      <c r="M123" s="332" t="n"/>
      <c r="N123" s="332" t="n"/>
      <c r="O123" s="332" t="n"/>
      <c r="P123" s="332" t="n"/>
      <c r="Q123" s="332" t="n"/>
      <c r="R123" s="332" t="n"/>
      <c r="S123" s="332" t="n"/>
      <c r="T123" s="30" t="inlineStr">
        <is>
          <t>德邦证券自营</t>
        </is>
      </c>
      <c r="U123" s="314" t="n">
        <v>0.165</v>
      </c>
    </row>
    <row r="124" ht="15.5" customHeight="1" s="8">
      <c r="A124" s="332" t="n"/>
      <c r="B124" s="332" t="n"/>
      <c r="C124" s="332" t="n"/>
      <c r="D124" s="332" t="n"/>
      <c r="E124" s="332" t="n"/>
      <c r="F124" s="332" t="n"/>
      <c r="G124" s="332" t="n"/>
      <c r="H124" s="332" t="n"/>
      <c r="I124" s="332" t="n"/>
      <c r="J124" s="332" t="n"/>
      <c r="K124" s="332" t="n"/>
      <c r="L124" s="332" t="n"/>
      <c r="M124" s="332" t="n"/>
      <c r="N124" s="332" t="n"/>
      <c r="O124" s="332" t="n"/>
      <c r="P124" s="332" t="n"/>
      <c r="Q124" s="332" t="n"/>
      <c r="R124" s="332" t="n"/>
      <c r="S124" s="332" t="n"/>
      <c r="T124" s="30" t="inlineStr">
        <is>
          <t>国泰海通自营</t>
        </is>
      </c>
      <c r="U124" s="29" t="n">
        <v>0.2</v>
      </c>
    </row>
    <row r="125" ht="15.5" customHeight="1" s="8">
      <c r="A125" s="332" t="n"/>
      <c r="B125" s="332" t="n"/>
      <c r="C125" s="332" t="n"/>
      <c r="D125" s="332" t="n"/>
      <c r="E125" s="332" t="n"/>
      <c r="F125" s="332" t="n"/>
      <c r="G125" s="332" t="n"/>
      <c r="H125" s="332" t="n"/>
      <c r="I125" s="332" t="n"/>
      <c r="J125" s="332" t="n"/>
      <c r="K125" s="332" t="n"/>
      <c r="L125" s="332" t="n"/>
      <c r="M125" s="332" t="n"/>
      <c r="N125" s="332" t="n"/>
      <c r="O125" s="332" t="n"/>
      <c r="P125" s="332" t="n"/>
      <c r="Q125" s="332" t="n"/>
      <c r="R125" s="332" t="n"/>
      <c r="S125" s="332" t="n"/>
      <c r="T125" s="30" t="inlineStr">
        <is>
          <t>广发证券自营</t>
        </is>
      </c>
      <c r="U125" s="29" t="n">
        <v>0.1</v>
      </c>
    </row>
    <row r="126" ht="15.5" customHeight="1" s="8">
      <c r="A126" s="332" t="n"/>
      <c r="B126" s="332" t="n"/>
      <c r="C126" s="332" t="n"/>
      <c r="D126" s="332" t="n"/>
      <c r="E126" s="332" t="n"/>
      <c r="F126" s="332" t="n"/>
      <c r="G126" s="332" t="n"/>
      <c r="H126" s="332" t="n"/>
      <c r="I126" s="332" t="n"/>
      <c r="J126" s="332" t="n"/>
      <c r="K126" s="332" t="n"/>
      <c r="L126" s="332" t="n"/>
      <c r="M126" s="332" t="n"/>
      <c r="N126" s="332" t="n"/>
      <c r="O126" s="333" t="n"/>
      <c r="P126" s="333" t="n"/>
      <c r="Q126" s="333" t="n"/>
      <c r="R126" s="333" t="n"/>
      <c r="S126" s="333" t="n"/>
      <c r="T126" s="30" t="inlineStr">
        <is>
          <t>建信信托</t>
        </is>
      </c>
      <c r="U126" s="29" t="n">
        <v>0.2</v>
      </c>
    </row>
    <row r="127" ht="15.5" customHeight="1" s="8">
      <c r="A127" s="332" t="n"/>
      <c r="B127" s="332" t="n"/>
      <c r="C127" s="332" t="n"/>
      <c r="D127" s="332" t="n"/>
      <c r="E127" s="332" t="n"/>
      <c r="F127" s="332" t="n"/>
      <c r="G127" s="332" t="n"/>
      <c r="H127" s="332" t="n"/>
      <c r="I127" s="332" t="n"/>
      <c r="J127" s="332" t="n"/>
      <c r="K127" s="332" t="n"/>
      <c r="L127" s="332" t="n"/>
      <c r="M127" s="332" t="n"/>
      <c r="N127" s="332" t="n"/>
      <c r="O127" s="220" t="inlineStr">
        <is>
          <t>次级</t>
        </is>
      </c>
      <c r="P127" s="221" t="n">
        <v>0.05</v>
      </c>
      <c r="Q127" s="308" t="n">
        <v>0.5</v>
      </c>
      <c r="R127" s="221" t="inlineStr">
        <is>
          <t>无</t>
        </is>
      </c>
      <c r="S127" s="221" t="n">
        <v>0.0455</v>
      </c>
      <c r="T127" s="30" t="inlineStr">
        <is>
          <t>盛际小贷</t>
        </is>
      </c>
      <c r="U127" s="29" t="n">
        <v>0.025</v>
      </c>
    </row>
    <row r="128" ht="15.5" customHeight="1" s="8">
      <c r="A128" s="332" t="n"/>
      <c r="B128" s="332" t="n"/>
      <c r="C128" s="332" t="n"/>
      <c r="D128" s="332" t="n"/>
      <c r="E128" s="332" t="n"/>
      <c r="F128" s="332" t="n"/>
      <c r="G128" s="332" t="n"/>
      <c r="H128" s="332" t="n"/>
      <c r="I128" s="332" t="n"/>
      <c r="J128" s="332" t="n"/>
      <c r="K128" s="332" t="n"/>
      <c r="L128" s="332" t="n"/>
      <c r="M128" s="332" t="n"/>
      <c r="N128" s="332" t="n"/>
      <c r="O128" s="332" t="n"/>
      <c r="P128" s="332" t="n"/>
      <c r="Q128" s="332" t="n"/>
      <c r="R128" s="332" t="n"/>
      <c r="S128" s="332" t="n"/>
      <c r="T128" s="30" t="inlineStr">
        <is>
          <t>德邦证券自营</t>
        </is>
      </c>
      <c r="U128" s="29" t="n">
        <v>0.1</v>
      </c>
    </row>
    <row r="129" ht="15.5" customHeight="1" s="8">
      <c r="A129" s="332" t="n"/>
      <c r="B129" s="332" t="n"/>
      <c r="C129" s="332" t="n"/>
      <c r="D129" s="332" t="n"/>
      <c r="E129" s="332" t="n"/>
      <c r="F129" s="332" t="n"/>
      <c r="G129" s="332" t="n"/>
      <c r="H129" s="332" t="n"/>
      <c r="I129" s="332" t="n"/>
      <c r="J129" s="332" t="n"/>
      <c r="K129" s="332" t="n"/>
      <c r="L129" s="332" t="n"/>
      <c r="M129" s="332" t="n"/>
      <c r="N129" s="332" t="n"/>
      <c r="O129" s="332" t="n"/>
      <c r="P129" s="332" t="n"/>
      <c r="Q129" s="332" t="n"/>
      <c r="R129" s="332" t="n"/>
      <c r="S129" s="332" t="n"/>
      <c r="T129" s="30" t="inlineStr">
        <is>
          <t>国泰海通自营</t>
        </is>
      </c>
      <c r="U129" s="29" t="n">
        <v>0.1</v>
      </c>
    </row>
    <row r="130" ht="15.5" customHeight="1" s="8">
      <c r="A130" s="332" t="n"/>
      <c r="B130" s="332" t="n"/>
      <c r="C130" s="332" t="n"/>
      <c r="D130" s="332" t="n"/>
      <c r="E130" s="332" t="n"/>
      <c r="F130" s="332" t="n"/>
      <c r="G130" s="332" t="n"/>
      <c r="H130" s="332" t="n"/>
      <c r="I130" s="332" t="n"/>
      <c r="J130" s="332" t="n"/>
      <c r="K130" s="332" t="n"/>
      <c r="L130" s="332" t="n"/>
      <c r="M130" s="332" t="n"/>
      <c r="N130" s="332" t="n"/>
      <c r="O130" s="332" t="n"/>
      <c r="P130" s="332" t="n"/>
      <c r="Q130" s="332" t="n"/>
      <c r="R130" s="332" t="n"/>
      <c r="S130" s="332" t="n"/>
      <c r="T130" s="30" t="inlineStr">
        <is>
          <t>华宝资管</t>
        </is>
      </c>
      <c r="U130" s="24" t="n">
        <v>0.075</v>
      </c>
    </row>
    <row r="131" ht="15.5" customHeight="1" s="8">
      <c r="A131" s="332" t="n"/>
      <c r="B131" s="332" t="n"/>
      <c r="C131" s="332" t="n"/>
      <c r="D131" s="332" t="n"/>
      <c r="E131" s="332" t="n"/>
      <c r="F131" s="332" t="n"/>
      <c r="G131" s="332" t="n"/>
      <c r="H131" s="332" t="n"/>
      <c r="I131" s="332" t="n"/>
      <c r="J131" s="332" t="n"/>
      <c r="K131" s="332" t="n"/>
      <c r="L131" s="332" t="n"/>
      <c r="M131" s="332" t="n"/>
      <c r="N131" s="332" t="n"/>
      <c r="O131" s="332" t="n"/>
      <c r="P131" s="332" t="n"/>
      <c r="Q131" s="332" t="n"/>
      <c r="R131" s="332" t="n"/>
      <c r="S131" s="332" t="n"/>
      <c r="T131" s="30" t="inlineStr">
        <is>
          <t>利曦基金</t>
        </is>
      </c>
      <c r="U131" s="29" t="n">
        <v>0.1</v>
      </c>
    </row>
    <row r="132" ht="15.5" customHeight="1" s="8">
      <c r="A132" s="333" t="n"/>
      <c r="B132" s="333" t="n"/>
      <c r="C132" s="333" t="n"/>
      <c r="D132" s="333" t="n"/>
      <c r="E132" s="333" t="n"/>
      <c r="F132" s="333" t="n"/>
      <c r="G132" s="333" t="n"/>
      <c r="H132" s="333" t="n"/>
      <c r="I132" s="333" t="n"/>
      <c r="J132" s="333" t="n"/>
      <c r="K132" s="333" t="n"/>
      <c r="L132" s="333" t="n"/>
      <c r="M132" s="333" t="n"/>
      <c r="N132" s="333" t="n"/>
      <c r="O132" s="333" t="n"/>
      <c r="P132" s="333" t="n"/>
      <c r="Q132" s="333" t="n"/>
      <c r="R132" s="333" t="n"/>
      <c r="S132" s="333" t="n"/>
      <c r="T132" s="30" t="inlineStr">
        <is>
          <t>东家铂睿</t>
        </is>
      </c>
      <c r="U132" s="2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J24:J45"/>
    <mergeCell ref="P76:P81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O54:O57"/>
    <mergeCell ref="Q54:Q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Q112:Q118"/>
    <mergeCell ref="I112:I132"/>
    <mergeCell ref="O91:O94"/>
    <mergeCell ref="O46:O53"/>
    <mergeCell ref="Q46:Q53"/>
    <mergeCell ref="B46:B63"/>
    <mergeCell ref="D46:D63"/>
    <mergeCell ref="O76:O81"/>
    <mergeCell ref="G76:G94"/>
    <mergeCell ref="Q91:Q94"/>
    <mergeCell ref="O69:O73"/>
    <mergeCell ref="S91:S94"/>
    <mergeCell ref="A24:A45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C76:C94"/>
    <mergeCell ref="Q32:Q35"/>
    <mergeCell ref="S32:S35"/>
    <mergeCell ref="P69:P73"/>
    <mergeCell ref="L2:L23"/>
    <mergeCell ref="O82:O85"/>
    <mergeCell ref="Q16:Q19"/>
    <mergeCell ref="P108:P111"/>
    <mergeCell ref="H95:H111"/>
    <mergeCell ref="S24:S31"/>
    <mergeCell ref="K24:K45"/>
    <mergeCell ref="S16:S19"/>
    <mergeCell ref="P11:P15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I24:I45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I76:I94"/>
    <mergeCell ref="K2:K23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Q24:Q31"/>
    <mergeCell ref="K64:K75"/>
    <mergeCell ref="P64:P68"/>
    <mergeCell ref="M64:M75"/>
    <mergeCell ref="R64:R68"/>
    <mergeCell ref="L46:L63"/>
    <mergeCell ref="P95:P100"/>
    <mergeCell ref="Q41:Q45"/>
    <mergeCell ref="S41:S45"/>
    <mergeCell ref="R95:R100"/>
    <mergeCell ref="R54:R57"/>
    <mergeCell ref="P32:P35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D112:D132"/>
    <mergeCell ref="S69:S73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4140625" customWidth="1" style="8" min="2" max="2"/>
    <col width="11.75" customWidth="1" style="8" min="3" max="3"/>
    <col width="10.25" customWidth="1" style="8" min="4" max="5"/>
    <col width="10.58203125" customWidth="1" style="8" min="6" max="6"/>
    <col width="10.25" customWidth="1" style="8" min="7" max="8"/>
  </cols>
  <sheetData>
    <row r="1" customFormat="1" s="68">
      <c r="A1" s="17" t="n"/>
      <c r="B1" s="17" t="inlineStr">
        <is>
          <t>尚赢2-2</t>
        </is>
      </c>
      <c r="C1" s="17" t="inlineStr">
        <is>
          <t>盛赢3-4</t>
        </is>
      </c>
      <c r="D1" s="17" t="inlineStr">
        <is>
          <t>尚赢2-3</t>
        </is>
      </c>
      <c r="E1" s="17" t="inlineStr">
        <is>
          <t>尚赢2-5</t>
        </is>
      </c>
      <c r="F1" s="17" t="inlineStr">
        <is>
          <t>盛赢3-5</t>
        </is>
      </c>
      <c r="G1" s="17" t="inlineStr">
        <is>
          <t>尚赢2-4</t>
        </is>
      </c>
      <c r="H1" s="17" t="inlineStr">
        <is>
          <t>盛赢3-6</t>
        </is>
      </c>
    </row>
    <row r="2">
      <c r="A2" s="20" t="inlineStr">
        <is>
          <t>日期</t>
        </is>
      </c>
      <c r="B2" s="21" t="n">
        <v>46045</v>
      </c>
      <c r="C2" s="21" t="n">
        <v>46049</v>
      </c>
      <c r="D2" s="21" t="n">
        <v>46051</v>
      </c>
      <c r="E2" s="21" t="n">
        <v>46093</v>
      </c>
      <c r="F2" s="21" t="n">
        <v>46098</v>
      </c>
      <c r="G2" s="21" t="n">
        <v>46132</v>
      </c>
      <c r="H2" s="21" t="n">
        <v>46139</v>
      </c>
    </row>
    <row r="3">
      <c r="A3" s="20" t="inlineStr">
        <is>
          <t>优先A</t>
        </is>
      </c>
      <c r="B3" s="22" t="n">
        <v>0.021</v>
      </c>
      <c r="C3" s="22" t="n">
        <v>0.0204</v>
      </c>
      <c r="D3" s="22" t="n">
        <v>0.0197</v>
      </c>
      <c r="E3" s="22" t="n">
        <v>0.018</v>
      </c>
      <c r="F3" s="22" t="n">
        <v>0.0178</v>
      </c>
      <c r="G3" s="22" t="n">
        <v>0.0167</v>
      </c>
      <c r="H3" s="22" t="n">
        <v>0.017</v>
      </c>
    </row>
    <row r="4">
      <c r="A4" s="20" t="inlineStr">
        <is>
          <t>优先B</t>
        </is>
      </c>
      <c r="B4" s="22" t="n">
        <v>0.022</v>
      </c>
      <c r="C4" s="22" t="n">
        <v>0.0217</v>
      </c>
      <c r="D4" s="22" t="n">
        <v>0.0215</v>
      </c>
      <c r="E4" s="22" t="n">
        <v>0.0195</v>
      </c>
      <c r="F4" s="22" t="n">
        <v>0.0195</v>
      </c>
      <c r="G4" s="22" t="n">
        <v>0.0183</v>
      </c>
      <c r="H4" s="22" t="n">
        <v>0.0185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0.0158</v>
      </c>
      <c r="E5" s="22" t="n">
        <v>0.0156</v>
      </c>
      <c r="F5" s="22" t="n">
        <v>0.0152</v>
      </c>
      <c r="G5" s="22" t="n">
        <v>0.0148</v>
      </c>
      <c r="H5" s="22" t="n">
        <v>0.01445</v>
      </c>
    </row>
    <row r="6">
      <c r="A6" s="20" t="inlineStr">
        <is>
          <t>ALL-IN成本</t>
        </is>
      </c>
      <c r="B6" s="22" t="n">
        <v>0.0239</v>
      </c>
      <c r="C6" s="22" t="n">
        <v>0.0217</v>
      </c>
      <c r="D6" s="22" t="n">
        <v>0.0227</v>
      </c>
      <c r="E6" s="22" t="n">
        <v>0.0198</v>
      </c>
      <c r="F6" s="22" t="n">
        <v>0.0206</v>
      </c>
      <c r="G6" s="22" t="n">
        <v>0.02</v>
      </c>
      <c r="H6" s="22" t="n">
        <v>0.0199</v>
      </c>
    </row>
    <row r="7">
      <c r="A7" s="20" t="inlineStr">
        <is>
          <t>认购倍数</t>
        </is>
      </c>
      <c r="B7" s="23" t="n">
        <v>2.59</v>
      </c>
      <c r="C7" s="23" t="n">
        <v>2.08</v>
      </c>
      <c r="D7" s="23" t="n">
        <v>2.93</v>
      </c>
      <c r="E7" s="23" t="n">
        <v>4.51</v>
      </c>
      <c r="F7" s="23" t="n">
        <v>1.99</v>
      </c>
      <c r="G7" s="23" t="n">
        <v>3.46</v>
      </c>
      <c r="H7" s="23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30"/>
  <sheetViews>
    <sheetView topLeftCell="B11" zoomScale="70" zoomScaleNormal="70" workbookViewId="0">
      <selection activeCell="T24" sqref="T24:T29"/>
    </sheetView>
  </sheetViews>
  <sheetFormatPr baseColWidth="8" defaultRowHeight="14"/>
  <cols>
    <col width="8.9140625" bestFit="1" customWidth="1" style="8" min="11" max="11"/>
    <col width="15.33203125" customWidth="1" style="8" min="20" max="20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304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304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3" t="inlineStr">
        <is>
          <t>3月</t>
        </is>
      </c>
      <c r="B2" s="220" t="inlineStr">
        <is>
          <t>企金</t>
        </is>
      </c>
      <c r="C2" s="220" t="inlineStr">
        <is>
          <t>保理</t>
        </is>
      </c>
      <c r="D2" s="220" t="inlineStr">
        <is>
          <t>沣盈4-1</t>
        </is>
      </c>
      <c r="E2" s="220" t="inlineStr">
        <is>
          <t>银行间</t>
        </is>
      </c>
      <c r="F2" s="220" t="inlineStr">
        <is>
          <t>中信证券</t>
        </is>
      </c>
      <c r="G2" s="220" t="inlineStr">
        <is>
          <t>江苏银行/兴业证券/天津银行</t>
        </is>
      </c>
      <c r="H2" s="220" t="inlineStr">
        <is>
          <t>江苏北分</t>
        </is>
      </c>
      <c r="I2" s="220" t="n">
        <v>10</v>
      </c>
      <c r="J2" s="220" t="inlineStr">
        <is>
          <t>8+4</t>
        </is>
      </c>
      <c r="K2" s="224" t="n">
        <v>46097</v>
      </c>
      <c r="L2" s="225" t="n">
        <v>0.0153</v>
      </c>
      <c r="M2" s="225" t="n">
        <v>0.0177</v>
      </c>
      <c r="N2" s="226" t="n">
        <v>1.32</v>
      </c>
      <c r="O2" s="220" t="inlineStr">
        <is>
          <t>优先级</t>
        </is>
      </c>
      <c r="P2" s="231" t="n">
        <v>0.99</v>
      </c>
      <c r="Q2" s="308" t="n">
        <v>9.9</v>
      </c>
      <c r="R2" s="220" t="inlineStr">
        <is>
          <t>AAA</t>
        </is>
      </c>
      <c r="S2" s="221" t="n">
        <v>0.017</v>
      </c>
      <c r="T2" s="24" t="inlineStr">
        <is>
          <t>平安理财</t>
        </is>
      </c>
      <c r="U2" s="25" t="n">
        <v>2.47</v>
      </c>
    </row>
    <row r="3" ht="15.5" customHeight="1" s="8">
      <c r="A3" s="332" t="n"/>
      <c r="B3" s="332" t="n"/>
      <c r="C3" s="332" t="n"/>
      <c r="D3" s="332" t="n"/>
      <c r="E3" s="332" t="n"/>
      <c r="F3" s="332" t="n"/>
      <c r="G3" s="332" t="n"/>
      <c r="H3" s="332" t="n"/>
      <c r="I3" s="332" t="n"/>
      <c r="J3" s="332" t="n"/>
      <c r="K3" s="332" t="n"/>
      <c r="L3" s="332" t="n"/>
      <c r="M3" s="332" t="n"/>
      <c r="N3" s="332" t="n"/>
      <c r="O3" s="332" t="n"/>
      <c r="P3" s="332" t="n"/>
      <c r="Q3" s="332" t="n"/>
      <c r="R3" s="332" t="n"/>
      <c r="S3" s="332" t="n"/>
      <c r="T3" s="217" t="inlineStr">
        <is>
          <t>工银理财</t>
        </is>
      </c>
      <c r="U3" s="25" t="n">
        <v>2.36</v>
      </c>
    </row>
    <row r="4" ht="15.5" customHeight="1" s="8">
      <c r="A4" s="332" t="n"/>
      <c r="B4" s="332" t="n"/>
      <c r="C4" s="332" t="n"/>
      <c r="D4" s="332" t="n"/>
      <c r="E4" s="332" t="n"/>
      <c r="F4" s="332" t="n"/>
      <c r="G4" s="332" t="n"/>
      <c r="H4" s="332" t="n"/>
      <c r="I4" s="332" t="n"/>
      <c r="J4" s="332" t="n"/>
      <c r="K4" s="332" t="n"/>
      <c r="L4" s="332" t="n"/>
      <c r="M4" s="332" t="n"/>
      <c r="N4" s="332" t="n"/>
      <c r="O4" s="332" t="n"/>
      <c r="P4" s="332" t="n"/>
      <c r="Q4" s="332" t="n"/>
      <c r="R4" s="332" t="n"/>
      <c r="S4" s="332" t="n"/>
      <c r="T4" s="217" t="inlineStr">
        <is>
          <t>浦银理财</t>
        </is>
      </c>
      <c r="U4" s="25" t="n">
        <v>1.96</v>
      </c>
    </row>
    <row r="5" ht="15.5" customHeight="1" s="8">
      <c r="A5" s="332" t="n"/>
      <c r="B5" s="332" t="n"/>
      <c r="C5" s="332" t="n"/>
      <c r="D5" s="332" t="n"/>
      <c r="E5" s="332" t="n"/>
      <c r="F5" s="332" t="n"/>
      <c r="G5" s="332" t="n"/>
      <c r="H5" s="332" t="n"/>
      <c r="I5" s="332" t="n"/>
      <c r="J5" s="332" t="n"/>
      <c r="K5" s="332" t="n"/>
      <c r="L5" s="332" t="n"/>
      <c r="M5" s="332" t="n"/>
      <c r="N5" s="332" t="n"/>
      <c r="O5" s="332" t="n"/>
      <c r="P5" s="332" t="n"/>
      <c r="Q5" s="332" t="n"/>
      <c r="R5" s="332" t="n"/>
      <c r="S5" s="332" t="n"/>
      <c r="T5" s="217" t="inlineStr">
        <is>
          <t>光大理财</t>
        </is>
      </c>
      <c r="U5" s="25" t="n">
        <v>1.8</v>
      </c>
    </row>
    <row r="6" ht="15.5" customHeight="1" s="8">
      <c r="A6" s="332" t="n"/>
      <c r="B6" s="332" t="n"/>
      <c r="C6" s="332" t="n"/>
      <c r="D6" s="332" t="n"/>
      <c r="E6" s="332" t="n"/>
      <c r="F6" s="332" t="n"/>
      <c r="G6" s="332" t="n"/>
      <c r="H6" s="332" t="n"/>
      <c r="I6" s="332" t="n"/>
      <c r="J6" s="332" t="n"/>
      <c r="K6" s="332" t="n"/>
      <c r="L6" s="332" t="n"/>
      <c r="M6" s="332" t="n"/>
      <c r="N6" s="332" t="n"/>
      <c r="O6" s="333" t="n"/>
      <c r="P6" s="332" t="n"/>
      <c r="Q6" s="333" t="n"/>
      <c r="R6" s="333" t="n"/>
      <c r="S6" s="333" t="n"/>
      <c r="T6" s="217" t="inlineStr">
        <is>
          <t>江苏银行</t>
        </is>
      </c>
      <c r="U6" s="25" t="n">
        <v>1.31</v>
      </c>
    </row>
    <row r="7" ht="15.5" customHeight="1" s="8">
      <c r="A7" s="333" t="n"/>
      <c r="B7" s="333" t="n"/>
      <c r="C7" s="333" t="n"/>
      <c r="D7" s="333" t="n"/>
      <c r="E7" s="333" t="n"/>
      <c r="F7" s="333" t="n"/>
      <c r="G7" s="333" t="n"/>
      <c r="H7" s="333" t="n"/>
      <c r="I7" s="333" t="n"/>
      <c r="J7" s="333" t="n"/>
      <c r="K7" s="333" t="n"/>
      <c r="L7" s="333" t="n"/>
      <c r="M7" s="333" t="n"/>
      <c r="N7" s="333" t="n"/>
      <c r="O7" s="220" t="inlineStr">
        <is>
          <t>次级</t>
        </is>
      </c>
      <c r="P7" s="221" t="n">
        <v>0.01</v>
      </c>
      <c r="Q7" s="308" t="n">
        <v>0.1</v>
      </c>
      <c r="R7" s="221" t="inlineStr">
        <is>
          <t>无</t>
        </is>
      </c>
      <c r="S7" s="221" t="n">
        <v>0.043</v>
      </c>
      <c r="T7" s="217" t="inlineStr">
        <is>
          <t>利曦基金</t>
        </is>
      </c>
      <c r="U7" s="25" t="n">
        <v>0.1</v>
      </c>
    </row>
    <row r="8" ht="15.5" customHeight="1" s="8">
      <c r="A8" s="223" t="inlineStr">
        <is>
          <t>4月</t>
        </is>
      </c>
      <c r="B8" s="220" t="inlineStr">
        <is>
          <t>企金</t>
        </is>
      </c>
      <c r="C8" s="220" t="inlineStr">
        <is>
          <t>保理</t>
        </is>
      </c>
      <c r="D8" s="220" t="inlineStr">
        <is>
          <t>京诚14-8</t>
        </is>
      </c>
      <c r="E8" s="220" t="inlineStr">
        <is>
          <t>上交所</t>
        </is>
      </c>
      <c r="F8" s="220" t="inlineStr">
        <is>
          <t>国泰海通</t>
        </is>
      </c>
      <c r="G8" s="220" t="inlineStr">
        <is>
          <t>华福证券</t>
        </is>
      </c>
      <c r="H8" s="220" t="inlineStr">
        <is>
          <t>渤海银行上海自贸区分行</t>
        </is>
      </c>
      <c r="I8" s="220" t="n">
        <v>10</v>
      </c>
      <c r="J8" s="220" t="inlineStr">
        <is>
          <t>3+3</t>
        </is>
      </c>
      <c r="K8" s="224" t="n">
        <v>46136</v>
      </c>
      <c r="L8" s="225" t="n">
        <v>0.0144</v>
      </c>
      <c r="M8" s="225" t="n">
        <v>0.0159</v>
      </c>
      <c r="N8" s="226" t="n">
        <v>3.91</v>
      </c>
      <c r="O8" s="220" t="inlineStr">
        <is>
          <t>优先级</t>
        </is>
      </c>
      <c r="P8" s="221" t="n">
        <v>0.99</v>
      </c>
      <c r="Q8" s="308" t="n">
        <v>9.9</v>
      </c>
      <c r="R8" s="220" t="inlineStr">
        <is>
          <t>AAA</t>
        </is>
      </c>
      <c r="S8" s="221" t="n">
        <v>0.0152</v>
      </c>
      <c r="T8" s="24" t="inlineStr">
        <is>
          <t>光大理财</t>
        </is>
      </c>
      <c r="U8" s="25" t="n">
        <v>2.47</v>
      </c>
    </row>
    <row r="9" ht="15.5" customHeight="1" s="8">
      <c r="A9" s="332" t="n"/>
      <c r="B9" s="332" t="n"/>
      <c r="C9" s="332" t="n"/>
      <c r="D9" s="332" t="n"/>
      <c r="E9" s="332" t="n"/>
      <c r="F9" s="332" t="n"/>
      <c r="G9" s="332" t="n"/>
      <c r="H9" s="332" t="n"/>
      <c r="I9" s="332" t="n"/>
      <c r="J9" s="332" t="n"/>
      <c r="K9" s="332" t="n"/>
      <c r="L9" s="332" t="n"/>
      <c r="M9" s="332" t="n"/>
      <c r="N9" s="332" t="n"/>
      <c r="O9" s="332" t="n"/>
      <c r="P9" s="332" t="n"/>
      <c r="Q9" s="332" t="n"/>
      <c r="R9" s="332" t="n"/>
      <c r="S9" s="332" t="n"/>
      <c r="T9" s="217" t="inlineStr">
        <is>
          <t>民生理财</t>
        </is>
      </c>
      <c r="U9" s="25" t="n">
        <v>1</v>
      </c>
    </row>
    <row r="10" ht="15.5" customHeight="1" s="8">
      <c r="A10" s="332" t="n"/>
      <c r="B10" s="332" t="n"/>
      <c r="C10" s="332" t="n"/>
      <c r="D10" s="332" t="n"/>
      <c r="E10" s="332" t="n"/>
      <c r="F10" s="332" t="n"/>
      <c r="G10" s="332" t="n"/>
      <c r="H10" s="332" t="n"/>
      <c r="I10" s="332" t="n"/>
      <c r="J10" s="332" t="n"/>
      <c r="K10" s="332" t="n"/>
      <c r="L10" s="332" t="n"/>
      <c r="M10" s="332" t="n"/>
      <c r="N10" s="332" t="n"/>
      <c r="O10" s="332" t="n"/>
      <c r="P10" s="332" t="n"/>
      <c r="Q10" s="332" t="n"/>
      <c r="R10" s="332" t="n"/>
      <c r="S10" s="332" t="n"/>
      <c r="T10" s="217" t="inlineStr">
        <is>
          <t>平安理财</t>
        </is>
      </c>
      <c r="U10" s="25" t="n">
        <v>2.47</v>
      </c>
    </row>
    <row r="11" ht="15.5" customHeight="1" s="8">
      <c r="A11" s="332" t="n"/>
      <c r="B11" s="332" t="n"/>
      <c r="C11" s="332" t="n"/>
      <c r="D11" s="332" t="n"/>
      <c r="E11" s="332" t="n"/>
      <c r="F11" s="332" t="n"/>
      <c r="G11" s="332" t="n"/>
      <c r="H11" s="332" t="n"/>
      <c r="I11" s="332" t="n"/>
      <c r="J11" s="332" t="n"/>
      <c r="K11" s="332" t="n"/>
      <c r="L11" s="332" t="n"/>
      <c r="M11" s="332" t="n"/>
      <c r="N11" s="332" t="n"/>
      <c r="O11" s="333" t="n"/>
      <c r="P11" s="333" t="n"/>
      <c r="Q11" s="333" t="n"/>
      <c r="R11" s="333" t="n"/>
      <c r="S11" s="333" t="n"/>
      <c r="T11" s="217" t="inlineStr">
        <is>
          <t>平安资产</t>
        </is>
      </c>
      <c r="U11" s="25" t="n">
        <v>3.96</v>
      </c>
    </row>
    <row r="12" ht="15.5" customHeight="1" s="8">
      <c r="A12" s="332" t="n"/>
      <c r="B12" s="332" t="n"/>
      <c r="C12" s="332" t="n"/>
      <c r="D12" s="332" t="n"/>
      <c r="E12" s="332" t="n"/>
      <c r="F12" s="332" t="n"/>
      <c r="G12" s="332" t="n"/>
      <c r="H12" s="332" t="n"/>
      <c r="I12" s="332" t="n"/>
      <c r="J12" s="332" t="n"/>
      <c r="K12" s="332" t="n"/>
      <c r="L12" s="332" t="n"/>
      <c r="M12" s="332" t="n"/>
      <c r="N12" s="332" t="n"/>
      <c r="O12" s="220" t="inlineStr">
        <is>
          <t>次级</t>
        </is>
      </c>
      <c r="P12" s="221" t="n">
        <v>0.01</v>
      </c>
      <c r="Q12" s="308" t="n">
        <v>0.1</v>
      </c>
      <c r="R12" s="221" t="inlineStr">
        <is>
          <t>无</t>
        </is>
      </c>
      <c r="S12" s="221" t="n">
        <v>0.043</v>
      </c>
      <c r="T12" s="217" t="inlineStr">
        <is>
          <t>中证云</t>
        </is>
      </c>
      <c r="U12" s="25" t="n">
        <v>0.05</v>
      </c>
    </row>
    <row r="13" ht="15.5" customHeight="1" s="8">
      <c r="A13" s="333" t="n"/>
      <c r="B13" s="333" t="n"/>
      <c r="C13" s="333" t="n"/>
      <c r="D13" s="333" t="n"/>
      <c r="E13" s="333" t="n"/>
      <c r="F13" s="333" t="n"/>
      <c r="G13" s="333" t="n"/>
      <c r="H13" s="333" t="n"/>
      <c r="I13" s="333" t="n"/>
      <c r="J13" s="333" t="n"/>
      <c r="K13" s="333" t="n"/>
      <c r="L13" s="333" t="n"/>
      <c r="M13" s="333" t="n"/>
      <c r="N13" s="333" t="n"/>
      <c r="O13" s="333" t="n"/>
      <c r="P13" s="333" t="n"/>
      <c r="Q13" s="333" t="n"/>
      <c r="R13" s="333" t="n"/>
      <c r="S13" s="333" t="n"/>
      <c r="T13" s="217" t="inlineStr">
        <is>
          <t>思达星汇</t>
        </is>
      </c>
      <c r="U13" s="25" t="n">
        <v>0.05</v>
      </c>
    </row>
    <row r="14" ht="15.5" customHeight="1" s="8">
      <c r="A14" s="223" t="inlineStr">
        <is>
          <t>5月</t>
        </is>
      </c>
      <c r="B14" s="220" t="inlineStr">
        <is>
          <t>企金</t>
        </is>
      </c>
      <c r="C14" s="220" t="inlineStr">
        <is>
          <t>保理</t>
        </is>
      </c>
      <c r="D14" s="220" t="inlineStr">
        <is>
          <t>京诚15-8</t>
        </is>
      </c>
      <c r="E14" s="220" t="inlineStr">
        <is>
          <t>上交所</t>
        </is>
      </c>
      <c r="F14" s="220" t="inlineStr">
        <is>
          <t>华泰资管</t>
        </is>
      </c>
      <c r="G14" s="220" t="inlineStr">
        <is>
          <t>国开证券</t>
        </is>
      </c>
      <c r="H14" s="220" t="inlineStr">
        <is>
          <t>光大北分</t>
        </is>
      </c>
      <c r="I14" s="220" t="n">
        <v>10</v>
      </c>
      <c r="J14" s="220" t="inlineStr">
        <is>
          <t>2+4</t>
        </is>
      </c>
      <c r="K14" s="224" t="n">
        <v>46154</v>
      </c>
      <c r="L14" s="225" t="n">
        <v>0.0144</v>
      </c>
      <c r="M14" s="225" t="n">
        <v>0.0157</v>
      </c>
      <c r="N14" s="226" t="n">
        <v>1.93</v>
      </c>
      <c r="O14" s="220" t="inlineStr">
        <is>
          <t>优先级</t>
        </is>
      </c>
      <c r="P14" s="221" t="n">
        <v>0.99</v>
      </c>
      <c r="Q14" s="308" t="n">
        <v>9.9</v>
      </c>
      <c r="R14" s="220" t="inlineStr">
        <is>
          <t>AAA</t>
        </is>
      </c>
      <c r="S14" s="221" t="n">
        <v>0.015</v>
      </c>
      <c r="T14" s="24" t="inlineStr">
        <is>
          <t>平安理财</t>
        </is>
      </c>
      <c r="U14" s="25" t="n">
        <v>1.28</v>
      </c>
    </row>
    <row r="15" ht="15.5" customHeight="1" s="8">
      <c r="A15" s="332" t="n"/>
      <c r="B15" s="332" t="n"/>
      <c r="C15" s="332" t="n"/>
      <c r="D15" s="332" t="n"/>
      <c r="E15" s="332" t="n"/>
      <c r="F15" s="332" t="n"/>
      <c r="G15" s="332" t="n"/>
      <c r="H15" s="332" t="n"/>
      <c r="I15" s="332" t="n"/>
      <c r="J15" s="332" t="n"/>
      <c r="K15" s="332" t="n"/>
      <c r="L15" s="332" t="n"/>
      <c r="M15" s="332" t="n"/>
      <c r="N15" s="332" t="n"/>
      <c r="O15" s="332" t="n"/>
      <c r="P15" s="332" t="n"/>
      <c r="Q15" s="332" t="n"/>
      <c r="R15" s="332" t="n"/>
      <c r="S15" s="332" t="n"/>
      <c r="T15" s="217" t="inlineStr">
        <is>
          <t>工银理财</t>
        </is>
      </c>
      <c r="U15" s="25" t="n">
        <v>0.5</v>
      </c>
    </row>
    <row r="16" ht="15.5" customHeight="1" s="8">
      <c r="A16" s="332" t="n"/>
      <c r="B16" s="332" t="n"/>
      <c r="C16" s="332" t="n"/>
      <c r="D16" s="332" t="n"/>
      <c r="E16" s="332" t="n"/>
      <c r="F16" s="332" t="n"/>
      <c r="G16" s="332" t="n"/>
      <c r="H16" s="332" t="n"/>
      <c r="I16" s="332" t="n"/>
      <c r="J16" s="332" t="n"/>
      <c r="K16" s="332" t="n"/>
      <c r="L16" s="332" t="n"/>
      <c r="M16" s="332" t="n"/>
      <c r="N16" s="332" t="n"/>
      <c r="O16" s="332" t="n"/>
      <c r="P16" s="332" t="n"/>
      <c r="Q16" s="332" t="n"/>
      <c r="R16" s="332" t="n"/>
      <c r="S16" s="332" t="n"/>
      <c r="T16" s="217" t="inlineStr">
        <is>
          <t>北银理财</t>
        </is>
      </c>
      <c r="U16" s="25" t="n">
        <v>0.05</v>
      </c>
    </row>
    <row r="17" ht="15.5" customHeight="1" s="8">
      <c r="A17" s="332" t="n"/>
      <c r="B17" s="332" t="n"/>
      <c r="C17" s="332" t="n"/>
      <c r="D17" s="332" t="n"/>
      <c r="E17" s="332" t="n"/>
      <c r="F17" s="332" t="n"/>
      <c r="G17" s="332" t="n"/>
      <c r="H17" s="332" t="n"/>
      <c r="I17" s="332" t="n"/>
      <c r="J17" s="332" t="n"/>
      <c r="K17" s="332" t="n"/>
      <c r="L17" s="332" t="n"/>
      <c r="M17" s="332" t="n"/>
      <c r="N17" s="332" t="n"/>
      <c r="O17" s="332" t="n"/>
      <c r="P17" s="332" t="n"/>
      <c r="Q17" s="332" t="n"/>
      <c r="R17" s="332" t="n"/>
      <c r="S17" s="332" t="n"/>
      <c r="T17" s="217" t="inlineStr">
        <is>
          <t>浦银理财</t>
        </is>
      </c>
      <c r="U17" s="25" t="n">
        <v>1.43</v>
      </c>
    </row>
    <row r="18" ht="15.5" customHeight="1" s="8">
      <c r="A18" s="332" t="n"/>
      <c r="B18" s="332" t="n"/>
      <c r="C18" s="332" t="n"/>
      <c r="D18" s="332" t="n"/>
      <c r="E18" s="332" t="n"/>
      <c r="F18" s="332" t="n"/>
      <c r="G18" s="332" t="n"/>
      <c r="H18" s="332" t="n"/>
      <c r="I18" s="332" t="n"/>
      <c r="J18" s="332" t="n"/>
      <c r="K18" s="332" t="n"/>
      <c r="L18" s="332" t="n"/>
      <c r="M18" s="332" t="n"/>
      <c r="N18" s="332" t="n"/>
      <c r="O18" s="332" t="n"/>
      <c r="P18" s="332" t="n"/>
      <c r="Q18" s="332" t="n"/>
      <c r="R18" s="332" t="n"/>
      <c r="S18" s="332" t="n"/>
      <c r="T18" s="217" t="inlineStr">
        <is>
          <t>民生理财</t>
        </is>
      </c>
      <c r="U18" s="25" t="n">
        <v>1.54</v>
      </c>
    </row>
    <row r="19" ht="15.5" customHeight="1" s="8">
      <c r="A19" s="332" t="n"/>
      <c r="B19" s="332" t="n"/>
      <c r="C19" s="332" t="n"/>
      <c r="D19" s="332" t="n"/>
      <c r="E19" s="332" t="n"/>
      <c r="F19" s="332" t="n"/>
      <c r="G19" s="332" t="n"/>
      <c r="H19" s="332" t="n"/>
      <c r="I19" s="332" t="n"/>
      <c r="J19" s="332" t="n"/>
      <c r="K19" s="332" t="n"/>
      <c r="L19" s="332" t="n"/>
      <c r="M19" s="332" t="n"/>
      <c r="N19" s="332" t="n"/>
      <c r="O19" s="332" t="n"/>
      <c r="P19" s="332" t="n"/>
      <c r="Q19" s="332" t="n"/>
      <c r="R19" s="332" t="n"/>
      <c r="S19" s="332" t="n"/>
      <c r="T19" s="217" t="inlineStr">
        <is>
          <t>光大理财</t>
        </is>
      </c>
      <c r="U19" s="25" t="n">
        <v>1</v>
      </c>
    </row>
    <row r="20" ht="15.5" customHeight="1" s="8">
      <c r="A20" s="332" t="n"/>
      <c r="B20" s="332" t="n"/>
      <c r="C20" s="332" t="n"/>
      <c r="D20" s="332" t="n"/>
      <c r="E20" s="332" t="n"/>
      <c r="F20" s="332" t="n"/>
      <c r="G20" s="332" t="n"/>
      <c r="H20" s="332" t="n"/>
      <c r="I20" s="332" t="n"/>
      <c r="J20" s="332" t="n"/>
      <c r="K20" s="332" t="n"/>
      <c r="L20" s="332" t="n"/>
      <c r="M20" s="332" t="n"/>
      <c r="N20" s="332" t="n"/>
      <c r="O20" s="332" t="n"/>
      <c r="P20" s="332" t="n"/>
      <c r="Q20" s="332" t="n"/>
      <c r="R20" s="332" t="n"/>
      <c r="S20" s="332" t="n"/>
      <c r="T20" s="217" t="inlineStr">
        <is>
          <t>建信理财</t>
        </is>
      </c>
      <c r="U20" s="25" t="n">
        <v>1.5</v>
      </c>
    </row>
    <row r="21" ht="15.5" customHeight="1" s="8">
      <c r="A21" s="332" t="n"/>
      <c r="B21" s="332" t="n"/>
      <c r="C21" s="332" t="n"/>
      <c r="D21" s="332" t="n"/>
      <c r="E21" s="332" t="n"/>
      <c r="F21" s="332" t="n"/>
      <c r="G21" s="332" t="n"/>
      <c r="H21" s="332" t="n"/>
      <c r="I21" s="332" t="n"/>
      <c r="J21" s="332" t="n"/>
      <c r="K21" s="332" t="n"/>
      <c r="L21" s="332" t="n"/>
      <c r="M21" s="332" t="n"/>
      <c r="N21" s="332" t="n"/>
      <c r="O21" s="333" t="n"/>
      <c r="P21" s="333" t="n"/>
      <c r="Q21" s="333" t="n"/>
      <c r="R21" s="333" t="n"/>
      <c r="S21" s="333" t="n"/>
      <c r="T21" s="217" t="inlineStr">
        <is>
          <t>平安资产</t>
        </is>
      </c>
      <c r="U21" s="25" t="n">
        <v>2.6</v>
      </c>
    </row>
    <row r="22" ht="15.5" customHeight="1" s="8">
      <c r="A22" s="332" t="n"/>
      <c r="B22" s="332" t="n"/>
      <c r="C22" s="332" t="n"/>
      <c r="D22" s="332" t="n"/>
      <c r="E22" s="332" t="n"/>
      <c r="F22" s="332" t="n"/>
      <c r="G22" s="332" t="n"/>
      <c r="H22" s="332" t="n"/>
      <c r="I22" s="332" t="n"/>
      <c r="J22" s="332" t="n"/>
      <c r="K22" s="332" t="n"/>
      <c r="L22" s="332" t="n"/>
      <c r="M22" s="332" t="n"/>
      <c r="N22" s="332" t="n"/>
      <c r="O22" s="220" t="inlineStr">
        <is>
          <t>次级</t>
        </is>
      </c>
      <c r="P22" s="221" t="n">
        <v>0.01</v>
      </c>
      <c r="Q22" s="308" t="n">
        <v>0.1</v>
      </c>
      <c r="R22" s="221" t="inlineStr">
        <is>
          <t>无</t>
        </is>
      </c>
      <c r="S22" s="221" t="n">
        <v>0.043</v>
      </c>
      <c r="T22" s="217" t="inlineStr">
        <is>
          <t>利曦基金</t>
        </is>
      </c>
      <c r="U22" s="25" t="n">
        <v>0.03</v>
      </c>
    </row>
    <row r="23" ht="15.5" customHeight="1" s="8">
      <c r="A23" s="333" t="n"/>
      <c r="B23" s="333" t="n"/>
      <c r="C23" s="333" t="n"/>
      <c r="D23" s="333" t="n"/>
      <c r="E23" s="333" t="n"/>
      <c r="F23" s="333" t="n"/>
      <c r="G23" s="333" t="n"/>
      <c r="H23" s="333" t="n"/>
      <c r="I23" s="333" t="n"/>
      <c r="J23" s="333" t="n"/>
      <c r="K23" s="333" t="n"/>
      <c r="L23" s="333" t="n"/>
      <c r="M23" s="333" t="n"/>
      <c r="N23" s="333" t="n"/>
      <c r="O23" s="333" t="n"/>
      <c r="P23" s="333" t="n"/>
      <c r="Q23" s="333" t="n"/>
      <c r="R23" s="333" t="n"/>
      <c r="S23" s="333" t="n"/>
      <c r="T23" s="217" t="inlineStr">
        <is>
          <t>德邦证券自营</t>
        </is>
      </c>
      <c r="U23" s="25" t="n">
        <v>0.07000000000000001</v>
      </c>
    </row>
    <row r="24" ht="15.5" customHeight="1" s="8">
      <c r="A24" s="223" t="inlineStr">
        <is>
          <t>5月</t>
        </is>
      </c>
      <c r="B24" s="220" t="inlineStr">
        <is>
          <t>企金</t>
        </is>
      </c>
      <c r="C24" s="220" t="inlineStr">
        <is>
          <t>保理</t>
        </is>
      </c>
      <c r="D24" s="220" t="inlineStr">
        <is>
          <t>京诚14-9</t>
        </is>
      </c>
      <c r="E24" s="220" t="inlineStr">
        <is>
          <t>上交所</t>
        </is>
      </c>
      <c r="F24" s="220" t="inlineStr">
        <is>
          <t>中信证券</t>
        </is>
      </c>
      <c r="G24" s="220" t="inlineStr">
        <is>
          <t>兴业证券</t>
        </is>
      </c>
      <c r="H24" s="220" t="inlineStr">
        <is>
          <t>江苏北分</t>
        </is>
      </c>
      <c r="I24" s="220" t="n">
        <v>5</v>
      </c>
      <c r="J24" s="220" t="inlineStr">
        <is>
          <t>2+4</t>
        </is>
      </c>
      <c r="K24" s="224" t="n">
        <v>46156</v>
      </c>
      <c r="L24" s="225" t="n">
        <v>0.014325</v>
      </c>
      <c r="M24" s="225" t="n">
        <v>0.0157</v>
      </c>
      <c r="N24" s="226" t="n">
        <v>2.67</v>
      </c>
      <c r="O24" s="220" t="inlineStr">
        <is>
          <t>优先级</t>
        </is>
      </c>
      <c r="P24" s="221" t="n">
        <v>0.99</v>
      </c>
      <c r="Q24" s="308" t="n">
        <v>4.95</v>
      </c>
      <c r="R24" s="220" t="inlineStr">
        <is>
          <t>AAA</t>
        </is>
      </c>
      <c r="S24" s="221" t="n">
        <v>0.015</v>
      </c>
      <c r="T24" s="24" t="inlineStr">
        <is>
          <t>平安资产</t>
        </is>
      </c>
      <c r="U24" s="25" t="n">
        <v>2.47</v>
      </c>
    </row>
    <row r="25" ht="15.5" customHeight="1" s="8">
      <c r="A25" s="332" t="n"/>
      <c r="B25" s="332" t="n"/>
      <c r="C25" s="332" t="n"/>
      <c r="D25" s="332" t="n"/>
      <c r="E25" s="332" t="n"/>
      <c r="F25" s="332" t="n"/>
      <c r="G25" s="332" t="n"/>
      <c r="H25" s="332" t="n"/>
      <c r="I25" s="332" t="n"/>
      <c r="J25" s="332" t="n"/>
      <c r="K25" s="332" t="n"/>
      <c r="L25" s="332" t="n"/>
      <c r="M25" s="332" t="n"/>
      <c r="N25" s="332" t="n"/>
      <c r="O25" s="332" t="n"/>
      <c r="P25" s="332" t="n"/>
      <c r="Q25" s="332" t="n"/>
      <c r="R25" s="332" t="n"/>
      <c r="S25" s="332" t="n"/>
      <c r="T25" s="217" t="inlineStr">
        <is>
          <t>交银理财</t>
        </is>
      </c>
      <c r="U25" s="25" t="n">
        <v>0.18</v>
      </c>
    </row>
    <row r="26" ht="15.5" customHeight="1" s="8">
      <c r="A26" s="332" t="n"/>
      <c r="B26" s="332" t="n"/>
      <c r="C26" s="332" t="n"/>
      <c r="D26" s="332" t="n"/>
      <c r="E26" s="332" t="n"/>
      <c r="F26" s="332" t="n"/>
      <c r="G26" s="332" t="n"/>
      <c r="H26" s="332" t="n"/>
      <c r="I26" s="332" t="n"/>
      <c r="J26" s="332" t="n"/>
      <c r="K26" s="332" t="n"/>
      <c r="L26" s="332" t="n"/>
      <c r="M26" s="332" t="n"/>
      <c r="N26" s="332" t="n"/>
      <c r="O26" s="332" t="n"/>
      <c r="P26" s="332" t="n"/>
      <c r="Q26" s="332" t="n"/>
      <c r="R26" s="332" t="n"/>
      <c r="S26" s="332" t="n"/>
      <c r="T26" s="217" t="inlineStr">
        <is>
          <t>民生理财</t>
        </is>
      </c>
      <c r="U26" s="25" t="n">
        <v>1.1</v>
      </c>
    </row>
    <row r="27" ht="15.5" customHeight="1" s="8">
      <c r="A27" s="332" t="n"/>
      <c r="B27" s="332" t="n"/>
      <c r="C27" s="332" t="n"/>
      <c r="D27" s="332" t="n"/>
      <c r="E27" s="332" t="n"/>
      <c r="F27" s="332" t="n"/>
      <c r="G27" s="332" t="n"/>
      <c r="H27" s="332" t="n"/>
      <c r="I27" s="332" t="n"/>
      <c r="J27" s="332" t="n"/>
      <c r="K27" s="332" t="n"/>
      <c r="L27" s="332" t="n"/>
      <c r="M27" s="332" t="n"/>
      <c r="N27" s="332" t="n"/>
      <c r="O27" s="332" t="n"/>
      <c r="P27" s="332" t="n"/>
      <c r="Q27" s="332" t="n"/>
      <c r="R27" s="332" t="n"/>
      <c r="S27" s="332" t="n"/>
      <c r="T27" s="217" t="inlineStr">
        <is>
          <t>光大理财</t>
        </is>
      </c>
      <c r="U27" s="25" t="n">
        <v>0.58</v>
      </c>
    </row>
    <row r="28" ht="15.5" customHeight="1" s="8">
      <c r="A28" s="332" t="n"/>
      <c r="B28" s="332" t="n"/>
      <c r="C28" s="332" t="n"/>
      <c r="D28" s="332" t="n"/>
      <c r="E28" s="332" t="n"/>
      <c r="F28" s="332" t="n"/>
      <c r="G28" s="332" t="n"/>
      <c r="H28" s="332" t="n"/>
      <c r="I28" s="332" t="n"/>
      <c r="J28" s="332" t="n"/>
      <c r="K28" s="332" t="n"/>
      <c r="L28" s="332" t="n"/>
      <c r="M28" s="332" t="n"/>
      <c r="N28" s="332" t="n"/>
      <c r="O28" s="332" t="n"/>
      <c r="P28" s="332" t="n"/>
      <c r="Q28" s="332" t="n"/>
      <c r="R28" s="332" t="n"/>
      <c r="S28" s="332" t="n"/>
      <c r="T28" s="218" t="inlineStr">
        <is>
          <t>平安理财</t>
        </is>
      </c>
      <c r="U28" s="25" t="n">
        <v>0.28</v>
      </c>
    </row>
    <row r="29" ht="15.5" customHeight="1" s="8">
      <c r="A29" s="332" t="n"/>
      <c r="B29" s="332" t="n"/>
      <c r="C29" s="332" t="n"/>
      <c r="D29" s="332" t="n"/>
      <c r="E29" s="332" t="n"/>
      <c r="F29" s="332" t="n"/>
      <c r="G29" s="332" t="n"/>
      <c r="H29" s="332" t="n"/>
      <c r="I29" s="332" t="n"/>
      <c r="J29" s="332" t="n"/>
      <c r="K29" s="332" t="n"/>
      <c r="L29" s="332" t="n"/>
      <c r="M29" s="332" t="n"/>
      <c r="N29" s="332" t="n"/>
      <c r="O29" s="333" t="n"/>
      <c r="P29" s="333" t="n"/>
      <c r="Q29" s="333" t="n"/>
      <c r="R29" s="333" t="n"/>
      <c r="S29" s="333" t="n"/>
      <c r="T29" s="217" t="inlineStr">
        <is>
          <t>建信理财</t>
        </is>
      </c>
      <c r="U29" s="25" t="n">
        <v>0.34</v>
      </c>
    </row>
    <row r="30" ht="15.5" customHeight="1" s="8">
      <c r="A30" s="333" t="n"/>
      <c r="B30" s="333" t="n"/>
      <c r="C30" s="333" t="n"/>
      <c r="D30" s="333" t="n"/>
      <c r="E30" s="333" t="n"/>
      <c r="F30" s="333" t="n"/>
      <c r="G30" s="333" t="n"/>
      <c r="H30" s="333" t="n"/>
      <c r="I30" s="333" t="n"/>
      <c r="J30" s="333" t="n"/>
      <c r="K30" s="333" t="n"/>
      <c r="L30" s="333" t="n"/>
      <c r="M30" s="333" t="n"/>
      <c r="N30" s="333" t="n"/>
      <c r="O30" s="220" t="inlineStr">
        <is>
          <t>次级</t>
        </is>
      </c>
      <c r="P30" s="221" t="n">
        <v>0.01</v>
      </c>
      <c r="Q30" s="308" t="n">
        <v>0.05</v>
      </c>
      <c r="R30" s="221" t="inlineStr">
        <is>
          <t>无</t>
        </is>
      </c>
      <c r="S30" s="221" t="n">
        <v>0.043</v>
      </c>
      <c r="T30" s="217" t="inlineStr">
        <is>
          <t>浙商证券自营</t>
        </is>
      </c>
      <c r="U30" s="25" t="n">
        <v>0.05</v>
      </c>
    </row>
  </sheetData>
  <mergeCells count="86">
    <mergeCell ref="H8:H13"/>
    <mergeCell ref="J8:J13"/>
    <mergeCell ref="P22:P23"/>
    <mergeCell ref="J24:J30"/>
    <mergeCell ref="H14:H23"/>
    <mergeCell ref="I24:I30"/>
    <mergeCell ref="J14:J23"/>
    <mergeCell ref="Q8:Q11"/>
    <mergeCell ref="S8:S11"/>
    <mergeCell ref="R12:R13"/>
    <mergeCell ref="F2:F7"/>
    <mergeCell ref="H2:H7"/>
    <mergeCell ref="Q14:Q21"/>
    <mergeCell ref="S14:S21"/>
    <mergeCell ref="K24:K30"/>
    <mergeCell ref="S2:S6"/>
    <mergeCell ref="S24:S29"/>
    <mergeCell ref="K2:K7"/>
    <mergeCell ref="A8:A13"/>
    <mergeCell ref="C8:C13"/>
    <mergeCell ref="M8:M13"/>
    <mergeCell ref="S22:S23"/>
    <mergeCell ref="Q12:Q13"/>
    <mergeCell ref="A14:A23"/>
    <mergeCell ref="S12:S13"/>
    <mergeCell ref="P2:P6"/>
    <mergeCell ref="L24:L30"/>
    <mergeCell ref="D14:D23"/>
    <mergeCell ref="F14:F23"/>
    <mergeCell ref="D24:D30"/>
    <mergeCell ref="R2:R6"/>
    <mergeCell ref="B8:B13"/>
    <mergeCell ref="B2:B7"/>
    <mergeCell ref="B24:B30"/>
    <mergeCell ref="D2:D7"/>
    <mergeCell ref="O22:O23"/>
    <mergeCell ref="N2:N7"/>
    <mergeCell ref="F8:F13"/>
    <mergeCell ref="H24:H30"/>
    <mergeCell ref="E24:E30"/>
    <mergeCell ref="I8:I13"/>
    <mergeCell ref="K8:K13"/>
    <mergeCell ref="O8:O11"/>
    <mergeCell ref="G14:G23"/>
    <mergeCell ref="I14:I23"/>
    <mergeCell ref="K14:K23"/>
    <mergeCell ref="O14:O21"/>
    <mergeCell ref="M14:M23"/>
    <mergeCell ref="G2:G7"/>
    <mergeCell ref="G24:G30"/>
    <mergeCell ref="P14:P21"/>
    <mergeCell ref="I2:I7"/>
    <mergeCell ref="Q24:Q29"/>
    <mergeCell ref="R14:R21"/>
    <mergeCell ref="Q22:Q23"/>
    <mergeCell ref="O2:O6"/>
    <mergeCell ref="M2:M7"/>
    <mergeCell ref="M24:M30"/>
    <mergeCell ref="R24:R29"/>
    <mergeCell ref="O12:O13"/>
    <mergeCell ref="P8:P11"/>
    <mergeCell ref="L8:L13"/>
    <mergeCell ref="R22:R23"/>
    <mergeCell ref="N8:N13"/>
    <mergeCell ref="N24:N30"/>
    <mergeCell ref="P12:P13"/>
    <mergeCell ref="B14:B23"/>
    <mergeCell ref="L14:L23"/>
    <mergeCell ref="N14:N23"/>
    <mergeCell ref="J2:J7"/>
    <mergeCell ref="L2:L7"/>
    <mergeCell ref="O24:O29"/>
    <mergeCell ref="Q2:Q6"/>
    <mergeCell ref="E8:E13"/>
    <mergeCell ref="G8:G13"/>
    <mergeCell ref="C14:C23"/>
    <mergeCell ref="E14:E23"/>
    <mergeCell ref="A2:A7"/>
    <mergeCell ref="A24:A30"/>
    <mergeCell ref="C2:C7"/>
    <mergeCell ref="C24:C30"/>
    <mergeCell ref="E2:E7"/>
    <mergeCell ref="F24:F30"/>
    <mergeCell ref="R8:R11"/>
    <mergeCell ref="D8:D13"/>
    <mergeCell ref="P24:P2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E16" sqref="E16"/>
    </sheetView>
  </sheetViews>
  <sheetFormatPr baseColWidth="8" defaultRowHeight="14"/>
  <cols>
    <col width="11.58203125" customWidth="1" style="8" min="1" max="1"/>
    <col width="10.5" customWidth="1" style="68" min="2" max="5"/>
  </cols>
  <sheetData>
    <row r="1">
      <c r="A1" s="17" t="n"/>
      <c r="B1" s="17" t="inlineStr">
        <is>
          <t>沣盈4-1</t>
        </is>
      </c>
      <c r="C1" s="17" t="inlineStr">
        <is>
          <t>京诚14-8</t>
        </is>
      </c>
      <c r="D1" s="17" t="inlineStr">
        <is>
          <t>京诚14-8</t>
        </is>
      </c>
      <c r="E1" s="17" t="inlineStr">
        <is>
          <t>京诚14-9</t>
        </is>
      </c>
    </row>
    <row r="2">
      <c r="A2" s="20" t="inlineStr">
        <is>
          <t>日期</t>
        </is>
      </c>
      <c r="B2" s="21" t="n">
        <v>46097</v>
      </c>
      <c r="C2" s="21" t="n">
        <v>46136</v>
      </c>
      <c r="D2" s="21" t="n">
        <v>46154</v>
      </c>
      <c r="E2" s="21" t="n">
        <v>46156</v>
      </c>
    </row>
    <row r="3">
      <c r="A3" s="20" t="inlineStr">
        <is>
          <t>优先级</t>
        </is>
      </c>
      <c r="B3" s="22" t="n">
        <v>0.017</v>
      </c>
      <c r="C3" s="22" t="n">
        <v>0.0152</v>
      </c>
      <c r="D3" s="22" t="n">
        <v>0.015</v>
      </c>
      <c r="E3" s="22" t="n">
        <v>0.015</v>
      </c>
    </row>
    <row r="4">
      <c r="A4" s="20" t="inlineStr">
        <is>
          <t>国股CD</t>
        </is>
      </c>
      <c r="B4" s="22" t="n">
        <v>0.0153</v>
      </c>
      <c r="C4" s="22" t="n">
        <v>0.0144</v>
      </c>
      <c r="D4" s="22" t="n">
        <v>0.0144</v>
      </c>
      <c r="E4" s="22" t="n">
        <v>0.0144</v>
      </c>
    </row>
    <row r="5">
      <c r="A5" s="20" t="inlineStr">
        <is>
          <t>ALL-IN成本</t>
        </is>
      </c>
      <c r="B5" s="22" t="n">
        <v>0.0177</v>
      </c>
      <c r="C5" s="22" t="n">
        <v>0.0159</v>
      </c>
      <c r="D5" s="22" t="n">
        <v>0.0157</v>
      </c>
      <c r="E5" s="22" t="n">
        <v>0.0157</v>
      </c>
    </row>
    <row r="6">
      <c r="A6" s="20" t="inlineStr">
        <is>
          <t>认购倍数</t>
        </is>
      </c>
      <c r="B6" s="338" t="n">
        <v>1.32</v>
      </c>
      <c r="C6" s="338" t="n">
        <v>3.91</v>
      </c>
      <c r="D6" s="338" t="n">
        <v>1.93</v>
      </c>
      <c r="E6" s="338" t="n">
        <v>2.67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5"/>
  <sheetViews>
    <sheetView zoomScale="60" zoomScaleNormal="60" workbookViewId="0">
      <selection activeCell="P24" sqref="P24"/>
    </sheetView>
  </sheetViews>
  <sheetFormatPr baseColWidth="8" defaultRowHeight="14"/>
  <cols>
    <col width="17" customWidth="1" style="8" min="20" max="20"/>
    <col width="12.4140625" customWidth="1" style="8" min="21" max="2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304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304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0" t="inlineStr">
        <is>
          <t>5月</t>
        </is>
      </c>
      <c r="B2" s="220" t="inlineStr">
        <is>
          <t>企金</t>
        </is>
      </c>
      <c r="C2" s="220" t="inlineStr">
        <is>
          <t>金采</t>
        </is>
      </c>
      <c r="D2" s="233" t="inlineStr">
        <is>
          <t>金采7-12</t>
        </is>
      </c>
      <c r="E2" s="220" t="inlineStr">
        <is>
          <t>上交所</t>
        </is>
      </c>
      <c r="F2" s="220" t="inlineStr">
        <is>
          <t>中信建投</t>
        </is>
      </c>
      <c r="G2" s="220" t="inlineStr">
        <is>
          <t>兴业证券</t>
        </is>
      </c>
      <c r="H2" s="220" t="inlineStr">
        <is>
          <t>浙商上分</t>
        </is>
      </c>
      <c r="I2" s="220" t="n">
        <v>9</v>
      </c>
      <c r="J2" s="220" t="inlineStr">
        <is>
          <t>7+12</t>
        </is>
      </c>
      <c r="K2" s="224" t="n">
        <v>45789</v>
      </c>
      <c r="L2" s="225" t="n">
        <v>0.0144</v>
      </c>
      <c r="M2" s="225" t="n">
        <v>0.0187</v>
      </c>
      <c r="N2" s="226" t="n">
        <v>2.82</v>
      </c>
      <c r="O2" s="220" t="inlineStr">
        <is>
          <t>优先级</t>
        </is>
      </c>
      <c r="P2" s="231" t="n">
        <v>0.9</v>
      </c>
      <c r="Q2" s="308" t="n">
        <v>8.1</v>
      </c>
      <c r="R2" s="220" t="inlineStr">
        <is>
          <t>AAA</t>
        </is>
      </c>
      <c r="S2" s="221" t="n">
        <v>0.016</v>
      </c>
      <c r="T2" s="217" t="inlineStr">
        <is>
          <t>招银理财</t>
        </is>
      </c>
      <c r="U2" s="25" t="n">
        <v>2.43</v>
      </c>
    </row>
    <row r="3" ht="15.5" customHeight="1" s="8">
      <c r="A3" s="332" t="n"/>
      <c r="B3" s="332" t="n"/>
      <c r="C3" s="332" t="n"/>
      <c r="D3" s="339" t="n"/>
      <c r="E3" s="332" t="n"/>
      <c r="F3" s="332" t="n"/>
      <c r="G3" s="332" t="n"/>
      <c r="H3" s="332" t="n"/>
      <c r="I3" s="332" t="n"/>
      <c r="J3" s="332" t="n"/>
      <c r="K3" s="332" t="n"/>
      <c r="L3" s="332" t="n"/>
      <c r="M3" s="332" t="n"/>
      <c r="N3" s="332" t="n"/>
      <c r="O3" s="332" t="n"/>
      <c r="P3" s="332" t="n"/>
      <c r="Q3" s="332" t="n"/>
      <c r="R3" s="332" t="n"/>
      <c r="S3" s="332" t="n"/>
      <c r="T3" s="217" t="inlineStr">
        <is>
          <t>建信理财</t>
        </is>
      </c>
      <c r="U3" s="25" t="n">
        <v>1.5</v>
      </c>
    </row>
    <row r="4" ht="15.5" customHeight="1" s="8">
      <c r="A4" s="332" t="n"/>
      <c r="B4" s="332" t="n"/>
      <c r="C4" s="332" t="n"/>
      <c r="D4" s="339" t="n"/>
      <c r="E4" s="332" t="n"/>
      <c r="F4" s="332" t="n"/>
      <c r="G4" s="332" t="n"/>
      <c r="H4" s="332" t="n"/>
      <c r="I4" s="332" t="n"/>
      <c r="J4" s="332" t="n"/>
      <c r="K4" s="332" t="n"/>
      <c r="L4" s="332" t="n"/>
      <c r="M4" s="332" t="n"/>
      <c r="N4" s="332" t="n"/>
      <c r="O4" s="332" t="n"/>
      <c r="P4" s="332" t="n"/>
      <c r="Q4" s="332" t="n"/>
      <c r="R4" s="332" t="n"/>
      <c r="S4" s="332" t="n"/>
      <c r="T4" s="217" t="inlineStr">
        <is>
          <t>交银理财</t>
        </is>
      </c>
      <c r="U4" s="25" t="n">
        <v>1.76</v>
      </c>
    </row>
    <row r="5" ht="15.5" customHeight="1" s="8">
      <c r="A5" s="332" t="n"/>
      <c r="B5" s="332" t="n"/>
      <c r="C5" s="332" t="n"/>
      <c r="D5" s="339" t="n"/>
      <c r="E5" s="332" t="n"/>
      <c r="F5" s="332" t="n"/>
      <c r="G5" s="332" t="n"/>
      <c r="H5" s="332" t="n"/>
      <c r="I5" s="332" t="n"/>
      <c r="J5" s="332" t="n"/>
      <c r="K5" s="332" t="n"/>
      <c r="L5" s="332" t="n"/>
      <c r="M5" s="332" t="n"/>
      <c r="N5" s="332" t="n"/>
      <c r="O5" s="332" t="n"/>
      <c r="P5" s="332" t="n"/>
      <c r="Q5" s="332" t="n"/>
      <c r="R5" s="332" t="n"/>
      <c r="S5" s="332" t="n"/>
      <c r="T5" s="217" t="inlineStr">
        <is>
          <t>华夏基金</t>
        </is>
      </c>
      <c r="U5" s="25" t="n">
        <v>0.5</v>
      </c>
    </row>
    <row r="6" ht="15.5" customHeight="1" s="8">
      <c r="A6" s="332" t="n"/>
      <c r="B6" s="332" t="n"/>
      <c r="C6" s="332" t="n"/>
      <c r="D6" s="339" t="n"/>
      <c r="E6" s="332" t="n"/>
      <c r="F6" s="332" t="n"/>
      <c r="G6" s="332" t="n"/>
      <c r="H6" s="332" t="n"/>
      <c r="I6" s="332" t="n"/>
      <c r="J6" s="332" t="n"/>
      <c r="K6" s="332" t="n"/>
      <c r="L6" s="332" t="n"/>
      <c r="M6" s="332" t="n"/>
      <c r="N6" s="332" t="n"/>
      <c r="O6" s="332" t="n"/>
      <c r="P6" s="332" t="n"/>
      <c r="Q6" s="332" t="n"/>
      <c r="R6" s="332" t="n"/>
      <c r="S6" s="332" t="n"/>
      <c r="T6" s="217" t="inlineStr">
        <is>
          <t>中邮理财</t>
        </is>
      </c>
      <c r="U6" s="25" t="n">
        <v>1.5</v>
      </c>
    </row>
    <row r="7" ht="15.5" customHeight="1" s="8">
      <c r="A7" s="332" t="n"/>
      <c r="B7" s="332" t="n"/>
      <c r="C7" s="332" t="n"/>
      <c r="D7" s="339" t="n"/>
      <c r="E7" s="332" t="n"/>
      <c r="F7" s="332" t="n"/>
      <c r="G7" s="332" t="n"/>
      <c r="H7" s="332" t="n"/>
      <c r="I7" s="332" t="n"/>
      <c r="J7" s="332" t="n"/>
      <c r="K7" s="332" t="n"/>
      <c r="L7" s="332" t="n"/>
      <c r="M7" s="332" t="n"/>
      <c r="N7" s="332" t="n"/>
      <c r="O7" s="333" t="n"/>
      <c r="P7" s="332" t="n"/>
      <c r="Q7" s="333" t="n"/>
      <c r="R7" s="333" t="n"/>
      <c r="S7" s="333" t="n"/>
      <c r="T7" s="217" t="inlineStr">
        <is>
          <t>邦汇保理</t>
        </is>
      </c>
      <c r="U7" s="25" t="n">
        <v>0.41</v>
      </c>
    </row>
    <row r="8" ht="15.5" customHeight="1" s="8">
      <c r="A8" s="332" t="n"/>
      <c r="B8" s="332" t="n"/>
      <c r="C8" s="332" t="n"/>
      <c r="D8" s="339" t="n"/>
      <c r="E8" s="332" t="n"/>
      <c r="F8" s="332" t="n"/>
      <c r="G8" s="332" t="n"/>
      <c r="H8" s="332" t="n"/>
      <c r="I8" s="332" t="n"/>
      <c r="J8" s="332" t="n"/>
      <c r="K8" s="332" t="n"/>
      <c r="L8" s="332" t="n"/>
      <c r="M8" s="332" t="n"/>
      <c r="N8" s="332" t="n"/>
      <c r="O8" s="220" t="inlineStr">
        <is>
          <t>中间级</t>
        </is>
      </c>
      <c r="P8" s="221" t="n">
        <v>0.05</v>
      </c>
      <c r="Q8" s="308" t="n">
        <v>0.45</v>
      </c>
      <c r="R8" s="221" t="inlineStr">
        <is>
          <t>AA</t>
        </is>
      </c>
      <c r="S8" s="221" t="n">
        <v>0.031</v>
      </c>
      <c r="T8" s="217" t="inlineStr">
        <is>
          <t>招银理财</t>
        </is>
      </c>
      <c r="U8" s="25" t="n">
        <v>0.075</v>
      </c>
    </row>
    <row r="9" ht="15.5" customHeight="1" s="8">
      <c r="A9" s="332" t="n"/>
      <c r="B9" s="332" t="n"/>
      <c r="C9" s="332" t="n"/>
      <c r="D9" s="339" t="n"/>
      <c r="E9" s="332" t="n"/>
      <c r="F9" s="332" t="n"/>
      <c r="G9" s="332" t="n"/>
      <c r="H9" s="332" t="n"/>
      <c r="I9" s="332" t="n"/>
      <c r="J9" s="332" t="n"/>
      <c r="K9" s="332" t="n"/>
      <c r="L9" s="332" t="n"/>
      <c r="M9" s="332" t="n"/>
      <c r="N9" s="332" t="n"/>
      <c r="O9" s="332" t="n"/>
      <c r="P9" s="332" t="n"/>
      <c r="Q9" s="332" t="n"/>
      <c r="R9" s="332" t="n"/>
      <c r="S9" s="332" t="n"/>
      <c r="T9" s="217" t="inlineStr">
        <is>
          <t>利曦基金</t>
        </is>
      </c>
      <c r="U9" s="325" t="n">
        <v>0.1625</v>
      </c>
    </row>
    <row r="10" ht="15.5" customHeight="1" s="8">
      <c r="A10" s="332" t="n"/>
      <c r="B10" s="332" t="n"/>
      <c r="C10" s="332" t="n"/>
      <c r="D10" s="339" t="n"/>
      <c r="E10" s="332" t="n"/>
      <c r="F10" s="332" t="n"/>
      <c r="G10" s="332" t="n"/>
      <c r="H10" s="332" t="n"/>
      <c r="I10" s="332" t="n"/>
      <c r="J10" s="332" t="n"/>
      <c r="K10" s="332" t="n"/>
      <c r="L10" s="332" t="n"/>
      <c r="M10" s="332" t="n"/>
      <c r="N10" s="332" t="n"/>
      <c r="O10" s="332" t="n"/>
      <c r="P10" s="332" t="n"/>
      <c r="Q10" s="332" t="n"/>
      <c r="R10" s="332" t="n"/>
      <c r="S10" s="332" t="n"/>
      <c r="T10" s="217" t="inlineStr">
        <is>
          <t>德邦证券自营</t>
        </is>
      </c>
      <c r="U10" s="25" t="n">
        <v>0.19</v>
      </c>
    </row>
    <row r="11" ht="15.5" customHeight="1" s="8">
      <c r="A11" s="332" t="n"/>
      <c r="B11" s="332" t="n"/>
      <c r="C11" s="332" t="n"/>
      <c r="D11" s="339" t="n"/>
      <c r="E11" s="332" t="n"/>
      <c r="F11" s="332" t="n"/>
      <c r="G11" s="332" t="n"/>
      <c r="H11" s="332" t="n"/>
      <c r="I11" s="332" t="n"/>
      <c r="J11" s="332" t="n"/>
      <c r="K11" s="332" t="n"/>
      <c r="L11" s="332" t="n"/>
      <c r="M11" s="332" t="n"/>
      <c r="N11" s="332" t="n"/>
      <c r="O11" s="333" t="n"/>
      <c r="P11" s="333" t="n"/>
      <c r="Q11" s="333" t="n"/>
      <c r="R11" s="333" t="n"/>
      <c r="S11" s="333" t="n"/>
      <c r="T11" s="217" t="inlineStr">
        <is>
          <t>邦汇保理</t>
        </is>
      </c>
      <c r="U11" s="325" t="n">
        <v>0.0225</v>
      </c>
    </row>
    <row r="12" ht="15.5" customHeight="1" s="8">
      <c r="A12" s="332" t="n"/>
      <c r="B12" s="332" t="n"/>
      <c r="C12" s="332" t="n"/>
      <c r="D12" s="339" t="n"/>
      <c r="E12" s="332" t="n"/>
      <c r="F12" s="332" t="n"/>
      <c r="G12" s="332" t="n"/>
      <c r="H12" s="332" t="n"/>
      <c r="I12" s="332" t="n"/>
      <c r="J12" s="332" t="n"/>
      <c r="K12" s="332" t="n"/>
      <c r="L12" s="332" t="n"/>
      <c r="M12" s="332" t="n"/>
      <c r="N12" s="332" t="n"/>
      <c r="O12" s="220" t="inlineStr">
        <is>
          <t>次级</t>
        </is>
      </c>
      <c r="P12" s="221" t="n">
        <v>0.05</v>
      </c>
      <c r="Q12" s="308" t="n">
        <v>0.45</v>
      </c>
      <c r="R12" s="221" t="inlineStr">
        <is>
          <t>无</t>
        </is>
      </c>
      <c r="S12" s="221" t="n">
        <v>0.0455</v>
      </c>
      <c r="T12" s="217" t="inlineStr">
        <is>
          <t>东家铂睿</t>
        </is>
      </c>
      <c r="U12" s="25" t="n">
        <v>0.05</v>
      </c>
    </row>
    <row r="13" ht="15.5" customHeight="1" s="8">
      <c r="A13" s="332" t="n"/>
      <c r="B13" s="332" t="n"/>
      <c r="C13" s="332" t="n"/>
      <c r="D13" s="339" t="n"/>
      <c r="E13" s="332" t="n"/>
      <c r="F13" s="332" t="n"/>
      <c r="G13" s="332" t="n"/>
      <c r="H13" s="332" t="n"/>
      <c r="I13" s="332" t="n"/>
      <c r="J13" s="332" t="n"/>
      <c r="K13" s="332" t="n"/>
      <c r="L13" s="332" t="n"/>
      <c r="M13" s="332" t="n"/>
      <c r="N13" s="332" t="n"/>
      <c r="O13" s="332" t="n"/>
      <c r="P13" s="332" t="n"/>
      <c r="Q13" s="332" t="n"/>
      <c r="R13" s="332" t="n"/>
      <c r="S13" s="332" t="n"/>
      <c r="T13" s="217" t="inlineStr">
        <is>
          <t>西部证券自营</t>
        </is>
      </c>
      <c r="U13" s="325" t="n">
        <v>0.1875</v>
      </c>
    </row>
    <row r="14" ht="15.5" customHeight="1" s="8">
      <c r="A14" s="332" t="n"/>
      <c r="B14" s="332" t="n"/>
      <c r="C14" s="332" t="n"/>
      <c r="D14" s="339" t="n"/>
      <c r="E14" s="332" t="n"/>
      <c r="F14" s="332" t="n"/>
      <c r="G14" s="332" t="n"/>
      <c r="H14" s="332" t="n"/>
      <c r="I14" s="332" t="n"/>
      <c r="J14" s="332" t="n"/>
      <c r="K14" s="332" t="n"/>
      <c r="L14" s="332" t="n"/>
      <c r="M14" s="332" t="n"/>
      <c r="N14" s="332" t="n"/>
      <c r="O14" s="332" t="n"/>
      <c r="P14" s="332" t="n"/>
      <c r="Q14" s="332" t="n"/>
      <c r="R14" s="332" t="n"/>
      <c r="S14" s="332" t="n"/>
      <c r="T14" s="217" t="inlineStr">
        <is>
          <t>利曦基金</t>
        </is>
      </c>
      <c r="U14" s="25" t="n">
        <v>0.19</v>
      </c>
    </row>
    <row r="15" ht="15.5" customHeight="1" s="8">
      <c r="A15" s="333" t="n"/>
      <c r="B15" s="333" t="n"/>
      <c r="C15" s="333" t="n"/>
      <c r="D15" s="340" t="n"/>
      <c r="E15" s="333" t="n"/>
      <c r="F15" s="333" t="n"/>
      <c r="G15" s="333" t="n"/>
      <c r="H15" s="333" t="n"/>
      <c r="I15" s="333" t="n"/>
      <c r="J15" s="333" t="n"/>
      <c r="K15" s="333" t="n"/>
      <c r="L15" s="333" t="n"/>
      <c r="M15" s="333" t="n"/>
      <c r="N15" s="333" t="n"/>
      <c r="O15" s="333" t="n"/>
      <c r="P15" s="333" t="n"/>
      <c r="Q15" s="333" t="n"/>
      <c r="R15" s="333" t="n"/>
      <c r="S15" s="333" t="n"/>
      <c r="T15" s="217" t="inlineStr">
        <is>
          <t>邦汇保理</t>
        </is>
      </c>
      <c r="U15" s="325" t="n">
        <v>0.0225</v>
      </c>
    </row>
  </sheetData>
  <mergeCells count="29">
    <mergeCell ref="Q12:Q15"/>
    <mergeCell ref="S12:S15"/>
    <mergeCell ref="S2:S7"/>
    <mergeCell ref="L2:L15"/>
    <mergeCell ref="J2:J15"/>
    <mergeCell ref="Q8:Q11"/>
    <mergeCell ref="S8:S11"/>
    <mergeCell ref="R12:R15"/>
    <mergeCell ref="P8:P11"/>
    <mergeCell ref="P2:P7"/>
    <mergeCell ref="G2:G15"/>
    <mergeCell ref="I2:I15"/>
    <mergeCell ref="O12:O15"/>
    <mergeCell ref="P12:P15"/>
    <mergeCell ref="M2:M15"/>
    <mergeCell ref="B2:B15"/>
    <mergeCell ref="N2:N15"/>
    <mergeCell ref="D2:D15"/>
    <mergeCell ref="F2:F15"/>
    <mergeCell ref="H2:H15"/>
    <mergeCell ref="K2:K15"/>
    <mergeCell ref="O8:O11"/>
    <mergeCell ref="R8:R11"/>
    <mergeCell ref="O2:O7"/>
    <mergeCell ref="Q2:Q7"/>
    <mergeCell ref="R2:R7"/>
    <mergeCell ref="A2:A15"/>
    <mergeCell ref="C2:C15"/>
    <mergeCell ref="E2:E1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7" sqref="B7"/>
    </sheetView>
  </sheetViews>
  <sheetFormatPr baseColWidth="8" defaultRowHeight="14"/>
  <cols>
    <col width="11.58203125" customWidth="1" style="8" min="1" max="1"/>
    <col width="10.5" customWidth="1" style="68" min="2" max="2"/>
  </cols>
  <sheetData>
    <row r="1">
      <c r="A1" s="17" t="n"/>
      <c r="B1" s="17" t="inlineStr">
        <is>
          <t>金采7-12</t>
        </is>
      </c>
    </row>
    <row r="2">
      <c r="A2" s="20" t="inlineStr">
        <is>
          <t>日期</t>
        </is>
      </c>
      <c r="B2" s="21" t="n">
        <v>46154</v>
      </c>
    </row>
    <row r="3">
      <c r="A3" s="20" t="inlineStr">
        <is>
          <t>优先级</t>
        </is>
      </c>
      <c r="B3" s="22" t="n">
        <v>0.016</v>
      </c>
    </row>
    <row r="4">
      <c r="A4" s="20" t="inlineStr">
        <is>
          <t>国股CD</t>
        </is>
      </c>
      <c r="B4" s="22" t="n">
        <v>0.0144</v>
      </c>
    </row>
    <row r="5">
      <c r="A5" s="20" t="inlineStr">
        <is>
          <t>ALL-IN成本</t>
        </is>
      </c>
      <c r="B5" s="22" t="n">
        <v>0.0187</v>
      </c>
    </row>
    <row r="6">
      <c r="A6" s="20" t="inlineStr">
        <is>
          <t>认购倍数</t>
        </is>
      </c>
      <c r="B6" s="338" t="n">
        <v>2.82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1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1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0" t="inlineStr">
        <is>
          <t>2月</t>
        </is>
      </c>
      <c r="B2" s="220" t="inlineStr">
        <is>
          <t>企金</t>
        </is>
      </c>
      <c r="C2" s="220" t="inlineStr">
        <is>
          <t>京企贷</t>
        </is>
      </c>
      <c r="D2" s="233" t="inlineStr">
        <is>
          <t>盛澜1-2</t>
        </is>
      </c>
      <c r="E2" s="220" t="inlineStr">
        <is>
          <t>深交所</t>
        </is>
      </c>
      <c r="F2" s="220" t="inlineStr">
        <is>
          <t>财通资管</t>
        </is>
      </c>
      <c r="G2" s="220" t="inlineStr">
        <is>
          <t>光大证券</t>
        </is>
      </c>
      <c r="H2" s="220" t="inlineStr">
        <is>
          <t>江苏北分</t>
        </is>
      </c>
      <c r="I2" s="220" t="n">
        <v>10</v>
      </c>
      <c r="J2" s="220" t="inlineStr">
        <is>
          <t>12+12</t>
        </is>
      </c>
      <c r="K2" s="224" t="n">
        <v>46062</v>
      </c>
      <c r="L2" s="225" t="n">
        <v>0.0159</v>
      </c>
      <c r="M2" s="318" t="n">
        <v>0.02317</v>
      </c>
      <c r="N2" s="226" t="n">
        <v>2.19</v>
      </c>
      <c r="O2" s="220" t="inlineStr">
        <is>
          <t>优先级</t>
        </is>
      </c>
      <c r="P2" s="231" t="n">
        <v>0.9</v>
      </c>
      <c r="Q2" s="308" t="n">
        <v>9</v>
      </c>
      <c r="R2" s="220" t="inlineStr">
        <is>
          <t>AAA</t>
        </is>
      </c>
      <c r="S2" s="221" t="n">
        <v>0.021</v>
      </c>
      <c r="T2" s="217" t="inlineStr">
        <is>
          <t>盛际小贷</t>
        </is>
      </c>
      <c r="U2" s="313" t="n">
        <v>0.45</v>
      </c>
    </row>
    <row r="3" ht="15.5" customHeight="1" s="8">
      <c r="A3" s="332" t="n"/>
      <c r="B3" s="332" t="n"/>
      <c r="C3" s="332" t="n"/>
      <c r="D3" s="339" t="n"/>
      <c r="E3" s="332" t="n"/>
      <c r="F3" s="332" t="n"/>
      <c r="G3" s="332" t="n"/>
      <c r="H3" s="332" t="n"/>
      <c r="I3" s="332" t="n"/>
      <c r="J3" s="332" t="n"/>
      <c r="K3" s="332" t="n"/>
      <c r="L3" s="332" t="n"/>
      <c r="M3" s="332" t="n"/>
      <c r="N3" s="332" t="n"/>
      <c r="O3" s="332" t="n"/>
      <c r="P3" s="332" t="n"/>
      <c r="Q3" s="332" t="n"/>
      <c r="R3" s="332" t="n"/>
      <c r="S3" s="332" t="n"/>
      <c r="T3" s="217" t="inlineStr">
        <is>
          <t>财达资管</t>
        </is>
      </c>
      <c r="U3" s="25" t="n">
        <v>0.3</v>
      </c>
    </row>
    <row r="4" ht="15.5" customHeight="1" s="8">
      <c r="A4" s="332" t="n"/>
      <c r="B4" s="332" t="n"/>
      <c r="C4" s="332" t="n"/>
      <c r="D4" s="339" t="n"/>
      <c r="E4" s="332" t="n"/>
      <c r="F4" s="332" t="n"/>
      <c r="G4" s="332" t="n"/>
      <c r="H4" s="332" t="n"/>
      <c r="I4" s="332" t="n"/>
      <c r="J4" s="332" t="n"/>
      <c r="K4" s="332" t="n"/>
      <c r="L4" s="332" t="n"/>
      <c r="M4" s="332" t="n"/>
      <c r="N4" s="332" t="n"/>
      <c r="O4" s="332" t="n"/>
      <c r="P4" s="332" t="n"/>
      <c r="Q4" s="332" t="n"/>
      <c r="R4" s="332" t="n"/>
      <c r="S4" s="332" t="n"/>
      <c r="T4" s="217" t="inlineStr">
        <is>
          <t>中金资管</t>
        </is>
      </c>
      <c r="U4" s="25" t="n">
        <v>0.1</v>
      </c>
    </row>
    <row r="5" ht="15.5" customHeight="1" s="8">
      <c r="A5" s="332" t="n"/>
      <c r="B5" s="332" t="n"/>
      <c r="C5" s="332" t="n"/>
      <c r="D5" s="339" t="n"/>
      <c r="E5" s="332" t="n"/>
      <c r="F5" s="332" t="n"/>
      <c r="G5" s="332" t="n"/>
      <c r="H5" s="332" t="n"/>
      <c r="I5" s="332" t="n"/>
      <c r="J5" s="332" t="n"/>
      <c r="K5" s="332" t="n"/>
      <c r="L5" s="332" t="n"/>
      <c r="M5" s="332" t="n"/>
      <c r="N5" s="332" t="n"/>
      <c r="O5" s="332" t="n"/>
      <c r="P5" s="332" t="n"/>
      <c r="Q5" s="332" t="n"/>
      <c r="R5" s="332" t="n"/>
      <c r="S5" s="332" t="n"/>
      <c r="T5" s="217" t="inlineStr">
        <is>
          <t>中金自营</t>
        </is>
      </c>
      <c r="U5" s="25" t="n">
        <v>1</v>
      </c>
    </row>
    <row r="6" ht="15.5" customHeight="1" s="8">
      <c r="A6" s="332" t="n"/>
      <c r="B6" s="332" t="n"/>
      <c r="C6" s="332" t="n"/>
      <c r="D6" s="339" t="n"/>
      <c r="E6" s="332" t="n"/>
      <c r="F6" s="332" t="n"/>
      <c r="G6" s="332" t="n"/>
      <c r="H6" s="332" t="n"/>
      <c r="I6" s="332" t="n"/>
      <c r="J6" s="332" t="n"/>
      <c r="K6" s="332" t="n"/>
      <c r="L6" s="332" t="n"/>
      <c r="M6" s="332" t="n"/>
      <c r="N6" s="332" t="n"/>
      <c r="O6" s="332" t="n"/>
      <c r="P6" s="332" t="n"/>
      <c r="Q6" s="332" t="n"/>
      <c r="R6" s="332" t="n"/>
      <c r="S6" s="332" t="n"/>
      <c r="T6" s="217" t="inlineStr">
        <is>
          <t>渤银理财</t>
        </is>
      </c>
      <c r="U6" s="25" t="n">
        <v>0.5</v>
      </c>
    </row>
    <row r="7" ht="15.5" customHeight="1" s="8">
      <c r="A7" s="332" t="n"/>
      <c r="B7" s="332" t="n"/>
      <c r="C7" s="332" t="n"/>
      <c r="D7" s="339" t="n"/>
      <c r="E7" s="332" t="n"/>
      <c r="F7" s="332" t="n"/>
      <c r="G7" s="332" t="n"/>
      <c r="H7" s="332" t="n"/>
      <c r="I7" s="332" t="n"/>
      <c r="J7" s="332" t="n"/>
      <c r="K7" s="332" t="n"/>
      <c r="L7" s="332" t="n"/>
      <c r="M7" s="332" t="n"/>
      <c r="N7" s="332" t="n"/>
      <c r="O7" s="332" t="n"/>
      <c r="P7" s="332" t="n"/>
      <c r="Q7" s="332" t="n"/>
      <c r="R7" s="332" t="n"/>
      <c r="S7" s="332" t="n"/>
      <c r="T7" s="217" t="inlineStr">
        <is>
          <t>建信信托</t>
        </is>
      </c>
      <c r="U7" s="25" t="n">
        <v>1.85</v>
      </c>
    </row>
    <row r="8" ht="15.5" customHeight="1" s="8">
      <c r="A8" s="332" t="n"/>
      <c r="B8" s="332" t="n"/>
      <c r="C8" s="332" t="n"/>
      <c r="D8" s="339" t="n"/>
      <c r="E8" s="332" t="n"/>
      <c r="F8" s="332" t="n"/>
      <c r="G8" s="332" t="n"/>
      <c r="H8" s="332" t="n"/>
      <c r="I8" s="332" t="n"/>
      <c r="J8" s="332" t="n"/>
      <c r="K8" s="332" t="n"/>
      <c r="L8" s="332" t="n"/>
      <c r="M8" s="332" t="n"/>
      <c r="N8" s="332" t="n"/>
      <c r="O8" s="332" t="n"/>
      <c r="P8" s="332" t="n"/>
      <c r="Q8" s="332" t="n"/>
      <c r="R8" s="332" t="n"/>
      <c r="S8" s="332" t="n"/>
      <c r="T8" s="217" t="inlineStr">
        <is>
          <t>中信投顾</t>
        </is>
      </c>
      <c r="U8" s="25" t="n">
        <v>1.3</v>
      </c>
    </row>
    <row r="9" ht="15.5" customHeight="1" s="8">
      <c r="A9" s="332" t="n"/>
      <c r="B9" s="332" t="n"/>
      <c r="C9" s="332" t="n"/>
      <c r="D9" s="339" t="n"/>
      <c r="E9" s="332" t="n"/>
      <c r="F9" s="332" t="n"/>
      <c r="G9" s="332" t="n"/>
      <c r="H9" s="332" t="n"/>
      <c r="I9" s="332" t="n"/>
      <c r="J9" s="332" t="n"/>
      <c r="K9" s="332" t="n"/>
      <c r="L9" s="332" t="n"/>
      <c r="M9" s="332" t="n"/>
      <c r="N9" s="332" t="n"/>
      <c r="O9" s="332" t="n"/>
      <c r="P9" s="332" t="n"/>
      <c r="Q9" s="332" t="n"/>
      <c r="R9" s="332" t="n"/>
      <c r="S9" s="332" t="n"/>
      <c r="T9" s="217" t="inlineStr">
        <is>
          <t>广银理财</t>
        </is>
      </c>
      <c r="U9" s="25" t="n">
        <v>1.15</v>
      </c>
    </row>
    <row r="10" ht="15.5" customHeight="1" s="8">
      <c r="A10" s="332" t="n"/>
      <c r="B10" s="332" t="n"/>
      <c r="C10" s="332" t="n"/>
      <c r="D10" s="339" t="n"/>
      <c r="E10" s="332" t="n"/>
      <c r="F10" s="332" t="n"/>
      <c r="G10" s="332" t="n"/>
      <c r="H10" s="332" t="n"/>
      <c r="I10" s="332" t="n"/>
      <c r="J10" s="332" t="n"/>
      <c r="K10" s="332" t="n"/>
      <c r="L10" s="332" t="n"/>
      <c r="M10" s="332" t="n"/>
      <c r="N10" s="332" t="n"/>
      <c r="O10" s="332" t="n"/>
      <c r="P10" s="332" t="n"/>
      <c r="Q10" s="332" t="n"/>
      <c r="R10" s="332" t="n"/>
      <c r="S10" s="332" t="n"/>
      <c r="T10" s="217" t="inlineStr">
        <is>
          <t>申万宏源投顾</t>
        </is>
      </c>
      <c r="U10" s="25" t="n">
        <v>1.1</v>
      </c>
    </row>
    <row r="11" ht="15.5" customHeight="1" s="8">
      <c r="A11" s="332" t="n"/>
      <c r="B11" s="332" t="n"/>
      <c r="C11" s="332" t="n"/>
      <c r="D11" s="339" t="n"/>
      <c r="E11" s="332" t="n"/>
      <c r="F11" s="332" t="n"/>
      <c r="G11" s="332" t="n"/>
      <c r="H11" s="332" t="n"/>
      <c r="I11" s="332" t="n"/>
      <c r="J11" s="332" t="n"/>
      <c r="K11" s="332" t="n"/>
      <c r="L11" s="332" t="n"/>
      <c r="M11" s="332" t="n"/>
      <c r="N11" s="332" t="n"/>
      <c r="O11" s="332" t="n"/>
      <c r="P11" s="332" t="n"/>
      <c r="Q11" s="332" t="n"/>
      <c r="R11" s="332" t="n"/>
      <c r="S11" s="332" t="n"/>
      <c r="T11" s="217" t="inlineStr">
        <is>
          <t>中泰证券自营</t>
        </is>
      </c>
      <c r="U11" s="25" t="n">
        <v>0.3</v>
      </c>
    </row>
    <row r="12" ht="15.5" customHeight="1" s="8">
      <c r="A12" s="332" t="n"/>
      <c r="B12" s="332" t="n"/>
      <c r="C12" s="332" t="n"/>
      <c r="D12" s="339" t="n"/>
      <c r="E12" s="332" t="n"/>
      <c r="F12" s="332" t="n"/>
      <c r="G12" s="332" t="n"/>
      <c r="H12" s="332" t="n"/>
      <c r="I12" s="332" t="n"/>
      <c r="J12" s="332" t="n"/>
      <c r="K12" s="332" t="n"/>
      <c r="L12" s="332" t="n"/>
      <c r="M12" s="332" t="n"/>
      <c r="N12" s="332" t="n"/>
      <c r="O12" s="332" t="n"/>
      <c r="P12" s="332" t="n"/>
      <c r="Q12" s="332" t="n"/>
      <c r="R12" s="332" t="n"/>
      <c r="S12" s="332" t="n"/>
      <c r="T12" s="217" t="inlineStr">
        <is>
          <t>申万宏源资管</t>
        </is>
      </c>
      <c r="U12" s="25" t="n">
        <v>0.1</v>
      </c>
    </row>
    <row r="13" ht="15.5" customHeight="1" s="8">
      <c r="A13" s="332" t="n"/>
      <c r="B13" s="332" t="n"/>
      <c r="C13" s="332" t="n"/>
      <c r="D13" s="339" t="n"/>
      <c r="E13" s="332" t="n"/>
      <c r="F13" s="332" t="n"/>
      <c r="G13" s="332" t="n"/>
      <c r="H13" s="332" t="n"/>
      <c r="I13" s="332" t="n"/>
      <c r="J13" s="332" t="n"/>
      <c r="K13" s="332" t="n"/>
      <c r="L13" s="332" t="n"/>
      <c r="M13" s="332" t="n"/>
      <c r="N13" s="332" t="n"/>
      <c r="O13" s="333" t="n"/>
      <c r="P13" s="332" t="n"/>
      <c r="Q13" s="333" t="n"/>
      <c r="R13" s="333" t="n"/>
      <c r="S13" s="333" t="n"/>
      <c r="T13" s="217" t="inlineStr">
        <is>
          <t>宁夏银行</t>
        </is>
      </c>
      <c r="U13" s="25" t="n">
        <v>0.85</v>
      </c>
    </row>
    <row r="14" ht="15.5" customHeight="1" s="8">
      <c r="A14" s="332" t="n"/>
      <c r="B14" s="332" t="n"/>
      <c r="C14" s="332" t="n"/>
      <c r="D14" s="339" t="n"/>
      <c r="E14" s="332" t="n"/>
      <c r="F14" s="332" t="n"/>
      <c r="G14" s="332" t="n"/>
      <c r="H14" s="332" t="n"/>
      <c r="I14" s="332" t="n"/>
      <c r="J14" s="332" t="n"/>
      <c r="K14" s="332" t="n"/>
      <c r="L14" s="332" t="n"/>
      <c r="M14" s="332" t="n"/>
      <c r="N14" s="332" t="n"/>
      <c r="O14" s="220" t="inlineStr">
        <is>
          <t>中间级</t>
        </is>
      </c>
      <c r="P14" s="221" t="n">
        <v>0.05</v>
      </c>
      <c r="Q14" s="308" t="n">
        <v>0.5</v>
      </c>
      <c r="R14" s="221" t="inlineStr">
        <is>
          <t>A+</t>
        </is>
      </c>
      <c r="S14" s="221" t="n">
        <v>0.032</v>
      </c>
      <c r="T14" s="217" t="inlineStr">
        <is>
          <t>申万宏源自营</t>
        </is>
      </c>
      <c r="U14" s="25" t="n">
        <v>0.1</v>
      </c>
    </row>
    <row r="15" ht="15.5" customHeight="1" s="8">
      <c r="A15" s="332" t="n"/>
      <c r="B15" s="332" t="n"/>
      <c r="C15" s="332" t="n"/>
      <c r="D15" s="339" t="n"/>
      <c r="E15" s="332" t="n"/>
      <c r="F15" s="332" t="n"/>
      <c r="G15" s="332" t="n"/>
      <c r="H15" s="332" t="n"/>
      <c r="I15" s="332" t="n"/>
      <c r="J15" s="332" t="n"/>
      <c r="K15" s="332" t="n"/>
      <c r="L15" s="332" t="n"/>
      <c r="M15" s="332" t="n"/>
      <c r="N15" s="332" t="n"/>
      <c r="O15" s="332" t="n"/>
      <c r="P15" s="332" t="n"/>
      <c r="Q15" s="332" t="n"/>
      <c r="R15" s="332" t="n"/>
      <c r="S15" s="332" t="n"/>
      <c r="T15" s="217" t="inlineStr">
        <is>
          <t>华宝证券资管</t>
        </is>
      </c>
      <c r="U15" s="25" t="n">
        <v>0.1</v>
      </c>
    </row>
    <row r="16" ht="15.5" customHeight="1" s="8">
      <c r="A16" s="332" t="n"/>
      <c r="B16" s="332" t="n"/>
      <c r="C16" s="332" t="n"/>
      <c r="D16" s="339" t="n"/>
      <c r="E16" s="332" t="n"/>
      <c r="F16" s="332" t="n"/>
      <c r="G16" s="332" t="n"/>
      <c r="H16" s="332" t="n"/>
      <c r="I16" s="332" t="n"/>
      <c r="J16" s="332" t="n"/>
      <c r="K16" s="332" t="n"/>
      <c r="L16" s="332" t="n"/>
      <c r="M16" s="332" t="n"/>
      <c r="N16" s="332" t="n"/>
      <c r="O16" s="332" t="n"/>
      <c r="P16" s="332" t="n"/>
      <c r="Q16" s="332" t="n"/>
      <c r="R16" s="332" t="n"/>
      <c r="S16" s="332" t="n"/>
      <c r="T16" s="217" t="inlineStr">
        <is>
          <t>建信信托</t>
        </is>
      </c>
      <c r="U16" s="313" t="n">
        <v>0.175</v>
      </c>
    </row>
    <row r="17" ht="15.5" customHeight="1" s="8">
      <c r="A17" s="332" t="n"/>
      <c r="B17" s="332" t="n"/>
      <c r="C17" s="332" t="n"/>
      <c r="D17" s="339" t="n"/>
      <c r="E17" s="332" t="n"/>
      <c r="F17" s="332" t="n"/>
      <c r="G17" s="332" t="n"/>
      <c r="H17" s="332" t="n"/>
      <c r="I17" s="332" t="n"/>
      <c r="J17" s="332" t="n"/>
      <c r="K17" s="332" t="n"/>
      <c r="L17" s="332" t="n"/>
      <c r="M17" s="332" t="n"/>
      <c r="N17" s="332" t="n"/>
      <c r="O17" s="332" t="n"/>
      <c r="P17" s="332" t="n"/>
      <c r="Q17" s="332" t="n"/>
      <c r="R17" s="332" t="n"/>
      <c r="S17" s="332" t="n"/>
      <c r="T17" s="217" t="inlineStr">
        <is>
          <t>德邦证券自营</t>
        </is>
      </c>
      <c r="U17" s="25" t="n">
        <v>0.1</v>
      </c>
    </row>
    <row r="18" ht="15.5" customHeight="1" s="8">
      <c r="A18" s="332" t="n"/>
      <c r="B18" s="332" t="n"/>
      <c r="C18" s="332" t="n"/>
      <c r="D18" s="339" t="n"/>
      <c r="E18" s="332" t="n"/>
      <c r="F18" s="332" t="n"/>
      <c r="G18" s="332" t="n"/>
      <c r="H18" s="332" t="n"/>
      <c r="I18" s="332" t="n"/>
      <c r="J18" s="332" t="n"/>
      <c r="K18" s="332" t="n"/>
      <c r="L18" s="332" t="n"/>
      <c r="M18" s="332" t="n"/>
      <c r="N18" s="332" t="n"/>
      <c r="O18" s="333" t="n"/>
      <c r="P18" s="333" t="n"/>
      <c r="Q18" s="333" t="n"/>
      <c r="R18" s="333" t="n"/>
      <c r="S18" s="333" t="n"/>
      <c r="T18" s="217" t="inlineStr">
        <is>
          <t>盛际小贷</t>
        </is>
      </c>
      <c r="U18" s="319" t="n">
        <v>0.025</v>
      </c>
    </row>
    <row r="19" ht="15.5" customHeight="1" s="8">
      <c r="A19" s="332" t="n"/>
      <c r="B19" s="332" t="n"/>
      <c r="C19" s="332" t="n"/>
      <c r="D19" s="339" t="n"/>
      <c r="E19" s="332" t="n"/>
      <c r="F19" s="332" t="n"/>
      <c r="G19" s="332" t="n"/>
      <c r="H19" s="332" t="n"/>
      <c r="I19" s="332" t="n"/>
      <c r="J19" s="332" t="n"/>
      <c r="K19" s="332" t="n"/>
      <c r="L19" s="332" t="n"/>
      <c r="M19" s="332" t="n"/>
      <c r="N19" s="332" t="n"/>
      <c r="O19" s="220" t="inlineStr">
        <is>
          <t>次级</t>
        </is>
      </c>
      <c r="P19" s="221" t="n">
        <v>0.05</v>
      </c>
      <c r="Q19" s="308" t="n">
        <v>0.5</v>
      </c>
      <c r="R19" s="221" t="inlineStr">
        <is>
          <t>无</t>
        </is>
      </c>
      <c r="S19" s="221" t="n">
        <v>0.0455</v>
      </c>
      <c r="T19" s="217" t="inlineStr">
        <is>
          <t>华宝证券资管</t>
        </is>
      </c>
      <c r="U19" s="25" t="n">
        <v>0.2</v>
      </c>
    </row>
    <row r="20" ht="15.5" customHeight="1" s="8">
      <c r="A20" s="332" t="n"/>
      <c r="B20" s="332" t="n"/>
      <c r="C20" s="332" t="n"/>
      <c r="D20" s="339" t="n"/>
      <c r="E20" s="332" t="n"/>
      <c r="F20" s="332" t="n"/>
      <c r="G20" s="332" t="n"/>
      <c r="H20" s="332" t="n"/>
      <c r="I20" s="332" t="n"/>
      <c r="J20" s="332" t="n"/>
      <c r="K20" s="332" t="n"/>
      <c r="L20" s="332" t="n"/>
      <c r="M20" s="332" t="n"/>
      <c r="N20" s="332" t="n"/>
      <c r="O20" s="332" t="n"/>
      <c r="P20" s="332" t="n"/>
      <c r="Q20" s="332" t="n"/>
      <c r="R20" s="332" t="n"/>
      <c r="S20" s="332" t="n"/>
      <c r="T20" s="217" t="inlineStr">
        <is>
          <t>粤财信托</t>
        </is>
      </c>
      <c r="U20" s="25" t="n">
        <v>0.1</v>
      </c>
    </row>
    <row r="21" ht="15.5" customHeight="1" s="8">
      <c r="A21" s="332" t="n"/>
      <c r="B21" s="332" t="n"/>
      <c r="C21" s="332" t="n"/>
      <c r="D21" s="339" t="n"/>
      <c r="E21" s="332" t="n"/>
      <c r="F21" s="332" t="n"/>
      <c r="G21" s="332" t="n"/>
      <c r="H21" s="332" t="n"/>
      <c r="I21" s="332" t="n"/>
      <c r="J21" s="332" t="n"/>
      <c r="K21" s="332" t="n"/>
      <c r="L21" s="332" t="n"/>
      <c r="M21" s="332" t="n"/>
      <c r="N21" s="332" t="n"/>
      <c r="O21" s="332" t="n"/>
      <c r="P21" s="332" t="n"/>
      <c r="Q21" s="332" t="n"/>
      <c r="R21" s="332" t="n"/>
      <c r="S21" s="332" t="n"/>
      <c r="T21" s="217" t="inlineStr">
        <is>
          <t>德邦证券自营</t>
        </is>
      </c>
      <c r="U21" s="313" t="n">
        <v>0.075</v>
      </c>
    </row>
    <row r="22" ht="15.5" customHeight="1" s="8">
      <c r="A22" s="332" t="n"/>
      <c r="B22" s="332" t="n"/>
      <c r="C22" s="332" t="n"/>
      <c r="D22" s="339" t="n"/>
      <c r="E22" s="332" t="n"/>
      <c r="F22" s="332" t="n"/>
      <c r="G22" s="332" t="n"/>
      <c r="H22" s="332" t="n"/>
      <c r="I22" s="332" t="n"/>
      <c r="J22" s="332" t="n"/>
      <c r="K22" s="332" t="n"/>
      <c r="L22" s="332" t="n"/>
      <c r="M22" s="332" t="n"/>
      <c r="N22" s="332" t="n"/>
      <c r="O22" s="332" t="n"/>
      <c r="P22" s="332" t="n"/>
      <c r="Q22" s="332" t="n"/>
      <c r="R22" s="332" t="n"/>
      <c r="S22" s="332" t="n"/>
      <c r="T22" s="217" t="inlineStr">
        <is>
          <t>东家铂睿</t>
        </is>
      </c>
      <c r="U22" s="25" t="n">
        <v>0.1</v>
      </c>
    </row>
    <row r="23" ht="15.5" customHeight="1" s="8">
      <c r="A23" s="333" t="n"/>
      <c r="B23" s="333" t="n"/>
      <c r="C23" s="333" t="n"/>
      <c r="D23" s="340" t="n"/>
      <c r="E23" s="333" t="n"/>
      <c r="F23" s="333" t="n"/>
      <c r="G23" s="333" t="n"/>
      <c r="H23" s="333" t="n"/>
      <c r="I23" s="333" t="n"/>
      <c r="J23" s="333" t="n"/>
      <c r="K23" s="333" t="n"/>
      <c r="L23" s="333" t="n"/>
      <c r="M23" s="333" t="n"/>
      <c r="N23" s="333" t="n"/>
      <c r="O23" s="333" t="n"/>
      <c r="P23" s="333" t="n"/>
      <c r="Q23" s="333" t="n"/>
      <c r="R23" s="333" t="n"/>
      <c r="S23" s="333" t="n"/>
      <c r="T23" s="217" t="inlineStr">
        <is>
          <t>盛际小贷</t>
        </is>
      </c>
      <c r="U23" s="319" t="n">
        <v>0.025</v>
      </c>
    </row>
    <row r="24" ht="15.5" customHeight="1" s="8">
      <c r="A24" s="220" t="inlineStr">
        <is>
          <t>4月</t>
        </is>
      </c>
      <c r="B24" s="227" t="inlineStr">
        <is>
          <t>企金</t>
        </is>
      </c>
      <c r="C24" s="220" t="inlineStr">
        <is>
          <t>京企贷</t>
        </is>
      </c>
      <c r="D24" s="233" t="inlineStr">
        <is>
          <t>盛澜1-3</t>
        </is>
      </c>
      <c r="E24" s="220" t="inlineStr">
        <is>
          <t>深交所</t>
        </is>
      </c>
      <c r="F24" s="220" t="inlineStr">
        <is>
          <t>华泰资管</t>
        </is>
      </c>
      <c r="G24" s="220" t="inlineStr">
        <is>
          <t>光大证券</t>
        </is>
      </c>
      <c r="H24" s="220" t="inlineStr">
        <is>
          <t>江苏北分</t>
        </is>
      </c>
      <c r="I24" s="220" t="n">
        <v>8</v>
      </c>
      <c r="J24" s="220" t="inlineStr">
        <is>
          <t>9+15</t>
        </is>
      </c>
      <c r="K24" s="224" t="n">
        <v>46139</v>
      </c>
      <c r="L24" s="225" t="n">
        <v>0.01445</v>
      </c>
      <c r="M24" s="318" t="n">
        <v>0.0199</v>
      </c>
      <c r="N24" s="226" t="n">
        <v>2.25</v>
      </c>
      <c r="O24" s="220" t="inlineStr">
        <is>
          <t>优先级</t>
        </is>
      </c>
      <c r="P24" s="231" t="n">
        <v>0.9</v>
      </c>
      <c r="Q24" s="308" t="n">
        <v>7.2</v>
      </c>
      <c r="R24" s="220" t="inlineStr">
        <is>
          <t>AAA</t>
        </is>
      </c>
      <c r="S24" s="221" t="n">
        <v>0.0175</v>
      </c>
      <c r="T24" s="235" t="inlineStr">
        <is>
          <t>盛际小贷</t>
        </is>
      </c>
      <c r="U24" s="308" t="n">
        <v>0.36</v>
      </c>
    </row>
    <row r="25" ht="15.5" customHeight="1" s="8">
      <c r="A25" s="332" t="n"/>
      <c r="B25" s="332" t="n"/>
      <c r="C25" s="332" t="n"/>
      <c r="D25" s="339" t="n"/>
      <c r="E25" s="332" t="n"/>
      <c r="F25" s="332" t="n"/>
      <c r="G25" s="332" t="n"/>
      <c r="H25" s="332" t="n"/>
      <c r="I25" s="332" t="n"/>
      <c r="J25" s="332" t="n"/>
      <c r="K25" s="332" t="n"/>
      <c r="L25" s="332" t="n"/>
      <c r="M25" s="332" t="n"/>
      <c r="N25" s="332" t="n"/>
      <c r="O25" s="332" t="n"/>
      <c r="P25" s="332" t="n"/>
      <c r="Q25" s="332" t="n"/>
      <c r="R25" s="332" t="n"/>
      <c r="S25" s="332" t="n"/>
      <c r="T25" s="235" t="inlineStr">
        <is>
          <t>招银理财</t>
        </is>
      </c>
      <c r="U25" s="308" t="n">
        <v>1.8</v>
      </c>
    </row>
    <row r="26" ht="15.5" customHeight="1" s="8">
      <c r="A26" s="332" t="n"/>
      <c r="B26" s="332" t="n"/>
      <c r="C26" s="332" t="n"/>
      <c r="D26" s="339" t="n"/>
      <c r="E26" s="332" t="n"/>
      <c r="F26" s="332" t="n"/>
      <c r="G26" s="332" t="n"/>
      <c r="H26" s="332" t="n"/>
      <c r="I26" s="332" t="n"/>
      <c r="J26" s="332" t="n"/>
      <c r="K26" s="332" t="n"/>
      <c r="L26" s="332" t="n"/>
      <c r="M26" s="332" t="n"/>
      <c r="N26" s="332" t="n"/>
      <c r="O26" s="332" t="n"/>
      <c r="P26" s="332" t="n"/>
      <c r="Q26" s="332" t="n"/>
      <c r="R26" s="332" t="n"/>
      <c r="S26" s="332" t="n"/>
      <c r="T26" s="235" t="inlineStr">
        <is>
          <t>中邮理财</t>
        </is>
      </c>
      <c r="U26" s="308" t="n">
        <v>2.16</v>
      </c>
    </row>
    <row r="27" ht="15.5" customHeight="1" s="8">
      <c r="A27" s="332" t="n"/>
      <c r="B27" s="332" t="n"/>
      <c r="C27" s="332" t="n"/>
      <c r="D27" s="339" t="n"/>
      <c r="E27" s="332" t="n"/>
      <c r="F27" s="332" t="n"/>
      <c r="G27" s="332" t="n"/>
      <c r="H27" s="332" t="n"/>
      <c r="I27" s="332" t="n"/>
      <c r="J27" s="332" t="n"/>
      <c r="K27" s="332" t="n"/>
      <c r="L27" s="332" t="n"/>
      <c r="M27" s="332" t="n"/>
      <c r="N27" s="332" t="n"/>
      <c r="O27" s="332" t="n"/>
      <c r="P27" s="332" t="n"/>
      <c r="Q27" s="332" t="n"/>
      <c r="R27" s="332" t="n"/>
      <c r="S27" s="332" t="n"/>
      <c r="T27" s="235" t="inlineStr">
        <is>
          <t>建信信托</t>
        </is>
      </c>
      <c r="U27" s="308" t="n">
        <v>0.5</v>
      </c>
    </row>
    <row r="28" ht="15.5" customHeight="1" s="8">
      <c r="A28" s="332" t="n"/>
      <c r="B28" s="332" t="n"/>
      <c r="C28" s="332" t="n"/>
      <c r="D28" s="339" t="n"/>
      <c r="E28" s="332" t="n"/>
      <c r="F28" s="332" t="n"/>
      <c r="G28" s="332" t="n"/>
      <c r="H28" s="332" t="n"/>
      <c r="I28" s="332" t="n"/>
      <c r="J28" s="332" t="n"/>
      <c r="K28" s="332" t="n"/>
      <c r="L28" s="332" t="n"/>
      <c r="M28" s="332" t="n"/>
      <c r="N28" s="332" t="n"/>
      <c r="O28" s="332" t="n"/>
      <c r="P28" s="332" t="n"/>
      <c r="Q28" s="332" t="n"/>
      <c r="R28" s="332" t="n"/>
      <c r="S28" s="332" t="n"/>
      <c r="T28" s="235" t="inlineStr">
        <is>
          <t>广银理财</t>
        </is>
      </c>
      <c r="U28" s="308" t="n">
        <v>0.58</v>
      </c>
    </row>
    <row r="29" ht="15.5" customHeight="1" s="8">
      <c r="A29" s="332" t="n"/>
      <c r="B29" s="332" t="n"/>
      <c r="C29" s="332" t="n"/>
      <c r="D29" s="339" t="n"/>
      <c r="E29" s="332" t="n"/>
      <c r="F29" s="332" t="n"/>
      <c r="G29" s="332" t="n"/>
      <c r="H29" s="332" t="n"/>
      <c r="I29" s="332" t="n"/>
      <c r="J29" s="332" t="n"/>
      <c r="K29" s="332" t="n"/>
      <c r="L29" s="332" t="n"/>
      <c r="M29" s="332" t="n"/>
      <c r="N29" s="332" t="n"/>
      <c r="O29" s="332" t="n"/>
      <c r="P29" s="332" t="n"/>
      <c r="Q29" s="332" t="n"/>
      <c r="R29" s="332" t="n"/>
      <c r="S29" s="332" t="n"/>
      <c r="T29" s="235" t="inlineStr">
        <is>
          <t>华泰证券自营</t>
        </is>
      </c>
      <c r="U29" s="308" t="n">
        <v>0.3</v>
      </c>
    </row>
    <row r="30" ht="15.5" customHeight="1" s="8">
      <c r="A30" s="332" t="n"/>
      <c r="B30" s="332" t="n"/>
      <c r="C30" s="332" t="n"/>
      <c r="D30" s="339" t="n"/>
      <c r="E30" s="332" t="n"/>
      <c r="F30" s="332" t="n"/>
      <c r="G30" s="332" t="n"/>
      <c r="H30" s="332" t="n"/>
      <c r="I30" s="332" t="n"/>
      <c r="J30" s="332" t="n"/>
      <c r="K30" s="332" t="n"/>
      <c r="L30" s="332" t="n"/>
      <c r="M30" s="332" t="n"/>
      <c r="N30" s="332" t="n"/>
      <c r="O30" s="332" t="n"/>
      <c r="P30" s="332" t="n"/>
      <c r="Q30" s="332" t="n"/>
      <c r="R30" s="332" t="n"/>
      <c r="S30" s="332" t="n"/>
      <c r="T30" s="235" t="inlineStr">
        <is>
          <t>华泰资管</t>
        </is>
      </c>
      <c r="U30" s="308" t="n">
        <v>0.4</v>
      </c>
    </row>
    <row r="31" ht="15.5" customHeight="1" s="8">
      <c r="A31" s="332" t="n"/>
      <c r="B31" s="332" t="n"/>
      <c r="C31" s="332" t="n"/>
      <c r="D31" s="339" t="n"/>
      <c r="E31" s="332" t="n"/>
      <c r="F31" s="332" t="n"/>
      <c r="G31" s="332" t="n"/>
      <c r="H31" s="332" t="n"/>
      <c r="I31" s="332" t="n"/>
      <c r="J31" s="332" t="n"/>
      <c r="K31" s="332" t="n"/>
      <c r="L31" s="332" t="n"/>
      <c r="M31" s="332" t="n"/>
      <c r="N31" s="332" t="n"/>
      <c r="O31" s="333" t="n"/>
      <c r="P31" s="332" t="n"/>
      <c r="Q31" s="333" t="n"/>
      <c r="R31" s="333" t="n"/>
      <c r="S31" s="333" t="n"/>
      <c r="T31" s="235" t="inlineStr">
        <is>
          <t>光大证券投行</t>
        </is>
      </c>
      <c r="U31" s="308" t="n">
        <v>1.1</v>
      </c>
    </row>
    <row r="32" ht="15.5" customHeight="1" s="8">
      <c r="A32" s="332" t="n"/>
      <c r="B32" s="332" t="n"/>
      <c r="C32" s="332" t="n"/>
      <c r="D32" s="339" t="n"/>
      <c r="E32" s="332" t="n"/>
      <c r="F32" s="332" t="n"/>
      <c r="G32" s="332" t="n"/>
      <c r="H32" s="332" t="n"/>
      <c r="I32" s="332" t="n"/>
      <c r="J32" s="332" t="n"/>
      <c r="K32" s="332" t="n"/>
      <c r="L32" s="332" t="n"/>
      <c r="M32" s="332" t="n"/>
      <c r="N32" s="332" t="n"/>
      <c r="O32" s="220" t="inlineStr">
        <is>
          <t>中间级</t>
        </is>
      </c>
      <c r="P32" s="221" t="n">
        <v>0.05</v>
      </c>
      <c r="Q32" s="308" t="n">
        <v>0.4</v>
      </c>
      <c r="R32" s="221" t="inlineStr">
        <is>
          <t>A+</t>
        </is>
      </c>
      <c r="S32" s="221" t="n">
        <v>0.031</v>
      </c>
      <c r="T32" s="235" t="inlineStr">
        <is>
          <t>盛际小贷</t>
        </is>
      </c>
      <c r="U32" s="308" t="n">
        <v>0.02</v>
      </c>
    </row>
    <row r="33" ht="15.5" customHeight="1" s="8">
      <c r="A33" s="332" t="n"/>
      <c r="B33" s="332" t="n"/>
      <c r="C33" s="332" t="n"/>
      <c r="D33" s="339" t="n"/>
      <c r="E33" s="332" t="n"/>
      <c r="F33" s="332" t="n"/>
      <c r="G33" s="332" t="n"/>
      <c r="H33" s="332" t="n"/>
      <c r="I33" s="332" t="n"/>
      <c r="J33" s="332" t="n"/>
      <c r="K33" s="332" t="n"/>
      <c r="L33" s="332" t="n"/>
      <c r="M33" s="332" t="n"/>
      <c r="N33" s="332" t="n"/>
      <c r="O33" s="332" t="n"/>
      <c r="P33" s="332" t="n"/>
      <c r="Q33" s="332" t="n"/>
      <c r="R33" s="332" t="n"/>
      <c r="S33" s="332" t="n"/>
      <c r="T33" s="235" t="inlineStr">
        <is>
          <t>建信信托</t>
        </is>
      </c>
      <c r="U33" s="308" t="n">
        <v>0.1</v>
      </c>
    </row>
    <row r="34" ht="15.5" customHeight="1" s="8">
      <c r="A34" s="332" t="n"/>
      <c r="B34" s="332" t="n"/>
      <c r="C34" s="332" t="n"/>
      <c r="D34" s="339" t="n"/>
      <c r="E34" s="332" t="n"/>
      <c r="F34" s="332" t="n"/>
      <c r="G34" s="332" t="n"/>
      <c r="H34" s="332" t="n"/>
      <c r="I34" s="332" t="n"/>
      <c r="J34" s="332" t="n"/>
      <c r="K34" s="332" t="n"/>
      <c r="L34" s="332" t="n"/>
      <c r="M34" s="332" t="n"/>
      <c r="N34" s="332" t="n"/>
      <c r="O34" s="332" t="n"/>
      <c r="P34" s="332" t="n"/>
      <c r="Q34" s="332" t="n"/>
      <c r="R34" s="332" t="n"/>
      <c r="S34" s="332" t="n"/>
      <c r="T34" s="235" t="inlineStr">
        <is>
          <t>国泰海通自营</t>
        </is>
      </c>
      <c r="U34" s="310" t="n">
        <v>0.18</v>
      </c>
    </row>
    <row r="35" ht="15.5" customHeight="1" s="8">
      <c r="A35" s="332" t="n"/>
      <c r="B35" s="332" t="n"/>
      <c r="C35" s="332" t="n"/>
      <c r="D35" s="339" t="n"/>
      <c r="E35" s="332" t="n"/>
      <c r="F35" s="332" t="n"/>
      <c r="G35" s="332" t="n"/>
      <c r="H35" s="332" t="n"/>
      <c r="I35" s="332" t="n"/>
      <c r="J35" s="332" t="n"/>
      <c r="K35" s="332" t="n"/>
      <c r="L35" s="332" t="n"/>
      <c r="M35" s="332" t="n"/>
      <c r="N35" s="332" t="n"/>
      <c r="O35" s="333" t="n"/>
      <c r="P35" s="333" t="n"/>
      <c r="Q35" s="333" t="n"/>
      <c r="R35" s="333" t="n"/>
      <c r="S35" s="333" t="n"/>
      <c r="T35" s="235" t="inlineStr">
        <is>
          <t>国联证券投行</t>
        </is>
      </c>
      <c r="U35" s="308" t="n">
        <v>0.1</v>
      </c>
    </row>
    <row r="36" ht="15.5" customHeight="1" s="8">
      <c r="A36" s="332" t="n"/>
      <c r="B36" s="332" t="n"/>
      <c r="C36" s="332" t="n"/>
      <c r="D36" s="339" t="n"/>
      <c r="E36" s="332" t="n"/>
      <c r="F36" s="332" t="n"/>
      <c r="G36" s="332" t="n"/>
      <c r="H36" s="332" t="n"/>
      <c r="I36" s="332" t="n"/>
      <c r="J36" s="332" t="n"/>
      <c r="K36" s="332" t="n"/>
      <c r="L36" s="332" t="n"/>
      <c r="M36" s="332" t="n"/>
      <c r="N36" s="332" t="n"/>
      <c r="O36" s="220" t="inlineStr">
        <is>
          <t>次级</t>
        </is>
      </c>
      <c r="P36" s="221" t="n">
        <v>0.05</v>
      </c>
      <c r="Q36" s="308" t="n">
        <v>0.4</v>
      </c>
      <c r="R36" s="221" t="inlineStr">
        <is>
          <t>无</t>
        </is>
      </c>
      <c r="S36" s="221" t="n">
        <v>0.0455</v>
      </c>
      <c r="T36" s="235" t="inlineStr">
        <is>
          <t>盛际小贷</t>
        </is>
      </c>
      <c r="U36" s="308" t="n">
        <v>0.02</v>
      </c>
    </row>
    <row r="37" ht="15.5" customHeight="1" s="8">
      <c r="A37" s="332" t="n"/>
      <c r="B37" s="332" t="n"/>
      <c r="C37" s="332" t="n"/>
      <c r="D37" s="339" t="n"/>
      <c r="E37" s="332" t="n"/>
      <c r="F37" s="332" t="n"/>
      <c r="G37" s="332" t="n"/>
      <c r="H37" s="332" t="n"/>
      <c r="I37" s="332" t="n"/>
      <c r="J37" s="332" t="n"/>
      <c r="K37" s="332" t="n"/>
      <c r="L37" s="332" t="n"/>
      <c r="M37" s="332" t="n"/>
      <c r="N37" s="332" t="n"/>
      <c r="O37" s="332" t="n"/>
      <c r="P37" s="332" t="n"/>
      <c r="Q37" s="332" t="n"/>
      <c r="R37" s="332" t="n"/>
      <c r="S37" s="332" t="n"/>
      <c r="T37" s="235" t="inlineStr">
        <is>
          <t>东家铂睿</t>
        </is>
      </c>
      <c r="U37" s="308" t="n">
        <v>0.09</v>
      </c>
    </row>
    <row r="38" ht="15.5" customHeight="1" s="8">
      <c r="A38" s="332" t="n"/>
      <c r="B38" s="332" t="n"/>
      <c r="C38" s="332" t="n"/>
      <c r="D38" s="339" t="n"/>
      <c r="E38" s="332" t="n"/>
      <c r="F38" s="332" t="n"/>
      <c r="G38" s="332" t="n"/>
      <c r="H38" s="332" t="n"/>
      <c r="I38" s="332" t="n"/>
      <c r="J38" s="332" t="n"/>
      <c r="K38" s="332" t="n"/>
      <c r="L38" s="332" t="n"/>
      <c r="M38" s="332" t="n"/>
      <c r="N38" s="332" t="n"/>
      <c r="O38" s="332" t="n"/>
      <c r="P38" s="332" t="n"/>
      <c r="Q38" s="332" t="n"/>
      <c r="R38" s="332" t="n"/>
      <c r="S38" s="332" t="n"/>
      <c r="T38" s="235" t="inlineStr">
        <is>
          <t>青岸投资</t>
        </is>
      </c>
      <c r="U38" s="308" t="n">
        <v>0.18</v>
      </c>
    </row>
    <row r="39" ht="15.5" customHeight="1" s="8">
      <c r="A39" s="333" t="n"/>
      <c r="B39" s="332" t="n"/>
      <c r="C39" s="333" t="n"/>
      <c r="D39" s="340" t="n"/>
      <c r="E39" s="333" t="n"/>
      <c r="F39" s="333" t="n"/>
      <c r="G39" s="333" t="n"/>
      <c r="H39" s="333" t="n"/>
      <c r="I39" s="333" t="n"/>
      <c r="J39" s="333" t="n"/>
      <c r="K39" s="333" t="n"/>
      <c r="L39" s="333" t="n"/>
      <c r="M39" s="333" t="n"/>
      <c r="N39" s="333" t="n"/>
      <c r="O39" s="333" t="n"/>
      <c r="P39" s="333" t="n"/>
      <c r="Q39" s="333" t="n"/>
      <c r="R39" s="333" t="n"/>
      <c r="S39" s="333" t="n"/>
      <c r="T39" s="252" t="inlineStr">
        <is>
          <t>利曦基金</t>
        </is>
      </c>
      <c r="U39" s="308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F24:F39"/>
    <mergeCell ref="J2:J23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G2:G23"/>
    <mergeCell ref="S14:S18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4140625" customWidth="1" style="8" min="2" max="3"/>
  </cols>
  <sheetData>
    <row r="1">
      <c r="A1" s="17" t="n"/>
      <c r="B1" s="17" t="inlineStr">
        <is>
          <t>盛澜1-2</t>
        </is>
      </c>
      <c r="C1" s="17" t="inlineStr">
        <is>
          <t>盛澜1-3</t>
        </is>
      </c>
    </row>
    <row r="2">
      <c r="A2" s="20" t="inlineStr">
        <is>
          <t>日期</t>
        </is>
      </c>
      <c r="B2" s="21" t="n">
        <v>46062</v>
      </c>
      <c r="C2" s="21" t="n">
        <v>46139</v>
      </c>
    </row>
    <row r="3">
      <c r="A3" s="20" t="inlineStr">
        <is>
          <t>优先级</t>
        </is>
      </c>
      <c r="B3" s="22" t="n">
        <v>0.021</v>
      </c>
      <c r="C3" s="22" t="n">
        <v>0.0175</v>
      </c>
    </row>
    <row r="4">
      <c r="A4" s="20" t="inlineStr">
        <is>
          <t>国股CD</t>
        </is>
      </c>
      <c r="B4" s="22" t="n">
        <v>0.0159</v>
      </c>
      <c r="C4" s="22" t="n">
        <v>0.01445</v>
      </c>
    </row>
    <row r="5">
      <c r="A5" s="20" t="inlineStr">
        <is>
          <t>ALL-IN成本</t>
        </is>
      </c>
      <c r="B5" s="334" t="n">
        <v>0.02319</v>
      </c>
      <c r="C5" s="334" t="n">
        <v>0.0199</v>
      </c>
    </row>
    <row r="6">
      <c r="A6" s="20" t="inlineStr">
        <is>
          <t>认购倍数</t>
        </is>
      </c>
      <c r="B6" s="23" t="n">
        <v>2.1</v>
      </c>
      <c r="C6" s="23" t="n">
        <v>2.25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8" min="11" max="11"/>
    <col width="13.1640625" customWidth="1" style="8" min="12" max="12"/>
    <col width="13.33203125" customWidth="1" style="8" min="13" max="13"/>
    <col width="13" customWidth="1" style="8" min="20" max="20"/>
    <col width="11.33203125" customWidth="1" style="8" min="21" max="21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1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1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0" t="inlineStr">
        <is>
          <t>3月</t>
        </is>
      </c>
      <c r="B2" s="220" t="inlineStr">
        <is>
          <t>企金</t>
        </is>
      </c>
      <c r="C2" s="220" t="inlineStr">
        <is>
          <t>动产质押</t>
        </is>
      </c>
      <c r="D2" s="220" t="inlineStr">
        <is>
          <t>尚亦1-9</t>
        </is>
      </c>
      <c r="E2" s="220" t="inlineStr">
        <is>
          <t>上交所</t>
        </is>
      </c>
      <c r="F2" s="220" t="inlineStr">
        <is>
          <t>兴业证券</t>
        </is>
      </c>
      <c r="G2" s="220" t="inlineStr">
        <is>
          <t>国联证券</t>
        </is>
      </c>
      <c r="H2" s="220" t="inlineStr">
        <is>
          <t>工行天津</t>
        </is>
      </c>
      <c r="I2" s="220" t="n">
        <v>3</v>
      </c>
      <c r="J2" s="220" t="inlineStr">
        <is>
          <t>7+12</t>
        </is>
      </c>
      <c r="K2" s="224" t="n">
        <v>45740</v>
      </c>
      <c r="L2" s="225" t="n">
        <v>0.0152</v>
      </c>
      <c r="M2" s="225" t="n">
        <v>0.0211</v>
      </c>
      <c r="N2" s="226" t="n">
        <v>2.58</v>
      </c>
      <c r="O2" s="220" t="inlineStr">
        <is>
          <t>优先A</t>
        </is>
      </c>
      <c r="P2" s="231" t="n">
        <v>0.86</v>
      </c>
      <c r="Q2" s="308" t="n">
        <v>2.58</v>
      </c>
      <c r="R2" s="220" t="inlineStr">
        <is>
          <t>AAA</t>
        </is>
      </c>
      <c r="S2" s="221" t="n">
        <v>0.018</v>
      </c>
      <c r="T2" s="217" t="inlineStr">
        <is>
          <t>太平基金</t>
        </is>
      </c>
      <c r="U2" s="25" t="n">
        <v>0.2</v>
      </c>
    </row>
    <row r="3" ht="15.5" customHeight="1" s="8">
      <c r="A3" s="332" t="n"/>
      <c r="B3" s="332" t="n"/>
      <c r="C3" s="332" t="n"/>
      <c r="D3" s="332" t="n"/>
      <c r="E3" s="332" t="n"/>
      <c r="F3" s="332" t="n"/>
      <c r="G3" s="332" t="n"/>
      <c r="H3" s="332" t="n"/>
      <c r="I3" s="332" t="n"/>
      <c r="J3" s="332" t="n"/>
      <c r="K3" s="332" t="n"/>
      <c r="L3" s="332" t="n"/>
      <c r="M3" s="332" t="n"/>
      <c r="N3" s="332" t="n"/>
      <c r="O3" s="332" t="n"/>
      <c r="P3" s="332" t="n"/>
      <c r="Q3" s="332" t="n"/>
      <c r="R3" s="332" t="n"/>
      <c r="S3" s="332" t="n"/>
      <c r="T3" s="217" t="inlineStr">
        <is>
          <t>招银理财</t>
        </is>
      </c>
      <c r="U3" s="25" t="n">
        <v>0.77</v>
      </c>
    </row>
    <row r="4" ht="15.5" customHeight="1" s="8">
      <c r="A4" s="332" t="n"/>
      <c r="B4" s="332" t="n"/>
      <c r="C4" s="332" t="n"/>
      <c r="D4" s="332" t="n"/>
      <c r="E4" s="332" t="n"/>
      <c r="F4" s="332" t="n"/>
      <c r="G4" s="332" t="n"/>
      <c r="H4" s="332" t="n"/>
      <c r="I4" s="332" t="n"/>
      <c r="J4" s="332" t="n"/>
      <c r="K4" s="332" t="n"/>
      <c r="L4" s="332" t="n"/>
      <c r="M4" s="332" t="n"/>
      <c r="N4" s="332" t="n"/>
      <c r="O4" s="332" t="n"/>
      <c r="P4" s="332" t="n"/>
      <c r="Q4" s="332" t="n"/>
      <c r="R4" s="332" t="n"/>
      <c r="S4" s="332" t="n"/>
      <c r="T4" s="24" t="inlineStr">
        <is>
          <t>中邮理财</t>
        </is>
      </c>
      <c r="U4" s="25" t="n">
        <v>0.77</v>
      </c>
    </row>
    <row r="5" ht="15.5" customHeight="1" s="8">
      <c r="A5" s="332" t="n"/>
      <c r="B5" s="332" t="n"/>
      <c r="C5" s="332" t="n"/>
      <c r="D5" s="332" t="n"/>
      <c r="E5" s="332" t="n"/>
      <c r="F5" s="332" t="n"/>
      <c r="G5" s="332" t="n"/>
      <c r="H5" s="332" t="n"/>
      <c r="I5" s="332" t="n"/>
      <c r="J5" s="332" t="n"/>
      <c r="K5" s="332" t="n"/>
      <c r="L5" s="332" t="n"/>
      <c r="M5" s="332" t="n"/>
      <c r="N5" s="332" t="n"/>
      <c r="O5" s="332" t="n"/>
      <c r="P5" s="332" t="n"/>
      <c r="Q5" s="332" t="n"/>
      <c r="R5" s="332" t="n"/>
      <c r="S5" s="332" t="n"/>
      <c r="T5" s="217" t="inlineStr">
        <is>
          <t>华泰保兴基金</t>
        </is>
      </c>
      <c r="U5" s="25" t="n">
        <v>0.2</v>
      </c>
    </row>
    <row r="6" ht="15.5" customHeight="1" s="8">
      <c r="A6" s="332" t="n"/>
      <c r="B6" s="332" t="n"/>
      <c r="C6" s="332" t="n"/>
      <c r="D6" s="332" t="n"/>
      <c r="E6" s="332" t="n"/>
      <c r="F6" s="332" t="n"/>
      <c r="G6" s="332" t="n"/>
      <c r="H6" s="332" t="n"/>
      <c r="I6" s="332" t="n"/>
      <c r="J6" s="332" t="n"/>
      <c r="K6" s="332" t="n"/>
      <c r="L6" s="332" t="n"/>
      <c r="M6" s="332" t="n"/>
      <c r="N6" s="332" t="n"/>
      <c r="O6" s="332" t="n"/>
      <c r="P6" s="332" t="n"/>
      <c r="Q6" s="332" t="n"/>
      <c r="R6" s="332" t="n"/>
      <c r="S6" s="332" t="n"/>
      <c r="T6" s="217" t="inlineStr">
        <is>
          <t>易方达基金</t>
        </is>
      </c>
      <c r="U6" s="25" t="n">
        <v>0.3</v>
      </c>
    </row>
    <row r="7" ht="15.5" customHeight="1" s="8">
      <c r="A7" s="332" t="n"/>
      <c r="B7" s="332" t="n"/>
      <c r="C7" s="332" t="n"/>
      <c r="D7" s="332" t="n"/>
      <c r="E7" s="332" t="n"/>
      <c r="F7" s="332" t="n"/>
      <c r="G7" s="332" t="n"/>
      <c r="H7" s="332" t="n"/>
      <c r="I7" s="332" t="n"/>
      <c r="J7" s="332" t="n"/>
      <c r="K7" s="332" t="n"/>
      <c r="L7" s="332" t="n"/>
      <c r="M7" s="332" t="n"/>
      <c r="N7" s="332" t="n"/>
      <c r="O7" s="332" t="n"/>
      <c r="P7" s="332" t="n"/>
      <c r="Q7" s="332" t="n"/>
      <c r="R7" s="332" t="n"/>
      <c r="S7" s="332" t="n"/>
      <c r="T7" s="217" t="inlineStr">
        <is>
          <t>申万宏源资管</t>
        </is>
      </c>
      <c r="U7" s="25" t="n">
        <v>0.08</v>
      </c>
    </row>
    <row r="8" ht="15.5" customHeight="1" s="8">
      <c r="A8" s="332" t="n"/>
      <c r="B8" s="332" t="n"/>
      <c r="C8" s="332" t="n"/>
      <c r="D8" s="332" t="n"/>
      <c r="E8" s="332" t="n"/>
      <c r="F8" s="332" t="n"/>
      <c r="G8" s="332" t="n"/>
      <c r="H8" s="332" t="n"/>
      <c r="I8" s="332" t="n"/>
      <c r="J8" s="332" t="n"/>
      <c r="K8" s="332" t="n"/>
      <c r="L8" s="332" t="n"/>
      <c r="M8" s="332" t="n"/>
      <c r="N8" s="332" t="n"/>
      <c r="O8" s="332" t="n"/>
      <c r="P8" s="332" t="n"/>
      <c r="Q8" s="332" t="n"/>
      <c r="R8" s="332" t="n"/>
      <c r="S8" s="332" t="n"/>
      <c r="T8" s="217" t="inlineStr">
        <is>
          <t>广银理财</t>
        </is>
      </c>
      <c r="U8" s="25" t="n">
        <v>0.13</v>
      </c>
    </row>
    <row r="9" ht="15.5" customHeight="1" s="8">
      <c r="A9" s="332" t="n"/>
      <c r="B9" s="332" t="n"/>
      <c r="C9" s="332" t="n"/>
      <c r="D9" s="332" t="n"/>
      <c r="E9" s="332" t="n"/>
      <c r="F9" s="332" t="n"/>
      <c r="G9" s="332" t="n"/>
      <c r="H9" s="332" t="n"/>
      <c r="I9" s="332" t="n"/>
      <c r="J9" s="332" t="n"/>
      <c r="K9" s="332" t="n"/>
      <c r="L9" s="332" t="n"/>
      <c r="M9" s="332" t="n"/>
      <c r="N9" s="332" t="n"/>
      <c r="O9" s="333" t="n"/>
      <c r="P9" s="332" t="n"/>
      <c r="Q9" s="333" t="n"/>
      <c r="R9" s="333" t="n"/>
      <c r="S9" s="333" t="n"/>
      <c r="T9" s="217" t="inlineStr">
        <is>
          <t>华夏理财</t>
        </is>
      </c>
      <c r="U9" s="25" t="n">
        <v>0.13</v>
      </c>
    </row>
    <row r="10" ht="15.5" customHeight="1" s="8">
      <c r="A10" s="332" t="n"/>
      <c r="B10" s="332" t="n"/>
      <c r="C10" s="332" t="n"/>
      <c r="D10" s="332" t="n"/>
      <c r="E10" s="332" t="n"/>
      <c r="F10" s="332" t="n"/>
      <c r="G10" s="332" t="n"/>
      <c r="H10" s="332" t="n"/>
      <c r="I10" s="332" t="n"/>
      <c r="J10" s="332" t="n"/>
      <c r="K10" s="332" t="n"/>
      <c r="L10" s="332" t="n"/>
      <c r="M10" s="332" t="n"/>
      <c r="N10" s="332" t="n"/>
      <c r="O10" s="227" t="inlineStr">
        <is>
          <t>优先B</t>
        </is>
      </c>
      <c r="P10" s="231" t="n">
        <v>0.04</v>
      </c>
      <c r="Q10" s="320" t="n">
        <v>0.24</v>
      </c>
      <c r="R10" s="231" t="inlineStr">
        <is>
          <t>AA+</t>
        </is>
      </c>
      <c r="S10" s="231" t="n">
        <v>0.02</v>
      </c>
      <c r="T10" s="217" t="inlineStr">
        <is>
          <t>招银理财</t>
        </is>
      </c>
      <c r="U10" s="25" t="n">
        <v>0.03</v>
      </c>
    </row>
    <row r="11" ht="15.5" customHeight="1" s="8">
      <c r="A11" s="332" t="n"/>
      <c r="B11" s="332" t="n"/>
      <c r="C11" s="332" t="n"/>
      <c r="D11" s="332" t="n"/>
      <c r="E11" s="332" t="n"/>
      <c r="F11" s="332" t="n"/>
      <c r="G11" s="332" t="n"/>
      <c r="H11" s="332" t="n"/>
      <c r="I11" s="332" t="n"/>
      <c r="J11" s="332" t="n"/>
      <c r="K11" s="332" t="n"/>
      <c r="L11" s="332" t="n"/>
      <c r="M11" s="332" t="n"/>
      <c r="N11" s="332" t="n"/>
      <c r="O11" s="332" t="n"/>
      <c r="P11" s="332" t="n"/>
      <c r="Q11" s="332" t="n"/>
      <c r="R11" s="332" t="n"/>
      <c r="S11" s="332" t="n"/>
      <c r="T11" s="217" t="inlineStr">
        <is>
          <t>申万宏源资管</t>
        </is>
      </c>
      <c r="U11" s="25" t="n">
        <v>0.02</v>
      </c>
    </row>
    <row r="12" ht="15.5" customHeight="1" s="8">
      <c r="A12" s="332" t="n"/>
      <c r="B12" s="332" t="n"/>
      <c r="C12" s="332" t="n"/>
      <c r="D12" s="332" t="n"/>
      <c r="E12" s="332" t="n"/>
      <c r="F12" s="332" t="n"/>
      <c r="G12" s="332" t="n"/>
      <c r="H12" s="332" t="n"/>
      <c r="I12" s="332" t="n"/>
      <c r="J12" s="332" t="n"/>
      <c r="K12" s="332" t="n"/>
      <c r="L12" s="332" t="n"/>
      <c r="M12" s="332" t="n"/>
      <c r="N12" s="332" t="n"/>
      <c r="O12" s="332" t="n"/>
      <c r="P12" s="332" t="n"/>
      <c r="Q12" s="332" t="n"/>
      <c r="R12" s="332" t="n"/>
      <c r="S12" s="332" t="n"/>
      <c r="T12" s="217" t="inlineStr">
        <is>
          <t>建信信托</t>
        </is>
      </c>
      <c r="U12" s="25" t="n">
        <v>0.07000000000000001</v>
      </c>
    </row>
    <row r="13" ht="15.5" customHeight="1" s="8">
      <c r="A13" s="332" t="n"/>
      <c r="B13" s="332" t="n"/>
      <c r="C13" s="332" t="n"/>
      <c r="D13" s="332" t="n"/>
      <c r="E13" s="332" t="n"/>
      <c r="F13" s="332" t="n"/>
      <c r="G13" s="332" t="n"/>
      <c r="H13" s="332" t="n"/>
      <c r="I13" s="332" t="n"/>
      <c r="J13" s="332" t="n"/>
      <c r="K13" s="332" t="n"/>
      <c r="L13" s="332" t="n"/>
      <c r="M13" s="332" t="n"/>
      <c r="N13" s="332" t="n"/>
      <c r="O13" s="220" t="inlineStr">
        <is>
          <t>中间级</t>
        </is>
      </c>
      <c r="P13" s="221" t="n">
        <v>0.05</v>
      </c>
      <c r="Q13" s="308" t="n">
        <v>0.3</v>
      </c>
      <c r="R13" s="221" t="inlineStr">
        <is>
          <t>A-</t>
        </is>
      </c>
      <c r="S13" s="221" t="n">
        <v>0.031</v>
      </c>
      <c r="T13" s="217" t="inlineStr">
        <is>
          <t>利曦基金</t>
        </is>
      </c>
      <c r="U13" s="313" t="n">
        <v>0.15</v>
      </c>
    </row>
    <row r="14" ht="15.5" customHeight="1" s="8">
      <c r="A14" s="333" t="n"/>
      <c r="B14" s="333" t="n"/>
      <c r="C14" s="333" t="n"/>
      <c r="D14" s="333" t="n"/>
      <c r="E14" s="333" t="n"/>
      <c r="F14" s="333" t="n"/>
      <c r="G14" s="333" t="n"/>
      <c r="H14" s="333" t="n"/>
      <c r="I14" s="333" t="n"/>
      <c r="J14" s="333" t="n"/>
      <c r="K14" s="333" t="n"/>
      <c r="L14" s="333" t="n"/>
      <c r="M14" s="333" t="n"/>
      <c r="N14" s="333" t="n"/>
      <c r="O14" s="220" t="inlineStr">
        <is>
          <t>受益权</t>
        </is>
      </c>
      <c r="P14" s="221" t="n">
        <v>0.05</v>
      </c>
      <c r="Q14" s="308" t="n">
        <v>0.3</v>
      </c>
      <c r="R14" s="221" t="inlineStr">
        <is>
          <t>无</t>
        </is>
      </c>
      <c r="S14" s="221" t="n">
        <v>0.0525</v>
      </c>
      <c r="T14" s="217" t="inlineStr">
        <is>
          <t>西部证券自营</t>
        </is>
      </c>
      <c r="U14" s="313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7" t="n"/>
      <c r="B1" s="17" t="inlineStr">
        <is>
          <t>尚亦1-9</t>
        </is>
      </c>
    </row>
    <row r="2">
      <c r="A2" s="20" t="inlineStr">
        <is>
          <t>日期</t>
        </is>
      </c>
      <c r="B2" s="21" t="n">
        <v>46105</v>
      </c>
    </row>
    <row r="3">
      <c r="A3" s="20" t="inlineStr">
        <is>
          <t>优先A</t>
        </is>
      </c>
      <c r="B3" s="22" t="n">
        <v>0.018</v>
      </c>
    </row>
    <row r="4">
      <c r="A4" s="20" t="inlineStr">
        <is>
          <t>优先B</t>
        </is>
      </c>
      <c r="B4" s="22" t="n">
        <v>0.02</v>
      </c>
    </row>
    <row r="5">
      <c r="A5" s="20" t="inlineStr">
        <is>
          <t>国股CD</t>
        </is>
      </c>
      <c r="B5" s="22" t="n">
        <v>0.0152</v>
      </c>
    </row>
    <row r="6">
      <c r="A6" s="20" t="inlineStr">
        <is>
          <t>ALL-IN成本</t>
        </is>
      </c>
      <c r="B6" s="22" t="n">
        <v>0.0211</v>
      </c>
    </row>
    <row r="7">
      <c r="A7" s="20" t="inlineStr">
        <is>
          <t>认购倍数</t>
        </is>
      </c>
      <c r="B7" s="23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2026-05-16T01:57:16Z</dcterms:modified>
  <cp:lastModifiedBy>李亦非</cp:lastModifiedBy>
</cp:coreProperties>
</file>