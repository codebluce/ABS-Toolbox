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  <numFmt numFmtId="177" formatCode="0.0%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68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0.0161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0.0161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0.0161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0.0161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0.0161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0.0161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0.0161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0.0161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0.0161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0.0161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0.0161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0.0161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0.0161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0.0161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0.0161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0.0161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0.0161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0.0161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0.0161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0.0161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0.0161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0.0161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0.0161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0.0161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0.0161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0.0161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0.0161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0.0161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0.0161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0.0161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0.0161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0.0161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0.0161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0.0161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0.0161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0.0161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0.0164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0.0164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0.0164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0.0164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0.0164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0.0164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0.0164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0.0164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0.0164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0.0164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0.0164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0.0164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0.0164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0.0164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0.0164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0.0164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0.0164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0.0164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0.0164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0.0164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0.0164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0.0164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0.02258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0.02258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2" t="n"/>
      <c r="X2584" s="172" t="n"/>
      <c r="Y2584" s="172" t="n"/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0.02258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2" t="n"/>
      <c r="X2585" s="172" t="n"/>
      <c r="Y2585" s="172" t="n"/>
    </row>
    <row r="2586">
      <c r="A2586" s="172" t="n">
        <v>139</v>
      </c>
      <c r="B2586" s="173" t="inlineStr">
        <is>
          <t>9月</t>
        </is>
      </c>
      <c r="C2586" s="173" t="inlineStr">
        <is>
          <t>消金</t>
        </is>
      </c>
      <c r="D2586" s="173" t="inlineStr">
        <is>
          <t>金条&amp;白取混发</t>
        </is>
      </c>
      <c r="E2586" s="173" t="inlineStr">
        <is>
          <t>耘睿28-4</t>
        </is>
      </c>
      <c r="F2586" s="173" t="inlineStr">
        <is>
          <t>上交所</t>
        </is>
      </c>
      <c r="G2586" s="173" t="inlineStr">
        <is>
          <t>招商证券</t>
        </is>
      </c>
      <c r="H2586" s="173" t="inlineStr">
        <is>
          <t>国信证券</t>
        </is>
      </c>
      <c r="I2586" s="173" t="inlineStr">
        <is>
          <t>邮储北分</t>
        </is>
      </c>
      <c r="J2586" s="172" t="n">
        <v>10</v>
      </c>
      <c r="K2586" s="173" t="inlineStr">
        <is>
          <t>22+24</t>
        </is>
      </c>
      <c r="L2586" s="202" t="n">
        <v>46266</v>
      </c>
      <c r="M2586" s="175" t="n">
        <v>0.0148</v>
      </c>
      <c r="N2586" s="176" t="n">
        <v>0.02258</v>
      </c>
      <c r="O2586" s="172" t="n">
        <v>1.3</v>
      </c>
      <c r="P2586" s="172" t="inlineStr">
        <is>
          <t>优先A</t>
        </is>
      </c>
      <c r="Q2586" s="178" t="n">
        <v>0.9</v>
      </c>
      <c r="R2586" s="179" t="n">
        <v>9</v>
      </c>
      <c r="S2586" s="177" t="inlineStr">
        <is>
          <t>AAA</t>
        </is>
      </c>
      <c r="T2586" s="178" t="n">
        <v>0.018</v>
      </c>
      <c r="U2586" s="177" t="inlineStr">
        <is>
          <t>信银理财</t>
        </is>
      </c>
      <c r="V2586" s="192" t="n">
        <v>2.65</v>
      </c>
      <c r="W2586" s="172" t="n"/>
      <c r="X2586" s="172" t="n"/>
      <c r="Y2586" s="172" t="n"/>
    </row>
    <row r="2587">
      <c r="A2587" s="172" t="n">
        <v>139</v>
      </c>
      <c r="B2587" s="173" t="inlineStr">
        <is>
          <t>9月</t>
        </is>
      </c>
      <c r="C2587" s="173" t="inlineStr">
        <is>
          <t>消金</t>
        </is>
      </c>
      <c r="D2587" s="173" t="inlineStr">
        <is>
          <t>金条&amp;白取混发</t>
        </is>
      </c>
      <c r="E2587" s="173" t="inlineStr">
        <is>
          <t>耘睿28-4</t>
        </is>
      </c>
      <c r="F2587" s="173" t="inlineStr">
        <is>
          <t>上交所</t>
        </is>
      </c>
      <c r="G2587" s="173" t="inlineStr">
        <is>
          <t>招商证券</t>
        </is>
      </c>
      <c r="H2587" s="173" t="inlineStr">
        <is>
          <t>国信证券</t>
        </is>
      </c>
      <c r="I2587" s="173" t="inlineStr">
        <is>
          <t>邮储北分</t>
        </is>
      </c>
      <c r="J2587" s="172" t="n">
        <v>10</v>
      </c>
      <c r="K2587" s="173" t="inlineStr">
        <is>
          <t>22+24</t>
        </is>
      </c>
      <c r="L2587" s="202" t="n">
        <v>46266</v>
      </c>
      <c r="M2587" s="175" t="n">
        <v>0.0148</v>
      </c>
      <c r="N2587" s="176" t="n">
        <v>0.02258</v>
      </c>
      <c r="O2587" s="172" t="n">
        <v>1.3</v>
      </c>
      <c r="P2587" s="172" t="inlineStr">
        <is>
          <t>优先A</t>
        </is>
      </c>
      <c r="Q2587" s="178" t="n">
        <v>0.9</v>
      </c>
      <c r="R2587" s="179" t="n">
        <v>9</v>
      </c>
      <c r="S2587" s="177" t="inlineStr">
        <is>
          <t>AAA</t>
        </is>
      </c>
      <c r="T2587" s="178" t="n">
        <v>0.018</v>
      </c>
      <c r="U2587" s="177" t="inlineStr">
        <is>
          <t>华夏基金</t>
        </is>
      </c>
      <c r="V2587" s="192" t="n">
        <v>1.3</v>
      </c>
      <c r="W2587" s="172" t="n"/>
      <c r="X2587" s="172" t="n"/>
      <c r="Y2587" s="172" t="n"/>
    </row>
    <row r="2588">
      <c r="A2588" s="172" t="n">
        <v>139</v>
      </c>
      <c r="B2588" s="173" t="inlineStr">
        <is>
          <t>9月</t>
        </is>
      </c>
      <c r="C2588" s="173" t="inlineStr">
        <is>
          <t>消金</t>
        </is>
      </c>
      <c r="D2588" s="173" t="inlineStr">
        <is>
          <t>金条&amp;白取混发</t>
        </is>
      </c>
      <c r="E2588" s="173" t="inlineStr">
        <is>
          <t>耘睿28-4</t>
        </is>
      </c>
      <c r="F2588" s="173" t="inlineStr">
        <is>
          <t>上交所</t>
        </is>
      </c>
      <c r="G2588" s="173" t="inlineStr">
        <is>
          <t>招商证券</t>
        </is>
      </c>
      <c r="H2588" s="173" t="inlineStr">
        <is>
          <t>国信证券</t>
        </is>
      </c>
      <c r="I2588" s="173" t="inlineStr">
        <is>
          <t>邮储北分</t>
        </is>
      </c>
      <c r="J2588" s="172" t="n">
        <v>10</v>
      </c>
      <c r="K2588" s="173" t="inlineStr">
        <is>
          <t>22+24</t>
        </is>
      </c>
      <c r="L2588" s="202" t="n">
        <v>46266</v>
      </c>
      <c r="M2588" s="175" t="n">
        <v>0.0148</v>
      </c>
      <c r="N2588" s="176" t="n">
        <v>0.02258</v>
      </c>
      <c r="O2588" s="172" t="n">
        <v>1.3</v>
      </c>
      <c r="P2588" s="177" t="inlineStr">
        <is>
          <t>优先B</t>
        </is>
      </c>
      <c r="Q2588" s="178" t="n">
        <v>0.03</v>
      </c>
      <c r="R2588" s="179" t="n">
        <v>0.3</v>
      </c>
      <c r="S2588" s="177" t="inlineStr">
        <is>
          <t>AA+</t>
        </is>
      </c>
      <c r="T2588" s="178" t="n">
        <v>0.019</v>
      </c>
      <c r="U2588" s="177" t="inlineStr">
        <is>
          <t>招商证券投行</t>
        </is>
      </c>
      <c r="V2588" s="192" t="n">
        <v>0.05</v>
      </c>
      <c r="W2588" s="172" t="n"/>
      <c r="X2588" s="172" t="n"/>
      <c r="Y2588" s="172" t="n"/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0.02258</v>
      </c>
      <c r="O2589" s="172" t="n">
        <v>1.3</v>
      </c>
      <c r="P2589" s="172" t="inlineStr">
        <is>
          <t>优先B</t>
        </is>
      </c>
      <c r="Q2589" s="178" t="n">
        <v>0.03</v>
      </c>
      <c r="R2589" s="179" t="n">
        <v>0.3</v>
      </c>
      <c r="S2589" s="177" t="inlineStr">
        <is>
          <t>AA+</t>
        </is>
      </c>
      <c r="T2589" s="178" t="n">
        <v>0.019</v>
      </c>
      <c r="U2589" s="177" t="inlineStr">
        <is>
          <t>中金自营</t>
        </is>
      </c>
      <c r="V2589" s="192" t="n">
        <v>0.2</v>
      </c>
      <c r="W2589" s="172" t="n"/>
      <c r="X2589" s="172" t="n"/>
      <c r="Y2589" s="172" t="n"/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0.02258</v>
      </c>
      <c r="O2590" s="172" t="n">
        <v>1.3</v>
      </c>
      <c r="P2590" s="172" t="inlineStr">
        <is>
          <t>优先B</t>
        </is>
      </c>
      <c r="Q2590" s="178" t="n">
        <v>0.03</v>
      </c>
      <c r="R2590" s="179" t="n">
        <v>0.3</v>
      </c>
      <c r="S2590" s="177" t="inlineStr">
        <is>
          <t>AA+</t>
        </is>
      </c>
      <c r="T2590" s="178" t="n">
        <v>0.019</v>
      </c>
      <c r="U2590" s="177" t="inlineStr">
        <is>
          <t>国信证券投行</t>
        </is>
      </c>
      <c r="V2590" s="192" t="n">
        <v>0.05</v>
      </c>
      <c r="W2590" s="172" t="n"/>
      <c r="X2590" s="172" t="n"/>
      <c r="Y2590" s="172" t="n"/>
    </row>
    <row r="2591">
      <c r="A2591" s="172" t="n">
        <v>139</v>
      </c>
      <c r="B2591" s="173" t="inlineStr">
        <is>
          <t>9月</t>
        </is>
      </c>
      <c r="C2591" s="173" t="inlineStr">
        <is>
          <t>消金</t>
        </is>
      </c>
      <c r="D2591" s="173" t="inlineStr">
        <is>
          <t>金条&amp;白取混发</t>
        </is>
      </c>
      <c r="E2591" s="173" t="inlineStr">
        <is>
          <t>耘睿28-4</t>
        </is>
      </c>
      <c r="F2591" s="173" t="inlineStr">
        <is>
          <t>上交所</t>
        </is>
      </c>
      <c r="G2591" s="173" t="inlineStr">
        <is>
          <t>招商证券</t>
        </is>
      </c>
      <c r="H2591" s="173" t="inlineStr">
        <is>
          <t>国信证券</t>
        </is>
      </c>
      <c r="I2591" s="173" t="inlineStr">
        <is>
          <t>邮储北分</t>
        </is>
      </c>
      <c r="J2591" s="172" t="n">
        <v>10</v>
      </c>
      <c r="K2591" s="173" t="inlineStr">
        <is>
          <t>22+24</t>
        </is>
      </c>
      <c r="L2591" s="202" t="n">
        <v>46266</v>
      </c>
      <c r="M2591" s="175" t="n">
        <v>0.0148</v>
      </c>
      <c r="N2591" s="176" t="n">
        <v>0.02258</v>
      </c>
      <c r="O2591" s="172" t="n">
        <v>1.3</v>
      </c>
      <c r="P2591" s="177" t="inlineStr">
        <is>
          <t>中间级</t>
        </is>
      </c>
      <c r="Q2591" s="178" t="n">
        <v>0.02</v>
      </c>
      <c r="R2591" s="179" t="n">
        <v>0.2</v>
      </c>
      <c r="S2591" s="177" t="inlineStr">
        <is>
          <t>AA-</t>
        </is>
      </c>
      <c r="T2591" s="178" t="n">
        <v>0.032</v>
      </c>
      <c r="U2591" s="177" t="inlineStr">
        <is>
          <t>中信证券投顾</t>
        </is>
      </c>
      <c r="V2591" s="192" t="n">
        <v>0.1</v>
      </c>
      <c r="W2591" s="172" t="n"/>
      <c r="X2591" s="172" t="n"/>
      <c r="Y2591" s="172" t="n"/>
    </row>
    <row r="2592">
      <c r="A2592" s="172" t="n">
        <v>139</v>
      </c>
      <c r="B2592" s="173" t="inlineStr">
        <is>
          <t>9月</t>
        </is>
      </c>
      <c r="C2592" s="173" t="inlineStr">
        <is>
          <t>消金</t>
        </is>
      </c>
      <c r="D2592" s="173" t="inlineStr">
        <is>
          <t>金条&amp;白取混发</t>
        </is>
      </c>
      <c r="E2592" s="173" t="inlineStr">
        <is>
          <t>耘睿28-4</t>
        </is>
      </c>
      <c r="F2592" s="173" t="inlineStr">
        <is>
          <t>上交所</t>
        </is>
      </c>
      <c r="G2592" s="173" t="inlineStr">
        <is>
          <t>招商证券</t>
        </is>
      </c>
      <c r="H2592" s="173" t="inlineStr">
        <is>
          <t>国信证券</t>
        </is>
      </c>
      <c r="I2592" s="173" t="inlineStr">
        <is>
          <t>邮储北分</t>
        </is>
      </c>
      <c r="J2592" s="172" t="n">
        <v>10</v>
      </c>
      <c r="K2592" s="173" t="inlineStr">
        <is>
          <t>22+24</t>
        </is>
      </c>
      <c r="L2592" s="202" t="n">
        <v>46266</v>
      </c>
      <c r="M2592" s="175" t="n">
        <v>0.0148</v>
      </c>
      <c r="N2592" s="176" t="n">
        <v>0.02258</v>
      </c>
      <c r="O2592" s="172" t="n">
        <v>1.3</v>
      </c>
      <c r="P2592" s="172" t="inlineStr">
        <is>
          <t>中间级</t>
        </is>
      </c>
      <c r="Q2592" s="178" t="n">
        <v>0.02</v>
      </c>
      <c r="R2592" s="179" t="n">
        <v>0.2</v>
      </c>
      <c r="S2592" s="177" t="inlineStr">
        <is>
          <t>AA-</t>
        </is>
      </c>
      <c r="T2592" s="178" t="n">
        <v>0.032</v>
      </c>
      <c r="U2592" s="177" t="inlineStr">
        <is>
          <t>中金自营</t>
        </is>
      </c>
      <c r="V2592" s="192" t="n">
        <v>0.1</v>
      </c>
      <c r="W2592" s="172" t="n"/>
      <c r="X2592" s="172" t="n"/>
      <c r="Y2592" s="172" t="n"/>
    </row>
    <row r="2593">
      <c r="A2593" s="172" t="n">
        <v>139</v>
      </c>
      <c r="B2593" s="173" t="inlineStr">
        <is>
          <t>9月</t>
        </is>
      </c>
      <c r="C2593" s="173" t="inlineStr">
        <is>
          <t>消金</t>
        </is>
      </c>
      <c r="D2593" s="173" t="inlineStr">
        <is>
          <t>金条&amp;白取混发</t>
        </is>
      </c>
      <c r="E2593" s="173" t="inlineStr">
        <is>
          <t>耘睿28-4</t>
        </is>
      </c>
      <c r="F2593" s="173" t="inlineStr">
        <is>
          <t>上交所</t>
        </is>
      </c>
      <c r="G2593" s="173" t="inlineStr">
        <is>
          <t>招商证券</t>
        </is>
      </c>
      <c r="H2593" s="173" t="inlineStr">
        <is>
          <t>国信证券</t>
        </is>
      </c>
      <c r="I2593" s="173" t="inlineStr">
        <is>
          <t>邮储北分</t>
        </is>
      </c>
      <c r="J2593" s="172" t="n">
        <v>10</v>
      </c>
      <c r="K2593" s="173" t="inlineStr">
        <is>
          <t>22+24</t>
        </is>
      </c>
      <c r="L2593" s="202" t="n">
        <v>46266</v>
      </c>
      <c r="M2593" s="175" t="n">
        <v>0.0148</v>
      </c>
      <c r="N2593" s="176" t="n">
        <v>0.02258</v>
      </c>
      <c r="O2593" s="172" t="n">
        <v>1.3</v>
      </c>
      <c r="P2593" s="177" t="inlineStr">
        <is>
          <t>受益权</t>
        </is>
      </c>
      <c r="Q2593" s="178" t="n">
        <v>0.05</v>
      </c>
      <c r="R2593" s="179" t="n">
        <v>0.5</v>
      </c>
      <c r="S2593" s="177" t="inlineStr">
        <is>
          <t>无</t>
        </is>
      </c>
      <c r="T2593" s="178" t="n">
        <v>0.0495</v>
      </c>
      <c r="U2593" s="177" t="inlineStr">
        <is>
          <t>中金投顾</t>
        </is>
      </c>
      <c r="V2593" s="192" t="n">
        <v>0.4</v>
      </c>
      <c r="W2593" s="172" t="n"/>
      <c r="X2593" s="172" t="n"/>
      <c r="Y2593" s="172" t="n"/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0.02258</v>
      </c>
      <c r="O2594" s="172" t="n">
        <v>1.3</v>
      </c>
      <c r="P2594" s="172" t="inlineStr">
        <is>
          <t>受益权</t>
        </is>
      </c>
      <c r="Q2594" s="178" t="n">
        <v>0.05</v>
      </c>
      <c r="R2594" s="179" t="n">
        <v>0.5</v>
      </c>
      <c r="S2594" s="177" t="inlineStr">
        <is>
          <t>无</t>
        </is>
      </c>
      <c r="T2594" s="178" t="n">
        <v>0.0495</v>
      </c>
      <c r="U2594" s="177" t="inlineStr">
        <is>
          <t>中信建投衍生品</t>
        </is>
      </c>
      <c r="V2594" s="192" t="n">
        <v>0.1</v>
      </c>
      <c r="W2594" s="172" t="n"/>
      <c r="X2594" s="172" t="n"/>
      <c r="Y2594" s="172" t="n"/>
    </row>
    <row r="2595">
      <c r="A2595" s="172" t="n">
        <v>140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2026东樾4号3期（东樾4-5）</t>
        </is>
      </c>
      <c r="F2595" s="173" t="inlineStr">
        <is>
          <t>银行间</t>
        </is>
      </c>
      <c r="G2595" s="173" t="inlineStr">
        <is>
          <t>招商证券</t>
        </is>
      </c>
      <c r="H2595" s="173" t="inlineStr">
        <is>
          <t>国信证券/光大证券/中信证券</t>
        </is>
      </c>
      <c r="I2595" s="173" t="inlineStr">
        <is>
          <t>工银天分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0.02273</v>
      </c>
      <c r="O2595" s="172" t="n">
        <v>1.82</v>
      </c>
      <c r="P2595" s="177" t="inlineStr">
        <is>
          <t>优先A</t>
        </is>
      </c>
      <c r="Q2595" s="178" t="n">
        <v>0.87</v>
      </c>
      <c r="R2595" s="179" t="n">
        <v>9</v>
      </c>
      <c r="S2595" s="177" t="inlineStr">
        <is>
          <t>AAA</t>
        </is>
      </c>
      <c r="T2595" s="178" t="n">
        <v>0.018</v>
      </c>
      <c r="U2595" s="177" t="inlineStr">
        <is>
          <t>建信信托</t>
        </is>
      </c>
      <c r="V2595" s="192" t="n">
        <v>0.5</v>
      </c>
      <c r="W2595" s="172" t="n"/>
      <c r="X2595" s="172" t="n"/>
      <c r="Y2595" s="172" t="n"/>
    </row>
    <row r="2596">
      <c r="A2596" s="172" t="n">
        <v>140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2026东樾4号3期（东樾4-5）</t>
        </is>
      </c>
      <c r="F2596" s="173" t="inlineStr">
        <is>
          <t>银行间</t>
        </is>
      </c>
      <c r="G2596" s="173" t="inlineStr">
        <is>
          <t>招商证券</t>
        </is>
      </c>
      <c r="H2596" s="173" t="inlineStr">
        <is>
          <t>国信证券/光大证券/中信证券</t>
        </is>
      </c>
      <c r="I2596" s="173" t="inlineStr">
        <is>
          <t>工银天分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0.02273</v>
      </c>
      <c r="O2596" s="172" t="n">
        <v>1.82</v>
      </c>
      <c r="P2596" s="172" t="inlineStr">
        <is>
          <t>优先A</t>
        </is>
      </c>
      <c r="Q2596" s="178" t="n">
        <v>0.87</v>
      </c>
      <c r="R2596" s="179" t="n">
        <v>9</v>
      </c>
      <c r="S2596" s="177" t="inlineStr">
        <is>
          <t>AAA</t>
        </is>
      </c>
      <c r="T2596" s="178" t="n">
        <v>0.018</v>
      </c>
      <c r="U2596" s="177" t="inlineStr">
        <is>
          <t>平安证券投行</t>
        </is>
      </c>
      <c r="V2596" s="192" t="n">
        <v>0.29</v>
      </c>
      <c r="W2596" s="172" t="n"/>
      <c r="X2596" s="172" t="n"/>
      <c r="Y2596" s="172" t="n"/>
    </row>
    <row r="2597">
      <c r="A2597" s="172" t="n">
        <v>140</v>
      </c>
      <c r="B2597" s="173" t="inlineStr">
        <is>
          <t>9月</t>
        </is>
      </c>
      <c r="C2597" s="173" t="inlineStr">
        <is>
          <t>消金</t>
        </is>
      </c>
      <c r="D2597" s="173" t="inlineStr">
        <is>
          <t>金条&amp;白取混发</t>
        </is>
      </c>
      <c r="E2597" s="173" t="inlineStr">
        <is>
          <t>2026东樾4号3期（东樾4-5）</t>
        </is>
      </c>
      <c r="F2597" s="173" t="inlineStr">
        <is>
          <t>银行间</t>
        </is>
      </c>
      <c r="G2597" s="173" t="inlineStr">
        <is>
          <t>招商证券</t>
        </is>
      </c>
      <c r="H2597" s="173" t="inlineStr">
        <is>
          <t>国信证券/光大证券/中信证券</t>
        </is>
      </c>
      <c r="I2597" s="173" t="inlineStr">
        <is>
          <t>工银天分</t>
        </is>
      </c>
      <c r="J2597" s="172" t="n">
        <v>10</v>
      </c>
      <c r="K2597" s="173" t="inlineStr">
        <is>
          <t>22+24</t>
        </is>
      </c>
      <c r="L2597" s="202" t="n">
        <v>46266</v>
      </c>
      <c r="M2597" s="175" t="n">
        <v>0.0148</v>
      </c>
      <c r="N2597" s="176" t="n">
        <v>0.02273</v>
      </c>
      <c r="O2597" s="172" t="n">
        <v>1.82</v>
      </c>
      <c r="P2597" s="172" t="inlineStr">
        <is>
          <t>优先A</t>
        </is>
      </c>
      <c r="Q2597" s="178" t="n">
        <v>0.87</v>
      </c>
      <c r="R2597" s="179" t="n">
        <v>9</v>
      </c>
      <c r="S2597" s="177" t="inlineStr">
        <is>
          <t>AAA</t>
        </is>
      </c>
      <c r="T2597" s="178" t="n">
        <v>0.018</v>
      </c>
      <c r="U2597" s="177" t="inlineStr">
        <is>
          <t>信银理财</t>
        </is>
      </c>
      <c r="V2597" s="192" t="n">
        <v>2.61</v>
      </c>
      <c r="W2597" s="172" t="n"/>
      <c r="X2597" s="172" t="n"/>
      <c r="Y2597" s="172" t="n"/>
    </row>
    <row r="2598">
      <c r="A2598" s="172" t="n">
        <v>140</v>
      </c>
      <c r="B2598" s="173" t="inlineStr">
        <is>
          <t>9月</t>
        </is>
      </c>
      <c r="C2598" s="173" t="inlineStr">
        <is>
          <t>消金</t>
        </is>
      </c>
      <c r="D2598" s="173" t="inlineStr">
        <is>
          <t>金条&amp;白取混发</t>
        </is>
      </c>
      <c r="E2598" s="173" t="inlineStr">
        <is>
          <t>2026东樾4号3期（东樾4-5）</t>
        </is>
      </c>
      <c r="F2598" s="173" t="inlineStr">
        <is>
          <t>银行间</t>
        </is>
      </c>
      <c r="G2598" s="173" t="inlineStr">
        <is>
          <t>招商证券</t>
        </is>
      </c>
      <c r="H2598" s="173" t="inlineStr">
        <is>
          <t>国信证券/光大证券/中信证券</t>
        </is>
      </c>
      <c r="I2598" s="173" t="inlineStr">
        <is>
          <t>工银天分</t>
        </is>
      </c>
      <c r="J2598" s="172" t="n">
        <v>10</v>
      </c>
      <c r="K2598" s="173" t="inlineStr">
        <is>
          <t>22+24</t>
        </is>
      </c>
      <c r="L2598" s="202" t="n">
        <v>46266</v>
      </c>
      <c r="M2598" s="175" t="n">
        <v>0.0148</v>
      </c>
      <c r="N2598" s="176" t="n">
        <v>0.02273</v>
      </c>
      <c r="O2598" s="172" t="n">
        <v>1.82</v>
      </c>
      <c r="P2598" s="172" t="inlineStr">
        <is>
          <t>优先A</t>
        </is>
      </c>
      <c r="Q2598" s="178" t="n">
        <v>0.87</v>
      </c>
      <c r="R2598" s="179" t="n">
        <v>9</v>
      </c>
      <c r="S2598" s="177" t="inlineStr">
        <is>
          <t>AAA</t>
        </is>
      </c>
      <c r="T2598" s="178" t="n">
        <v>0.018</v>
      </c>
      <c r="U2598" s="177" t="inlineStr">
        <is>
          <t>易方达基金</t>
        </is>
      </c>
      <c r="V2598" s="192" t="n">
        <v>4.3</v>
      </c>
      <c r="W2598" s="172" t="n"/>
      <c r="X2598" s="172" t="n"/>
      <c r="Y2598" s="172" t="n"/>
    </row>
    <row r="2599">
      <c r="A2599" s="172" t="n">
        <v>140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2026东樾4号3期（东樾4-5）</t>
        </is>
      </c>
      <c r="F2599" s="173" t="inlineStr">
        <is>
          <t>银行间</t>
        </is>
      </c>
      <c r="G2599" s="173" t="inlineStr">
        <is>
          <t>招商证券</t>
        </is>
      </c>
      <c r="H2599" s="173" t="inlineStr">
        <is>
          <t>国信证券/光大证券/中信证券</t>
        </is>
      </c>
      <c r="I2599" s="173" t="inlineStr">
        <is>
          <t>工银天分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0.02273</v>
      </c>
      <c r="O2599" s="172" t="n">
        <v>1.82</v>
      </c>
      <c r="P2599" s="172" t="inlineStr">
        <is>
          <t>优先A</t>
        </is>
      </c>
      <c r="Q2599" s="178" t="n">
        <v>0.87</v>
      </c>
      <c r="R2599" s="179" t="n">
        <v>9</v>
      </c>
      <c r="S2599" s="177" t="inlineStr">
        <is>
          <t>AAA</t>
        </is>
      </c>
      <c r="T2599" s="178" t="n">
        <v>0.018</v>
      </c>
      <c r="U2599" s="177" t="inlineStr">
        <is>
          <t>中金自营</t>
        </is>
      </c>
      <c r="V2599" s="192" t="n">
        <v>0.4</v>
      </c>
      <c r="W2599" s="172" t="n"/>
      <c r="X2599" s="172" t="n"/>
      <c r="Y2599" s="172" t="n"/>
    </row>
    <row r="2600">
      <c r="A2600" s="172" t="n">
        <v>140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2026东樾4号3期（东樾4-5）</t>
        </is>
      </c>
      <c r="F2600" s="173" t="inlineStr">
        <is>
          <t>银行间</t>
        </is>
      </c>
      <c r="G2600" s="173" t="inlineStr">
        <is>
          <t>招商证券</t>
        </is>
      </c>
      <c r="H2600" s="173" t="inlineStr">
        <is>
          <t>国信证券/光大证券/中信证券</t>
        </is>
      </c>
      <c r="I2600" s="173" t="inlineStr">
        <is>
          <t>工银天分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0.02273</v>
      </c>
      <c r="O2600" s="172" t="n">
        <v>1.82</v>
      </c>
      <c r="P2600" s="172" t="inlineStr">
        <is>
          <t>优先A</t>
        </is>
      </c>
      <c r="Q2600" s="178" t="n">
        <v>0.87</v>
      </c>
      <c r="R2600" s="179" t="n">
        <v>9</v>
      </c>
      <c r="S2600" s="177" t="inlineStr">
        <is>
          <t>AAA</t>
        </is>
      </c>
      <c r="T2600" s="178" t="n">
        <v>0.018</v>
      </c>
      <c r="U2600" s="177" t="inlineStr">
        <is>
          <t>中信证券投顾</t>
        </is>
      </c>
      <c r="V2600" s="192" t="n">
        <v>0.6</v>
      </c>
      <c r="W2600" s="172" t="n"/>
      <c r="X2600" s="172" t="n"/>
      <c r="Y2600" s="172" t="n"/>
    </row>
    <row r="2601">
      <c r="A2601" s="172" t="n">
        <v>140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2026东樾4号3期（东樾4-5）</t>
        </is>
      </c>
      <c r="F2601" s="173" t="inlineStr">
        <is>
          <t>银行间</t>
        </is>
      </c>
      <c r="G2601" s="173" t="inlineStr">
        <is>
          <t>招商证券</t>
        </is>
      </c>
      <c r="H2601" s="173" t="inlineStr">
        <is>
          <t>国信证券/光大证券/中信证券</t>
        </is>
      </c>
      <c r="I2601" s="173" t="inlineStr">
        <is>
          <t>工银天分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0.02273</v>
      </c>
      <c r="O2601" s="172" t="n">
        <v>1.82</v>
      </c>
      <c r="P2601" s="177" t="inlineStr">
        <is>
          <t>优先B</t>
        </is>
      </c>
      <c r="Q2601" s="178" t="n">
        <v>0.04</v>
      </c>
      <c r="R2601" s="179" t="n">
        <v>0.3</v>
      </c>
      <c r="S2601" s="177" t="inlineStr">
        <is>
          <t>AA+</t>
        </is>
      </c>
      <c r="T2601" s="178" t="n">
        <v>0.019</v>
      </c>
      <c r="U2601" s="177" t="inlineStr">
        <is>
          <t>招商证券投行</t>
        </is>
      </c>
      <c r="V2601" s="192" t="n">
        <v>0.08</v>
      </c>
      <c r="W2601" s="172" t="n"/>
      <c r="X2601" s="172" t="n"/>
      <c r="Y2601" s="172" t="n"/>
    </row>
    <row r="2602">
      <c r="A2602" s="172" t="n">
        <v>140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2026东樾4号3期（东樾4-5）</t>
        </is>
      </c>
      <c r="F2602" s="173" t="inlineStr">
        <is>
          <t>银行间</t>
        </is>
      </c>
      <c r="G2602" s="173" t="inlineStr">
        <is>
          <t>招商证券</t>
        </is>
      </c>
      <c r="H2602" s="173" t="inlineStr">
        <is>
          <t>国信证券/光大证券/中信证券</t>
        </is>
      </c>
      <c r="I2602" s="173" t="inlineStr">
        <is>
          <t>工银天分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0.02273</v>
      </c>
      <c r="O2602" s="172" t="n">
        <v>1.82</v>
      </c>
      <c r="P2602" s="172" t="inlineStr">
        <is>
          <t>优先B</t>
        </is>
      </c>
      <c r="Q2602" s="178" t="n">
        <v>0.04</v>
      </c>
      <c r="R2602" s="179" t="n">
        <v>0.3</v>
      </c>
      <c r="S2602" s="177" t="inlineStr">
        <is>
          <t>AA+</t>
        </is>
      </c>
      <c r="T2602" s="178" t="n">
        <v>0.019</v>
      </c>
      <c r="U2602" s="177" t="inlineStr">
        <is>
          <t>中金自营</t>
        </is>
      </c>
      <c r="V2602" s="192" t="n">
        <v>0.2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2" t="inlineStr">
        <is>
          <t>优先B</t>
        </is>
      </c>
      <c r="Q2603" s="178" t="n">
        <v>0.04</v>
      </c>
      <c r="R2603" s="179" t="n">
        <v>0.3</v>
      </c>
      <c r="S2603" s="177" t="inlineStr">
        <is>
          <t>AA+</t>
        </is>
      </c>
      <c r="T2603" s="178" t="n">
        <v>0.019</v>
      </c>
      <c r="U2603" s="177" t="inlineStr">
        <is>
          <t>中信证券投顾</t>
        </is>
      </c>
      <c r="V2603" s="192" t="n">
        <v>0.12</v>
      </c>
      <c r="W2603" s="172" t="n"/>
      <c r="X2603" s="172" t="n"/>
      <c r="Y2603" s="172" t="n"/>
    </row>
    <row r="2604">
      <c r="A2604" s="172" t="n">
        <v>140</v>
      </c>
      <c r="B2604" s="173" t="inlineStr">
        <is>
          <t>9月</t>
        </is>
      </c>
      <c r="C2604" s="173" t="inlineStr">
        <is>
          <t>消金</t>
        </is>
      </c>
      <c r="D2604" s="173" t="inlineStr">
        <is>
          <t>金条&amp;白取混发</t>
        </is>
      </c>
      <c r="E2604" s="173" t="inlineStr">
        <is>
          <t>2026东樾4号3期（东樾4-5）</t>
        </is>
      </c>
      <c r="F2604" s="173" t="inlineStr">
        <is>
          <t>银行间</t>
        </is>
      </c>
      <c r="G2604" s="173" t="inlineStr">
        <is>
          <t>招商证券</t>
        </is>
      </c>
      <c r="H2604" s="173" t="inlineStr">
        <is>
          <t>国信证券/光大证券/中信证券</t>
        </is>
      </c>
      <c r="I2604" s="173" t="inlineStr">
        <is>
          <t>工银天分</t>
        </is>
      </c>
      <c r="J2604" s="172" t="n">
        <v>10</v>
      </c>
      <c r="K2604" s="173" t="inlineStr">
        <is>
          <t>22+24</t>
        </is>
      </c>
      <c r="L2604" s="202" t="n">
        <v>46266</v>
      </c>
      <c r="M2604" s="175" t="n">
        <v>0.0148</v>
      </c>
      <c r="N2604" s="176" t="n">
        <v>0.02273</v>
      </c>
      <c r="O2604" s="172" t="n">
        <v>1.82</v>
      </c>
      <c r="P2604" s="177" t="inlineStr">
        <is>
          <t>中间级</t>
        </is>
      </c>
      <c r="Q2604" s="178" t="n">
        <v>0.04</v>
      </c>
      <c r="R2604" s="179" t="n">
        <v>0.2</v>
      </c>
      <c r="S2604" s="177" t="inlineStr">
        <is>
          <t>AA-</t>
        </is>
      </c>
      <c r="T2604" s="178" t="n">
        <v>0.032</v>
      </c>
      <c r="U2604" s="177" t="inlineStr">
        <is>
          <t>建信信托</t>
        </is>
      </c>
      <c r="V2604" s="192" t="n">
        <v>0.2</v>
      </c>
      <c r="W2604" s="172" t="n"/>
      <c r="X2604" s="172" t="n"/>
      <c r="Y2604" s="172" t="n"/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中间级</t>
        </is>
      </c>
      <c r="Q2605" s="178" t="n">
        <v>0.04</v>
      </c>
      <c r="R2605" s="179" t="n">
        <v>0.2</v>
      </c>
      <c r="S2605" s="177" t="inlineStr">
        <is>
          <t>AA-</t>
        </is>
      </c>
      <c r="T2605" s="178" t="n">
        <v>0.032</v>
      </c>
      <c r="U2605" s="177" t="inlineStr">
        <is>
          <t>利曦基金</t>
        </is>
      </c>
      <c r="V2605" s="192" t="n">
        <v>0.1</v>
      </c>
      <c r="W2605" s="172" t="n"/>
      <c r="X2605" s="172" t="n"/>
      <c r="Y2605" s="172" t="n"/>
    </row>
    <row r="2606">
      <c r="A2606" s="172" t="n">
        <v>140</v>
      </c>
      <c r="B2606" s="173" t="inlineStr">
        <is>
          <t>9月</t>
        </is>
      </c>
      <c r="C2606" s="173" t="inlineStr">
        <is>
          <t>消金</t>
        </is>
      </c>
      <c r="D2606" s="173" t="inlineStr">
        <is>
          <t>金条&amp;白取混发</t>
        </is>
      </c>
      <c r="E2606" s="173" t="inlineStr">
        <is>
          <t>2026东樾4号3期（东樾4-5）</t>
        </is>
      </c>
      <c r="F2606" s="173" t="inlineStr">
        <is>
          <t>银行间</t>
        </is>
      </c>
      <c r="G2606" s="173" t="inlineStr">
        <is>
          <t>招商证券</t>
        </is>
      </c>
      <c r="H2606" s="173" t="inlineStr">
        <is>
          <t>国信证券/光大证券/中信证券</t>
        </is>
      </c>
      <c r="I2606" s="173" t="inlineStr">
        <is>
          <t>工银天分</t>
        </is>
      </c>
      <c r="J2606" s="172" t="n">
        <v>10</v>
      </c>
      <c r="K2606" s="173" t="inlineStr">
        <is>
          <t>22+24</t>
        </is>
      </c>
      <c r="L2606" s="202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中间级</t>
        </is>
      </c>
      <c r="Q2606" s="178" t="n">
        <v>0.04</v>
      </c>
      <c r="R2606" s="179" t="n">
        <v>0.2</v>
      </c>
      <c r="S2606" s="177" t="inlineStr">
        <is>
          <t>AA-</t>
        </is>
      </c>
      <c r="T2606" s="178" t="n">
        <v>0.032</v>
      </c>
      <c r="U2606" s="177" t="inlineStr">
        <is>
          <t>中信证券自营</t>
        </is>
      </c>
      <c r="V2606" s="192" t="n">
        <v>0.1</v>
      </c>
      <c r="W2606" s="172" t="n"/>
      <c r="X2606" s="172" t="n"/>
      <c r="Y2606" s="172" t="n"/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7" t="inlineStr">
        <is>
          <t>受益权</t>
        </is>
      </c>
      <c r="Q2607" s="178" t="n">
        <v>0.05</v>
      </c>
      <c r="R2607" s="179" t="n">
        <v>0.5</v>
      </c>
      <c r="S2607" s="177" t="inlineStr">
        <is>
          <t>无</t>
        </is>
      </c>
      <c r="T2607" s="178" t="n">
        <v>0.0495</v>
      </c>
      <c r="U2607" s="177" t="inlineStr">
        <is>
          <t>中信建投投顾</t>
        </is>
      </c>
      <c r="V2607" s="192" t="n">
        <v>0.2</v>
      </c>
      <c r="W2607" s="172" t="n"/>
      <c r="X2607" s="172" t="n"/>
      <c r="Y2607" s="172" t="n"/>
    </row>
    <row r="2608">
      <c r="A2608" s="172" t="n">
        <v>140</v>
      </c>
      <c r="B2608" s="173" t="inlineStr">
        <is>
          <t>9月</t>
        </is>
      </c>
      <c r="C2608" s="173" t="inlineStr">
        <is>
          <t>消金</t>
        </is>
      </c>
      <c r="D2608" s="173" t="inlineStr">
        <is>
          <t>金条&amp;白取混发</t>
        </is>
      </c>
      <c r="E2608" s="173" t="inlineStr">
        <is>
          <t>2026东樾4号3期（东樾4-5）</t>
        </is>
      </c>
      <c r="F2608" s="173" t="inlineStr">
        <is>
          <t>银行间</t>
        </is>
      </c>
      <c r="G2608" s="173" t="inlineStr">
        <is>
          <t>招商证券</t>
        </is>
      </c>
      <c r="H2608" s="173" t="inlineStr">
        <is>
          <t>国信证券/光大证券/中信证券</t>
        </is>
      </c>
      <c r="I2608" s="173" t="inlineStr">
        <is>
          <t>工银天分</t>
        </is>
      </c>
      <c r="J2608" s="172" t="n">
        <v>10</v>
      </c>
      <c r="K2608" s="173" t="inlineStr">
        <is>
          <t>22+24</t>
        </is>
      </c>
      <c r="L2608" s="202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受益权</t>
        </is>
      </c>
      <c r="Q2608" s="178" t="n">
        <v>0.05</v>
      </c>
      <c r="R2608" s="179" t="n">
        <v>0.5</v>
      </c>
      <c r="S2608" s="177" t="inlineStr">
        <is>
          <t>无</t>
        </is>
      </c>
      <c r="T2608" s="178" t="n">
        <v>0.0495</v>
      </c>
      <c r="U2608" s="177" t="inlineStr">
        <is>
          <t>国泰海通自营</t>
        </is>
      </c>
      <c r="V2608" s="192" t="n">
        <v>0.1</v>
      </c>
      <c r="W2608" s="172" t="n"/>
      <c r="X2608" s="172" t="n"/>
      <c r="Y2608" s="172" t="n"/>
    </row>
    <row r="2609">
      <c r="A2609" s="172" t="n">
        <v>140</v>
      </c>
      <c r="B2609" s="173" t="inlineStr">
        <is>
          <t>9月</t>
        </is>
      </c>
      <c r="C2609" s="173" t="inlineStr">
        <is>
          <t>消金</t>
        </is>
      </c>
      <c r="D2609" s="173" t="inlineStr">
        <is>
          <t>金条&amp;白取混发</t>
        </is>
      </c>
      <c r="E2609" s="173" t="inlineStr">
        <is>
          <t>2026东樾4号3期（东樾4-5）</t>
        </is>
      </c>
      <c r="F2609" s="173" t="inlineStr">
        <is>
          <t>银行间</t>
        </is>
      </c>
      <c r="G2609" s="173" t="inlineStr">
        <is>
          <t>招商证券</t>
        </is>
      </c>
      <c r="H2609" s="173" t="inlineStr">
        <is>
          <t>国信证券/光大证券/中信证券</t>
        </is>
      </c>
      <c r="I2609" s="173" t="inlineStr">
        <is>
          <t>工银天分</t>
        </is>
      </c>
      <c r="J2609" s="172" t="n">
        <v>10</v>
      </c>
      <c r="K2609" s="173" t="inlineStr">
        <is>
          <t>22+24</t>
        </is>
      </c>
      <c r="L2609" s="202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受益权</t>
        </is>
      </c>
      <c r="Q2609" s="178" t="n">
        <v>0.05</v>
      </c>
      <c r="R2609" s="179" t="n">
        <v>0.5</v>
      </c>
      <c r="S2609" s="177" t="inlineStr">
        <is>
          <t>无</t>
        </is>
      </c>
      <c r="T2609" s="178" t="n">
        <v>0.0495</v>
      </c>
      <c r="U2609" s="177" t="inlineStr">
        <is>
          <t>中金投顾</t>
        </is>
      </c>
      <c r="V2609" s="192" t="n">
        <v>0.1</v>
      </c>
      <c r="W2609" s="172" t="n"/>
      <c r="X2609" s="172" t="n"/>
      <c r="Y2609" s="172" t="n"/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受益权</t>
        </is>
      </c>
      <c r="Q2610" s="178" t="n">
        <v>0.05</v>
      </c>
      <c r="R2610" s="179" t="n">
        <v>0.5</v>
      </c>
      <c r="S2610" s="177" t="inlineStr">
        <is>
          <t>无</t>
        </is>
      </c>
      <c r="T2610" s="178" t="n">
        <v>0.0495</v>
      </c>
      <c r="U2610" s="177" t="inlineStr">
        <is>
          <t>西部证券自营</t>
        </is>
      </c>
      <c r="V2610" s="192" t="n">
        <v>0.1</v>
      </c>
      <c r="W2610" s="172" t="n"/>
      <c r="X2610" s="172" t="n"/>
      <c r="Y2610" s="172" t="n"/>
    </row>
    <row r="2611">
      <c r="A2611" s="172" t="n">
        <v>141</v>
      </c>
      <c r="B2611" s="173" t="inlineStr">
        <is>
          <t>9月</t>
        </is>
      </c>
      <c r="C2611" s="173" t="inlineStr">
        <is>
          <t>消金</t>
        </is>
      </c>
      <c r="D2611" s="173" t="inlineStr">
        <is>
          <t>金条&amp;白取混发</t>
        </is>
      </c>
      <c r="E2611" s="173" t="inlineStr">
        <is>
          <t>耘睿28-5</t>
        </is>
      </c>
      <c r="F2611" s="173" t="inlineStr">
        <is>
          <t>上交所</t>
        </is>
      </c>
      <c r="G2611" s="173" t="inlineStr">
        <is>
          <t>财通资管</t>
        </is>
      </c>
      <c r="H2611" s="173" t="inlineStr">
        <is>
          <t>首创证券</t>
        </is>
      </c>
      <c r="I2611" s="173" t="inlineStr">
        <is>
          <t>民生北分</t>
        </is>
      </c>
      <c r="J2611" s="172" t="n">
        <v>10</v>
      </c>
      <c r="K2611" s="173" t="inlineStr">
        <is>
          <t>22+24</t>
        </is>
      </c>
      <c r="L2611" s="202" t="n">
        <v>46268</v>
      </c>
      <c r="M2611" s="175" t="n">
        <v>0.0148</v>
      </c>
      <c r="N2611" s="176" t="n">
        <v>0.02241</v>
      </c>
      <c r="O2611" s="172" t="n">
        <v>2.28</v>
      </c>
      <c r="P2611" s="177" t="inlineStr">
        <is>
          <t>优先A</t>
        </is>
      </c>
      <c r="Q2611" s="178" t="n">
        <v>0.9</v>
      </c>
      <c r="R2611" s="179" t="n">
        <v>9</v>
      </c>
      <c r="S2611" s="177" t="inlineStr">
        <is>
          <t>AAA</t>
        </is>
      </c>
      <c r="T2611" s="178" t="n">
        <v>0.0178</v>
      </c>
      <c r="U2611" s="177" t="inlineStr">
        <is>
          <t>民生理财</t>
        </is>
      </c>
      <c r="V2611" s="192" t="n">
        <v>2.5</v>
      </c>
      <c r="W2611" s="175" t="n">
        <v>0.0174</v>
      </c>
      <c r="X2611" s="172" t="inlineStr">
        <is>
          <t>民生理财</t>
        </is>
      </c>
      <c r="Y2611" s="191" t="n">
        <v>2.7</v>
      </c>
    </row>
    <row r="2612">
      <c r="A2612" s="172" t="n">
        <v>141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耘睿28-5</t>
        </is>
      </c>
      <c r="F2612" s="173" t="inlineStr">
        <is>
          <t>上交所</t>
        </is>
      </c>
      <c r="G2612" s="173" t="inlineStr">
        <is>
          <t>财通资管</t>
        </is>
      </c>
      <c r="H2612" s="173" t="inlineStr">
        <is>
          <t>首创证券</t>
        </is>
      </c>
      <c r="I2612" s="173" t="inlineStr">
        <is>
          <t>民生北分</t>
        </is>
      </c>
      <c r="J2612" s="172" t="n">
        <v>10</v>
      </c>
      <c r="K2612" s="173" t="inlineStr">
        <is>
          <t>22+24</t>
        </is>
      </c>
      <c r="L2612" s="202" t="n">
        <v>46268</v>
      </c>
      <c r="M2612" s="175" t="n">
        <v>0.0148</v>
      </c>
      <c r="N2612" s="176" t="n">
        <v>0.02241</v>
      </c>
      <c r="O2612" s="172" t="n">
        <v>2.28</v>
      </c>
      <c r="P2612" s="172" t="inlineStr">
        <is>
          <t>优先A</t>
        </is>
      </c>
      <c r="Q2612" s="178" t="n">
        <v>0.9</v>
      </c>
      <c r="R2612" s="179" t="n">
        <v>9</v>
      </c>
      <c r="S2612" s="177" t="inlineStr">
        <is>
          <t>AAA</t>
        </is>
      </c>
      <c r="T2612" s="178" t="n">
        <v>0.0178</v>
      </c>
      <c r="U2612" s="177" t="inlineStr">
        <is>
          <t>易方达基金</t>
        </is>
      </c>
      <c r="V2612" s="192" t="n">
        <v>1.1</v>
      </c>
      <c r="W2612" s="175" t="n">
        <v>0.0176</v>
      </c>
      <c r="X2612" s="172" t="inlineStr">
        <is>
          <t>易方达</t>
        </is>
      </c>
      <c r="Y2612" s="191" t="n">
        <v>0.9</v>
      </c>
    </row>
    <row r="2613">
      <c r="A2613" s="172" t="n">
        <v>141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耘睿28-5</t>
        </is>
      </c>
      <c r="F2613" s="172" t="inlineStr">
        <is>
          <t>上交所</t>
        </is>
      </c>
      <c r="G2613" s="172" t="inlineStr">
        <is>
          <t>财通资管</t>
        </is>
      </c>
      <c r="H2613" s="172" t="inlineStr">
        <is>
          <t>首创证券</t>
        </is>
      </c>
      <c r="I2613" s="172" t="inlineStr">
        <is>
          <t>民生北分</t>
        </is>
      </c>
      <c r="J2613" s="172" t="n">
        <v>10</v>
      </c>
      <c r="K2613" s="172" t="inlineStr">
        <is>
          <t>22+24</t>
        </is>
      </c>
      <c r="L2613" s="208" t="n">
        <v>46268</v>
      </c>
      <c r="M2613" s="175" t="n">
        <v>0.0148</v>
      </c>
      <c r="N2613" s="176" t="n">
        <v>0.02241</v>
      </c>
      <c r="O2613" s="172" t="n">
        <v>2.28</v>
      </c>
      <c r="P2613" s="172" t="inlineStr">
        <is>
          <t>优先A</t>
        </is>
      </c>
      <c r="Q2613" s="175" t="n">
        <v>0.9</v>
      </c>
      <c r="R2613" s="192" t="n">
        <v>9</v>
      </c>
      <c r="S2613" s="172" t="inlineStr">
        <is>
          <t>AAA</t>
        </is>
      </c>
      <c r="T2613" s="175" t="n">
        <v>0.0178</v>
      </c>
      <c r="U2613" s="172" t="n"/>
      <c r="V2613" s="172" t="n"/>
      <c r="W2613" s="175" t="n">
        <v>0.0178</v>
      </c>
      <c r="X2613" s="172" t="inlineStr">
        <is>
          <t>易方达</t>
        </is>
      </c>
      <c r="Y2613" s="191" t="n">
        <v>0.3</v>
      </c>
    </row>
    <row r="2614">
      <c r="A2614" s="172" t="n">
        <v>141</v>
      </c>
      <c r="B2614" s="172" t="inlineStr">
        <is>
          <t>9月</t>
        </is>
      </c>
      <c r="C2614" s="172" t="inlineStr">
        <is>
          <t>消金</t>
        </is>
      </c>
      <c r="D2614" s="172" t="inlineStr">
        <is>
          <t>金条&amp;白取混发</t>
        </is>
      </c>
      <c r="E2614" s="172" t="inlineStr">
        <is>
          <t>耘睿28-5</t>
        </is>
      </c>
      <c r="F2614" s="172" t="inlineStr">
        <is>
          <t>上交所</t>
        </is>
      </c>
      <c r="G2614" s="172" t="inlineStr">
        <is>
          <t>财通资管</t>
        </is>
      </c>
      <c r="H2614" s="172" t="inlineStr">
        <is>
          <t>首创证券</t>
        </is>
      </c>
      <c r="I2614" s="172" t="inlineStr">
        <is>
          <t>民生北分</t>
        </is>
      </c>
      <c r="J2614" s="172" t="n">
        <v>10</v>
      </c>
      <c r="K2614" s="172" t="inlineStr">
        <is>
          <t>22+24</t>
        </is>
      </c>
      <c r="L2614" s="208" t="n">
        <v>46268</v>
      </c>
      <c r="M2614" s="175" t="n">
        <v>0.0148</v>
      </c>
      <c r="N2614" s="176" t="n">
        <v>0.02241</v>
      </c>
      <c r="O2614" s="172" t="n">
        <v>2.28</v>
      </c>
      <c r="P2614" s="172" t="inlineStr">
        <is>
          <t>优先A</t>
        </is>
      </c>
      <c r="Q2614" s="175" t="n">
        <v>0.9</v>
      </c>
      <c r="R2614" s="192" t="n">
        <v>9</v>
      </c>
      <c r="S2614" s="172" t="inlineStr">
        <is>
          <t>AAA</t>
        </is>
      </c>
      <c r="T2614" s="175" t="n">
        <v>0.0178</v>
      </c>
      <c r="U2614" s="172" t="n"/>
      <c r="V2614" s="172" t="n"/>
      <c r="W2614" s="175" t="n">
        <v>0.0179</v>
      </c>
      <c r="X2614" s="172" t="inlineStr">
        <is>
          <t>易方达</t>
        </is>
      </c>
      <c r="Y2614" s="191" t="n">
        <v>3.8</v>
      </c>
    </row>
    <row r="2615">
      <c r="A2615" s="172" t="n">
        <v>141</v>
      </c>
      <c r="B2615" s="173" t="inlineStr">
        <is>
          <t>9月</t>
        </is>
      </c>
      <c r="C2615" s="173" t="inlineStr">
        <is>
          <t>消金</t>
        </is>
      </c>
      <c r="D2615" s="173" t="inlineStr">
        <is>
          <t>金条&amp;白取混发</t>
        </is>
      </c>
      <c r="E2615" s="173" t="inlineStr">
        <is>
          <t>耘睿28-5</t>
        </is>
      </c>
      <c r="F2615" s="173" t="inlineStr">
        <is>
          <t>上交所</t>
        </is>
      </c>
      <c r="G2615" s="173" t="inlineStr">
        <is>
          <t>财通资管</t>
        </is>
      </c>
      <c r="H2615" s="173" t="inlineStr">
        <is>
          <t>首创证券</t>
        </is>
      </c>
      <c r="I2615" s="173" t="inlineStr">
        <is>
          <t>民生北分</t>
        </is>
      </c>
      <c r="J2615" s="172" t="n">
        <v>10</v>
      </c>
      <c r="K2615" s="173" t="inlineStr">
        <is>
          <t>22+24</t>
        </is>
      </c>
      <c r="L2615" s="202" t="n">
        <v>46268</v>
      </c>
      <c r="M2615" s="175" t="n">
        <v>0.0148</v>
      </c>
      <c r="N2615" s="176" t="n">
        <v>0.02241</v>
      </c>
      <c r="O2615" s="172" t="n">
        <v>2.28</v>
      </c>
      <c r="P2615" s="172" t="inlineStr">
        <is>
          <t>优先A</t>
        </is>
      </c>
      <c r="Q2615" s="178" t="n">
        <v>0.9</v>
      </c>
      <c r="R2615" s="179" t="n">
        <v>9</v>
      </c>
      <c r="S2615" s="177" t="inlineStr">
        <is>
          <t>AAA</t>
        </is>
      </c>
      <c r="T2615" s="178" t="n">
        <v>0.0178</v>
      </c>
      <c r="U2615" s="177" t="inlineStr">
        <is>
          <t>信银理财</t>
        </is>
      </c>
      <c r="V2615" s="192" t="n">
        <v>2.7</v>
      </c>
      <c r="W2615" s="175" t="n">
        <v>0.0176</v>
      </c>
      <c r="X2615" s="172" t="inlineStr">
        <is>
          <t>信银理财</t>
        </is>
      </c>
      <c r="Y2615" s="191" t="n">
        <v>2.7</v>
      </c>
    </row>
    <row r="2616">
      <c r="A2616" s="172" t="n">
        <v>141</v>
      </c>
      <c r="B2616" s="173" t="inlineStr">
        <is>
          <t>9月</t>
        </is>
      </c>
      <c r="C2616" s="173" t="inlineStr">
        <is>
          <t>消金</t>
        </is>
      </c>
      <c r="D2616" s="173" t="inlineStr">
        <is>
          <t>金条&amp;白取混发</t>
        </is>
      </c>
      <c r="E2616" s="173" t="inlineStr">
        <is>
          <t>耘睿28-5</t>
        </is>
      </c>
      <c r="F2616" s="173" t="inlineStr">
        <is>
          <t>上交所</t>
        </is>
      </c>
      <c r="G2616" s="173" t="inlineStr">
        <is>
          <t>财通资管</t>
        </is>
      </c>
      <c r="H2616" s="173" t="inlineStr">
        <is>
          <t>首创证券</t>
        </is>
      </c>
      <c r="I2616" s="173" t="inlineStr">
        <is>
          <t>民生北分</t>
        </is>
      </c>
      <c r="J2616" s="172" t="n">
        <v>10</v>
      </c>
      <c r="K2616" s="173" t="inlineStr">
        <is>
          <t>22+24</t>
        </is>
      </c>
      <c r="L2616" s="202" t="n">
        <v>46268</v>
      </c>
      <c r="M2616" s="175" t="n">
        <v>0.0148</v>
      </c>
      <c r="N2616" s="176" t="n">
        <v>0.02241</v>
      </c>
      <c r="O2616" s="172" t="n">
        <v>2.28</v>
      </c>
      <c r="P2616" s="172" t="inlineStr">
        <is>
          <t>优先A</t>
        </is>
      </c>
      <c r="Q2616" s="178" t="n">
        <v>0.9</v>
      </c>
      <c r="R2616" s="179" t="n">
        <v>9</v>
      </c>
      <c r="S2616" s="177" t="inlineStr">
        <is>
          <t>AAA</t>
        </is>
      </c>
      <c r="T2616" s="178" t="n">
        <v>0.0178</v>
      </c>
      <c r="U2616" s="177" t="inlineStr">
        <is>
          <t>石嘴山银行</t>
        </is>
      </c>
      <c r="V2616" s="192" t="n">
        <v>0.5</v>
      </c>
      <c r="W2616" s="175" t="n">
        <v>0.0178</v>
      </c>
      <c r="X2616" s="172" t="inlineStr">
        <is>
          <t>石嘴山银行</t>
        </is>
      </c>
      <c r="Y2616" s="191" t="n">
        <v>0.5</v>
      </c>
    </row>
    <row r="2617">
      <c r="A2617" s="172" t="n">
        <v>141</v>
      </c>
      <c r="B2617" s="173" t="inlineStr">
        <is>
          <t>9月</t>
        </is>
      </c>
      <c r="C2617" s="173" t="inlineStr">
        <is>
          <t>消金</t>
        </is>
      </c>
      <c r="D2617" s="173" t="inlineStr">
        <is>
          <t>金条&amp;白取混发</t>
        </is>
      </c>
      <c r="E2617" s="173" t="inlineStr">
        <is>
          <t>耘睿28-5</t>
        </is>
      </c>
      <c r="F2617" s="173" t="inlineStr">
        <is>
          <t>上交所</t>
        </is>
      </c>
      <c r="G2617" s="173" t="inlineStr">
        <is>
          <t>财通资管</t>
        </is>
      </c>
      <c r="H2617" s="173" t="inlineStr">
        <is>
          <t>首创证券</t>
        </is>
      </c>
      <c r="I2617" s="173" t="inlineStr">
        <is>
          <t>民生北分</t>
        </is>
      </c>
      <c r="J2617" s="172" t="n">
        <v>10</v>
      </c>
      <c r="K2617" s="173" t="inlineStr">
        <is>
          <t>22+24</t>
        </is>
      </c>
      <c r="L2617" s="202" t="n">
        <v>46268</v>
      </c>
      <c r="M2617" s="175" t="n">
        <v>0.0148</v>
      </c>
      <c r="N2617" s="176" t="n">
        <v>0.02241</v>
      </c>
      <c r="O2617" s="172" t="n">
        <v>2.28</v>
      </c>
      <c r="P2617" s="172" t="inlineStr">
        <is>
          <t>优先A</t>
        </is>
      </c>
      <c r="Q2617" s="178" t="n">
        <v>0.9</v>
      </c>
      <c r="R2617" s="179" t="n">
        <v>9</v>
      </c>
      <c r="S2617" s="177" t="inlineStr">
        <is>
          <t>AAA</t>
        </is>
      </c>
      <c r="T2617" s="178" t="n">
        <v>0.0178</v>
      </c>
      <c r="U2617" s="177" t="inlineStr">
        <is>
          <t>中信证券投顾</t>
        </is>
      </c>
      <c r="V2617" s="192" t="n">
        <v>0.2</v>
      </c>
      <c r="W2617" s="175" t="n">
        <v>0.0178</v>
      </c>
      <c r="X2617" s="172" t="inlineStr">
        <is>
          <t>中信证券投顾</t>
        </is>
      </c>
      <c r="Y2617" s="191" t="n">
        <v>0.3</v>
      </c>
    </row>
    <row r="2618">
      <c r="A2618" s="172" t="n">
        <v>141</v>
      </c>
      <c r="B2618" s="173" t="inlineStr">
        <is>
          <t>9月</t>
        </is>
      </c>
      <c r="C2618" s="173" t="inlineStr">
        <is>
          <t>消金</t>
        </is>
      </c>
      <c r="D2618" s="173" t="inlineStr">
        <is>
          <t>金条&amp;白取混发</t>
        </is>
      </c>
      <c r="E2618" s="173" t="inlineStr">
        <is>
          <t>耘睿28-5</t>
        </is>
      </c>
      <c r="F2618" s="173" t="inlineStr">
        <is>
          <t>上交所</t>
        </is>
      </c>
      <c r="G2618" s="173" t="inlineStr">
        <is>
          <t>财通资管</t>
        </is>
      </c>
      <c r="H2618" s="173" t="inlineStr">
        <is>
          <t>首创证券</t>
        </is>
      </c>
      <c r="I2618" s="173" t="inlineStr">
        <is>
          <t>民生北分</t>
        </is>
      </c>
      <c r="J2618" s="172" t="n">
        <v>10</v>
      </c>
      <c r="K2618" s="173" t="inlineStr">
        <is>
          <t>22+24</t>
        </is>
      </c>
      <c r="L2618" s="202" t="n">
        <v>46268</v>
      </c>
      <c r="M2618" s="175" t="n">
        <v>0.0148</v>
      </c>
      <c r="N2618" s="176" t="n">
        <v>0.02241</v>
      </c>
      <c r="O2618" s="172" t="n">
        <v>2.28</v>
      </c>
      <c r="P2618" s="172" t="inlineStr">
        <is>
          <t>优先A</t>
        </is>
      </c>
      <c r="Q2618" s="178" t="n">
        <v>0.9</v>
      </c>
      <c r="R2618" s="179" t="n">
        <v>9</v>
      </c>
      <c r="S2618" s="177" t="inlineStr">
        <is>
          <t>AAA</t>
        </is>
      </c>
      <c r="T2618" s="178" t="n">
        <v>0.0178</v>
      </c>
      <c r="U2618" s="177" t="inlineStr">
        <is>
          <t>华夏基金</t>
        </is>
      </c>
      <c r="V2618" s="192" t="n">
        <v>1</v>
      </c>
      <c r="W2618" s="175" t="n">
        <v>0.0178</v>
      </c>
      <c r="X2618" s="172" t="inlineStr">
        <is>
          <t>华夏基金</t>
        </is>
      </c>
      <c r="Y2618" s="191" t="n">
        <v>1.3</v>
      </c>
    </row>
    <row r="2619">
      <c r="A2619" s="172" t="n">
        <v>141</v>
      </c>
      <c r="B2619" s="173" t="inlineStr">
        <is>
          <t>9月</t>
        </is>
      </c>
      <c r="C2619" s="173" t="inlineStr">
        <is>
          <t>消金</t>
        </is>
      </c>
      <c r="D2619" s="173" t="inlineStr">
        <is>
          <t>金条&amp;白取混发</t>
        </is>
      </c>
      <c r="E2619" s="173" t="inlineStr">
        <is>
          <t>耘睿28-5</t>
        </is>
      </c>
      <c r="F2619" s="173" t="inlineStr">
        <is>
          <t>上交所</t>
        </is>
      </c>
      <c r="G2619" s="173" t="inlineStr">
        <is>
          <t>财通资管</t>
        </is>
      </c>
      <c r="H2619" s="173" t="inlineStr">
        <is>
          <t>首创证券</t>
        </is>
      </c>
      <c r="I2619" s="173" t="inlineStr">
        <is>
          <t>民生北分</t>
        </is>
      </c>
      <c r="J2619" s="172" t="n">
        <v>10</v>
      </c>
      <c r="K2619" s="173" t="inlineStr">
        <is>
          <t>22+24</t>
        </is>
      </c>
      <c r="L2619" s="202" t="n">
        <v>46268</v>
      </c>
      <c r="M2619" s="175" t="n">
        <v>0.0148</v>
      </c>
      <c r="N2619" s="176" t="n">
        <v>0.02241</v>
      </c>
      <c r="O2619" s="172" t="n">
        <v>2.28</v>
      </c>
      <c r="P2619" s="172" t="inlineStr">
        <is>
          <t>优先A</t>
        </is>
      </c>
      <c r="Q2619" s="178" t="n">
        <v>0.9</v>
      </c>
      <c r="R2619" s="179" t="n">
        <v>9</v>
      </c>
      <c r="S2619" s="177" t="inlineStr">
        <is>
          <t>AAA</t>
        </is>
      </c>
      <c r="T2619" s="178" t="n">
        <v>0.0178</v>
      </c>
      <c r="U2619" s="177" t="inlineStr">
        <is>
          <t>上银理财</t>
        </is>
      </c>
      <c r="V2619" s="192" t="n">
        <v>1</v>
      </c>
      <c r="W2619" s="175" t="n">
        <v>0.0178</v>
      </c>
      <c r="X2619" s="172" t="inlineStr">
        <is>
          <t>上银理财</t>
        </is>
      </c>
      <c r="Y2619" s="191" t="n">
        <v>1.4</v>
      </c>
    </row>
    <row r="2620">
      <c r="A2620" s="172" t="n">
        <v>141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耘睿28-5</t>
        </is>
      </c>
      <c r="F2620" s="172" t="inlineStr">
        <is>
          <t>上交所</t>
        </is>
      </c>
      <c r="G2620" s="172" t="inlineStr">
        <is>
          <t>财通资管</t>
        </is>
      </c>
      <c r="H2620" s="172" t="inlineStr">
        <is>
          <t>首创证券</t>
        </is>
      </c>
      <c r="I2620" s="172" t="inlineStr">
        <is>
          <t>民生北分</t>
        </is>
      </c>
      <c r="J2620" s="172" t="n">
        <v>10</v>
      </c>
      <c r="K2620" s="172" t="inlineStr">
        <is>
          <t>22+24</t>
        </is>
      </c>
      <c r="L2620" s="208" t="n">
        <v>46268</v>
      </c>
      <c r="M2620" s="175" t="n">
        <v>0.0148</v>
      </c>
      <c r="N2620" s="176" t="n">
        <v>0.02241</v>
      </c>
      <c r="O2620" s="172" t="n">
        <v>2.28</v>
      </c>
      <c r="P2620" s="172" t="inlineStr">
        <is>
          <t>优先A</t>
        </is>
      </c>
      <c r="Q2620" s="175" t="n">
        <v>0.9</v>
      </c>
      <c r="R2620" s="192" t="n">
        <v>9</v>
      </c>
      <c r="S2620" s="172" t="inlineStr">
        <is>
          <t>AAA</t>
        </is>
      </c>
      <c r="T2620" s="175" t="n">
        <v>0.0178</v>
      </c>
      <c r="U2620" s="172" t="n"/>
      <c r="V2620" s="172" t="n"/>
      <c r="W2620" s="175" t="n">
        <v>0.0185</v>
      </c>
      <c r="X2620" s="172" t="inlineStr">
        <is>
          <t>建投衍生品</t>
        </is>
      </c>
      <c r="Y2620" s="191" t="n">
        <v>1</v>
      </c>
    </row>
    <row r="2621">
      <c r="A2621" s="172" t="n">
        <v>141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耘睿28-5</t>
        </is>
      </c>
      <c r="F2621" s="172" t="inlineStr">
        <is>
          <t>上交所</t>
        </is>
      </c>
      <c r="G2621" s="172" t="inlineStr">
        <is>
          <t>财通资管</t>
        </is>
      </c>
      <c r="H2621" s="172" t="inlineStr">
        <is>
          <t>首创证券</t>
        </is>
      </c>
      <c r="I2621" s="172" t="inlineStr">
        <is>
          <t>民生北分</t>
        </is>
      </c>
      <c r="J2621" s="172" t="n">
        <v>10</v>
      </c>
      <c r="K2621" s="172" t="inlineStr">
        <is>
          <t>22+24</t>
        </is>
      </c>
      <c r="L2621" s="208" t="n">
        <v>46268</v>
      </c>
      <c r="M2621" s="175" t="n">
        <v>0.0148</v>
      </c>
      <c r="N2621" s="176" t="n">
        <v>0.02241</v>
      </c>
      <c r="O2621" s="172" t="n">
        <v>2.28</v>
      </c>
      <c r="P2621" s="172" t="inlineStr">
        <is>
          <t>优先A</t>
        </is>
      </c>
      <c r="Q2621" s="175" t="n">
        <v>0.9</v>
      </c>
      <c r="R2621" s="192" t="n">
        <v>9</v>
      </c>
      <c r="S2621" s="172" t="inlineStr">
        <is>
          <t>AAA</t>
        </is>
      </c>
      <c r="T2621" s="175" t="n">
        <v>0.0178</v>
      </c>
      <c r="U2621" s="172" t="n"/>
      <c r="V2621" s="172" t="n"/>
      <c r="W2621" s="175" t="n">
        <v>0.0185</v>
      </c>
      <c r="X2621" s="172" t="inlineStr">
        <is>
          <t>利曦基金</t>
        </is>
      </c>
      <c r="Y2621" s="191" t="n">
        <v>2</v>
      </c>
    </row>
    <row r="2622">
      <c r="A2622" s="172" t="n">
        <v>141</v>
      </c>
      <c r="B2622" s="172" t="inlineStr">
        <is>
          <t>9月</t>
        </is>
      </c>
      <c r="C2622" s="172" t="inlineStr">
        <is>
          <t>消金</t>
        </is>
      </c>
      <c r="D2622" s="172" t="inlineStr">
        <is>
          <t>金条&amp;白取混发</t>
        </is>
      </c>
      <c r="E2622" s="172" t="inlineStr">
        <is>
          <t>耘睿28-5</t>
        </is>
      </c>
      <c r="F2622" s="172" t="inlineStr">
        <is>
          <t>上交所</t>
        </is>
      </c>
      <c r="G2622" s="172" t="inlineStr">
        <is>
          <t>财通资管</t>
        </is>
      </c>
      <c r="H2622" s="172" t="inlineStr">
        <is>
          <t>首创证券</t>
        </is>
      </c>
      <c r="I2622" s="172" t="inlineStr">
        <is>
          <t>民生北分</t>
        </is>
      </c>
      <c r="J2622" s="172" t="n">
        <v>10</v>
      </c>
      <c r="K2622" s="172" t="inlineStr">
        <is>
          <t>22+24</t>
        </is>
      </c>
      <c r="L2622" s="208" t="n">
        <v>46268</v>
      </c>
      <c r="M2622" s="175" t="n">
        <v>0.0148</v>
      </c>
      <c r="N2622" s="176" t="n">
        <v>0.02241</v>
      </c>
      <c r="O2622" s="172" t="n">
        <v>2.28</v>
      </c>
      <c r="P2622" s="172" t="inlineStr">
        <is>
          <t>优先A</t>
        </is>
      </c>
      <c r="Q2622" s="175" t="n">
        <v>0.9</v>
      </c>
      <c r="R2622" s="192" t="n">
        <v>9</v>
      </c>
      <c r="S2622" s="172" t="inlineStr">
        <is>
          <t>AAA</t>
        </is>
      </c>
      <c r="T2622" s="175" t="n">
        <v>0.0178</v>
      </c>
      <c r="U2622" s="172" t="n"/>
      <c r="V2622" s="172" t="n"/>
      <c r="W2622" s="175" t="n">
        <v>0.0185</v>
      </c>
      <c r="X2622" s="172" t="inlineStr">
        <is>
          <t>财通资管</t>
        </is>
      </c>
      <c r="Y2622" s="191" t="n">
        <v>1.4</v>
      </c>
    </row>
    <row r="2623">
      <c r="A2623" s="172" t="n">
        <v>141</v>
      </c>
      <c r="B2623" s="172" t="inlineStr">
        <is>
          <t>9月</t>
        </is>
      </c>
      <c r="C2623" s="172" t="inlineStr">
        <is>
          <t>消金</t>
        </is>
      </c>
      <c r="D2623" s="172" t="inlineStr">
        <is>
          <t>金条&amp;白取混发</t>
        </is>
      </c>
      <c r="E2623" s="172" t="inlineStr">
        <is>
          <t>耘睿28-5</t>
        </is>
      </c>
      <c r="F2623" s="172" t="inlineStr">
        <is>
          <t>上交所</t>
        </is>
      </c>
      <c r="G2623" s="172" t="inlineStr">
        <is>
          <t>财通资管</t>
        </is>
      </c>
      <c r="H2623" s="172" t="inlineStr">
        <is>
          <t>首创证券</t>
        </is>
      </c>
      <c r="I2623" s="172" t="inlineStr">
        <is>
          <t>民生北分</t>
        </is>
      </c>
      <c r="J2623" s="172" t="n">
        <v>10</v>
      </c>
      <c r="K2623" s="172" t="inlineStr">
        <is>
          <t>22+24</t>
        </is>
      </c>
      <c r="L2623" s="208" t="n">
        <v>46268</v>
      </c>
      <c r="M2623" s="175" t="n">
        <v>0.0148</v>
      </c>
      <c r="N2623" s="176" t="n">
        <v>0.02241</v>
      </c>
      <c r="O2623" s="172" t="n">
        <v>2.28</v>
      </c>
      <c r="P2623" s="172" t="inlineStr">
        <is>
          <t>优先A</t>
        </is>
      </c>
      <c r="Q2623" s="175" t="n">
        <v>0.9</v>
      </c>
      <c r="R2623" s="192" t="n">
        <v>9</v>
      </c>
      <c r="S2623" s="172" t="inlineStr">
        <is>
          <t>AAA</t>
        </is>
      </c>
      <c r="T2623" s="175" t="n">
        <v>0.0178</v>
      </c>
      <c r="U2623" s="172" t="n"/>
      <c r="V2623" s="172" t="n"/>
      <c r="W2623" s="175" t="n">
        <v>0.025</v>
      </c>
      <c r="X2623" s="172" t="inlineStr">
        <is>
          <t>首创自营</t>
        </is>
      </c>
      <c r="Y2623" s="191" t="n">
        <v>0.9</v>
      </c>
    </row>
    <row r="2624">
      <c r="A2624" s="172" t="n">
        <v>141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耘睿28-5</t>
        </is>
      </c>
      <c r="F2624" s="173" t="inlineStr">
        <is>
          <t>上交所</t>
        </is>
      </c>
      <c r="G2624" s="173" t="inlineStr">
        <is>
          <t>财通资管</t>
        </is>
      </c>
      <c r="H2624" s="173" t="inlineStr">
        <is>
          <t>首创证券</t>
        </is>
      </c>
      <c r="I2624" s="173" t="inlineStr">
        <is>
          <t>民生北分</t>
        </is>
      </c>
      <c r="J2624" s="172" t="n">
        <v>10</v>
      </c>
      <c r="K2624" s="173" t="inlineStr">
        <is>
          <t>22+24</t>
        </is>
      </c>
      <c r="L2624" s="202" t="n">
        <v>46268</v>
      </c>
      <c r="M2624" s="175" t="n">
        <v>0.0148</v>
      </c>
      <c r="N2624" s="176" t="n">
        <v>0.02241</v>
      </c>
      <c r="O2624" s="172" t="n">
        <v>2.28</v>
      </c>
      <c r="P2624" s="177" t="inlineStr">
        <is>
          <t>优先B</t>
        </is>
      </c>
      <c r="Q2624" s="178" t="n">
        <v>0.03</v>
      </c>
      <c r="R2624" s="179" t="n">
        <v>0.3</v>
      </c>
      <c r="S2624" s="177" t="inlineStr">
        <is>
          <t>AA+</t>
        </is>
      </c>
      <c r="T2624" s="178" t="n">
        <v>0.0192</v>
      </c>
      <c r="U2624" s="177" t="inlineStr">
        <is>
          <t>民生理财</t>
        </is>
      </c>
      <c r="V2624" s="192" t="n">
        <v>0.09</v>
      </c>
      <c r="W2624" s="175" t="n">
        <v>0.0175</v>
      </c>
      <c r="X2624" s="172" t="inlineStr">
        <is>
          <t>民生理财</t>
        </is>
      </c>
      <c r="Y2624" s="191" t="n">
        <v>0.09</v>
      </c>
    </row>
    <row r="2625">
      <c r="A2625" s="172" t="n">
        <v>141</v>
      </c>
      <c r="B2625" s="173" t="inlineStr">
        <is>
          <t>9月</t>
        </is>
      </c>
      <c r="C2625" s="173" t="inlineStr">
        <is>
          <t>消金</t>
        </is>
      </c>
      <c r="D2625" s="173" t="inlineStr">
        <is>
          <t>金条&amp;白取混发</t>
        </is>
      </c>
      <c r="E2625" s="173" t="inlineStr">
        <is>
          <t>耘睿28-5</t>
        </is>
      </c>
      <c r="F2625" s="173" t="inlineStr">
        <is>
          <t>上交所</t>
        </is>
      </c>
      <c r="G2625" s="173" t="inlineStr">
        <is>
          <t>财通资管</t>
        </is>
      </c>
      <c r="H2625" s="173" t="inlineStr">
        <is>
          <t>首创证券</t>
        </is>
      </c>
      <c r="I2625" s="173" t="inlineStr">
        <is>
          <t>民生北分</t>
        </is>
      </c>
      <c r="J2625" s="172" t="n">
        <v>10</v>
      </c>
      <c r="K2625" s="173" t="inlineStr">
        <is>
          <t>22+24</t>
        </is>
      </c>
      <c r="L2625" s="202" t="n">
        <v>46268</v>
      </c>
      <c r="M2625" s="175" t="n">
        <v>0.0148</v>
      </c>
      <c r="N2625" s="176" t="n">
        <v>0.02241</v>
      </c>
      <c r="O2625" s="172" t="n">
        <v>2.28</v>
      </c>
      <c r="P2625" s="172" t="inlineStr">
        <is>
          <t>优先B</t>
        </is>
      </c>
      <c r="Q2625" s="178" t="n">
        <v>0.03</v>
      </c>
      <c r="R2625" s="179" t="n">
        <v>0.3</v>
      </c>
      <c r="S2625" s="177" t="inlineStr">
        <is>
          <t>AA+</t>
        </is>
      </c>
      <c r="T2625" s="178" t="n">
        <v>0.0192</v>
      </c>
      <c r="U2625" s="177" t="inlineStr">
        <is>
          <t>中金自营</t>
        </is>
      </c>
      <c r="V2625" s="192" t="n">
        <v>0.07000000000000001</v>
      </c>
      <c r="W2625" s="175" t="n">
        <v>0.0192</v>
      </c>
      <c r="X2625" s="172" t="inlineStr">
        <is>
          <t>中金自营</t>
        </is>
      </c>
      <c r="Y2625" s="191" t="n">
        <v>0.2</v>
      </c>
    </row>
    <row r="2626">
      <c r="A2626" s="172" t="n">
        <v>141</v>
      </c>
      <c r="B2626" s="173" t="inlineStr">
        <is>
          <t>9月</t>
        </is>
      </c>
      <c r="C2626" s="173" t="inlineStr">
        <is>
          <t>消金</t>
        </is>
      </c>
      <c r="D2626" s="173" t="inlineStr">
        <is>
          <t>金条&amp;白取混发</t>
        </is>
      </c>
      <c r="E2626" s="173" t="inlineStr">
        <is>
          <t>耘睿28-5</t>
        </is>
      </c>
      <c r="F2626" s="173" t="inlineStr">
        <is>
          <t>上交所</t>
        </is>
      </c>
      <c r="G2626" s="173" t="inlineStr">
        <is>
          <t>财通资管</t>
        </is>
      </c>
      <c r="H2626" s="173" t="inlineStr">
        <is>
          <t>首创证券</t>
        </is>
      </c>
      <c r="I2626" s="173" t="inlineStr">
        <is>
          <t>民生北分</t>
        </is>
      </c>
      <c r="J2626" s="172" t="n">
        <v>10</v>
      </c>
      <c r="K2626" s="173" t="inlineStr">
        <is>
          <t>22+24</t>
        </is>
      </c>
      <c r="L2626" s="202" t="n">
        <v>46268</v>
      </c>
      <c r="M2626" s="175" t="n">
        <v>0.0148</v>
      </c>
      <c r="N2626" s="176" t="n">
        <v>0.02241</v>
      </c>
      <c r="O2626" s="172" t="n">
        <v>2.28</v>
      </c>
      <c r="P2626" s="172" t="inlineStr">
        <is>
          <t>优先B</t>
        </is>
      </c>
      <c r="Q2626" s="178" t="n">
        <v>0.03</v>
      </c>
      <c r="R2626" s="179" t="n">
        <v>0.3</v>
      </c>
      <c r="S2626" s="177" t="inlineStr">
        <is>
          <t>AA+</t>
        </is>
      </c>
      <c r="T2626" s="178" t="n">
        <v>0.0192</v>
      </c>
      <c r="U2626" s="177" t="inlineStr">
        <is>
          <t>中信证券自营</t>
        </is>
      </c>
      <c r="V2626" s="192" t="n">
        <v>0.11</v>
      </c>
      <c r="W2626" s="175" t="n">
        <v>0.0192</v>
      </c>
      <c r="X2626" s="172" t="inlineStr">
        <is>
          <t>中信证券自营</t>
        </is>
      </c>
      <c r="Y2626" s="191" t="n">
        <v>0.3</v>
      </c>
    </row>
    <row r="2627">
      <c r="A2627" s="172" t="n">
        <v>141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耘睿28-5</t>
        </is>
      </c>
      <c r="F2627" s="173" t="inlineStr">
        <is>
          <t>上交所</t>
        </is>
      </c>
      <c r="G2627" s="173" t="inlineStr">
        <is>
          <t>财通资管</t>
        </is>
      </c>
      <c r="H2627" s="173" t="inlineStr">
        <is>
          <t>首创证券</t>
        </is>
      </c>
      <c r="I2627" s="173" t="inlineStr">
        <is>
          <t>民生北分</t>
        </is>
      </c>
      <c r="J2627" s="172" t="n">
        <v>10</v>
      </c>
      <c r="K2627" s="173" t="inlineStr">
        <is>
          <t>22+24</t>
        </is>
      </c>
      <c r="L2627" s="202" t="n">
        <v>46268</v>
      </c>
      <c r="M2627" s="175" t="n">
        <v>0.0148</v>
      </c>
      <c r="N2627" s="176" t="n">
        <v>0.02241</v>
      </c>
      <c r="O2627" s="172" t="n">
        <v>2.28</v>
      </c>
      <c r="P2627" s="172" t="inlineStr">
        <is>
          <t>优先B</t>
        </is>
      </c>
      <c r="Q2627" s="178" t="n">
        <v>0.03</v>
      </c>
      <c r="R2627" s="179" t="n">
        <v>0.3</v>
      </c>
      <c r="S2627" s="177" t="inlineStr">
        <is>
          <t>AA+</t>
        </is>
      </c>
      <c r="T2627" s="178" t="n">
        <v>0.0192</v>
      </c>
      <c r="U2627" s="177" t="inlineStr">
        <is>
          <t>中信证券投顾</t>
        </is>
      </c>
      <c r="V2627" s="192" t="n">
        <v>0.03</v>
      </c>
      <c r="W2627" s="175" t="n">
        <v>0.0192</v>
      </c>
      <c r="X2627" s="172" t="inlineStr">
        <is>
          <t>中信证券投顾</t>
        </is>
      </c>
      <c r="Y2627" s="191" t="n">
        <v>0.09</v>
      </c>
    </row>
    <row r="2628">
      <c r="A2628" s="172" t="n">
        <v>141</v>
      </c>
      <c r="B2628" s="172" t="inlineStr">
        <is>
          <t>9月</t>
        </is>
      </c>
      <c r="C2628" s="172" t="inlineStr">
        <is>
          <t>消金</t>
        </is>
      </c>
      <c r="D2628" s="172" t="inlineStr">
        <is>
          <t>金条&amp;白取混发</t>
        </is>
      </c>
      <c r="E2628" s="172" t="inlineStr">
        <is>
          <t>耘睿28-5</t>
        </is>
      </c>
      <c r="F2628" s="172" t="inlineStr">
        <is>
          <t>上交所</t>
        </is>
      </c>
      <c r="G2628" s="172" t="inlineStr">
        <is>
          <t>财通资管</t>
        </is>
      </c>
      <c r="H2628" s="172" t="inlineStr">
        <is>
          <t>首创证券</t>
        </is>
      </c>
      <c r="I2628" s="172" t="inlineStr">
        <is>
          <t>民生北分</t>
        </is>
      </c>
      <c r="J2628" s="172" t="n">
        <v>10</v>
      </c>
      <c r="K2628" s="172" t="inlineStr">
        <is>
          <t>22+24</t>
        </is>
      </c>
      <c r="L2628" s="208" t="n">
        <v>46268</v>
      </c>
      <c r="M2628" s="175" t="n">
        <v>0.0148</v>
      </c>
      <c r="N2628" s="176" t="n">
        <v>0.02241</v>
      </c>
      <c r="O2628" s="172" t="n">
        <v>2.28</v>
      </c>
      <c r="P2628" s="172" t="inlineStr">
        <is>
          <t>优先B</t>
        </is>
      </c>
      <c r="Q2628" s="175" t="n">
        <v>0.03</v>
      </c>
      <c r="R2628" s="192" t="n">
        <v>0.3</v>
      </c>
      <c r="S2628" s="172" t="inlineStr">
        <is>
          <t>AA+</t>
        </is>
      </c>
      <c r="T2628" s="175" t="n">
        <v>0.0192</v>
      </c>
      <c r="U2628" s="172" t="n"/>
      <c r="V2628" s="172" t="n"/>
      <c r="W2628" s="175" t="n">
        <v>0.027</v>
      </c>
      <c r="X2628" s="172" t="inlineStr">
        <is>
          <t>财通资管</t>
        </is>
      </c>
      <c r="Y2628" s="191" t="n">
        <v>0.1</v>
      </c>
    </row>
    <row r="2629">
      <c r="A2629" s="172" t="n">
        <v>141</v>
      </c>
      <c r="B2629" s="172" t="inlineStr">
        <is>
          <t>9月</t>
        </is>
      </c>
      <c r="C2629" s="172" t="inlineStr">
        <is>
          <t>消金</t>
        </is>
      </c>
      <c r="D2629" s="172" t="inlineStr">
        <is>
          <t>金条&amp;白取混发</t>
        </is>
      </c>
      <c r="E2629" s="172" t="inlineStr">
        <is>
          <t>耘睿28-5</t>
        </is>
      </c>
      <c r="F2629" s="172" t="inlineStr">
        <is>
          <t>上交所</t>
        </is>
      </c>
      <c r="G2629" s="172" t="inlineStr">
        <is>
          <t>财通资管</t>
        </is>
      </c>
      <c r="H2629" s="172" t="inlineStr">
        <is>
          <t>首创证券</t>
        </is>
      </c>
      <c r="I2629" s="172" t="inlineStr">
        <is>
          <t>民生北分</t>
        </is>
      </c>
      <c r="J2629" s="172" t="n">
        <v>10</v>
      </c>
      <c r="K2629" s="172" t="inlineStr">
        <is>
          <t>22+24</t>
        </is>
      </c>
      <c r="L2629" s="208" t="n">
        <v>46268</v>
      </c>
      <c r="M2629" s="175" t="n">
        <v>0.0148</v>
      </c>
      <c r="N2629" s="176" t="n">
        <v>0.02241</v>
      </c>
      <c r="O2629" s="172" t="n">
        <v>2.28</v>
      </c>
      <c r="P2629" s="172" t="inlineStr">
        <is>
          <t>优先B</t>
        </is>
      </c>
      <c r="Q2629" s="175" t="n">
        <v>0.03</v>
      </c>
      <c r="R2629" s="192" t="n">
        <v>0.3</v>
      </c>
      <c r="S2629" s="172" t="inlineStr">
        <is>
          <t>AA+</t>
        </is>
      </c>
      <c r="T2629" s="175" t="n">
        <v>0.0192</v>
      </c>
      <c r="U2629" s="172" t="n"/>
      <c r="V2629" s="172" t="n"/>
      <c r="W2629" s="175" t="n">
        <v>0.027</v>
      </c>
      <c r="X2629" s="172" t="inlineStr">
        <is>
          <t>首创自营</t>
        </is>
      </c>
      <c r="Y2629" s="191" t="n">
        <v>0.03</v>
      </c>
    </row>
    <row r="2630">
      <c r="A2630" s="172" t="n">
        <v>141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耘睿28-5</t>
        </is>
      </c>
      <c r="F2630" s="173" t="inlineStr">
        <is>
          <t>上交所</t>
        </is>
      </c>
      <c r="G2630" s="173" t="inlineStr">
        <is>
          <t>财通资管</t>
        </is>
      </c>
      <c r="H2630" s="173" t="inlineStr">
        <is>
          <t>首创证券</t>
        </is>
      </c>
      <c r="I2630" s="173" t="inlineStr">
        <is>
          <t>民生北分</t>
        </is>
      </c>
      <c r="J2630" s="172" t="n">
        <v>10</v>
      </c>
      <c r="K2630" s="173" t="inlineStr">
        <is>
          <t>22+24</t>
        </is>
      </c>
      <c r="L2630" s="202" t="n">
        <v>46268</v>
      </c>
      <c r="M2630" s="175" t="n">
        <v>0.0148</v>
      </c>
      <c r="N2630" s="176" t="n">
        <v>0.02241</v>
      </c>
      <c r="O2630" s="172" t="n">
        <v>2.28</v>
      </c>
      <c r="P2630" s="177" t="inlineStr">
        <is>
          <t>中间级</t>
        </is>
      </c>
      <c r="Q2630" s="178" t="n">
        <v>0.02</v>
      </c>
      <c r="R2630" s="179" t="n">
        <v>0.2</v>
      </c>
      <c r="S2630" s="177" t="inlineStr">
        <is>
          <t>AA-</t>
        </is>
      </c>
      <c r="T2630" s="178" t="n">
        <v>0.032</v>
      </c>
      <c r="U2630" s="177" t="inlineStr">
        <is>
          <t>中金财富</t>
        </is>
      </c>
      <c r="V2630" s="192" t="n">
        <v>0.1</v>
      </c>
      <c r="W2630" s="172" t="n"/>
      <c r="X2630" s="172" t="n"/>
      <c r="Y2630" s="172" t="n"/>
    </row>
    <row r="2631">
      <c r="A2631" s="172" t="n">
        <v>141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耘睿28-5</t>
        </is>
      </c>
      <c r="F2631" s="173" t="inlineStr">
        <is>
          <t>上交所</t>
        </is>
      </c>
      <c r="G2631" s="173" t="inlineStr">
        <is>
          <t>财通资管</t>
        </is>
      </c>
      <c r="H2631" s="173" t="inlineStr">
        <is>
          <t>首创证券</t>
        </is>
      </c>
      <c r="I2631" s="173" t="inlineStr">
        <is>
          <t>民生北分</t>
        </is>
      </c>
      <c r="J2631" s="172" t="n">
        <v>10</v>
      </c>
      <c r="K2631" s="173" t="inlineStr">
        <is>
          <t>22+24</t>
        </is>
      </c>
      <c r="L2631" s="202" t="n">
        <v>46268</v>
      </c>
      <c r="M2631" s="175" t="n">
        <v>0.0148</v>
      </c>
      <c r="N2631" s="176" t="n">
        <v>0.02241</v>
      </c>
      <c r="O2631" s="172" t="n">
        <v>2.28</v>
      </c>
      <c r="P2631" s="172" t="inlineStr">
        <is>
          <t>中间级</t>
        </is>
      </c>
      <c r="Q2631" s="178" t="n">
        <v>0.02</v>
      </c>
      <c r="R2631" s="179" t="n">
        <v>0.2</v>
      </c>
      <c r="S2631" s="177" t="inlineStr">
        <is>
          <t>AA-</t>
        </is>
      </c>
      <c r="T2631" s="178" t="n">
        <v>0.032</v>
      </c>
      <c r="U2631" s="177" t="inlineStr">
        <is>
          <t>中信证券自营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141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耘睿28-5</t>
        </is>
      </c>
      <c r="F2632" s="173" t="inlineStr">
        <is>
          <t>上交所</t>
        </is>
      </c>
      <c r="G2632" s="173" t="inlineStr">
        <is>
          <t>财通资管</t>
        </is>
      </c>
      <c r="H2632" s="173" t="inlineStr">
        <is>
          <t>首创证券</t>
        </is>
      </c>
      <c r="I2632" s="173" t="inlineStr">
        <is>
          <t>民生北分</t>
        </is>
      </c>
      <c r="J2632" s="172" t="n">
        <v>10</v>
      </c>
      <c r="K2632" s="173" t="inlineStr">
        <is>
          <t>22+24</t>
        </is>
      </c>
      <c r="L2632" s="202" t="n">
        <v>46268</v>
      </c>
      <c r="M2632" s="175" t="n">
        <v>0.0148</v>
      </c>
      <c r="N2632" s="176" t="n">
        <v>0.02241</v>
      </c>
      <c r="O2632" s="172" t="n">
        <v>2.28</v>
      </c>
      <c r="P2632" s="177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国信证券自营</t>
        </is>
      </c>
      <c r="V2632" s="192" t="n">
        <v>0.1</v>
      </c>
      <c r="W2632" s="172" t="n"/>
      <c r="X2632" s="172" t="n"/>
      <c r="Y2632" s="172" t="n"/>
    </row>
    <row r="2633">
      <c r="A2633" s="172" t="n">
        <v>141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耘睿28-5</t>
        </is>
      </c>
      <c r="F2633" s="173" t="inlineStr">
        <is>
          <t>上交所</t>
        </is>
      </c>
      <c r="G2633" s="173" t="inlineStr">
        <is>
          <t>财通资管</t>
        </is>
      </c>
      <c r="H2633" s="173" t="inlineStr">
        <is>
          <t>首创证券</t>
        </is>
      </c>
      <c r="I2633" s="173" t="inlineStr">
        <is>
          <t>民生北分</t>
        </is>
      </c>
      <c r="J2633" s="172" t="n">
        <v>10</v>
      </c>
      <c r="K2633" s="173" t="inlineStr">
        <is>
          <t>22+24</t>
        </is>
      </c>
      <c r="L2633" s="202" t="n">
        <v>46268</v>
      </c>
      <c r="M2633" s="175" t="n">
        <v>0.0148</v>
      </c>
      <c r="N2633" s="176" t="n">
        <v>0.02241</v>
      </c>
      <c r="O2633" s="172" t="n">
        <v>2.28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朗姿韩亚</t>
        </is>
      </c>
      <c r="V2633" s="192" t="n">
        <v>0.2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0.02241</v>
      </c>
      <c r="O2634" s="172" t="n">
        <v>2.28</v>
      </c>
      <c r="P2634" s="172" t="inlineStr">
        <is>
          <t>受益权</t>
        </is>
      </c>
      <c r="Q2634" s="178" t="n">
        <v>0.05</v>
      </c>
      <c r="R2634" s="179" t="n">
        <v>0.5</v>
      </c>
      <c r="S2634" s="177" t="inlineStr">
        <is>
          <t>无</t>
        </is>
      </c>
      <c r="T2634" s="178" t="n">
        <v>0.0495</v>
      </c>
      <c r="U2634" s="177" t="inlineStr">
        <is>
          <t>西部证券自营</t>
        </is>
      </c>
      <c r="V2634" s="192" t="n">
        <v>0.2</v>
      </c>
      <c r="W2634" s="172" t="n"/>
      <c r="X2634" s="172" t="n"/>
      <c r="Y2634" s="172" t="n"/>
    </row>
    <row r="2635">
      <c r="A2635" s="172" t="n">
        <v>142</v>
      </c>
      <c r="B2635" s="172" t="inlineStr">
        <is>
          <t>9月</t>
        </is>
      </c>
      <c r="C2635" s="172" t="inlineStr">
        <is>
          <t>企金</t>
        </is>
      </c>
      <c r="D2635" s="172" t="inlineStr">
        <is>
          <t>小贷企业主贷</t>
        </is>
      </c>
      <c r="E2635" s="172" t="inlineStr">
        <is>
          <t>盛赢4-5</t>
        </is>
      </c>
      <c r="F2635" s="172" t="inlineStr">
        <is>
          <t>上交所</t>
        </is>
      </c>
      <c r="G2635" s="172" t="inlineStr">
        <is>
          <t>财通资管</t>
        </is>
      </c>
      <c r="H2635" s="172" t="inlineStr">
        <is>
          <t>华福证券</t>
        </is>
      </c>
      <c r="I2635" s="172" t="inlineStr">
        <is>
          <t>招行北分</t>
        </is>
      </c>
      <c r="J2635" s="172" t="n">
        <v>8</v>
      </c>
      <c r="K2635" s="172" t="inlineStr">
        <is>
          <t>9+24</t>
        </is>
      </c>
      <c r="L2635" s="202" t="n">
        <v>46269</v>
      </c>
      <c r="M2635" s="175" t="n">
        <v>0.0148</v>
      </c>
      <c r="N2635" s="176" t="n">
        <v>0.0194</v>
      </c>
      <c r="O2635" s="191" t="n">
        <v>2.54</v>
      </c>
      <c r="P2635" s="172" t="inlineStr">
        <is>
          <t>优先A</t>
        </is>
      </c>
      <c r="Q2635" s="175" t="n">
        <v>0.83</v>
      </c>
      <c r="R2635" s="192">
        <f>J1706*Q1706</f>
        <v/>
      </c>
      <c r="S2635" s="172" t="inlineStr">
        <is>
          <t>AAA</t>
        </is>
      </c>
      <c r="T2635" s="175" t="n">
        <v>0.0165</v>
      </c>
      <c r="U2635" s="172" t="inlineStr">
        <is>
          <t>信银理财</t>
        </is>
      </c>
      <c r="V2635" s="191" t="n">
        <v>1.99</v>
      </c>
      <c r="W2635" s="175" t="n">
        <v>0.0156</v>
      </c>
      <c r="X2635" s="172" t="inlineStr">
        <is>
          <t>信银理财</t>
        </is>
      </c>
      <c r="Y2635" s="191" t="n">
        <v>1.4</v>
      </c>
    </row>
    <row r="2636">
      <c r="A2636" s="172" t="n">
        <v>142</v>
      </c>
      <c r="B2636" s="172" t="inlineStr">
        <is>
          <t>9月</t>
        </is>
      </c>
      <c r="C2636" s="172" t="inlineStr">
        <is>
          <t>企金</t>
        </is>
      </c>
      <c r="D2636" s="172" t="inlineStr">
        <is>
          <t>小贷企业主贷</t>
        </is>
      </c>
      <c r="E2636" s="172" t="inlineStr">
        <is>
          <t>盛赢4-5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华福证券</t>
        </is>
      </c>
      <c r="I2636" s="172" t="inlineStr">
        <is>
          <t>招行北分</t>
        </is>
      </c>
      <c r="J2636" s="172" t="n">
        <v>8</v>
      </c>
      <c r="K2636" s="172" t="inlineStr">
        <is>
          <t>9+24</t>
        </is>
      </c>
      <c r="L2636" s="208" t="n">
        <v>46269</v>
      </c>
      <c r="M2636" s="175" t="n">
        <v>0.0148</v>
      </c>
      <c r="N2636" s="176" t="n">
        <v>0.0194</v>
      </c>
      <c r="O2636" s="172" t="n">
        <v>2.54</v>
      </c>
      <c r="P2636" s="172" t="inlineStr">
        <is>
          <t>优先A</t>
        </is>
      </c>
      <c r="Q2636" s="175" t="n">
        <v>0.83</v>
      </c>
      <c r="R2636" s="172">
        <f>J1706*Q1706</f>
        <v/>
      </c>
      <c r="S2636" s="172" t="inlineStr">
        <is>
          <t>AAA</t>
        </is>
      </c>
      <c r="T2636" s="175" t="n">
        <v>0.0165</v>
      </c>
      <c r="U2636" s="172" t="n"/>
      <c r="V2636" s="172" t="n"/>
      <c r="W2636" s="175" t="n">
        <v>0.016</v>
      </c>
      <c r="X2636" s="172" t="inlineStr">
        <is>
          <t>信银理财</t>
        </is>
      </c>
      <c r="Y2636" s="191" t="n">
        <v>0.59</v>
      </c>
    </row>
    <row r="2637">
      <c r="A2637" s="172" t="n">
        <v>142</v>
      </c>
      <c r="B2637" s="172" t="inlineStr">
        <is>
          <t>9月</t>
        </is>
      </c>
      <c r="C2637" s="172" t="inlineStr">
        <is>
          <t>企金</t>
        </is>
      </c>
      <c r="D2637" s="172" t="inlineStr">
        <is>
          <t>小贷企业主贷</t>
        </is>
      </c>
      <c r="E2637" s="172" t="inlineStr">
        <is>
          <t>盛赢4-5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华福证券</t>
        </is>
      </c>
      <c r="I2637" s="172" t="inlineStr">
        <is>
          <t>招行北分</t>
        </is>
      </c>
      <c r="J2637" s="172" t="n">
        <v>8</v>
      </c>
      <c r="K2637" s="172" t="inlineStr">
        <is>
          <t>9+24</t>
        </is>
      </c>
      <c r="L2637" s="202" t="n">
        <v>46269</v>
      </c>
      <c r="M2637" s="175" t="n">
        <v>0.0148</v>
      </c>
      <c r="N2637" s="176" t="n">
        <v>0.0194</v>
      </c>
      <c r="O2637" s="191" t="n">
        <v>2.54</v>
      </c>
      <c r="P2637" s="172" t="inlineStr">
        <is>
          <t>优先A</t>
        </is>
      </c>
      <c r="Q2637" s="175" t="n">
        <v>0.83</v>
      </c>
      <c r="R2637" s="192">
        <f>J1706*Q1706</f>
        <v/>
      </c>
      <c r="S2637" s="172" t="inlineStr">
        <is>
          <t>AAA</t>
        </is>
      </c>
      <c r="T2637" s="175" t="n">
        <v>0.0165</v>
      </c>
      <c r="U2637" s="172" t="inlineStr">
        <is>
          <t>招银理财</t>
        </is>
      </c>
      <c r="V2637" s="191" t="n">
        <v>1.99</v>
      </c>
      <c r="W2637" s="175" t="n">
        <v>0.0156</v>
      </c>
      <c r="X2637" s="172" t="inlineStr">
        <is>
          <t>招银理财</t>
        </is>
      </c>
      <c r="Y2637" s="191" t="n">
        <v>1.99</v>
      </c>
    </row>
    <row r="2638">
      <c r="A2638" s="172" t="n">
        <v>142</v>
      </c>
      <c r="B2638" s="172" t="inlineStr">
        <is>
          <t>9月</t>
        </is>
      </c>
      <c r="C2638" s="172" t="inlineStr">
        <is>
          <t>企金</t>
        </is>
      </c>
      <c r="D2638" s="172" t="inlineStr">
        <is>
          <t>小贷企业主贷</t>
        </is>
      </c>
      <c r="E2638" s="172" t="inlineStr">
        <is>
          <t>盛赢4-5</t>
        </is>
      </c>
      <c r="F2638" s="172" t="inlineStr">
        <is>
          <t>上交所</t>
        </is>
      </c>
      <c r="G2638" s="172" t="inlineStr">
        <is>
          <t>财通资管</t>
        </is>
      </c>
      <c r="H2638" s="172" t="inlineStr">
        <is>
          <t>华福证券</t>
        </is>
      </c>
      <c r="I2638" s="172" t="inlineStr">
        <is>
          <t>招行北分</t>
        </is>
      </c>
      <c r="J2638" s="172" t="n">
        <v>8</v>
      </c>
      <c r="K2638" s="172" t="inlineStr">
        <is>
          <t>9+24</t>
        </is>
      </c>
      <c r="L2638" s="202" t="n">
        <v>46269</v>
      </c>
      <c r="M2638" s="175" t="n">
        <v>0.0148</v>
      </c>
      <c r="N2638" s="176" t="n">
        <v>0.0194</v>
      </c>
      <c r="O2638" s="191" t="n">
        <v>2.54</v>
      </c>
      <c r="P2638" s="172" t="inlineStr">
        <is>
          <t>优先A</t>
        </is>
      </c>
      <c r="Q2638" s="175" t="n">
        <v>0.83</v>
      </c>
      <c r="R2638" s="192">
        <f>J1706*Q1706</f>
        <v/>
      </c>
      <c r="S2638" s="172" t="inlineStr">
        <is>
          <t>AAA</t>
        </is>
      </c>
      <c r="T2638" s="175" t="n">
        <v>0.0165</v>
      </c>
      <c r="U2638" s="172" t="inlineStr">
        <is>
          <t>中邮理财</t>
        </is>
      </c>
      <c r="V2638" s="191" t="n">
        <v>1.5</v>
      </c>
      <c r="W2638" s="175" t="n">
        <v>0.0164</v>
      </c>
      <c r="X2638" s="172" t="inlineStr">
        <is>
          <t>中邮理财</t>
        </is>
      </c>
      <c r="Y2638" s="191" t="n">
        <v>1</v>
      </c>
    </row>
    <row r="2639">
      <c r="A2639" s="172" t="n">
        <v>142</v>
      </c>
      <c r="B2639" s="172" t="inlineStr">
        <is>
          <t>9月</t>
        </is>
      </c>
      <c r="C2639" s="172" t="inlineStr">
        <is>
          <t>企金</t>
        </is>
      </c>
      <c r="D2639" s="172" t="inlineStr">
        <is>
          <t>小贷企业主贷</t>
        </is>
      </c>
      <c r="E2639" s="172" t="inlineStr">
        <is>
          <t>盛赢4-5</t>
        </is>
      </c>
      <c r="F2639" s="172" t="inlineStr">
        <is>
          <t>上交所</t>
        </is>
      </c>
      <c r="G2639" s="172" t="inlineStr">
        <is>
          <t>财通资管</t>
        </is>
      </c>
      <c r="H2639" s="172" t="inlineStr">
        <is>
          <t>华福证券</t>
        </is>
      </c>
      <c r="I2639" s="172" t="inlineStr">
        <is>
          <t>招行北分</t>
        </is>
      </c>
      <c r="J2639" s="172" t="n">
        <v>8</v>
      </c>
      <c r="K2639" s="172" t="inlineStr">
        <is>
          <t>9+24</t>
        </is>
      </c>
      <c r="L2639" s="208" t="n">
        <v>46269</v>
      </c>
      <c r="M2639" s="175" t="n">
        <v>0.0148</v>
      </c>
      <c r="N2639" s="176" t="n">
        <v>0.0194</v>
      </c>
      <c r="O2639" s="172" t="n">
        <v>2.54</v>
      </c>
      <c r="P2639" s="172" t="inlineStr">
        <is>
          <t>优先A</t>
        </is>
      </c>
      <c r="Q2639" s="175" t="n">
        <v>0.83</v>
      </c>
      <c r="R2639" s="172">
        <f>J1706*Q1706</f>
        <v/>
      </c>
      <c r="S2639" s="172" t="inlineStr">
        <is>
          <t>AAA</t>
        </is>
      </c>
      <c r="T2639" s="175" t="n">
        <v>0.0165</v>
      </c>
      <c r="U2639" s="172" t="n"/>
      <c r="V2639" s="172" t="n"/>
      <c r="W2639" s="175" t="n">
        <v>0.0165</v>
      </c>
      <c r="X2639" s="172" t="inlineStr">
        <is>
          <t>中邮理财</t>
        </is>
      </c>
      <c r="Y2639" s="191" t="n">
        <v>0.992</v>
      </c>
    </row>
    <row r="2640">
      <c r="A2640" s="172" t="n">
        <v>142</v>
      </c>
      <c r="B2640" s="172" t="inlineStr">
        <is>
          <t>9月</t>
        </is>
      </c>
      <c r="C2640" s="172" t="inlineStr">
        <is>
          <t>企金</t>
        </is>
      </c>
      <c r="D2640" s="172" t="inlineStr">
        <is>
          <t>小贷企业主贷</t>
        </is>
      </c>
      <c r="E2640" s="172" t="inlineStr">
        <is>
          <t>盛赢4-5</t>
        </is>
      </c>
      <c r="F2640" s="172" t="inlineStr">
        <is>
          <t>上交所</t>
        </is>
      </c>
      <c r="G2640" s="172" t="inlineStr">
        <is>
          <t>财通资管</t>
        </is>
      </c>
      <c r="H2640" s="172" t="inlineStr">
        <is>
          <t>华福证券</t>
        </is>
      </c>
      <c r="I2640" s="172" t="inlineStr">
        <is>
          <t>招行北分</t>
        </is>
      </c>
      <c r="J2640" s="172" t="n">
        <v>8</v>
      </c>
      <c r="K2640" s="172" t="inlineStr">
        <is>
          <t>9+24</t>
        </is>
      </c>
      <c r="L2640" s="202" t="n">
        <v>46269</v>
      </c>
      <c r="M2640" s="175" t="n">
        <v>0.0148</v>
      </c>
      <c r="N2640" s="176" t="n">
        <v>0.0194</v>
      </c>
      <c r="O2640" s="191" t="n">
        <v>2.54</v>
      </c>
      <c r="P2640" s="172" t="inlineStr">
        <is>
          <t>优先A</t>
        </is>
      </c>
      <c r="Q2640" s="175" t="n">
        <v>0.83</v>
      </c>
      <c r="R2640" s="192">
        <f>J1706*Q1706</f>
        <v/>
      </c>
      <c r="S2640" s="172" t="inlineStr">
        <is>
          <t>AAA</t>
        </is>
      </c>
      <c r="T2640" s="175" t="n">
        <v>0.0165</v>
      </c>
      <c r="U2640" s="172" t="inlineStr">
        <is>
          <t>中信证券投顾</t>
        </is>
      </c>
      <c r="V2640" s="191" t="n">
        <v>0.4</v>
      </c>
      <c r="W2640" s="172" t="n"/>
      <c r="X2640" s="172" t="n"/>
      <c r="Y2640" s="172" t="n"/>
    </row>
    <row r="2641">
      <c r="A2641" s="172" t="n">
        <v>142</v>
      </c>
      <c r="B2641" s="172" t="inlineStr">
        <is>
          <t>9月</t>
        </is>
      </c>
      <c r="C2641" s="172" t="inlineStr">
        <is>
          <t>企金</t>
        </is>
      </c>
      <c r="D2641" s="172" t="inlineStr">
        <is>
          <t>小贷企业主贷</t>
        </is>
      </c>
      <c r="E2641" s="172" t="inlineStr">
        <is>
          <t>盛赢4-5</t>
        </is>
      </c>
      <c r="F2641" s="172" t="inlineStr">
        <is>
          <t>上交所</t>
        </is>
      </c>
      <c r="G2641" s="172" t="inlineStr">
        <is>
          <t>财通资管</t>
        </is>
      </c>
      <c r="H2641" s="172" t="inlineStr">
        <is>
          <t>华福证券</t>
        </is>
      </c>
      <c r="I2641" s="172" t="inlineStr">
        <is>
          <t>招行北分</t>
        </is>
      </c>
      <c r="J2641" s="172" t="n">
        <v>8</v>
      </c>
      <c r="K2641" s="172" t="inlineStr">
        <is>
          <t>9+24</t>
        </is>
      </c>
      <c r="L2641" s="202" t="n">
        <v>46269</v>
      </c>
      <c r="M2641" s="175" t="n">
        <v>0.0148</v>
      </c>
      <c r="N2641" s="176" t="n">
        <v>0.0194</v>
      </c>
      <c r="O2641" s="191" t="n">
        <v>2.54</v>
      </c>
      <c r="P2641" s="172" t="inlineStr">
        <is>
          <t>优先A</t>
        </is>
      </c>
      <c r="Q2641" s="175" t="n">
        <v>0.83</v>
      </c>
      <c r="R2641" s="192">
        <f>J1706*Q1706</f>
        <v/>
      </c>
      <c r="S2641" s="172" t="inlineStr">
        <is>
          <t>AAA</t>
        </is>
      </c>
      <c r="T2641" s="175" t="n">
        <v>0.0165</v>
      </c>
      <c r="U2641" s="172" t="inlineStr">
        <is>
          <t>上银基金</t>
        </is>
      </c>
      <c r="V2641" s="191" t="n">
        <v>0.42</v>
      </c>
      <c r="W2641" s="175" t="n">
        <v>0.0165</v>
      </c>
      <c r="X2641" s="172" t="inlineStr">
        <is>
          <t>上银基金</t>
        </is>
      </c>
      <c r="Y2641" s="191" t="n">
        <v>0.66</v>
      </c>
    </row>
    <row r="2642">
      <c r="A2642" s="172" t="n">
        <v>142</v>
      </c>
      <c r="B2642" s="172" t="inlineStr">
        <is>
          <t>9月</t>
        </is>
      </c>
      <c r="C2642" s="172" t="inlineStr">
        <is>
          <t>企金</t>
        </is>
      </c>
      <c r="D2642" s="172" t="inlineStr">
        <is>
          <t>小贷企业主贷</t>
        </is>
      </c>
      <c r="E2642" s="172" t="inlineStr">
        <is>
          <t>盛赢4-5</t>
        </is>
      </c>
      <c r="F2642" s="172" t="inlineStr">
        <is>
          <t>上交所</t>
        </is>
      </c>
      <c r="G2642" s="172" t="inlineStr">
        <is>
          <t>财通资管</t>
        </is>
      </c>
      <c r="H2642" s="172" t="inlineStr">
        <is>
          <t>华福证券</t>
        </is>
      </c>
      <c r="I2642" s="172" t="inlineStr">
        <is>
          <t>招行北分</t>
        </is>
      </c>
      <c r="J2642" s="172" t="n">
        <v>8</v>
      </c>
      <c r="K2642" s="172" t="inlineStr">
        <is>
          <t>9+24</t>
        </is>
      </c>
      <c r="L2642" s="202" t="n">
        <v>46269</v>
      </c>
      <c r="M2642" s="175" t="n">
        <v>0.0148</v>
      </c>
      <c r="N2642" s="176" t="n">
        <v>0.0194</v>
      </c>
      <c r="O2642" s="191" t="n">
        <v>2.54</v>
      </c>
      <c r="P2642" s="172" t="inlineStr">
        <is>
          <t>优先A</t>
        </is>
      </c>
      <c r="Q2642" s="175" t="n">
        <v>0.83</v>
      </c>
      <c r="R2642" s="192">
        <f>J1706*Q1706</f>
        <v/>
      </c>
      <c r="S2642" s="172" t="inlineStr">
        <is>
          <t>AAA</t>
        </is>
      </c>
      <c r="T2642" s="175" t="n">
        <v>0.0165</v>
      </c>
      <c r="U2642" s="172" t="inlineStr">
        <is>
          <t>盛际小贷</t>
        </is>
      </c>
      <c r="V2642" s="191" t="n">
        <v>0.34</v>
      </c>
      <c r="W2642" s="175" t="n">
        <v>0.01</v>
      </c>
      <c r="X2642" s="172" t="inlineStr">
        <is>
          <t>盛际小贷</t>
        </is>
      </c>
      <c r="Y2642" s="191" t="n">
        <v>0.34</v>
      </c>
    </row>
    <row r="2643">
      <c r="A2643" s="172" t="n">
        <v>142</v>
      </c>
      <c r="B2643" s="172" t="inlineStr">
        <is>
          <t>9月</t>
        </is>
      </c>
      <c r="C2643" s="172" t="inlineStr">
        <is>
          <t>企金</t>
        </is>
      </c>
      <c r="D2643" s="172" t="inlineStr">
        <is>
          <t>小贷企业主贷</t>
        </is>
      </c>
      <c r="E2643" s="172" t="inlineStr">
        <is>
          <t>盛赢4-5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华福证券</t>
        </is>
      </c>
      <c r="I2643" s="172" t="inlineStr">
        <is>
          <t>招行北分</t>
        </is>
      </c>
      <c r="J2643" s="172" t="n">
        <v>8</v>
      </c>
      <c r="K2643" s="172" t="inlineStr">
        <is>
          <t>9+24</t>
        </is>
      </c>
      <c r="L2643" s="208" t="n">
        <v>46269</v>
      </c>
      <c r="M2643" s="175" t="n">
        <v>0.0148</v>
      </c>
      <c r="N2643" s="176" t="n">
        <v>0.0194</v>
      </c>
      <c r="O2643" s="172" t="n">
        <v>2.54</v>
      </c>
      <c r="P2643" s="172" t="inlineStr">
        <is>
          <t>优先A</t>
        </is>
      </c>
      <c r="Q2643" s="175" t="n">
        <v>0.83</v>
      </c>
      <c r="R2643" s="172">
        <f>J1706*Q1706</f>
        <v/>
      </c>
      <c r="S2643" s="172" t="inlineStr">
        <is>
          <t>AAA</t>
        </is>
      </c>
      <c r="T2643" s="175" t="n">
        <v>0.0165</v>
      </c>
      <c r="U2643" s="172" t="n"/>
      <c r="V2643" s="172" t="n"/>
      <c r="W2643" s="175" t="n">
        <v>0.0165</v>
      </c>
      <c r="X2643" s="172" t="inlineStr">
        <is>
          <t>中信投顾</t>
        </is>
      </c>
      <c r="Y2643" s="191" t="n">
        <v>0.8</v>
      </c>
    </row>
    <row r="2644">
      <c r="A2644" s="172" t="n">
        <v>142</v>
      </c>
      <c r="B2644" s="172" t="inlineStr">
        <is>
          <t>9月</t>
        </is>
      </c>
      <c r="C2644" s="172" t="inlineStr">
        <is>
          <t>企金</t>
        </is>
      </c>
      <c r="D2644" s="172" t="inlineStr">
        <is>
          <t>小贷企业主贷</t>
        </is>
      </c>
      <c r="E2644" s="172" t="inlineStr">
        <is>
          <t>盛赢4-5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华福证券</t>
        </is>
      </c>
      <c r="I2644" s="172" t="inlineStr">
        <is>
          <t>招行北分</t>
        </is>
      </c>
      <c r="J2644" s="172" t="n">
        <v>8</v>
      </c>
      <c r="K2644" s="172" t="inlineStr">
        <is>
          <t>9+24</t>
        </is>
      </c>
      <c r="L2644" s="208" t="n">
        <v>46269</v>
      </c>
      <c r="M2644" s="175" t="n">
        <v>0.0148</v>
      </c>
      <c r="N2644" s="176" t="n">
        <v>0.0194</v>
      </c>
      <c r="O2644" s="172" t="n">
        <v>2.54</v>
      </c>
      <c r="P2644" s="172" t="inlineStr">
        <is>
          <t>优先A</t>
        </is>
      </c>
      <c r="Q2644" s="175" t="n">
        <v>0.83</v>
      </c>
      <c r="R2644" s="172">
        <f>J1706*Q1706</f>
        <v/>
      </c>
      <c r="S2644" s="172" t="inlineStr">
        <is>
          <t>AAA</t>
        </is>
      </c>
      <c r="T2644" s="175" t="n">
        <v>0.0165</v>
      </c>
      <c r="U2644" s="172" t="n"/>
      <c r="V2644" s="172" t="n"/>
      <c r="W2644" s="175" t="n">
        <v>0.0166</v>
      </c>
      <c r="X2644" s="172" t="inlineStr">
        <is>
          <t>中信投顾</t>
        </is>
      </c>
      <c r="Y2644" s="191" t="n">
        <v>0.7</v>
      </c>
    </row>
    <row r="2645">
      <c r="A2645" s="172" t="n">
        <v>142</v>
      </c>
      <c r="B2645" s="172" t="inlineStr">
        <is>
          <t>9月</t>
        </is>
      </c>
      <c r="C2645" s="172" t="inlineStr">
        <is>
          <t>企金</t>
        </is>
      </c>
      <c r="D2645" s="172" t="inlineStr">
        <is>
          <t>小贷企业主贷</t>
        </is>
      </c>
      <c r="E2645" s="172" t="inlineStr">
        <is>
          <t>盛赢4-5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华福证券</t>
        </is>
      </c>
      <c r="I2645" s="172" t="inlineStr">
        <is>
          <t>招行北分</t>
        </is>
      </c>
      <c r="J2645" s="172" t="n">
        <v>8</v>
      </c>
      <c r="K2645" s="172" t="inlineStr">
        <is>
          <t>9+24</t>
        </is>
      </c>
      <c r="L2645" s="208" t="n">
        <v>46269</v>
      </c>
      <c r="M2645" s="175" t="n">
        <v>0.0148</v>
      </c>
      <c r="N2645" s="176" t="n">
        <v>0.0194</v>
      </c>
      <c r="O2645" s="172" t="n">
        <v>2.54</v>
      </c>
      <c r="P2645" s="172" t="inlineStr">
        <is>
          <t>优先A</t>
        </is>
      </c>
      <c r="Q2645" s="175" t="n">
        <v>0.83</v>
      </c>
      <c r="R2645" s="172">
        <f>J1706*Q1706</f>
        <v/>
      </c>
      <c r="S2645" s="172" t="inlineStr">
        <is>
          <t>AAA</t>
        </is>
      </c>
      <c r="T2645" s="175" t="n">
        <v>0.0165</v>
      </c>
      <c r="U2645" s="172" t="n"/>
      <c r="V2645" s="172" t="n"/>
      <c r="W2645" s="175" t="n">
        <v>0.0168</v>
      </c>
      <c r="X2645" s="172" t="inlineStr">
        <is>
          <t>易方达</t>
        </is>
      </c>
      <c r="Y2645" s="191" t="n">
        <v>0.6</v>
      </c>
    </row>
    <row r="2646">
      <c r="A2646" s="172" t="n">
        <v>142</v>
      </c>
      <c r="B2646" s="172" t="inlineStr">
        <is>
          <t>9月</t>
        </is>
      </c>
      <c r="C2646" s="172" t="inlineStr">
        <is>
          <t>企金</t>
        </is>
      </c>
      <c r="D2646" s="172" t="inlineStr">
        <is>
          <t>小贷企业主贷</t>
        </is>
      </c>
      <c r="E2646" s="172" t="inlineStr">
        <is>
          <t>盛赢4-5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华福证券</t>
        </is>
      </c>
      <c r="I2646" s="172" t="inlineStr">
        <is>
          <t>招行北分</t>
        </is>
      </c>
      <c r="J2646" s="172" t="n">
        <v>8</v>
      </c>
      <c r="K2646" s="172" t="inlineStr">
        <is>
          <t>9+24</t>
        </is>
      </c>
      <c r="L2646" s="208" t="n">
        <v>46269</v>
      </c>
      <c r="M2646" s="175" t="n">
        <v>0.0148</v>
      </c>
      <c r="N2646" s="176" t="n">
        <v>0.0194</v>
      </c>
      <c r="O2646" s="172" t="n">
        <v>2.54</v>
      </c>
      <c r="P2646" s="172" t="inlineStr">
        <is>
          <t>优先A</t>
        </is>
      </c>
      <c r="Q2646" s="175" t="n">
        <v>0.83</v>
      </c>
      <c r="R2646" s="172">
        <f>J1706*Q1706</f>
        <v/>
      </c>
      <c r="S2646" s="172" t="inlineStr">
        <is>
          <t>AAA</t>
        </is>
      </c>
      <c r="T2646" s="175" t="n">
        <v>0.0165</v>
      </c>
      <c r="U2646" s="172" t="n"/>
      <c r="V2646" s="172" t="n"/>
      <c r="W2646" s="175" t="n">
        <v>0.017</v>
      </c>
      <c r="X2646" s="172" t="inlineStr">
        <is>
          <t>易方达</t>
        </is>
      </c>
      <c r="Y2646" s="191" t="n">
        <v>1.364</v>
      </c>
    </row>
    <row r="2647">
      <c r="A2647" s="172" t="n">
        <v>142</v>
      </c>
      <c r="B2647" s="172" t="inlineStr">
        <is>
          <t>9月</t>
        </is>
      </c>
      <c r="C2647" s="172" t="inlineStr">
        <is>
          <t>企金</t>
        </is>
      </c>
      <c r="D2647" s="172" t="inlineStr">
        <is>
          <t>小贷企业主贷</t>
        </is>
      </c>
      <c r="E2647" s="172" t="inlineStr">
        <is>
          <t>盛赢4-5</t>
        </is>
      </c>
      <c r="F2647" s="172" t="inlineStr">
        <is>
          <t>上交所</t>
        </is>
      </c>
      <c r="G2647" s="172" t="inlineStr">
        <is>
          <t>财通资管</t>
        </is>
      </c>
      <c r="H2647" s="172" t="inlineStr">
        <is>
          <t>华福证券</t>
        </is>
      </c>
      <c r="I2647" s="172" t="inlineStr">
        <is>
          <t>招行北分</t>
        </is>
      </c>
      <c r="J2647" s="172" t="n">
        <v>8</v>
      </c>
      <c r="K2647" s="172" t="inlineStr">
        <is>
          <t>9+24</t>
        </is>
      </c>
      <c r="L2647" s="208" t="n">
        <v>46269</v>
      </c>
      <c r="M2647" s="175" t="n">
        <v>0.0148</v>
      </c>
      <c r="N2647" s="176" t="n">
        <v>0.0194</v>
      </c>
      <c r="O2647" s="172" t="n">
        <v>2.54</v>
      </c>
      <c r="P2647" s="172" t="inlineStr">
        <is>
          <t>优先A</t>
        </is>
      </c>
      <c r="Q2647" s="175" t="n">
        <v>0.83</v>
      </c>
      <c r="R2647" s="172">
        <f>J1706*Q1706</f>
        <v/>
      </c>
      <c r="S2647" s="172" t="inlineStr">
        <is>
          <t>AAA</t>
        </is>
      </c>
      <c r="T2647" s="175" t="n">
        <v>0.0165</v>
      </c>
      <c r="U2647" s="172" t="n"/>
      <c r="V2647" s="172" t="n"/>
      <c r="W2647" s="175" t="n">
        <v>0.017</v>
      </c>
      <c r="X2647" s="172" t="inlineStr">
        <is>
          <t>利曦基金</t>
        </is>
      </c>
      <c r="Y2647" s="191" t="n">
        <v>2</v>
      </c>
    </row>
    <row r="2648">
      <c r="A2648" s="172" t="n">
        <v>142</v>
      </c>
      <c r="B2648" s="172" t="inlineStr">
        <is>
          <t>9月</t>
        </is>
      </c>
      <c r="C2648" s="172" t="inlineStr">
        <is>
          <t>企金</t>
        </is>
      </c>
      <c r="D2648" s="172" t="inlineStr">
        <is>
          <t>小贷企业主贷</t>
        </is>
      </c>
      <c r="E2648" s="172" t="inlineStr">
        <is>
          <t>盛赢4-5</t>
        </is>
      </c>
      <c r="F2648" s="172" t="inlineStr">
        <is>
          <t>上交所</t>
        </is>
      </c>
      <c r="G2648" s="172" t="inlineStr">
        <is>
          <t>财通资管</t>
        </is>
      </c>
      <c r="H2648" s="172" t="inlineStr">
        <is>
          <t>华福证券</t>
        </is>
      </c>
      <c r="I2648" s="172" t="inlineStr">
        <is>
          <t>招行北分</t>
        </is>
      </c>
      <c r="J2648" s="172" t="n">
        <v>8</v>
      </c>
      <c r="K2648" s="172" t="inlineStr">
        <is>
          <t>9+24</t>
        </is>
      </c>
      <c r="L2648" s="208" t="n">
        <v>46269</v>
      </c>
      <c r="M2648" s="175" t="n">
        <v>0.0148</v>
      </c>
      <c r="N2648" s="176" t="n">
        <v>0.0194</v>
      </c>
      <c r="O2648" s="172" t="n">
        <v>2.54</v>
      </c>
      <c r="P2648" s="172" t="inlineStr">
        <is>
          <t>优先A</t>
        </is>
      </c>
      <c r="Q2648" s="175" t="n">
        <v>0.83</v>
      </c>
      <c r="R2648" s="172">
        <f>J1706*Q1706</f>
        <v/>
      </c>
      <c r="S2648" s="172" t="inlineStr">
        <is>
          <t>AAA</t>
        </is>
      </c>
      <c r="T2648" s="175" t="n">
        <v>0.0165</v>
      </c>
      <c r="U2648" s="172" t="n"/>
      <c r="V2648" s="172" t="n"/>
      <c r="W2648" s="175" t="n">
        <v>0.0175</v>
      </c>
      <c r="X2648" s="172" t="inlineStr">
        <is>
          <t>财通资管</t>
        </is>
      </c>
      <c r="Y2648" s="191" t="n">
        <v>1.1</v>
      </c>
    </row>
    <row r="2649">
      <c r="A2649" s="172" t="n">
        <v>142</v>
      </c>
      <c r="B2649" s="172" t="inlineStr">
        <is>
          <t>9月</t>
        </is>
      </c>
      <c r="C2649" s="172" t="inlineStr">
        <is>
          <t>企金</t>
        </is>
      </c>
      <c r="D2649" s="172" t="inlineStr">
        <is>
          <t>小贷企业主贷</t>
        </is>
      </c>
      <c r="E2649" s="172" t="inlineStr">
        <is>
          <t>盛赢4-5</t>
        </is>
      </c>
      <c r="F2649" s="172" t="inlineStr">
        <is>
          <t>上交所</t>
        </is>
      </c>
      <c r="G2649" s="172" t="inlineStr">
        <is>
          <t>财通资管</t>
        </is>
      </c>
      <c r="H2649" s="172" t="inlineStr">
        <is>
          <t>华福证券</t>
        </is>
      </c>
      <c r="I2649" s="172" t="inlineStr">
        <is>
          <t>招行北分</t>
        </is>
      </c>
      <c r="J2649" s="172" t="n">
        <v>8</v>
      </c>
      <c r="K2649" s="172" t="inlineStr">
        <is>
          <t>9+24</t>
        </is>
      </c>
      <c r="L2649" s="208" t="n">
        <v>46269</v>
      </c>
      <c r="M2649" s="175" t="n">
        <v>0.0148</v>
      </c>
      <c r="N2649" s="176" t="n">
        <v>0.0194</v>
      </c>
      <c r="O2649" s="172" t="n">
        <v>2.54</v>
      </c>
      <c r="P2649" s="172" t="inlineStr">
        <is>
          <t>优先A</t>
        </is>
      </c>
      <c r="Q2649" s="175" t="n">
        <v>0.83</v>
      </c>
      <c r="R2649" s="172">
        <f>J1706*Q1706</f>
        <v/>
      </c>
      <c r="S2649" s="172" t="inlineStr">
        <is>
          <t>AAA</t>
        </is>
      </c>
      <c r="T2649" s="175" t="n">
        <v>0.0165</v>
      </c>
      <c r="U2649" s="172" t="n"/>
      <c r="V2649" s="172" t="n"/>
      <c r="W2649" s="175" t="n">
        <v>0.0175</v>
      </c>
      <c r="X2649" s="172" t="inlineStr">
        <is>
          <t>国信证券</t>
        </is>
      </c>
      <c r="Y2649" s="191" t="n">
        <v>0.5</v>
      </c>
    </row>
    <row r="2650">
      <c r="A2650" s="172" t="n">
        <v>142</v>
      </c>
      <c r="B2650" s="172" t="inlineStr">
        <is>
          <t>9月</t>
        </is>
      </c>
      <c r="C2650" s="172" t="inlineStr">
        <is>
          <t>企金</t>
        </is>
      </c>
      <c r="D2650" s="172" t="inlineStr">
        <is>
          <t>小贷企业主贷</t>
        </is>
      </c>
      <c r="E2650" s="172" t="inlineStr">
        <is>
          <t>盛赢4-5</t>
        </is>
      </c>
      <c r="F2650" s="172" t="inlineStr">
        <is>
          <t>上交所</t>
        </is>
      </c>
      <c r="G2650" s="172" t="inlineStr">
        <is>
          <t>财通资管</t>
        </is>
      </c>
      <c r="H2650" s="172" t="inlineStr">
        <is>
          <t>华福证券</t>
        </is>
      </c>
      <c r="I2650" s="172" t="inlineStr">
        <is>
          <t>招行北分</t>
        </is>
      </c>
      <c r="J2650" s="172" t="n">
        <v>8</v>
      </c>
      <c r="K2650" s="172" t="inlineStr">
        <is>
          <t>9+24</t>
        </is>
      </c>
      <c r="L2650" s="208" t="n">
        <v>46269</v>
      </c>
      <c r="M2650" s="175" t="n">
        <v>0.0148</v>
      </c>
      <c r="N2650" s="176" t="n">
        <v>0.0194</v>
      </c>
      <c r="O2650" s="172" t="n">
        <v>2.54</v>
      </c>
      <c r="P2650" s="172" t="inlineStr">
        <is>
          <t>优先A</t>
        </is>
      </c>
      <c r="Q2650" s="175" t="n">
        <v>0.83</v>
      </c>
      <c r="R2650" s="172">
        <f>J1706*Q1706</f>
        <v/>
      </c>
      <c r="S2650" s="172" t="inlineStr">
        <is>
          <t>AAA</t>
        </is>
      </c>
      <c r="T2650" s="175" t="n">
        <v>0.0165</v>
      </c>
      <c r="U2650" s="172" t="n"/>
      <c r="V2650" s="172" t="n"/>
      <c r="W2650" s="175" t="n">
        <v>0.0175</v>
      </c>
      <c r="X2650" s="172" t="inlineStr">
        <is>
          <t>首创证券</t>
        </is>
      </c>
      <c r="Y2650" s="191" t="n">
        <v>0.5</v>
      </c>
    </row>
    <row r="2651">
      <c r="A2651" s="172" t="n">
        <v>142</v>
      </c>
      <c r="B2651" s="172" t="inlineStr">
        <is>
          <t>9月</t>
        </is>
      </c>
      <c r="C2651" s="172" t="inlineStr">
        <is>
          <t>企金</t>
        </is>
      </c>
      <c r="D2651" s="172" t="inlineStr">
        <is>
          <t>小贷企业主贷</t>
        </is>
      </c>
      <c r="E2651" s="172" t="inlineStr">
        <is>
          <t>盛赢4-5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华福证券</t>
        </is>
      </c>
      <c r="I2651" s="172" t="inlineStr">
        <is>
          <t>招行北分</t>
        </is>
      </c>
      <c r="J2651" s="172" t="n">
        <v>8</v>
      </c>
      <c r="K2651" s="172" t="inlineStr">
        <is>
          <t>9+24</t>
        </is>
      </c>
      <c r="L2651" s="208" t="n">
        <v>46269</v>
      </c>
      <c r="M2651" s="175" t="n">
        <v>0.0148</v>
      </c>
      <c r="N2651" s="176" t="n">
        <v>0.0194</v>
      </c>
      <c r="O2651" s="172" t="n">
        <v>2.54</v>
      </c>
      <c r="P2651" s="172" t="inlineStr">
        <is>
          <t>优先A</t>
        </is>
      </c>
      <c r="Q2651" s="175" t="n">
        <v>0.83</v>
      </c>
      <c r="R2651" s="172">
        <f>J1706*Q1706</f>
        <v/>
      </c>
      <c r="S2651" s="172" t="inlineStr">
        <is>
          <t>AAA</t>
        </is>
      </c>
      <c r="T2651" s="175" t="n">
        <v>0.0165</v>
      </c>
      <c r="U2651" s="172" t="n"/>
      <c r="V2651" s="172" t="n"/>
      <c r="W2651" s="175" t="n">
        <v>0.0175</v>
      </c>
      <c r="X2651" s="172" t="inlineStr">
        <is>
          <t>广银理财</t>
        </is>
      </c>
      <c r="Y2651" s="191" t="n">
        <v>1.8</v>
      </c>
    </row>
    <row r="2652">
      <c r="A2652" s="172" t="n">
        <v>142</v>
      </c>
      <c r="B2652" s="172" t="inlineStr">
        <is>
          <t>9月</t>
        </is>
      </c>
      <c r="C2652" s="172" t="inlineStr">
        <is>
          <t>企金</t>
        </is>
      </c>
      <c r="D2652" s="172" t="inlineStr">
        <is>
          <t>小贷企业主贷</t>
        </is>
      </c>
      <c r="E2652" s="172" t="inlineStr">
        <is>
          <t>盛赢4-5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华福证券</t>
        </is>
      </c>
      <c r="I2652" s="172" t="inlineStr">
        <is>
          <t>招行北分</t>
        </is>
      </c>
      <c r="J2652" s="172" t="n">
        <v>8</v>
      </c>
      <c r="K2652" s="172" t="inlineStr">
        <is>
          <t>9+24</t>
        </is>
      </c>
      <c r="L2652" s="208" t="n">
        <v>46269</v>
      </c>
      <c r="M2652" s="175" t="n">
        <v>0.0148</v>
      </c>
      <c r="N2652" s="176" t="n">
        <v>0.0194</v>
      </c>
      <c r="O2652" s="172" t="n">
        <v>2.54</v>
      </c>
      <c r="P2652" s="172" t="inlineStr">
        <is>
          <t>优先A</t>
        </is>
      </c>
      <c r="Q2652" s="175" t="n">
        <v>0.83</v>
      </c>
      <c r="R2652" s="172">
        <f>J1706*Q1706</f>
        <v/>
      </c>
      <c r="S2652" s="172" t="inlineStr">
        <is>
          <t>AAA</t>
        </is>
      </c>
      <c r="T2652" s="175" t="n">
        <v>0.0165</v>
      </c>
      <c r="U2652" s="172" t="n"/>
      <c r="V2652" s="172" t="n"/>
      <c r="W2652" s="175" t="n">
        <v>0.0177</v>
      </c>
      <c r="X2652" s="172" t="inlineStr">
        <is>
          <t>建信信托</t>
        </is>
      </c>
      <c r="Y2652" s="191" t="n">
        <v>0.5</v>
      </c>
    </row>
    <row r="2653">
      <c r="A2653" s="172" t="n">
        <v>142</v>
      </c>
      <c r="B2653" s="172" t="inlineStr">
        <is>
          <t>9月</t>
        </is>
      </c>
      <c r="C2653" s="172" t="inlineStr">
        <is>
          <t>企金</t>
        </is>
      </c>
      <c r="D2653" s="172" t="inlineStr">
        <is>
          <t>小贷企业主贷</t>
        </is>
      </c>
      <c r="E2653" s="172" t="inlineStr">
        <is>
          <t>盛赢4-5</t>
        </is>
      </c>
      <c r="F2653" s="172" t="inlineStr">
        <is>
          <t>上交所</t>
        </is>
      </c>
      <c r="G2653" s="172" t="inlineStr">
        <is>
          <t>财通资管</t>
        </is>
      </c>
      <c r="H2653" s="172" t="inlineStr">
        <is>
          <t>华福证券</t>
        </is>
      </c>
      <c r="I2653" s="172" t="inlineStr">
        <is>
          <t>招行北分</t>
        </is>
      </c>
      <c r="J2653" s="172" t="n">
        <v>8</v>
      </c>
      <c r="K2653" s="172" t="inlineStr">
        <is>
          <t>9+24</t>
        </is>
      </c>
      <c r="L2653" s="208" t="n">
        <v>46269</v>
      </c>
      <c r="M2653" s="175" t="n">
        <v>0.0148</v>
      </c>
      <c r="N2653" s="176" t="n">
        <v>0.0194</v>
      </c>
      <c r="O2653" s="172" t="n">
        <v>2.54</v>
      </c>
      <c r="P2653" s="172" t="inlineStr">
        <is>
          <t>优先A</t>
        </is>
      </c>
      <c r="Q2653" s="175" t="n">
        <v>0.83</v>
      </c>
      <c r="R2653" s="172">
        <f>J1706*Q1706</f>
        <v/>
      </c>
      <c r="S2653" s="172" t="inlineStr">
        <is>
          <t>AAA</t>
        </is>
      </c>
      <c r="T2653" s="175" t="n">
        <v>0.0165</v>
      </c>
      <c r="U2653" s="172" t="n"/>
      <c r="V2653" s="172" t="n"/>
      <c r="W2653" s="175" t="n">
        <v>0.0185</v>
      </c>
      <c r="X2653" s="172" t="inlineStr">
        <is>
          <t>平安证券</t>
        </is>
      </c>
      <c r="Y2653" s="191" t="n">
        <v>0.5</v>
      </c>
    </row>
    <row r="2654">
      <c r="A2654" s="172" t="n">
        <v>142</v>
      </c>
      <c r="B2654" s="172" t="inlineStr">
        <is>
          <t>9月</t>
        </is>
      </c>
      <c r="C2654" s="172" t="inlineStr">
        <is>
          <t>企金</t>
        </is>
      </c>
      <c r="D2654" s="172" t="inlineStr">
        <is>
          <t>小贷企业主贷</t>
        </is>
      </c>
      <c r="E2654" s="172" t="inlineStr">
        <is>
          <t>盛赢4-5</t>
        </is>
      </c>
      <c r="F2654" s="172" t="inlineStr">
        <is>
          <t>上交所</t>
        </is>
      </c>
      <c r="G2654" s="172" t="inlineStr">
        <is>
          <t>财通资管</t>
        </is>
      </c>
      <c r="H2654" s="172" t="inlineStr">
        <is>
          <t>华福证券</t>
        </is>
      </c>
      <c r="I2654" s="172" t="inlineStr">
        <is>
          <t>招行北分</t>
        </is>
      </c>
      <c r="J2654" s="172" t="n">
        <v>8</v>
      </c>
      <c r="K2654" s="172" t="inlineStr">
        <is>
          <t>9+24</t>
        </is>
      </c>
      <c r="L2654" s="208" t="n">
        <v>46269</v>
      </c>
      <c r="M2654" s="175" t="n">
        <v>0.0148</v>
      </c>
      <c r="N2654" s="176" t="n">
        <v>0.0194</v>
      </c>
      <c r="O2654" s="172" t="n">
        <v>2.54</v>
      </c>
      <c r="P2654" s="172" t="inlineStr">
        <is>
          <t>优先A</t>
        </is>
      </c>
      <c r="Q2654" s="175" t="n">
        <v>0.83</v>
      </c>
      <c r="R2654" s="172">
        <f>J1706*Q1706</f>
        <v/>
      </c>
      <c r="S2654" s="172" t="inlineStr">
        <is>
          <t>AAA</t>
        </is>
      </c>
      <c r="T2654" s="175" t="n">
        <v>0.0165</v>
      </c>
      <c r="U2654" s="172" t="n"/>
      <c r="V2654" s="172" t="n"/>
      <c r="W2654" s="175" t="n">
        <v>0.024</v>
      </c>
      <c r="X2654" s="172" t="inlineStr">
        <is>
          <t>华福证券</t>
        </is>
      </c>
      <c r="Y2654" s="191" t="n">
        <v>0.5</v>
      </c>
    </row>
    <row r="2655">
      <c r="A2655" s="172" t="n">
        <v>142</v>
      </c>
      <c r="B2655" s="172" t="inlineStr">
        <is>
          <t>9月</t>
        </is>
      </c>
      <c r="C2655" s="172" t="inlineStr">
        <is>
          <t>企金</t>
        </is>
      </c>
      <c r="D2655" s="172" t="inlineStr">
        <is>
          <t>小贷企业主贷</t>
        </is>
      </c>
      <c r="E2655" s="172" t="inlineStr">
        <is>
          <t>盛赢4-5</t>
        </is>
      </c>
      <c r="F2655" s="172" t="inlineStr">
        <is>
          <t>上交所</t>
        </is>
      </c>
      <c r="G2655" s="172" t="inlineStr">
        <is>
          <t>财通资管</t>
        </is>
      </c>
      <c r="H2655" s="172" t="inlineStr">
        <is>
          <t>华福证券</t>
        </is>
      </c>
      <c r="I2655" s="172" t="inlineStr">
        <is>
          <t>招行北分</t>
        </is>
      </c>
      <c r="J2655" s="172" t="n">
        <v>8</v>
      </c>
      <c r="K2655" s="172" t="inlineStr">
        <is>
          <t>9+24</t>
        </is>
      </c>
      <c r="L2655" s="202" t="n">
        <v>46269</v>
      </c>
      <c r="M2655" s="175" t="n">
        <v>0.0148</v>
      </c>
      <c r="N2655" s="176" t="n">
        <v>0.0194</v>
      </c>
      <c r="O2655" s="191" t="n">
        <v>2.54</v>
      </c>
      <c r="P2655" s="172" t="inlineStr">
        <is>
          <t>优先B</t>
        </is>
      </c>
      <c r="Q2655" s="175" t="n">
        <v>0.05</v>
      </c>
      <c r="R2655" s="192">
        <f>J1706*Q1712</f>
        <v/>
      </c>
      <c r="S2655" s="175" t="inlineStr">
        <is>
          <t>AA+</t>
        </is>
      </c>
      <c r="T2655" s="175" t="n">
        <v>0.0185</v>
      </c>
      <c r="U2655" s="172" t="inlineStr">
        <is>
          <t>招银理财</t>
        </is>
      </c>
      <c r="V2655" s="191" t="n">
        <v>0.12</v>
      </c>
      <c r="W2655" s="175" t="n">
        <v>0.017</v>
      </c>
      <c r="X2655" s="172" t="inlineStr">
        <is>
          <t>招银理财</t>
        </is>
      </c>
      <c r="Y2655" s="191" t="n">
        <v>0.12</v>
      </c>
    </row>
    <row r="2656">
      <c r="A2656" s="172" t="n">
        <v>142</v>
      </c>
      <c r="B2656" s="172" t="inlineStr">
        <is>
          <t>9月</t>
        </is>
      </c>
      <c r="C2656" s="172" t="inlineStr">
        <is>
          <t>企金</t>
        </is>
      </c>
      <c r="D2656" s="172" t="inlineStr">
        <is>
          <t>小贷企业主贷</t>
        </is>
      </c>
      <c r="E2656" s="172" t="inlineStr">
        <is>
          <t>盛赢4-5</t>
        </is>
      </c>
      <c r="F2656" s="172" t="inlineStr">
        <is>
          <t>上交所</t>
        </is>
      </c>
      <c r="G2656" s="172" t="inlineStr">
        <is>
          <t>财通资管</t>
        </is>
      </c>
      <c r="H2656" s="172" t="inlineStr">
        <is>
          <t>华福证券</t>
        </is>
      </c>
      <c r="I2656" s="172" t="inlineStr">
        <is>
          <t>招行北分</t>
        </is>
      </c>
      <c r="J2656" s="172" t="n">
        <v>8</v>
      </c>
      <c r="K2656" s="172" t="inlineStr">
        <is>
          <t>9+24</t>
        </is>
      </c>
      <c r="L2656" s="202" t="n">
        <v>46269</v>
      </c>
      <c r="M2656" s="175" t="n">
        <v>0.0148</v>
      </c>
      <c r="N2656" s="176" t="n">
        <v>0.0194</v>
      </c>
      <c r="O2656" s="191" t="n">
        <v>2.54</v>
      </c>
      <c r="P2656" s="172" t="inlineStr">
        <is>
          <t>优先B</t>
        </is>
      </c>
      <c r="Q2656" s="175" t="n">
        <v>0.05</v>
      </c>
      <c r="R2656" s="192">
        <f>J1706*Q1712</f>
        <v/>
      </c>
      <c r="S2656" s="175" t="inlineStr">
        <is>
          <t>AA+</t>
        </is>
      </c>
      <c r="T2656" s="175" t="n">
        <v>0.0185</v>
      </c>
      <c r="U2656" s="172" t="inlineStr">
        <is>
          <t>申万投顾</t>
        </is>
      </c>
      <c r="V2656" s="191" t="n">
        <v>0.1</v>
      </c>
      <c r="W2656" s="175" t="n">
        <v>0.0183</v>
      </c>
      <c r="X2656" s="172" t="inlineStr">
        <is>
          <t>申万投顾</t>
        </is>
      </c>
      <c r="Y2656" s="191" t="n">
        <v>0.1</v>
      </c>
    </row>
    <row r="2657">
      <c r="A2657" s="172" t="n">
        <v>142</v>
      </c>
      <c r="B2657" s="172" t="inlineStr">
        <is>
          <t>9月</t>
        </is>
      </c>
      <c r="C2657" s="172" t="inlineStr">
        <is>
          <t>企金</t>
        </is>
      </c>
      <c r="D2657" s="172" t="inlineStr">
        <is>
          <t>小贷企业主贷</t>
        </is>
      </c>
      <c r="E2657" s="172" t="inlineStr">
        <is>
          <t>盛赢4-5</t>
        </is>
      </c>
      <c r="F2657" s="172" t="inlineStr">
        <is>
          <t>上交所</t>
        </is>
      </c>
      <c r="G2657" s="172" t="inlineStr">
        <is>
          <t>财通资管</t>
        </is>
      </c>
      <c r="H2657" s="172" t="inlineStr">
        <is>
          <t>华福证券</t>
        </is>
      </c>
      <c r="I2657" s="172" t="inlineStr">
        <is>
          <t>招行北分</t>
        </is>
      </c>
      <c r="J2657" s="172" t="n">
        <v>8</v>
      </c>
      <c r="K2657" s="172" t="inlineStr">
        <is>
          <t>9+24</t>
        </is>
      </c>
      <c r="L2657" s="202" t="n">
        <v>46269</v>
      </c>
      <c r="M2657" s="175" t="n">
        <v>0.0148</v>
      </c>
      <c r="N2657" s="176" t="n">
        <v>0.0194</v>
      </c>
      <c r="O2657" s="191" t="n">
        <v>2.54</v>
      </c>
      <c r="P2657" s="172" t="inlineStr">
        <is>
          <t>优先B</t>
        </is>
      </c>
      <c r="Q2657" s="175" t="n">
        <v>0.05</v>
      </c>
      <c r="R2657" s="192">
        <f>J1706*Q1712</f>
        <v/>
      </c>
      <c r="S2657" s="175" t="inlineStr">
        <is>
          <t>AA+</t>
        </is>
      </c>
      <c r="T2657" s="175" t="n">
        <v>0.0185</v>
      </c>
      <c r="U2657" s="172" t="inlineStr">
        <is>
          <t>中信证券投顾</t>
        </is>
      </c>
      <c r="V2657" s="191" t="n">
        <v>0.06</v>
      </c>
      <c r="W2657" s="175" t="n">
        <v>0.019</v>
      </c>
      <c r="X2657" s="172" t="inlineStr">
        <is>
          <t>中信证券</t>
        </is>
      </c>
      <c r="Y2657" s="191" t="n">
        <v>0.1</v>
      </c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0.0194</v>
      </c>
      <c r="O2658" s="191" t="n">
        <v>2.54</v>
      </c>
      <c r="P2658" s="172" t="inlineStr">
        <is>
          <t>优先B</t>
        </is>
      </c>
      <c r="Q2658" s="175" t="n">
        <v>0.05</v>
      </c>
      <c r="R2658" s="192">
        <f>J1706*Q1712</f>
        <v/>
      </c>
      <c r="S2658" s="175" t="inlineStr">
        <is>
          <t>AA+</t>
        </is>
      </c>
      <c r="T2658" s="175" t="n">
        <v>0.0185</v>
      </c>
      <c r="U2658" s="172" t="inlineStr">
        <is>
          <t>利曦基金</t>
        </is>
      </c>
      <c r="V2658" s="191" t="n">
        <v>0.1</v>
      </c>
      <c r="W2658" s="175" t="n">
        <v>0.0185</v>
      </c>
      <c r="X2658" s="172" t="inlineStr">
        <is>
          <t>利曦基金</t>
        </is>
      </c>
      <c r="Y2658" s="191" t="n">
        <v>0.1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2" t="n">
        <v>46269</v>
      </c>
      <c r="M2659" s="175" t="n">
        <v>0.0148</v>
      </c>
      <c r="N2659" s="176" t="n">
        <v>0.0194</v>
      </c>
      <c r="O2659" s="191" t="n">
        <v>2.54</v>
      </c>
      <c r="P2659" s="172" t="inlineStr">
        <is>
          <t>优先B</t>
        </is>
      </c>
      <c r="Q2659" s="175" t="n">
        <v>0.05</v>
      </c>
      <c r="R2659" s="192">
        <f>J1706*Q1712</f>
        <v/>
      </c>
      <c r="S2659" s="175" t="inlineStr">
        <is>
          <t>AA+</t>
        </is>
      </c>
      <c r="T2659" s="175" t="n">
        <v>0.0185</v>
      </c>
      <c r="U2659" s="172" t="inlineStr">
        <is>
          <t>盛际小贷</t>
        </is>
      </c>
      <c r="V2659" s="191" t="n">
        <v>0.02</v>
      </c>
      <c r="W2659" s="175" t="n">
        <v>0.01</v>
      </c>
      <c r="X2659" s="172" t="inlineStr">
        <is>
          <t>盛际小贷</t>
        </is>
      </c>
      <c r="Y2659" s="191" t="n">
        <v>0.02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8" t="n">
        <v>46269</v>
      </c>
      <c r="M2660" s="175" t="n">
        <v>0.0148</v>
      </c>
      <c r="N2660" s="176" t="n">
        <v>0.0194</v>
      </c>
      <c r="O2660" s="172" t="n">
        <v>2.54</v>
      </c>
      <c r="P2660" s="172" t="inlineStr">
        <is>
          <t>优先B</t>
        </is>
      </c>
      <c r="Q2660" s="175" t="n">
        <v>0.05</v>
      </c>
      <c r="R2660" s="172">
        <f>J1706*Q1712</f>
        <v/>
      </c>
      <c r="S2660" s="172" t="inlineStr">
        <is>
          <t>AA+</t>
        </is>
      </c>
      <c r="T2660" s="175" t="n">
        <v>0.0185</v>
      </c>
      <c r="U2660" s="172" t="n"/>
      <c r="V2660" s="172" t="n"/>
      <c r="W2660" s="175" t="n">
        <v>0.0185</v>
      </c>
      <c r="X2660" s="172" t="inlineStr">
        <is>
          <t>中信投顾</t>
        </is>
      </c>
      <c r="Y2660" s="191" t="n">
        <v>0.06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8" t="n">
        <v>46269</v>
      </c>
      <c r="M2661" s="175" t="n">
        <v>0.0148</v>
      </c>
      <c r="N2661" s="176" t="n">
        <v>0.0194</v>
      </c>
      <c r="O2661" s="172" t="n">
        <v>2.54</v>
      </c>
      <c r="P2661" s="172" t="inlineStr">
        <is>
          <t>优先B</t>
        </is>
      </c>
      <c r="Q2661" s="175" t="n">
        <v>0.05</v>
      </c>
      <c r="R2661" s="172">
        <f>J1706*Q1712</f>
        <v/>
      </c>
      <c r="S2661" s="172" t="inlineStr">
        <is>
          <t>AA+</t>
        </is>
      </c>
      <c r="T2661" s="175" t="n">
        <v>0.0185</v>
      </c>
      <c r="U2661" s="172" t="n"/>
      <c r="V2661" s="172" t="n"/>
      <c r="W2661" s="175" t="n">
        <v>0.019</v>
      </c>
      <c r="X2661" s="172" t="inlineStr">
        <is>
          <t>建信信托</t>
        </is>
      </c>
      <c r="Y2661" s="191" t="n">
        <v>0.2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0.0194</v>
      </c>
      <c r="O2662" s="172" t="n">
        <v>2.54</v>
      </c>
      <c r="P2662" s="172" t="inlineStr">
        <is>
          <t>优先B</t>
        </is>
      </c>
      <c r="Q2662" s="175" t="n">
        <v>0.05</v>
      </c>
      <c r="R2662" s="172">
        <f>J1706*Q1712</f>
        <v/>
      </c>
      <c r="S2662" s="172" t="inlineStr">
        <is>
          <t>AA+</t>
        </is>
      </c>
      <c r="T2662" s="175" t="n">
        <v>0.0185</v>
      </c>
      <c r="U2662" s="172" t="n"/>
      <c r="V2662" s="172" t="n"/>
      <c r="W2662" s="175" t="n">
        <v>0.02</v>
      </c>
      <c r="X2662" s="172" t="inlineStr">
        <is>
          <t>财通资管</t>
        </is>
      </c>
      <c r="Y2662" s="191" t="n">
        <v>0.3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0.0194</v>
      </c>
      <c r="O2663" s="191" t="n">
        <v>2.54</v>
      </c>
      <c r="P2663" s="172" t="inlineStr">
        <is>
          <t>中间级</t>
        </is>
      </c>
      <c r="Q2663" s="175" t="n">
        <v>0.07000000000000001</v>
      </c>
      <c r="R2663" s="192">
        <f>J1706*Q1717</f>
        <v/>
      </c>
      <c r="S2663" s="175" t="inlineStr">
        <is>
          <t>AA-</t>
        </is>
      </c>
      <c r="T2663" s="175" t="n">
        <v>0.031</v>
      </c>
      <c r="U2663" s="177" t="inlineStr">
        <is>
          <t>建信信托</t>
        </is>
      </c>
      <c r="V2663" s="191" t="n">
        <v>0.37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0.0194</v>
      </c>
      <c r="O2664" s="191" t="n">
        <v>2.54</v>
      </c>
      <c r="P2664" s="172" t="inlineStr">
        <is>
          <t>中间级</t>
        </is>
      </c>
      <c r="Q2664" s="175" t="n">
        <v>0.07000000000000001</v>
      </c>
      <c r="R2664" s="192">
        <f>J1706*Q1717</f>
        <v/>
      </c>
      <c r="S2664" s="175" t="inlineStr">
        <is>
          <t>AA-</t>
        </is>
      </c>
      <c r="T2664" s="175" t="n">
        <v>0.031</v>
      </c>
      <c r="U2664" s="177" t="inlineStr">
        <is>
          <t>东方财富证券自营</t>
        </is>
      </c>
      <c r="V2664" s="191" t="n">
        <v>0.16</v>
      </c>
      <c r="W2664" s="172" t="n"/>
      <c r="X2664" s="172" t="n"/>
      <c r="Y2664" s="172" t="n"/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0.0194</v>
      </c>
      <c r="O2665" s="191" t="n">
        <v>2.54</v>
      </c>
      <c r="P2665" s="172" t="inlineStr">
        <is>
          <t>中间级</t>
        </is>
      </c>
      <c r="Q2665" s="175" t="n">
        <v>0.07000000000000001</v>
      </c>
      <c r="R2665" s="192">
        <f>J1706*Q1717</f>
        <v/>
      </c>
      <c r="S2665" s="175" t="inlineStr">
        <is>
          <t>AA-</t>
        </is>
      </c>
      <c r="T2665" s="175" t="n">
        <v>0.031</v>
      </c>
      <c r="U2665" s="172" t="inlineStr">
        <is>
          <t>盛际小贷</t>
        </is>
      </c>
      <c r="V2665" s="191" t="n">
        <v>0.03</v>
      </c>
      <c r="W2665" s="172" t="n"/>
      <c r="X2665" s="172" t="n"/>
      <c r="Y2665" s="172" t="n"/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2" t="n">
        <v>46269</v>
      </c>
      <c r="M2666" s="175" t="n">
        <v>0.0148</v>
      </c>
      <c r="N2666" s="176" t="n">
        <v>0.0194</v>
      </c>
      <c r="O2666" s="191" t="n">
        <v>2.54</v>
      </c>
      <c r="P2666" s="172" t="inlineStr">
        <is>
          <t>次级</t>
        </is>
      </c>
      <c r="Q2666" s="175" t="n">
        <v>0.05</v>
      </c>
      <c r="R2666" s="192">
        <f>J1706*Q1720</f>
        <v/>
      </c>
      <c r="S2666" s="175" t="inlineStr">
        <is>
          <t>无</t>
        </is>
      </c>
      <c r="T2666" s="175" t="n">
        <v>0.0455</v>
      </c>
      <c r="U2666" s="177" t="inlineStr">
        <is>
          <t>中泰证券自营</t>
        </is>
      </c>
      <c r="V2666" s="191" t="n">
        <v>0.2</v>
      </c>
      <c r="W2666" s="172" t="n"/>
      <c r="X2666" s="172" t="n"/>
      <c r="Y2666" s="172" t="n"/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2" t="n">
        <v>46269</v>
      </c>
      <c r="M2667" s="175" t="n">
        <v>0.0148</v>
      </c>
      <c r="N2667" s="176" t="n">
        <v>0.0194</v>
      </c>
      <c r="O2667" s="191" t="n">
        <v>2.54</v>
      </c>
      <c r="P2667" s="172" t="inlineStr">
        <is>
          <t>次级</t>
        </is>
      </c>
      <c r="Q2667" s="175" t="n">
        <v>0.05</v>
      </c>
      <c r="R2667" s="192">
        <f>J1706*Q1720</f>
        <v/>
      </c>
      <c r="S2667" s="175" t="inlineStr">
        <is>
          <t>无</t>
        </is>
      </c>
      <c r="T2667" s="175" t="n">
        <v>0.0455</v>
      </c>
      <c r="U2667" s="177" t="inlineStr">
        <is>
          <t>朗姿韩亚</t>
        </is>
      </c>
      <c r="V2667" s="191" t="n">
        <v>0.18</v>
      </c>
      <c r="W2667" s="172" t="n"/>
      <c r="X2667" s="172" t="n"/>
      <c r="Y2667" s="172" t="n"/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2" t="n">
        <v>46269</v>
      </c>
      <c r="M2668" s="175" t="n">
        <v>0.0148</v>
      </c>
      <c r="N2668" s="176" t="n">
        <v>0.0194</v>
      </c>
      <c r="O2668" s="191" t="n">
        <v>2.54</v>
      </c>
      <c r="P2668" s="172" t="inlineStr">
        <is>
          <t>次级</t>
        </is>
      </c>
      <c r="Q2668" s="175" t="n">
        <v>0.05</v>
      </c>
      <c r="R2668" s="192">
        <f>J1706*Q1720</f>
        <v/>
      </c>
      <c r="S2668" s="175" t="inlineStr">
        <is>
          <t>无</t>
        </is>
      </c>
      <c r="T2668" s="175" t="n">
        <v>0.0455</v>
      </c>
      <c r="U2668" s="172" t="inlineStr">
        <is>
          <t>盛际小贷</t>
        </is>
      </c>
      <c r="V2668" s="191" t="n">
        <v>0.02</v>
      </c>
      <c r="W2668" s="172" t="n"/>
      <c r="X2668" s="172" t="n"/>
      <c r="Y2668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2026-09-07T12:23:58Z</dcterms:modified>
  <cp:lastModifiedBy>wupeizhi.nolan</cp:lastModifiedBy>
</cp:coreProperties>
</file>